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/>
  <mc:AlternateContent xmlns:mc="http://schemas.openxmlformats.org/markup-compatibility/2006">
    <mc:Choice Requires="x15">
      <x15ac:absPath xmlns:x15ac="http://schemas.microsoft.com/office/spreadsheetml/2010/11/ac" url="C:\StockProjects\TradingData\"/>
    </mc:Choice>
  </mc:AlternateContent>
  <xr:revisionPtr revIDLastSave="0" documentId="13_ncr:1_{EBD8DFA0-85B3-4A9C-923C-7EDE9BFB897D}" xr6:coauthVersionLast="47" xr6:coauthVersionMax="47" xr10:uidLastSave="{00000000-0000-0000-0000-000000000000}"/>
  <bookViews>
    <workbookView xWindow="7155" yWindow="-12120" windowWidth="21600" windowHeight="11295" activeTab="6" xr2:uid="{00000000-000D-0000-FFFF-FFFF00000000}"/>
  </bookViews>
  <sheets>
    <sheet name="Order_test" sheetId="11" r:id="rId1"/>
    <sheet name="Quotes" sheetId="13" r:id="rId2"/>
    <sheet name="MarketDes" sheetId="14" r:id="rId3"/>
    <sheet name="OrderIDList" sheetId="1" r:id="rId4"/>
    <sheet name="RssOrderStatus" sheetId="10" r:id="rId5"/>
    <sheet name="OrderList" sheetId="2" r:id="rId6"/>
    <sheet name="ExecutionList" sheetId="3" r:id="rId7"/>
    <sheet name="PositionList" sheetId="4" r:id="rId8"/>
    <sheet name="MarginPositionList" sheetId="5" r:id="rId9"/>
    <sheet name="RssMarket" sheetId="6" r:id="rId10"/>
    <sheet name="RssTickList" sheetId="7" r:id="rId11"/>
    <sheet name="ExecutionList (2)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" l="1" a="1"/>
  <c r="A1" i="7" a="1"/>
  <c r="A1" i="4" a="1"/>
  <c r="A1" i="3" a="1"/>
  <c r="A1" i="2" a="1"/>
  <c r="A1" i="11" a="1"/>
  <c r="A1" i="1" a="1"/>
  <c r="AW2" i="6" a="1"/>
  <c r="BT2" i="6" a="1"/>
  <c r="Q2" i="6" a="1"/>
  <c r="M2" i="6" a="1"/>
  <c r="AJ2" i="6" a="1"/>
  <c r="CQ2" i="6" a="1"/>
  <c r="U2" i="6" a="1"/>
  <c r="DY2" i="6" a="1"/>
  <c r="BC2" i="6" a="1"/>
  <c r="BS2" i="6" a="1"/>
  <c r="J2" i="6" a="1"/>
  <c r="A2" i="10" a="1"/>
  <c r="BA2" i="6" a="1"/>
  <c r="AB2" i="6" a="1"/>
  <c r="D2" i="6" a="1"/>
  <c r="EM2" i="6" a="1"/>
  <c r="DH2" i="6" a="1"/>
  <c r="AF2" i="6" a="1"/>
  <c r="BL2" i="6" a="1"/>
  <c r="ED2" i="6" a="1"/>
  <c r="BV2" i="6" a="1"/>
  <c r="CF2" i="6" a="1"/>
  <c r="CT2" i="6" a="1"/>
  <c r="AM2" i="6" a="1"/>
  <c r="EK2" i="6" a="1"/>
  <c r="BP2" i="6" a="1"/>
  <c r="E2" i="6" a="1"/>
  <c r="AO2" i="6" a="1"/>
  <c r="K2" i="6" a="1"/>
  <c r="BN2" i="6" a="1"/>
  <c r="BF2" i="6" a="1"/>
  <c r="BZ2" i="6" a="1"/>
  <c r="BM2" i="6" a="1"/>
  <c r="AK2" i="6" a="1"/>
  <c r="DC2" i="6" a="1"/>
  <c r="B2" i="6" a="1"/>
  <c r="CK2" i="6" a="1"/>
  <c r="V2" i="6" a="1"/>
  <c r="EO2" i="6" a="1"/>
  <c r="EP2" i="6" a="1"/>
  <c r="BR2" i="6" a="1"/>
  <c r="W2" i="6" a="1"/>
  <c r="EH2" i="6" a="1"/>
  <c r="EN2" i="6" a="1"/>
  <c r="EC2" i="6" a="1"/>
  <c r="AS2" i="6" a="1"/>
  <c r="T2" i="6" a="1"/>
  <c r="BO2" i="6" a="1"/>
  <c r="BJ2" i="6" a="1"/>
  <c r="BW2" i="6" a="1"/>
  <c r="A2" i="6" a="1"/>
  <c r="R2" i="6" a="1"/>
  <c r="DG2" i="6" a="1"/>
  <c r="AP2" i="6" a="1"/>
  <c r="C2" i="6" a="1"/>
  <c r="CN2" i="6" a="1"/>
  <c r="DB2" i="6" a="1"/>
  <c r="DR2" i="6" a="1"/>
  <c r="DX2" i="6" a="1"/>
  <c r="DQ2" i="6" a="1"/>
  <c r="BI2" i="6" a="1"/>
  <c r="AH2" i="6" a="1"/>
  <c r="AV2" i="6" a="1"/>
  <c r="CW2" i="6" a="1"/>
  <c r="EL2" i="6" a="1"/>
  <c r="AX2" i="6" a="1"/>
  <c r="AR2" i="6" a="1"/>
  <c r="CI2" i="6" a="1"/>
  <c r="DF2" i="6" a="1"/>
  <c r="DW2" i="6" a="1"/>
  <c r="CO2" i="6" a="1"/>
  <c r="CP2" i="6" a="1"/>
  <c r="AY2" i="6" a="1"/>
  <c r="AL2" i="6" a="1"/>
  <c r="CV2" i="6" a="1"/>
  <c r="AT2" i="6" a="1"/>
  <c r="AN2" i="6" a="1"/>
  <c r="ER2" i="6" a="1"/>
  <c r="DJ2" i="6" a="1"/>
  <c r="DT2" i="6" a="1"/>
  <c r="CU2" i="6" a="1"/>
  <c r="BK2" i="6" a="1"/>
  <c r="I2" i="6" a="1"/>
  <c r="EQ2" i="6" a="1"/>
  <c r="EI2" i="6" a="1"/>
  <c r="P2" i="6" a="1"/>
  <c r="AD2" i="6" a="1"/>
  <c r="CS2" i="6" a="1"/>
  <c r="CH2" i="6" a="1"/>
  <c r="CC2" i="6" a="1"/>
  <c r="DD2" i="6" a="1"/>
  <c r="AU2" i="6" a="1"/>
  <c r="BB2" i="6" a="1"/>
  <c r="BD2" i="6" a="1"/>
  <c r="N2" i="6" a="1"/>
  <c r="H2" i="6" a="1"/>
  <c r="CJ2" i="6" a="1"/>
  <c r="EF2" i="6" a="1"/>
  <c r="EE2" i="6" a="1"/>
  <c r="DS2" i="6" a="1"/>
  <c r="CY2" i="6" a="1"/>
  <c r="DO2" i="6" a="1"/>
  <c r="CM2" i="6" a="1"/>
  <c r="BH2" i="6" a="1"/>
  <c r="DK2" i="6" a="1"/>
  <c r="AC2" i="6" a="1"/>
  <c r="F2" i="6" a="1"/>
  <c r="AQ2" i="6" a="1"/>
  <c r="CX2" i="6" a="1"/>
  <c r="DN2" i="6" a="1"/>
  <c r="L2" i="6" a="1"/>
  <c r="DL2" i="6" a="1"/>
  <c r="AZ2" i="6" a="1"/>
  <c r="BG2" i="6" a="1"/>
  <c r="DV2" i="6" a="1"/>
  <c r="AE2" i="6" a="1"/>
  <c r="DE2" i="6" a="1"/>
  <c r="DM2" i="6" a="1"/>
  <c r="DU2" i="6" a="1"/>
  <c r="Z2" i="6" a="1"/>
  <c r="CG2" i="6" a="1"/>
  <c r="DP2" i="6" a="1"/>
  <c r="Y2" i="6" a="1"/>
  <c r="CD2" i="6" a="1"/>
  <c r="DI2" i="6" a="1"/>
  <c r="X2" i="6" a="1"/>
  <c r="CR2" i="6" a="1"/>
  <c r="BU2" i="6" a="1"/>
  <c r="DZ2" i="6" a="1"/>
  <c r="CZ2" i="6" a="1"/>
  <c r="CA2" i="6" a="1"/>
  <c r="CB2" i="6" a="1"/>
  <c r="CE2" i="6" a="1"/>
  <c r="EG2" i="6" a="1"/>
  <c r="CL2" i="6" a="1"/>
  <c r="G2" i="6" a="1"/>
  <c r="AA2" i="6" a="1"/>
  <c r="BE2" i="6" a="1"/>
  <c r="AG2" i="6" a="1"/>
  <c r="DA2" i="6" a="1"/>
  <c r="EJ2" i="6" a="1"/>
  <c r="O2" i="6" a="1"/>
  <c r="EA2" i="6" a="1"/>
  <c r="AI2" i="6" a="1"/>
  <c r="EB2" i="6" a="1"/>
  <c r="BQ2" i="6" a="1"/>
  <c r="BX2" i="6" a="1"/>
  <c r="BY2" i="6" a="1"/>
  <c r="S2" i="6" a="1"/>
  <c r="A1" i="5" l="1"/>
  <c r="A1" i="7"/>
  <c r="A1" i="4"/>
  <c r="A1" i="3"/>
  <c r="A1" i="2"/>
  <c r="A1" i="11"/>
  <c r="A1" i="1"/>
  <c r="S2" i="6"/>
  <c r="BY2" i="6"/>
  <c r="BX2" i="6"/>
  <c r="BQ2" i="6"/>
  <c r="EB2" i="6"/>
  <c r="AI2" i="6"/>
  <c r="EA2" i="6"/>
  <c r="O2" i="6"/>
  <c r="EJ2" i="6"/>
  <c r="DA2" i="6"/>
  <c r="AG2" i="6"/>
  <c r="BE2" i="6"/>
  <c r="AA2" i="6"/>
  <c r="G2" i="6"/>
  <c r="CL2" i="6"/>
  <c r="EG2" i="6"/>
  <c r="CE2" i="6"/>
  <c r="CB2" i="6"/>
  <c r="CA2" i="6"/>
  <c r="CZ2" i="6"/>
  <c r="DZ2" i="6"/>
  <c r="BU2" i="6"/>
  <c r="CR2" i="6"/>
  <c r="X2" i="6"/>
  <c r="DI2" i="6"/>
  <c r="CD2" i="6"/>
  <c r="Y2" i="6"/>
  <c r="DP2" i="6"/>
  <c r="CG2" i="6"/>
  <c r="Z2" i="6"/>
  <c r="DU2" i="6"/>
  <c r="DM2" i="6"/>
  <c r="DE2" i="6"/>
  <c r="AE2" i="6"/>
  <c r="DV2" i="6"/>
  <c r="BG2" i="6"/>
  <c r="AZ2" i="6"/>
  <c r="DL2" i="6"/>
  <c r="L2" i="6"/>
  <c r="DN2" i="6"/>
  <c r="CX2" i="6"/>
  <c r="AQ2" i="6"/>
  <c r="F2" i="6"/>
  <c r="AC2" i="6"/>
  <c r="DK2" i="6"/>
  <c r="BH2" i="6"/>
  <c r="CM2" i="6"/>
  <c r="DO2" i="6"/>
  <c r="CY2" i="6"/>
  <c r="DS2" i="6"/>
  <c r="EE2" i="6"/>
  <c r="EF2" i="6"/>
  <c r="CJ2" i="6"/>
  <c r="H2" i="6"/>
  <c r="N2" i="6"/>
  <c r="BD2" i="6"/>
  <c r="BB2" i="6"/>
  <c r="AU2" i="6"/>
  <c r="DD2" i="6"/>
  <c r="CC2" i="6"/>
  <c r="CH2" i="6"/>
  <c r="CS2" i="6"/>
  <c r="AD2" i="6"/>
  <c r="P2" i="6"/>
  <c r="EI2" i="6"/>
  <c r="EQ2" i="6"/>
  <c r="I2" i="6"/>
  <c r="BK2" i="6"/>
  <c r="CU2" i="6"/>
  <c r="DT2" i="6"/>
  <c r="DJ2" i="6"/>
  <c r="ER2" i="6"/>
  <c r="AN2" i="6"/>
  <c r="AT2" i="6"/>
  <c r="CV2" i="6"/>
  <c r="AL2" i="6"/>
  <c r="AY2" i="6"/>
  <c r="CP2" i="6"/>
  <c r="CO2" i="6"/>
  <c r="DW2" i="6"/>
  <c r="DF2" i="6"/>
  <c r="CI2" i="6"/>
  <c r="AR2" i="6"/>
  <c r="AX2" i="6"/>
  <c r="EL2" i="6"/>
  <c r="CW2" i="6"/>
  <c r="AV2" i="6"/>
  <c r="AH2" i="6"/>
  <c r="BI2" i="6"/>
  <c r="DQ2" i="6"/>
  <c r="DX2" i="6"/>
  <c r="DR2" i="6"/>
  <c r="DB2" i="6"/>
  <c r="CN2" i="6"/>
  <c r="C2" i="6"/>
  <c r="AP2" i="6"/>
  <c r="DG2" i="6"/>
  <c r="R2" i="6"/>
  <c r="A2" i="6"/>
  <c r="BW2" i="6"/>
  <c r="BJ2" i="6"/>
  <c r="BO2" i="6"/>
  <c r="T2" i="6"/>
  <c r="AS2" i="6"/>
  <c r="EC2" i="6"/>
  <c r="EN2" i="6"/>
  <c r="EH2" i="6"/>
  <c r="W2" i="6"/>
  <c r="BR2" i="6"/>
  <c r="EP2" i="6"/>
  <c r="EO2" i="6"/>
  <c r="V2" i="6"/>
  <c r="CK2" i="6"/>
  <c r="B2" i="6"/>
  <c r="DC2" i="6"/>
  <c r="AK2" i="6"/>
  <c r="BM2" i="6"/>
  <c r="BZ2" i="6"/>
  <c r="BF2" i="6"/>
  <c r="BN2" i="6"/>
  <c r="K2" i="6"/>
  <c r="AO2" i="6"/>
  <c r="E2" i="6"/>
  <c r="BP2" i="6"/>
  <c r="EK2" i="6"/>
  <c r="AM2" i="6"/>
  <c r="CT2" i="6"/>
  <c r="CF2" i="6"/>
  <c r="BV2" i="6"/>
  <c r="ED2" i="6"/>
  <c r="BL2" i="6"/>
  <c r="AF2" i="6"/>
  <c r="DH2" i="6"/>
  <c r="EM2" i="6"/>
  <c r="D2" i="6"/>
  <c r="AB2" i="6"/>
  <c r="BA2" i="6"/>
  <c r="A2" i="10"/>
  <c r="J2" i="6"/>
  <c r="BS2" i="6"/>
  <c r="BC2" i="6"/>
  <c r="DY2" i="6"/>
  <c r="U2" i="6"/>
  <c r="CQ2" i="6"/>
  <c r="AJ2" i="6"/>
  <c r="M2" i="6"/>
  <c r="Q2" i="6"/>
  <c r="BT2" i="6"/>
  <c r="AW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<sst xmlns="http://schemas.openxmlformats.org/spreadsheetml/2006/main" count="2909" uniqueCount="360">
  <si>
    <t>発注ID</t>
  </si>
  <si>
    <t>関数名</t>
  </si>
  <si>
    <t>発注日</t>
  </si>
  <si>
    <t>発注時刻</t>
  </si>
  <si>
    <t>注文番号</t>
  </si>
  <si>
    <t>受付No</t>
  </si>
  <si>
    <t>通常注文状況</t>
  </si>
  <si>
    <t>逆指値注文状況</t>
  </si>
  <si>
    <t>アルゴ注文状況</t>
  </si>
  <si>
    <t>銘柄コード</t>
  </si>
  <si>
    <t>銘柄名称</t>
  </si>
  <si>
    <t>口座区分</t>
  </si>
  <si>
    <t>市場名称</t>
  </si>
  <si>
    <t>信用区分</t>
  </si>
  <si>
    <t>弁済期限</t>
  </si>
  <si>
    <t>発注/受注日時</t>
  </si>
  <si>
    <t>売買</t>
  </si>
  <si>
    <t>取引</t>
  </si>
  <si>
    <t>執行条件</t>
  </si>
  <si>
    <t>注文期限</t>
  </si>
  <si>
    <t>注文数量</t>
  </si>
  <si>
    <t>約定数量</t>
  </si>
  <si>
    <t>注文単価</t>
  </si>
  <si>
    <t>注文区分</t>
  </si>
  <si>
    <t>逆指値条件</t>
  </si>
  <si>
    <t>セット注文</t>
  </si>
  <si>
    <t>セット注文条件</t>
  </si>
  <si>
    <t>税区分</t>
  </si>
  <si>
    <t>注文失効日時</t>
  </si>
  <si>
    <t>注文失効理由</t>
  </si>
  <si>
    <t>入力経路</t>
  </si>
  <si>
    <t>アルゴ注文条件</t>
  </si>
  <si>
    <t>価格判定時刻</t>
  </si>
  <si>
    <t>価格判定情報/対象外理由</t>
  </si>
  <si>
    <t>-</t>
  </si>
  <si>
    <t/>
  </si>
  <si>
    <t>特定</t>
  </si>
  <si>
    <t>買建</t>
  </si>
  <si>
    <t>約定日</t>
  </si>
  <si>
    <t>受渡日</t>
  </si>
  <si>
    <t>約定単価</t>
  </si>
  <si>
    <t>約定代金</t>
  </si>
  <si>
    <t>特別空売り料</t>
  </si>
  <si>
    <t>特定</t>
    <phoneticPr fontId="1"/>
  </si>
  <si>
    <t>JAX</t>
  </si>
  <si>
    <t>JAX</t>
    <phoneticPr fontId="1"/>
  </si>
  <si>
    <t>一般</t>
    <phoneticPr fontId="1"/>
  </si>
  <si>
    <t>1日</t>
    <phoneticPr fontId="1"/>
  </si>
  <si>
    <t>信用新規</t>
    <phoneticPr fontId="1"/>
  </si>
  <si>
    <t>買建</t>
    <phoneticPr fontId="1"/>
  </si>
  <si>
    <t>東証</t>
    <phoneticPr fontId="1"/>
  </si>
  <si>
    <t>信用返済</t>
    <phoneticPr fontId="1"/>
  </si>
  <si>
    <t>売埋</t>
    <phoneticPr fontId="1"/>
  </si>
  <si>
    <t>源徴あり</t>
    <phoneticPr fontId="1"/>
  </si>
  <si>
    <t xml:space="preserve">銘柄コード </t>
  </si>
  <si>
    <t>保有数量</t>
  </si>
  <si>
    <t>発注数量</t>
  </si>
  <si>
    <t>平均取得価額</t>
  </si>
  <si>
    <t>時価</t>
  </si>
  <si>
    <t>前日比</t>
  </si>
  <si>
    <t>前日比率</t>
  </si>
  <si>
    <t>時価評価額</t>
  </si>
  <si>
    <t>評価損益額</t>
  </si>
  <si>
    <t>評価損益率</t>
  </si>
  <si>
    <t>銘柄情報等</t>
  </si>
  <si>
    <t>JAX時価</t>
  </si>
  <si>
    <t>JNX時価</t>
  </si>
  <si>
    <t>PER</t>
  </si>
  <si>
    <t>PBR</t>
  </si>
  <si>
    <t>配当利回り</t>
  </si>
  <si>
    <t>ＩＮＰＥＸ</t>
  </si>
  <si>
    <t>NISA</t>
  </si>
  <si>
    <t>三井金属</t>
  </si>
  <si>
    <t>フジクラ</t>
  </si>
  <si>
    <t>ジェイ・イー・テ</t>
  </si>
  <si>
    <t>富士通</t>
  </si>
  <si>
    <t>アドバンテスト</t>
  </si>
  <si>
    <t>レーザーテック</t>
  </si>
  <si>
    <t>村田製作所</t>
  </si>
  <si>
    <t>任　天　堂</t>
  </si>
  <si>
    <t>イオン</t>
  </si>
  <si>
    <t>建市場</t>
  </si>
  <si>
    <t>建玉数量</t>
  </si>
  <si>
    <t>建値</t>
  </si>
  <si>
    <t>建日</t>
  </si>
  <si>
    <t>最終返済日</t>
  </si>
  <si>
    <t>保証金率</t>
  </si>
  <si>
    <t>現金保証金率</t>
  </si>
  <si>
    <t>ＪＸ金属</t>
  </si>
  <si>
    <t>制度</t>
  </si>
  <si>
    <t>6ヶ月</t>
  </si>
  <si>
    <t>ソフトバンクグループ</t>
  </si>
  <si>
    <t>時刻</t>
  </si>
  <si>
    <t>出来高</t>
  </si>
  <si>
    <t>約定値</t>
  </si>
  <si>
    <t>RssOrderStatus</t>
    <phoneticPr fontId="1"/>
  </si>
  <si>
    <t>注文ID</t>
    <rPh sb="0" eb="2">
      <t>チュモン</t>
    </rPh>
    <phoneticPr fontId="1"/>
  </si>
  <si>
    <t>発注トリガー</t>
    <rPh sb="0" eb="2">
      <t>ハッチュウ</t>
    </rPh>
    <phoneticPr fontId="1"/>
  </si>
  <si>
    <t>銘柄コード</t>
    <rPh sb="0" eb="2">
      <t>メイガラ</t>
    </rPh>
    <phoneticPr fontId="1"/>
  </si>
  <si>
    <t>注文区分</t>
    <rPh sb="0" eb="2">
      <t>チュウモン</t>
    </rPh>
    <rPh sb="2" eb="4">
      <t>クブン</t>
    </rPh>
    <phoneticPr fontId="1"/>
  </si>
  <si>
    <t>注文数量</t>
    <rPh sb="0" eb="2">
      <t>チュウモン</t>
    </rPh>
    <rPh sb="2" eb="4">
      <t>スウリョウ</t>
    </rPh>
    <phoneticPr fontId="1"/>
  </si>
  <si>
    <t>SOR区分</t>
    <phoneticPr fontId="1"/>
  </si>
  <si>
    <t>価格区分</t>
    <rPh sb="0" eb="2">
      <t>カカク</t>
    </rPh>
    <rPh sb="2" eb="4">
      <t>クブン</t>
    </rPh>
    <phoneticPr fontId="1"/>
  </si>
  <si>
    <t>注文価格</t>
    <rPh sb="0" eb="2">
      <t>チュウモン</t>
    </rPh>
    <rPh sb="2" eb="4">
      <t>カカク</t>
    </rPh>
    <phoneticPr fontId="1"/>
  </si>
  <si>
    <t>執行条件</t>
    <rPh sb="0" eb="2">
      <t>シッコウ</t>
    </rPh>
    <rPh sb="2" eb="4">
      <t>ジョウケン</t>
    </rPh>
    <phoneticPr fontId="1"/>
  </si>
  <si>
    <t>注文期限</t>
    <rPh sb="0" eb="2">
      <t>チュウモン</t>
    </rPh>
    <rPh sb="2" eb="4">
      <t>キゲン</t>
    </rPh>
    <phoneticPr fontId="1"/>
  </si>
  <si>
    <t>口座区分</t>
    <rPh sb="0" eb="2">
      <t>コウザ</t>
    </rPh>
    <rPh sb="2" eb="4">
      <t>クブン</t>
    </rPh>
    <phoneticPr fontId="1"/>
  </si>
  <si>
    <t>逆指値条件価格</t>
    <rPh sb="0" eb="3">
      <t>ギャクサシネ</t>
    </rPh>
    <rPh sb="3" eb="5">
      <t>ジョウケン</t>
    </rPh>
    <rPh sb="5" eb="7">
      <t>カカク</t>
    </rPh>
    <phoneticPr fontId="1"/>
  </si>
  <si>
    <t>逆指値条件区分</t>
    <rPh sb="0" eb="3">
      <t>ギャクサシネ</t>
    </rPh>
    <rPh sb="3" eb="5">
      <t>ジョウケン</t>
    </rPh>
    <rPh sb="5" eb="7">
      <t>クブン</t>
    </rPh>
    <phoneticPr fontId="1"/>
  </si>
  <si>
    <t>逆指値価格区分</t>
    <rPh sb="0" eb="3">
      <t>ギャクサシネ</t>
    </rPh>
    <rPh sb="3" eb="5">
      <t>カカク</t>
    </rPh>
    <rPh sb="5" eb="7">
      <t>クブン</t>
    </rPh>
    <phoneticPr fontId="1"/>
  </si>
  <si>
    <t>逆指値価格</t>
    <rPh sb="0" eb="3">
      <t>ギャクサシネ</t>
    </rPh>
    <rPh sb="3" eb="5">
      <t>カカク</t>
    </rPh>
    <phoneticPr fontId="1"/>
  </si>
  <si>
    <t>セット注文価格</t>
    <rPh sb="3" eb="5">
      <t>チュウモン</t>
    </rPh>
    <rPh sb="5" eb="7">
      <t>カカク</t>
    </rPh>
    <phoneticPr fontId="1"/>
  </si>
  <si>
    <t>セット注文執行条件</t>
    <rPh sb="3" eb="5">
      <t>チュウモン</t>
    </rPh>
    <rPh sb="5" eb="7">
      <t>シッコウ</t>
    </rPh>
    <rPh sb="7" eb="9">
      <t>ジョウケン</t>
    </rPh>
    <phoneticPr fontId="1"/>
  </si>
  <si>
    <t>セット注文期限</t>
    <rPh sb="3" eb="5">
      <t>チュウモン</t>
    </rPh>
    <rPh sb="5" eb="7">
      <t>キゲン</t>
    </rPh>
    <phoneticPr fontId="1"/>
  </si>
  <si>
    <t>1以上の数値</t>
    <rPh sb="1" eb="3">
      <t>イジョウ</t>
    </rPh>
    <rPh sb="4" eb="6">
      <t>スウチ</t>
    </rPh>
    <phoneticPr fontId="1"/>
  </si>
  <si>
    <t>売買区分</t>
    <rPh sb="0" eb="2">
      <t>バイバイ</t>
    </rPh>
    <phoneticPr fontId="1"/>
  </si>
  <si>
    <t>0(False):待機 1(True):発注　(省略時は0)</t>
    <phoneticPr fontId="1"/>
  </si>
  <si>
    <t>銘柄コード「.市場」 .T:東証 .JAX:JAX .JNX:JNX</t>
    <phoneticPr fontId="1"/>
  </si>
  <si>
    <t>1:売り 3:買い</t>
    <phoneticPr fontId="1"/>
  </si>
  <si>
    <t>0:通常注文 1:逆指値付注文 2:逆指値待機注文</t>
    <phoneticPr fontId="1"/>
  </si>
  <si>
    <t>0:通常注文 1:SOR注文</t>
    <phoneticPr fontId="1"/>
  </si>
  <si>
    <t>0:成行 1:指値 (注文区分が「0:通常注文」or「1:逆指値付注文」の場合必須)</t>
    <phoneticPr fontId="1"/>
  </si>
  <si>
    <t>注文価格　成行の場合は省略</t>
    <phoneticPr fontId="1"/>
  </si>
  <si>
    <t>1:本日中 2:今週中 3:寄付 4:引け 5:期間指定 6:大引不成 7:不成</t>
    <phoneticPr fontId="1"/>
  </si>
  <si>
    <t>YYYYMMDD　執行条件が「5:期間指定」の場合必須</t>
    <phoneticPr fontId="1"/>
  </si>
  <si>
    <t>0:特定 1:一般 2:NISA 3:旧NISA</t>
    <phoneticPr fontId="1"/>
  </si>
  <si>
    <t>1:以上 2:以下</t>
    <phoneticPr fontId="1"/>
  </si>
  <si>
    <t>0:成行 1:指値</t>
    <phoneticPr fontId="1"/>
  </si>
  <si>
    <t>0:通常(予約しない) 1:セット注文(予約する)</t>
    <phoneticPr fontId="1"/>
  </si>
  <si>
    <t>YYYYMMDD セット注文執行条件が「5:期間指定」の場合必須</t>
    <phoneticPr fontId="1"/>
  </si>
  <si>
    <t>発注ID</t>
    <rPh sb="0" eb="2">
      <t>ハッチュウ</t>
    </rPh>
    <phoneticPr fontId="1"/>
  </si>
  <si>
    <t>--------</t>
    <phoneticPr fontId="1"/>
  </si>
  <si>
    <t>国内株式 現物注文</t>
  </si>
  <si>
    <t>2026/07/22</t>
  </si>
  <si>
    <t>16:33:23</t>
  </si>
  <si>
    <t>エラー[指値は、値幅制限値以内で指定してください。]</t>
  </si>
  <si>
    <t>16:36:53</t>
  </si>
  <si>
    <t>発注済み</t>
  </si>
  <si>
    <t>--------</t>
  </si>
  <si>
    <t>ＳＵＭＣＯ</t>
    <phoneticPr fontId="1"/>
  </si>
  <si>
    <t>ＱＤレーザ</t>
    <phoneticPr fontId="1"/>
  </si>
  <si>
    <t>CA</t>
  </si>
  <si>
    <t>2026/08/18 09:00:59</t>
    <phoneticPr fontId="1"/>
  </si>
  <si>
    <t>ソフトバンクグループ</t>
    <phoneticPr fontId="1"/>
  </si>
  <si>
    <t>2026/08/18 09:01:14</t>
    <phoneticPr fontId="1"/>
  </si>
  <si>
    <t>2026/08/18 09:01:40</t>
    <phoneticPr fontId="1"/>
  </si>
  <si>
    <t>2026/08/18 09:01:56</t>
    <phoneticPr fontId="1"/>
  </si>
  <si>
    <t>2026/08/18 09:02:27</t>
    <phoneticPr fontId="1"/>
  </si>
  <si>
    <t>2026/08/18 09:02:55</t>
    <phoneticPr fontId="1"/>
  </si>
  <si>
    <t>2026/08/18 09:03:15</t>
    <phoneticPr fontId="1"/>
  </si>
  <si>
    <t>2026/08/18 09:05:37</t>
    <phoneticPr fontId="1"/>
  </si>
  <si>
    <t>2026/08/18 09:07:09</t>
    <phoneticPr fontId="1"/>
  </si>
  <si>
    <t>2026/08/18 09:07:53</t>
    <phoneticPr fontId="1"/>
  </si>
  <si>
    <t>2026/08/18 09:09:17</t>
    <phoneticPr fontId="1"/>
  </si>
  <si>
    <t>2026/08/18 09:10:18</t>
    <phoneticPr fontId="1"/>
  </si>
  <si>
    <t>2026/08/18 09:11:00</t>
    <phoneticPr fontId="1"/>
  </si>
  <si>
    <t>2026/08/18 09:11:31</t>
    <phoneticPr fontId="1"/>
  </si>
  <si>
    <t>2026/08/18 09:11:53</t>
    <phoneticPr fontId="1"/>
  </si>
  <si>
    <t>2026/08/18 09:13:18</t>
    <phoneticPr fontId="1"/>
  </si>
  <si>
    <t>2026/08/18 09:13:39</t>
    <phoneticPr fontId="1"/>
  </si>
  <si>
    <t>2026/08/18 09:13:56</t>
    <phoneticPr fontId="1"/>
  </si>
  <si>
    <t>2026/08/18 09:14:52</t>
    <phoneticPr fontId="1"/>
  </si>
  <si>
    <t>2026/08/18 09:15:43</t>
    <phoneticPr fontId="1"/>
  </si>
  <si>
    <t>2026/08/18 09:16:48</t>
    <phoneticPr fontId="1"/>
  </si>
  <si>
    <t>2026/08/18 09:17:08</t>
    <phoneticPr fontId="1"/>
  </si>
  <si>
    <t>2026/08/18 09:18:17</t>
    <phoneticPr fontId="1"/>
  </si>
  <si>
    <t>2026/08/18 09:19:04</t>
    <phoneticPr fontId="1"/>
  </si>
  <si>
    <t>2026/08/18 09:19:57</t>
    <phoneticPr fontId="1"/>
  </si>
  <si>
    <t>2026/08/18 09:20:30</t>
    <phoneticPr fontId="1"/>
  </si>
  <si>
    <t>2026/08/18 09:22:38</t>
    <phoneticPr fontId="1"/>
  </si>
  <si>
    <t>2026/08/18 09:26:43</t>
    <phoneticPr fontId="1"/>
  </si>
  <si>
    <t>2026/08/18 09:30:24</t>
    <phoneticPr fontId="1"/>
  </si>
  <si>
    <t>2026/08/18 09:30:37</t>
    <phoneticPr fontId="1"/>
  </si>
  <si>
    <t>2026/08/18 09:31:10</t>
    <phoneticPr fontId="1"/>
  </si>
  <si>
    <t>2026/08/18 09:31:31</t>
    <phoneticPr fontId="1"/>
  </si>
  <si>
    <t>2026/08/18 09:34:12</t>
    <phoneticPr fontId="1"/>
  </si>
  <si>
    <t>2026/08/18 09:35:57</t>
    <phoneticPr fontId="1"/>
  </si>
  <si>
    <t>信越化学</t>
    <phoneticPr fontId="1"/>
  </si>
  <si>
    <t>2026/08/18 09:37:24</t>
    <phoneticPr fontId="1"/>
  </si>
  <si>
    <t>2026/08/18 09:39:50</t>
    <phoneticPr fontId="1"/>
  </si>
  <si>
    <t>2026/08/18 09:41:38</t>
    <phoneticPr fontId="1"/>
  </si>
  <si>
    <t>2026/08/18 09:45:29</t>
    <phoneticPr fontId="1"/>
  </si>
  <si>
    <t>2026/08/18 09:47:43</t>
    <phoneticPr fontId="1"/>
  </si>
  <si>
    <t>2026/08/18 09:50:59</t>
    <phoneticPr fontId="1"/>
  </si>
  <si>
    <t>2026/08/18 09:51:30</t>
    <phoneticPr fontId="1"/>
  </si>
  <si>
    <t>2026/08/18 09:53:02</t>
    <phoneticPr fontId="1"/>
  </si>
  <si>
    <t>2026/08/18 09:55:39</t>
    <phoneticPr fontId="1"/>
  </si>
  <si>
    <t>2026/08/18 09:58:07</t>
    <phoneticPr fontId="1"/>
  </si>
  <si>
    <t>JNX</t>
    <phoneticPr fontId="1"/>
  </si>
  <si>
    <t>2026/08/18 09:59:38</t>
    <phoneticPr fontId="1"/>
  </si>
  <si>
    <t>2026/08/18 10:00:21</t>
    <phoneticPr fontId="1"/>
  </si>
  <si>
    <t>2026/08/18 10:01:37</t>
    <phoneticPr fontId="1"/>
  </si>
  <si>
    <t>2026/08/18 10:01:59</t>
    <phoneticPr fontId="1"/>
  </si>
  <si>
    <t>2026/08/18 10:02:33</t>
    <phoneticPr fontId="1"/>
  </si>
  <si>
    <t>2026/08/18 10:04:57</t>
    <phoneticPr fontId="1"/>
  </si>
  <si>
    <t>2026/08/18 10:06:17</t>
    <phoneticPr fontId="1"/>
  </si>
  <si>
    <t>2026/08/18 10:06:49</t>
    <phoneticPr fontId="1"/>
  </si>
  <si>
    <t>2026/08/18 10:07:07</t>
    <phoneticPr fontId="1"/>
  </si>
  <si>
    <t>2026/08/18 10:08:15</t>
    <phoneticPr fontId="1"/>
  </si>
  <si>
    <t>フジクラ</t>
    <phoneticPr fontId="1"/>
  </si>
  <si>
    <t>2026/08/18 10:09:37</t>
    <phoneticPr fontId="1"/>
  </si>
  <si>
    <t>2026/08/18 10:11:04</t>
    <phoneticPr fontId="1"/>
  </si>
  <si>
    <t>141A</t>
    <phoneticPr fontId="1"/>
  </si>
  <si>
    <t>トライアルホールディングス</t>
    <phoneticPr fontId="1"/>
  </si>
  <si>
    <t>2026/08/18 10:14:34</t>
    <phoneticPr fontId="1"/>
  </si>
  <si>
    <t>2026/08/18 10:15:35</t>
    <phoneticPr fontId="1"/>
  </si>
  <si>
    <t>2026/08/18 10:20:37</t>
    <phoneticPr fontId="1"/>
  </si>
  <si>
    <t>2026/08/18 10:21:33</t>
    <phoneticPr fontId="1"/>
  </si>
  <si>
    <t>2026/08/18 10:22:24</t>
    <phoneticPr fontId="1"/>
  </si>
  <si>
    <t>2026/08/18 10:26:51</t>
    <phoneticPr fontId="1"/>
  </si>
  <si>
    <t>2026/08/18 10:27:35</t>
    <phoneticPr fontId="1"/>
  </si>
  <si>
    <t>2026/08/18 10:28:15</t>
    <phoneticPr fontId="1"/>
  </si>
  <si>
    <t>2026/08/18 10:29:17</t>
    <phoneticPr fontId="1"/>
  </si>
  <si>
    <t>2026/08/18 10:30:07</t>
    <phoneticPr fontId="1"/>
  </si>
  <si>
    <t>2026/08/18 10:30:37</t>
    <phoneticPr fontId="1"/>
  </si>
  <si>
    <t>2026/08/18 10:31:58</t>
    <phoneticPr fontId="1"/>
  </si>
  <si>
    <t>2026/08/18 10:46:01</t>
    <phoneticPr fontId="1"/>
  </si>
  <si>
    <t>2026/08/18 10:47:37</t>
    <phoneticPr fontId="1"/>
  </si>
  <si>
    <t>2026/08/18 10:49:34</t>
    <phoneticPr fontId="1"/>
  </si>
  <si>
    <t>2026/08/18 10:50:20</t>
    <phoneticPr fontId="1"/>
  </si>
  <si>
    <t>2026/08/18 10:52:14</t>
    <phoneticPr fontId="1"/>
  </si>
  <si>
    <t>2026/08/18 11:01:40</t>
    <phoneticPr fontId="1"/>
  </si>
  <si>
    <t>2026/08/18 12:30:47</t>
    <phoneticPr fontId="1"/>
  </si>
  <si>
    <t>2026/08/18 12:32:37</t>
    <phoneticPr fontId="1"/>
  </si>
  <si>
    <t>2026/08/18 12:33:02</t>
    <phoneticPr fontId="1"/>
  </si>
  <si>
    <t>2026/08/18 12:34:31</t>
    <phoneticPr fontId="1"/>
  </si>
  <si>
    <t>2026/08/18 12:35:11</t>
    <phoneticPr fontId="1"/>
  </si>
  <si>
    <t>2026/08/18 12:36:21</t>
    <phoneticPr fontId="1"/>
  </si>
  <si>
    <t>2026/08/18 12:36:36</t>
    <phoneticPr fontId="1"/>
  </si>
  <si>
    <t>2026/08/18 12:37:19</t>
    <phoneticPr fontId="1"/>
  </si>
  <si>
    <t>2026/08/18 12:37:30</t>
    <phoneticPr fontId="1"/>
  </si>
  <si>
    <t>2026/08/18 12:38:31</t>
    <phoneticPr fontId="1"/>
  </si>
  <si>
    <t>2026/08/18 12:38:56</t>
    <phoneticPr fontId="1"/>
  </si>
  <si>
    <t>2026/08/18 13:18:42</t>
    <phoneticPr fontId="1"/>
  </si>
  <si>
    <t>2026/08/18 13:19:36</t>
    <phoneticPr fontId="1"/>
  </si>
  <si>
    <t>2026/08/18 13:20:41</t>
    <phoneticPr fontId="1"/>
  </si>
  <si>
    <t>2026/08/18 13:21:01</t>
    <phoneticPr fontId="1"/>
  </si>
  <si>
    <t>2026/08/18 13:22:25</t>
    <phoneticPr fontId="1"/>
  </si>
  <si>
    <t>2026/08/18 13:25:24</t>
    <phoneticPr fontId="1"/>
  </si>
  <si>
    <t>2026/08/18 13:25:42</t>
    <phoneticPr fontId="1"/>
  </si>
  <si>
    <t>2026/08/18 13:26:02</t>
    <phoneticPr fontId="1"/>
  </si>
  <si>
    <t>2026/08/18 13:27:57</t>
    <phoneticPr fontId="1"/>
  </si>
  <si>
    <t>2026/08/18 13:53:59</t>
    <phoneticPr fontId="1"/>
  </si>
  <si>
    <t>2026/08/18 13:54:26</t>
    <phoneticPr fontId="1"/>
  </si>
  <si>
    <t>2026/08/18 13:59:13</t>
    <phoneticPr fontId="1"/>
  </si>
  <si>
    <t>2026/08/18 14:04:43</t>
    <phoneticPr fontId="1"/>
  </si>
  <si>
    <t>2026/08/18 14:05:18</t>
    <phoneticPr fontId="1"/>
  </si>
  <si>
    <t>2026/08/18 14:06:07</t>
    <phoneticPr fontId="1"/>
  </si>
  <si>
    <t>2026/08/18 14:07:21</t>
    <phoneticPr fontId="1"/>
  </si>
  <si>
    <t>2026/08/18 14:07:46</t>
    <phoneticPr fontId="1"/>
  </si>
  <si>
    <t>2026/08/18 14:08:28</t>
    <phoneticPr fontId="1"/>
  </si>
  <si>
    <t>2026/08/18 14:10:26</t>
    <phoneticPr fontId="1"/>
  </si>
  <si>
    <t>2026/08/18 14:12:04</t>
    <phoneticPr fontId="1"/>
  </si>
  <si>
    <t>2026/08/18 14:12:30</t>
    <phoneticPr fontId="1"/>
  </si>
  <si>
    <t>2026/08/18 14:14:45</t>
    <phoneticPr fontId="1"/>
  </si>
  <si>
    <t>2026/08/18 14:15:02</t>
    <phoneticPr fontId="1"/>
  </si>
  <si>
    <t>2026/08/18 14:15:24</t>
    <phoneticPr fontId="1"/>
  </si>
  <si>
    <t>2026/08/18 14:17:21</t>
    <phoneticPr fontId="1"/>
  </si>
  <si>
    <t>2026/08/18 14:22:50</t>
    <phoneticPr fontId="1"/>
  </si>
  <si>
    <t>2026/08/18 14:24:21</t>
    <phoneticPr fontId="1"/>
  </si>
  <si>
    <t>2026/08/18 14:24:41</t>
    <phoneticPr fontId="1"/>
  </si>
  <si>
    <t>2026/08/18 14:27:12</t>
    <phoneticPr fontId="1"/>
  </si>
  <si>
    <t>2026/08/18 14:33:44</t>
    <phoneticPr fontId="1"/>
  </si>
  <si>
    <t>2026/08/18 14:34:00</t>
    <phoneticPr fontId="1"/>
  </si>
  <si>
    <t>2026/08/18 14:35:43</t>
    <phoneticPr fontId="1"/>
  </si>
  <si>
    <t>2026/08/18 14:37:14</t>
    <phoneticPr fontId="1"/>
  </si>
  <si>
    <t>2026/08/18 14:37:18</t>
    <phoneticPr fontId="1"/>
  </si>
  <si>
    <t>制度</t>
    <phoneticPr fontId="1"/>
  </si>
  <si>
    <t>6ヶ月</t>
    <phoneticPr fontId="1"/>
  </si>
  <si>
    <t>2026/08/18 14:38:12</t>
    <phoneticPr fontId="1"/>
  </si>
  <si>
    <t>2026/08/18 14:39:57</t>
    <phoneticPr fontId="1"/>
  </si>
  <si>
    <t>2026/08/18 14:41:54</t>
    <phoneticPr fontId="1"/>
  </si>
  <si>
    <t>2026/08/18 15:22:08</t>
    <phoneticPr fontId="1"/>
  </si>
  <si>
    <t>RssExecutionList($A$2:$O$2, 0, "", "A", 0, 0)</t>
    <phoneticPr fontId="1"/>
  </si>
  <si>
    <t>銘柄コード</t>
    <phoneticPr fontId="1"/>
  </si>
  <si>
    <t>現在値</t>
    <phoneticPr fontId="1"/>
  </si>
  <si>
    <t>高値</t>
    <phoneticPr fontId="1"/>
  </si>
  <si>
    <t>ＪＸ金属</t>
    <phoneticPr fontId="1"/>
  </si>
  <si>
    <t>2026/08/21 09:13:34</t>
    <phoneticPr fontId="1"/>
  </si>
  <si>
    <t>2026/08/21 09:14:05</t>
    <phoneticPr fontId="1"/>
  </si>
  <si>
    <t>2026/08/21 09:15:33</t>
    <phoneticPr fontId="1"/>
  </si>
  <si>
    <t>2026/08/21 09:16:06</t>
    <phoneticPr fontId="1"/>
  </si>
  <si>
    <t>サンリオ</t>
    <phoneticPr fontId="1"/>
  </si>
  <si>
    <t>2026/08/21 09:16:41</t>
    <phoneticPr fontId="1"/>
  </si>
  <si>
    <t>2026/08/21 09:21:56</t>
    <phoneticPr fontId="1"/>
  </si>
  <si>
    <t>2026/08/21 09:23:14</t>
    <phoneticPr fontId="1"/>
  </si>
  <si>
    <t>2026/08/21 09:27:08</t>
    <phoneticPr fontId="1"/>
  </si>
  <si>
    <t>2026/08/21 09:30:02</t>
    <phoneticPr fontId="1"/>
  </si>
  <si>
    <t>2026/08/21 09:31:52</t>
    <phoneticPr fontId="1"/>
  </si>
  <si>
    <t>2026/08/21 09:38:08</t>
    <phoneticPr fontId="1"/>
  </si>
  <si>
    <t>2026/08/21 09:38:37</t>
    <phoneticPr fontId="1"/>
  </si>
  <si>
    <t>2026/08/21 09:54:22</t>
    <phoneticPr fontId="1"/>
  </si>
  <si>
    <t>2026/08/21 09:55:27</t>
    <phoneticPr fontId="1"/>
  </si>
  <si>
    <t>2026/08/21 12:38:07</t>
    <phoneticPr fontId="1"/>
  </si>
  <si>
    <t>川崎重工業</t>
    <phoneticPr fontId="1"/>
  </si>
  <si>
    <t>2026/08/21 12:40:15</t>
    <phoneticPr fontId="1"/>
  </si>
  <si>
    <t>2026/08/21 13:35:55</t>
    <phoneticPr fontId="1"/>
  </si>
  <si>
    <t>2026/08/21 13:38:17</t>
    <phoneticPr fontId="1"/>
  </si>
  <si>
    <t>2026/08/21 13:54:16</t>
    <phoneticPr fontId="1"/>
  </si>
  <si>
    <t>2026/08/21 13:56:52</t>
    <phoneticPr fontId="1"/>
  </si>
  <si>
    <t>2026/08/21 14:02:49</t>
    <phoneticPr fontId="1"/>
  </si>
  <si>
    <t>2026/08/21 14:04:26</t>
    <phoneticPr fontId="1"/>
  </si>
  <si>
    <t>15:30:00</t>
    <phoneticPr fontId="1"/>
  </si>
  <si>
    <t>15:24:59</t>
    <phoneticPr fontId="1"/>
  </si>
  <si>
    <t>15:24:58</t>
    <phoneticPr fontId="1"/>
  </si>
  <si>
    <t>15:24:57</t>
    <phoneticPr fontId="1"/>
  </si>
  <si>
    <t>15:24:56</t>
    <phoneticPr fontId="1"/>
  </si>
  <si>
    <t>15:24:55</t>
    <phoneticPr fontId="1"/>
  </si>
  <si>
    <t>15:24:54</t>
    <phoneticPr fontId="1"/>
  </si>
  <si>
    <t>15:24:53</t>
    <phoneticPr fontId="1"/>
  </si>
  <si>
    <t>15:24:52</t>
    <phoneticPr fontId="1"/>
  </si>
  <si>
    <t>15:24:50</t>
    <phoneticPr fontId="1"/>
  </si>
  <si>
    <t>15:24:41</t>
    <phoneticPr fontId="1"/>
  </si>
  <si>
    <t>15:24:40</t>
    <phoneticPr fontId="1"/>
  </si>
  <si>
    <t>15:24:32</t>
    <phoneticPr fontId="1"/>
  </si>
  <si>
    <t>15:24:30</t>
    <phoneticPr fontId="1"/>
  </si>
  <si>
    <t>15:24:29</t>
    <phoneticPr fontId="1"/>
  </si>
  <si>
    <t>15:24:28</t>
    <phoneticPr fontId="1"/>
  </si>
  <si>
    <t>前日比率</t>
    <phoneticPr fontId="1"/>
  </si>
  <si>
    <t>現在日付</t>
    <phoneticPr fontId="1"/>
  </si>
  <si>
    <t>現在値時刻</t>
    <phoneticPr fontId="1"/>
  </si>
  <si>
    <t>現在値ティック</t>
    <phoneticPr fontId="1"/>
  </si>
  <si>
    <t>前日比</t>
    <phoneticPr fontId="1"/>
  </si>
  <si>
    <t>始値</t>
    <phoneticPr fontId="1"/>
  </si>
  <si>
    <t>安値</t>
    <phoneticPr fontId="1"/>
  </si>
  <si>
    <t>出来高</t>
    <phoneticPr fontId="1"/>
  </si>
  <si>
    <t>発注結果</t>
    <phoneticPr fontId="1"/>
  </si>
  <si>
    <t>15:24:48</t>
    <phoneticPr fontId="1"/>
  </si>
  <si>
    <t>15:24:46</t>
    <phoneticPr fontId="1"/>
  </si>
  <si>
    <t>15:24:45</t>
    <phoneticPr fontId="1"/>
  </si>
  <si>
    <t>15:24:43</t>
    <phoneticPr fontId="1"/>
  </si>
  <si>
    <t>15:24:31</t>
    <phoneticPr fontId="1"/>
  </si>
  <si>
    <t>15:24:27</t>
    <phoneticPr fontId="1"/>
  </si>
  <si>
    <t>#6410</t>
    <phoneticPr fontId="1"/>
  </si>
  <si>
    <t>約定</t>
    <phoneticPr fontId="1"/>
  </si>
  <si>
    <t>-</t>
    <phoneticPr fontId="1"/>
  </si>
  <si>
    <t>東証(SOR)</t>
    <phoneticPr fontId="1"/>
  </si>
  <si>
    <t>2026/09/02 09:03:02</t>
    <phoneticPr fontId="1"/>
  </si>
  <si>
    <t>本日中</t>
    <phoneticPr fontId="1"/>
  </si>
  <si>
    <t>通常注文</t>
    <phoneticPr fontId="1"/>
  </si>
  <si>
    <t>Market Speed</t>
    <phoneticPr fontId="1"/>
  </si>
  <si>
    <t>売気配(2,449.5) 買気配(2,448.5)</t>
    <phoneticPr fontId="1"/>
  </si>
  <si>
    <t>#6411</t>
    <phoneticPr fontId="1"/>
  </si>
  <si>
    <t>2026/09/02 09:12:22</t>
    <phoneticPr fontId="1"/>
  </si>
  <si>
    <t>成行</t>
    <phoneticPr fontId="1"/>
  </si>
  <si>
    <t>売気配(2,459) 買気配(2,458.5)</t>
    <phoneticPr fontId="1"/>
  </si>
  <si>
    <t>2026/09/02 09:03:14</t>
    <phoneticPr fontId="1"/>
  </si>
  <si>
    <t>15:24:44</t>
    <phoneticPr fontId="1"/>
  </si>
  <si>
    <t>15:24:39</t>
    <phoneticPr fontId="1"/>
  </si>
  <si>
    <t>15:24:38</t>
    <phoneticPr fontId="1"/>
  </si>
  <si>
    <t>15:24:37</t>
    <phoneticPr fontId="1"/>
  </si>
  <si>
    <t>15:24:36</t>
    <phoneticPr fontId="1"/>
  </si>
  <si>
    <t>15:24:35</t>
    <phoneticPr fontId="1"/>
  </si>
  <si>
    <t>15:24:34</t>
    <phoneticPr fontId="1"/>
  </si>
  <si>
    <t>15:24:33</t>
    <phoneticPr fontId="1"/>
  </si>
  <si>
    <t>285A</t>
    <phoneticPr fontId="1"/>
  </si>
  <si>
    <t>キオクシアホールディングス</t>
    <phoneticPr fontId="1"/>
  </si>
  <si>
    <t>特定</t>
    <phoneticPr fontId="1"/>
  </si>
  <si>
    <t>CA</t>
    <phoneticPr fontId="1"/>
  </si>
  <si>
    <t>NISA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</si>
</sst>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2"/>
      <color rgb="FFFF4B4B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7852a9e825342649ebd0c1fcbd2c4db">
      <tp>
        <v>417300</v>
        <stp/>
        <stp>Market</stp>
        <stp>STOCK</stp>
        <stp>94320.T</stp>
        <stp>最良買気配数量10</stp>
        <tr r="DU2" s="6"/>
      </tp>
    </main>
    <main first="rtdsrv.b7852a9e825342649ebd0c1fcbd2c4db">
      <tp t="s">
        <v>12:30</v>
        <stp/>
        <stp>Market</stp>
        <stp>STOCK</stp>
        <stp>94320.T</stp>
        <stp>後場始値時刻</stp>
        <tr r="AZ2" s="6"/>
      </tp>
      <tp t="s">
        <v>12:30</v>
        <stp/>
        <stp>Market</stp>
        <stp>STOCK</stp>
        <stp>94320.T</stp>
        <stp>後場安値時刻</stp>
        <tr r="BB2" s="6"/>
      </tp>
      <tp t="s">
        <v>15:30</v>
        <stp/>
        <stp>Market</stp>
        <stp>STOCK</stp>
        <stp>94320.T</stp>
        <stp>後場高値時刻</stp>
        <tr r="BA2" s="6"/>
      </tp>
    </main>
    <main first="rtdsrv.b7852a9e825342649ebd0c1fcbd2c4db">
      <tp t="s">
        <v/>
        <stp/>
        <stp>StockOrder</stp>
        <stp>1491905471440,0,0,0,0</stp>
        <stp>2</stp>
        <stp>0</stp>
        <stp>9432</stp>
        <stp>3</stp>
        <stp>0</stp>
        <stp>1</stp>
        <stp>100</stp>
        <stp>1</stp>
        <stp>145</stp>
        <stp>2</stp>
        <stp/>
        <stp>1</stp>
        <stp/>
        <stp/>
        <stp/>
        <stp/>
        <stp>0</stp>
        <stp/>
        <stp/>
        <stp/>
        <tr r="A1" s="11"/>
      </tp>
    </main>
    <main first="rtdsrv.b7852a9e825342649ebd0c1fcbd2c4db">
      <tp>
        <v>100</v>
        <stp/>
        <stp>Market</stp>
        <stp>STOCK</stp>
        <stp>94320.T</stp>
        <stp>単位株数</stp>
        <tr r="DZ2" s="6"/>
      </tp>
      <tp t="s">
        <v>11:30</v>
        <stp/>
        <stp>Market</stp>
        <stp>STOCK</stp>
        <stp>94320.T</stp>
        <stp>前場終値時刻</stp>
        <tr r="AX2" s="6"/>
      </tp>
      <tp t="s">
        <v>09:00</v>
        <stp/>
        <stp>Market</stp>
        <stp>STOCK</stp>
        <stp>94320.T</stp>
        <stp>前場始値時刻</stp>
        <tr r="AU2" s="6"/>
      </tp>
      <tp t="s">
        <v>10:13</v>
        <stp/>
        <stp>Market</stp>
        <stp>STOCK</stp>
        <stp>94320.T</stp>
        <stp>前場安値時刻</stp>
        <tr r="AW2" s="6"/>
      </tp>
      <tp t="s">
        <v>09:04</v>
        <stp/>
        <stp>Market</stp>
        <stp>STOCK</stp>
        <stp>94320.T</stp>
        <stp>前場高値時刻</stp>
        <tr r="AV2" s="6"/>
      </tp>
      <tp t="s">
        <v>1987/04/22</v>
        <stp/>
        <stp>Market</stp>
        <stp>STOCK</stp>
        <stp>94320.T</stp>
        <stp>上場来高値日付</stp>
        <tr r="EO2" s="6"/>
      </tp>
      <tp t="s">
        <v>2025/04/07</v>
        <stp/>
        <stp>Market</stp>
        <stp>STOCK</stp>
        <stp>94320.T</stp>
        <stp>上場来安値日付</stp>
        <tr r="EP2" s="6"/>
      </tp>
    </main>
    <main first="rtdsrv.b7852a9e825342649ebd0c1fcbd2c4db">
      <tp t="s">
        <v/>
        <stp/>
        <stp>OrderList</stp>
        <stp>1491905458000,0,0,0,0</stp>
        <stp>0</stp>
        <stp>0</stp>
        <stp/>
        <stp>A</stp>
        <stp>0</stp>
        <stp>0</stp>
        <stp>0</stp>
        <stp>0</stp>
        <stp>0</stp>
        <tr r="A1" s="2"/>
      </tp>
      <tp t="s">
        <v>10:13:08</v>
        <stp/>
        <stp>Market</stp>
        <stp>STOCK</stp>
        <stp>94320.T</stp>
        <stp>安値詳細時刻</stp>
        <tr r="AL2" s="6"/>
      </tp>
    </main>
    <main first="rtdsrv.b7852a9e825342649ebd0c1fcbd2c4db">
      <tp>
        <v>174.7808</v>
        <stp/>
        <stp>Market</stp>
        <stp>STOCK</stp>
        <stp>94320.T</stp>
        <stp>出来高加重平均</stp>
        <tr r="AB2" s="6"/>
      </tp>
      <tp t="s">
        <v>15:24:59</v>
        <stp/>
        <stp>Market</stp>
        <stp>STOCK</stp>
        <stp>94320.T</stp>
        <stp>歩み4詳細時刻</stp>
        <tr r="Y2" s="6"/>
      </tp>
      <tp t="s">
        <v>15:24:59</v>
        <stp/>
        <stp>Market</stp>
        <stp>STOCK</stp>
        <stp>94320.T</stp>
        <stp>歩み1詳細時刻</stp>
        <tr r="V2" s="6"/>
      </tp>
      <tp t="s">
        <v>15:24:59</v>
        <stp/>
        <stp>Market</stp>
        <stp>STOCK</stp>
        <stp>94320.T</stp>
        <stp>歩み3詳細時刻</stp>
        <tr r="X2" s="6"/>
      </tp>
      <tp t="s">
        <v>15:24:59</v>
        <stp/>
        <stp>Market</stp>
        <stp>STOCK</stp>
        <stp>94320.T</stp>
        <stp>歩み2詳細時刻</stp>
        <tr r="W2" s="6"/>
      </tp>
      <tp t="s">
        <v>09:00:00</v>
        <stp/>
        <stp>Market</stp>
        <stp>STOCK</stp>
        <stp>94320.T</stp>
        <stp>始値詳細時刻</stp>
        <tr r="AJ2" s="6"/>
      </tp>
    </main>
    <main first="rtdsrv.b7852a9e825342649ebd0c1fcbd2c4db">
      <tp t="s">
        <v/>
        <stp/>
        <stp>ExecutionList</stp>
        <stp>1491905441872,0,0,0,0</stp>
        <stp>0</stp>
        <stp/>
        <stp>A</stp>
        <stp>0</stp>
        <stp>0</stp>
        <tr r="A1" s="3"/>
      </tp>
    </main>
    <main first="rtdsrv.b7852a9e825342649ebd0c1fcbd2c4db">
      <tp>
        <v>1</v>
        <stp/>
        <stp>Market</stp>
        <stp>STOCK</stp>
        <stp>94320.T</stp>
        <stp>信用貸借区分</stp>
        <tr r="BM2" s="6"/>
      </tp>
    </main>
    <main first="rtdsrv.b7852a9e825342649ebd0c1fcbd2c4db">
      <tp t="s">
        <v>↑</v>
        <stp/>
        <stp>Market</stp>
        <stp>STOCK</stp>
        <stp>94320.T</stp>
        <stp>現在値ティック</stp>
        <tr r="K2" s="6"/>
      </tp>
      <tp t="s">
        <v/>
        <stp/>
        <stp>TickList</stp>
        <stp>1491905447248,0,0,0,0</stp>
        <stp>9432.T</stp>
        <stp>100</stp>
        <tr r="A1" s="7"/>
      </tp>
      <tp>
        <v>280800</v>
        <stp/>
        <stp>Market</stp>
        <stp>STOCK</stp>
        <stp>94320.T</stp>
        <stp>新規融資</stp>
        <tr r="BW2" s="6"/>
      </tp>
      <tp>
        <v>135.19999999999999</v>
        <stp/>
        <stp>Market</stp>
        <stp>STOCK</stp>
        <stp>94320.T</stp>
        <stp>上場来安値</stp>
        <tr r="EN2" s="6"/>
      </tp>
      <tp>
        <v>142.6</v>
        <stp/>
        <stp>Market</stp>
        <stp>STOCK</stp>
        <stp>94320.T</stp>
        <stp>年初来安値</stp>
        <tr r="EJ2" s="6"/>
      </tp>
    </main>
    <main first="rtdsrv.b7852a9e825342649ebd0c1fcbd2c4db">
      <tp>
        <v>17300</v>
        <stp/>
        <stp>Market</stp>
        <stp>STOCK</stp>
        <stp>94320.T</stp>
        <stp>新規貸株</stp>
        <tr r="BV2" s="6"/>
      </tp>
      <tp>
        <v>7000</v>
        <stp/>
        <stp>Market</stp>
        <stp>STOCK</stp>
        <stp>94320.T</stp>
        <stp>最良買気配数量3</stp>
        <tr r="DN2" s="6"/>
      </tp>
      <tp>
        <v>9000</v>
        <stp/>
        <stp>Market</stp>
        <stp>STOCK</stp>
        <stp>94320.T</stp>
        <stp>最良買気配数量2</stp>
        <tr r="DM2" s="6"/>
      </tp>
      <tp>
        <v>6100</v>
        <stp/>
        <stp>Market</stp>
        <stp>STOCK</stp>
        <stp>94320.T</stp>
        <stp>最良買気配数量1</stp>
        <tr r="DL2" s="6"/>
      </tp>
      <tp>
        <v>85500</v>
        <stp/>
        <stp>Market</stp>
        <stp>STOCK</stp>
        <stp>94320.T</stp>
        <stp>最良買気配数量7</stp>
        <tr r="DR2" s="6"/>
      </tp>
      <tp>
        <v>459000</v>
        <stp/>
        <stp>Market</stp>
        <stp>STOCK</stp>
        <stp>94320.T</stp>
        <stp>最良買気配数量6</stp>
        <tr r="DQ2" s="6"/>
      </tp>
      <tp>
        <v>8500</v>
        <stp/>
        <stp>Market</stp>
        <stp>STOCK</stp>
        <stp>94320.T</stp>
        <stp>最良買気配数量5</stp>
        <tr r="DP2" s="6"/>
      </tp>
      <tp>
        <v>37000</v>
        <stp/>
        <stp>Market</stp>
        <stp>STOCK</stp>
        <stp>94320.T</stp>
        <stp>最良買気配数量4</stp>
        <tr r="DO2" s="6"/>
      </tp>
      <tp>
        <v>465100</v>
        <stp/>
        <stp>Market</stp>
        <stp>STOCK</stp>
        <stp>94320.T</stp>
        <stp>最良買気配数量9</stp>
        <tr r="DT2" s="6"/>
      </tp>
      <tp>
        <v>164300</v>
        <stp/>
        <stp>Market</stp>
        <stp>STOCK</stp>
        <stp>94320.T</stp>
        <stp>最良買気配数量8</stp>
        <tr r="DS2" s="6"/>
      </tp>
    </main>
    <main first="rtdsrv.b7852a9e825342649ebd0c1fcbd2c4db">
      <tp>
        <v>-0.4</v>
        <stp/>
        <stp>Market</stp>
        <stp>STOCK</stp>
        <stp>94320.T</stp>
        <stp>前日比</stp>
        <tr r="M2" s="6"/>
      </tp>
    </main>
    <main first="rtdsrv.b7852a9e825342649ebd0c1fcbd2c4db">
      <tp>
        <v>176.2</v>
        <stp/>
        <stp>Market</stp>
        <stp>STOCK</stp>
        <stp>94320.T</stp>
        <stp>最良売気配値10</stp>
        <tr r="CQ2" s="6"/>
      </tp>
    </main>
    <main first="rtdsrv.b7852a9e825342649ebd0c1fcbd2c4db">
      <tp>
        <v>0</v>
        <stp/>
        <stp>Market</stp>
        <stp>STOCK</stp>
        <stp>94320.T</stp>
        <stp>買成行数量</stp>
        <tr r="DW2" s="6"/>
      </tp>
      <tp>
        <v>0</v>
        <stp/>
        <stp>Market</stp>
        <stp>STOCK</stp>
        <stp>94320.T</stp>
        <stp>売成行数量</stp>
        <tr r="DV2" s="6"/>
      </tp>
      <tp>
        <v>174.2</v>
        <stp/>
        <stp>Market</stp>
        <stp>STOCK</stp>
        <stp>94320.T</stp>
        <stp>後場安値</stp>
        <tr r="AT2" s="6"/>
      </tp>
      <tp>
        <v>173.7</v>
        <stp/>
        <stp>Market</stp>
        <stp>STOCK</stp>
        <stp>94320.T</stp>
        <stp>前場安値</stp>
        <tr r="AO2" s="6"/>
      </tp>
      <tp>
        <v>175.1</v>
        <stp/>
        <stp>Market</stp>
        <stp>STOCK</stp>
        <stp>94320.T</stp>
        <stp>始値</stp>
        <tr r="AD2" s="6"/>
      </tp>
      <tp>
        <v>174.4</v>
        <stp/>
        <stp>Market</stp>
        <stp>STOCK</stp>
        <stp>94320.T</stp>
        <stp>後場始値</stp>
        <tr r="AR2" s="6"/>
      </tp>
      <tp>
        <v>175.1</v>
        <stp/>
        <stp>Market</stp>
        <stp>STOCK</stp>
        <stp>94320.T</stp>
        <stp>前場始値</stp>
        <tr r="AM2" s="6"/>
      </tp>
      <tp>
        <v>173.7</v>
        <stp/>
        <stp>Market</stp>
        <stp>STOCK</stp>
        <stp>94320.T</stp>
        <stp>安値</stp>
        <tr r="AF2" s="6"/>
      </tp>
    </main>
    <main first="rtdsrv.b7852a9e825342649ebd0c1fcbd2c4db">
      <tp>
        <v>174.6</v>
        <stp/>
        <stp>Market</stp>
        <stp>STOCK</stp>
        <stp>94320.T</stp>
        <stp>歩み4</stp>
        <tr r="U2" s="6"/>
      </tp>
      <tp>
        <v>174.7</v>
        <stp/>
        <stp>Market</stp>
        <stp>STOCK</stp>
        <stp>94320.T</stp>
        <stp>歩み1</stp>
        <tr r="R2" s="6"/>
      </tp>
      <tp>
        <v>174.6</v>
        <stp/>
        <stp>Market</stp>
        <stp>STOCK</stp>
        <stp>94320.T</stp>
        <stp>歩み2</stp>
        <tr r="S2" s="6"/>
      </tp>
      <tp>
        <v>174.7</v>
        <stp/>
        <stp>Market</stp>
        <stp>STOCK</stp>
        <stp>94320.T</stp>
        <stp>歩み3</stp>
        <tr r="T2" s="6"/>
      </tp>
      <tp>
        <v>248300</v>
        <stp/>
        <stp>Market</stp>
        <stp>STOCK</stp>
        <stp>94320.T</stp>
        <stp>最良売気配数量10</stp>
        <tr r="DK2" s="6"/>
      </tp>
    </main>
    <main first="rtdsrv.b7852a9e825342649ebd0c1fcbd2c4db">
      <tp>
        <v>249200</v>
        <stp/>
        <stp>Market</stp>
        <stp>STOCK</stp>
        <stp>94320.T</stp>
        <stp>前日比融資</stp>
        <tr r="CD2" s="6"/>
      </tp>
    </main>
    <main first="rtdsrv.b7852a9e825342649ebd0c1fcbd2c4db">
      <tp t="s">
        <v/>
        <stp/>
        <stp>MarginPositionList</stp>
        <stp>1491905452624,0,0,0,0</stp>
        <stp/>
        <stp>A</stp>
        <stp>0</stp>
        <stp>0</stp>
        <stp>0</stp>
        <tr r="A1" s="5"/>
      </tp>
      <tp>
        <v>14.36</v>
        <stp/>
        <stp>Market</stp>
        <stp>STOCK</stp>
        <stp>94320.T</stp>
        <stp>PER</stp>
        <tr r="EF2" s="6"/>
      </tp>
      <tp>
        <v>1.46</v>
        <stp/>
        <stp>Market</stp>
        <stp>STOCK</stp>
        <stp>94320.T</stp>
        <stp>PBR</stp>
        <tr r="EG2" s="6"/>
      </tp>
      <tp>
        <v>-501000</v>
        <stp/>
        <stp>Market</stp>
        <stp>STOCK</stp>
        <stp>94320.T</stp>
        <stp>前日比貸株</stp>
        <tr r="CC2" s="6"/>
      </tp>
    </main>
    <main first="rtdsrv.b7852a9e825342649ebd0c1fcbd2c4db">
      <tp t="s">
        <v>東証</v>
        <stp/>
        <stp>Market</stp>
        <stp>STOCK</stp>
        <stp>94320.T</stp>
        <stp>市場名称</stp>
        <tr r="D2" s="6"/>
      </tp>
      <tp>
        <v>45406300</v>
        <stp/>
        <stp>Market</stp>
        <stp>STOCK</stp>
        <stp>94320.T</stp>
        <stp>OVER気配数量</stp>
        <tr r="DX2" s="6"/>
      </tp>
      <tp>
        <v>183800</v>
        <stp/>
        <stp>Market</stp>
        <stp>STOCK</stp>
        <stp>94320.T</stp>
        <stp>信用売残前週比</stp>
        <tr r="BQ2" s="6"/>
      </tp>
    </main>
    <main first="rtdsrv.b7852a9e825342649ebd0c1fcbd2c4db">
      <tp>
        <v>5975200</v>
        <stp/>
        <stp>Market</stp>
        <stp>STOCK</stp>
        <stp>94320.T</stp>
        <stp>信用買残前週比</stp>
        <tr r="BS2" s="6"/>
      </tp>
      <tp t="s">
        <v>15:30</v>
        <stp/>
        <stp>Market</stp>
        <stp>STOCK</stp>
        <stp>94320.T</stp>
        <stp>現在値時刻</stp>
        <tr r="I2" s="6"/>
      </tp>
      <tp>
        <v>2.83</v>
        <stp/>
        <stp>Market</stp>
        <stp>STOCK</stp>
        <stp>94320.T</stp>
        <stp>信用倍率</stp>
        <tr r="BT2" s="6"/>
      </tp>
    </main>
    <main first="rtdsrv.b7852a9e825342649ebd0c1fcbd2c4db">
      <tp t="s">
        <v/>
        <stp/>
        <stp>PositionList</stp>
        <stp>1491905444560,0,0,0,0</stp>
        <stp/>
        <stp>A</stp>
        <tr r="A1" s="4"/>
      </tp>
      <tp>
        <v>26242000</v>
        <stp/>
        <stp>Market</stp>
        <stp>STOCK</stp>
        <stp>94320.T</stp>
        <stp>信用売残</stp>
        <tr r="BP2" s="6"/>
      </tp>
      <tp>
        <v>26.59</v>
        <stp/>
        <stp>Market</stp>
        <stp>STOCK</stp>
        <stp>94320.T</stp>
        <stp>貸借倍率</stp>
        <tr r="CG2" s="6"/>
      </tp>
      <tp>
        <v>-1</v>
        <stp/>
        <stp>OrderStatus</stp>
        <stp>1</stp>
        <tr r="A2" s="10"/>
      </tp>
      <tp t="s">
        <v>2026/09/02</v>
        <stp/>
        <stp>Market</stp>
        <stp>STOCK</stp>
        <stp>94320.T</stp>
        <stp>現在日付</stp>
        <tr r="G2" s="6"/>
      </tp>
      <tp t="s">
        <v xml:space="preserve"> </v>
        <stp/>
        <stp>Market</stp>
        <stp>STOCK</stp>
        <stp>94320.T</stp>
        <stp>特別買気配フラグ</stp>
        <tr r="BL2" s="6"/>
      </tp>
      <tp t="s">
        <v>2026/09/02</v>
        <stp/>
        <stp>Market</stp>
        <stp>STOCK</stp>
        <stp>94320.T</stp>
        <stp>証金残更新日付</stp>
        <tr r="BU2" s="6"/>
      </tp>
      <tp>
        <v>174.1</v>
        <stp/>
        <stp>Market</stp>
        <stp>STOCK</stp>
        <stp>94320.T</stp>
        <stp>前場終値</stp>
        <tr r="AP2" s="6"/>
      </tp>
    </main>
    <main first="rtdsrv.b7852a9e825342649ebd0c1fcbd2c4db">
      <tp t="s">
        <v/>
        <stp/>
        <stp>OrderIDList</stp>
        <stp>1491905455312,0,0,0,0</stp>
        <tr r="A1" s="1"/>
      </tp>
    </main>
    <main first="rtdsrv.b7852a9e825342649ebd0c1fcbd2c4db">
      <tp t="s">
        <v>09:00</v>
        <stp/>
        <stp>Market</stp>
        <stp>STOCK</stp>
        <stp>94320.T</stp>
        <stp>始値時刻</stp>
        <tr r="AG2" s="6"/>
      </tp>
      <tp t="s">
        <v>10:13</v>
        <stp/>
        <stp>Market</stp>
        <stp>STOCK</stp>
        <stp>94320.T</stp>
        <stp>安値時刻</stp>
        <tr r="AI2" s="6"/>
      </tp>
      <tp t="s">
        <v>09:04</v>
        <stp/>
        <stp>Market</stp>
        <stp>STOCK</stp>
        <stp>94320.T</stp>
        <stp>高値時刻</stp>
        <tr r="AH2" s="6"/>
      </tp>
      <tp>
        <v>3594400</v>
        <stp/>
        <stp>Market</stp>
        <stp>STOCK</stp>
        <stp>94320.T</stp>
        <stp>残高融資</stp>
        <tr r="CA2" s="6"/>
      </tp>
    </main>
    <main first="rtdsrv.b7852a9e825342649ebd0c1fcbd2c4db">
      <tp>
        <v>53523000</v>
        <stp/>
        <stp>Market</stp>
        <stp>STOCK</stp>
        <stp>94320.T</stp>
        <stp>UNDER気配数量</stp>
        <tr r="DY2" s="6"/>
      </tp>
      <tp>
        <v>135200</v>
        <stp/>
        <stp>Market</stp>
        <stp>STOCK</stp>
        <stp>94320.T</stp>
        <stp>残高貸株</stp>
        <tr r="BZ2" s="6"/>
      </tp>
      <tp t="s">
        <v>2026/09/01</v>
        <stp/>
        <stp>Market</stp>
        <stp>STOCK</stp>
        <stp>94320.T</stp>
        <stp>年初来高値日付</stp>
        <tr r="EK2" s="6"/>
      </tp>
      <tp t="s">
        <v>2026/06/23</v>
        <stp/>
        <stp>Market</stp>
        <stp>STOCK</stp>
        <stp>94320.T</stp>
        <stp>年初来安値日付</stp>
        <tr r="EL2" s="6"/>
      </tp>
    </main>
    <main first="rtdsrv.b7852a9e825342649ebd0c1fcbd2c4db">
      <tp>
        <v>0</v>
        <stp/>
        <stp>Market</stp>
        <stp>STOCK</stp>
        <stp>94320.T</stp>
        <stp>逆日歩</stp>
        <tr r="BN2" s="6"/>
      </tp>
      <tp>
        <v>176</v>
        <stp/>
        <stp>Market</stp>
        <stp>STOCK</stp>
        <stp>94320.T</stp>
        <stp>当日基準値</stp>
        <tr r="EH2" s="6"/>
      </tp>
      <tp>
        <v>175.2</v>
        <stp/>
        <stp>Market</stp>
        <stp>STOCK</stp>
        <stp>94320.T</stp>
        <stp>後場高値</stp>
        <tr r="AS2" s="6"/>
      </tp>
      <tp>
        <v>175.8</v>
        <stp/>
        <stp>Market</stp>
        <stp>STOCK</stp>
        <stp>94320.T</stp>
        <stp>前場高値</stp>
        <tr r="AN2" s="6"/>
      </tp>
      <tp>
        <v>242348800</v>
        <stp/>
        <stp>Market</stp>
        <stp>STOCK</stp>
        <stp>94320.T</stp>
        <stp>出来高</stp>
        <tr r="Z2" s="6"/>
      </tp>
      <tp t="s">
        <v>2023/06/29</v>
        <stp/>
        <stp>Market</stp>
        <stp>STOCK</stp>
        <stp>94320.T</stp>
        <stp>権利落日</stp>
        <tr r="ED2" s="6"/>
      </tp>
      <tp>
        <v>175.8</v>
        <stp/>
        <stp>Market</stp>
        <stp>STOCK</stp>
        <stp>94320.T</stp>
        <stp>高値</stp>
        <tr r="AE2" s="6"/>
      </tp>
      <tp>
        <v>176</v>
        <stp/>
        <stp>Market</stp>
        <stp>STOCK</stp>
        <stp>94320.T</stp>
        <stp>最良売気配値8</stp>
        <tr r="CO2" s="6"/>
      </tp>
      <tp>
        <v>176.1</v>
        <stp/>
        <stp>Market</stp>
        <stp>STOCK</stp>
        <stp>94320.T</stp>
        <stp>最良売気配値9</stp>
        <tr r="CP2" s="6"/>
      </tp>
      <tp>
        <v>175.4</v>
        <stp/>
        <stp>Market</stp>
        <stp>STOCK</stp>
        <stp>94320.T</stp>
        <stp>最良売気配値2</stp>
        <tr r="CI2" s="6"/>
      </tp>
      <tp>
        <v>175.5</v>
        <stp/>
        <stp>Market</stp>
        <stp>STOCK</stp>
        <stp>94320.T</stp>
        <stp>最良売気配値3</stp>
        <tr r="CJ2" s="6"/>
      </tp>
      <tp>
        <v>175.3</v>
        <stp/>
        <stp>Market</stp>
        <stp>STOCK</stp>
        <stp>94320.T</stp>
        <stp>最良売気配値1</stp>
        <tr r="CH2" s="6"/>
      </tp>
      <tp>
        <v>175.8</v>
        <stp/>
        <stp>Market</stp>
        <stp>STOCK</stp>
        <stp>94320.T</stp>
        <stp>最良売気配値6</stp>
        <tr r="CM2" s="6"/>
      </tp>
      <tp>
        <v>175.9</v>
        <stp/>
        <stp>Market</stp>
        <stp>STOCK</stp>
        <stp>94320.T</stp>
        <stp>最良売気配値7</stp>
        <tr r="CN2" s="6"/>
      </tp>
      <tp>
        <v>175.6</v>
        <stp/>
        <stp>Market</stp>
        <stp>STOCK</stp>
        <stp>94320.T</stp>
        <stp>最良売気配値4</stp>
        <tr r="CK2" s="6"/>
      </tp>
      <tp>
        <v>175.7</v>
        <stp/>
        <stp>Market</stp>
        <stp>STOCK</stp>
        <stp>94320.T</stp>
        <stp>最良売気配値5</stp>
        <tr r="CL2" s="6"/>
      </tp>
      <tp>
        <v>174.2</v>
        <stp/>
        <stp>Market</stp>
        <stp>STOCK</stp>
        <stp>94320.T</stp>
        <stp>最良買気配値9</stp>
        <tr r="CZ2" s="6"/>
      </tp>
      <tp>
        <v>174.3</v>
        <stp/>
        <stp>Market</stp>
        <stp>STOCK</stp>
        <stp>94320.T</stp>
        <stp>最良買気配値8</stp>
        <tr r="CY2" s="6"/>
      </tp>
      <tp>
        <v>174.4</v>
        <stp/>
        <stp>Market</stp>
        <stp>STOCK</stp>
        <stp>94320.T</stp>
        <stp>最良買気配値7</stp>
        <tr r="CX2" s="6"/>
      </tp>
      <tp>
        <v>174.5</v>
        <stp/>
        <stp>Market</stp>
        <stp>STOCK</stp>
        <stp>94320.T</stp>
        <stp>最良買気配値6</stp>
        <tr r="CW2" s="6"/>
      </tp>
      <tp>
        <v>174.6</v>
        <stp/>
        <stp>Market</stp>
        <stp>STOCK</stp>
        <stp>94320.T</stp>
        <stp>最良買気配値5</stp>
        <tr r="CV2" s="6"/>
      </tp>
      <tp>
        <v>174.7</v>
        <stp/>
        <stp>Market</stp>
        <stp>STOCK</stp>
        <stp>94320.T</stp>
        <stp>最良買気配値4</stp>
        <tr r="CU2" s="6"/>
      </tp>
      <tp>
        <v>174.8</v>
        <stp/>
        <stp>Market</stp>
        <stp>STOCK</stp>
        <stp>94320.T</stp>
        <stp>最良買気配値3</stp>
        <tr r="CT2" s="6"/>
      </tp>
      <tp>
        <v>174.9</v>
        <stp/>
        <stp>Market</stp>
        <stp>STOCK</stp>
        <stp>94320.T</stp>
        <stp>最良買気配値2</stp>
        <tr r="CS2" s="6"/>
      </tp>
      <tp>
        <v>175</v>
        <stp/>
        <stp>Market</stp>
        <stp>STOCK</stp>
        <stp>94320.T</stp>
        <stp>最良買気配値1</stp>
        <tr r="CR2" s="6"/>
      </tp>
    </main>
    <main first="rtdsrv.b7852a9e825342649ebd0c1fcbd2c4db">
      <tp>
        <v>5.4</v>
        <stp/>
        <stp>Market</stp>
        <stp>STOCK</stp>
        <stp>94320.T</stp>
        <stp>配当</stp>
        <tr r="EA2" s="6"/>
      </tp>
      <tp t="s">
        <v>東Ｐ</v>
        <stp/>
        <stp>Market</stp>
        <stp>STOCK</stp>
        <stp>94320.T</stp>
        <stp>市場部略称</stp>
        <tr r="F2" s="6"/>
      </tp>
    </main>
    <main first="rtdsrv.b7852a9e825342649ebd0c1fcbd2c4db">
      <tp>
        <v>130608900</v>
        <stp/>
        <stp>Market</stp>
        <stp>STOCK</stp>
        <stp>94320.T</stp>
        <stp>前場出来高</stp>
        <tr r="AQ2" s="6"/>
      </tp>
    </main>
    <main first="rtdsrv.b7852a9e825342649ebd0c1fcbd2c4db">
      <tp t="s">
        <v>C</v>
        <stp/>
        <stp>Market</stp>
        <stp>STOCK</stp>
        <stp>94320.T</stp>
        <stp>現在値フラグ</stp>
        <tr r="L2" s="6"/>
      </tp>
    </main>
    <main first="rtdsrv.b7852a9e825342649ebd0c1fcbd2c4db">
      <tp>
        <v>74173500</v>
        <stp/>
        <stp>Market</stp>
        <stp>STOCK</stp>
        <stp>94320.T</stp>
        <stp>信用買残</stp>
        <tr r="BR2" s="6"/>
      </tp>
    </main>
    <main first="rtdsrv.b7852a9e825342649ebd0c1fcbd2c4db">
      <tp>
        <v>0.1</v>
        <stp/>
        <stp>Market</stp>
        <stp>STOCK</stp>
        <stp>94320.T</stp>
        <stp>貸株金利</stp>
        <tr r="EQ2" s="6"/>
      </tp>
      <tp>
        <v>9432</v>
        <stp/>
        <stp>Market</stp>
        <stp>STOCK</stp>
        <stp>94320.T</stp>
        <stp>銘柄コード</stp>
        <tr r="A2" s="6"/>
      </tp>
      <tp t="s">
        <v>T</v>
        <stp/>
        <stp>Market</stp>
        <stp>STOCK</stp>
        <stp>94320.T</stp>
        <stp>市場コード</stp>
        <tr r="B2" s="6"/>
      </tp>
      <tp t="s">
        <v>15:30:00</v>
        <stp/>
        <stp>Market</stp>
        <stp>STOCK</stp>
        <stp>94320.T</stp>
        <stp>最良買気配詳細時刻</stp>
        <tr r="BJ2" s="6"/>
      </tp>
      <tp>
        <v>750200</v>
        <stp/>
        <stp>Market</stp>
        <stp>STOCK</stp>
        <stp>94320.T</stp>
        <stp>前日比差引</stp>
        <tr r="CE2" s="6"/>
      </tp>
      <tp>
        <v>31600</v>
        <stp/>
        <stp>Market</stp>
        <stp>STOCK</stp>
        <stp>94320.T</stp>
        <stp>返済融資</stp>
        <tr r="BY2" s="6"/>
      </tp>
      <tp>
        <v>-0.23</v>
        <stp/>
        <stp>Market</stp>
        <stp>STOCK</stp>
        <stp>94320.T</stp>
        <stp>前日比率</stp>
        <tr r="N2" s="6"/>
      </tp>
    </main>
    <main first="rtdsrv.b7852a9e825342649ebd0c1fcbd2c4db">
      <tp t="s">
        <v>東証Ｐ</v>
        <stp/>
        <stp>Market</stp>
        <stp>STOCK</stp>
        <stp>94320.T</stp>
        <stp>市場部名称</stp>
        <tr r="E2" s="6"/>
      </tp>
      <tp>
        <v>9.8000000000000007</v>
        <stp/>
        <stp>Market</stp>
        <stp>STOCK</stp>
        <stp>94320.T</stp>
        <stp>回転日数</stp>
        <tr r="CF2" s="6"/>
      </tp>
    </main>
    <main first="rtdsrv.b7852a9e825342649ebd0c1fcbd2c4db">
      <tp t="s">
        <v/>
        <stp/>
        <stp>Market</stp>
        <stp>STOCK</stp>
        <stp>94320.T</stp>
        <stp>逆日歩更新日付</stp>
        <tr r="BO2" s="6"/>
      </tp>
      <tp>
        <v>3459200</v>
        <stp/>
        <stp>Market</stp>
        <stp>STOCK</stp>
        <stp>94320.T</stp>
        <stp>残高差引</stp>
        <tr r="CB2" s="6"/>
      </tp>
      <tp>
        <v>518300</v>
        <stp/>
        <stp>Market</stp>
        <stp>STOCK</stp>
        <stp>94320.T</stp>
        <stp>返済貸株</stp>
        <tr r="BX2" s="6"/>
      </tp>
      <tp t="s">
        <v>2026/09/01</v>
        <stp/>
        <stp>Market</stp>
        <stp>STOCK</stp>
        <stp>94320.T</stp>
        <stp>前日日付</stp>
        <tr r="P2" s="6"/>
      </tp>
    </main>
    <main first="rtdsrv.b7852a9e825342649ebd0c1fcbd2c4db">
      <tp t="s">
        <v>15:30</v>
        <stp/>
        <stp>Market</stp>
        <stp>STOCK</stp>
        <stp>94320.T</stp>
        <stp>最良売気配時刻</stp>
        <tr r="BG2" s="6"/>
      </tp>
      <tp>
        <v>175.2</v>
        <stp/>
        <stp>Market</stp>
        <stp>STOCK</stp>
        <stp>94320.T</stp>
        <stp>現在値</stp>
        <tr r="H2" s="6"/>
      </tp>
      <tp t="s">
        <v>15:30</v>
        <stp/>
        <stp>Market</stp>
        <stp>STOCK</stp>
        <stp>94320.T</stp>
        <stp>最良買気配時刻</stp>
        <tr r="BH2" s="6"/>
      </tp>
    </main>
    <main first="rtdsrv.b7852a9e825342649ebd0c1fcbd2c4db">
      <tp>
        <v>6100</v>
        <stp/>
        <stp>Market</stp>
        <stp>STOCK</stp>
        <stp>94320.T</stp>
        <stp>最良買気配数量</stp>
        <tr r="BF2" s="6"/>
      </tp>
      <tp>
        <v>839600</v>
        <stp/>
        <stp>Market</stp>
        <stp>STOCK</stp>
        <stp>94320.T</stp>
        <stp>最良売気配数量</stp>
        <tr r="BE2" s="6"/>
      </tp>
      <tp>
        <v>175.6</v>
        <stp/>
        <stp>Market</stp>
        <stp>STOCK</stp>
        <stp>94320.T</stp>
        <stp>前日終値</stp>
        <tr r="O2" s="6"/>
      </tp>
      <tp t="s">
        <v xml:space="preserve"> </v>
        <stp/>
        <stp>Market</stp>
        <stp>STOCK</stp>
        <stp>94320.T</stp>
        <stp>特別売気配フラグ</stp>
        <tr r="BK2" s="6"/>
      </tp>
      <tp t="s">
        <v>11:30</v>
        <stp/>
        <stp>Market</stp>
        <stp>STOCK</stp>
        <stp>94320.T</stp>
        <stp>前場出来高時刻</stp>
        <tr r="AY2" s="6"/>
      </tp>
    </main>
    <main first="rtdsrv.b7852a9e825342649ebd0c1fcbd2c4db">
      <tp t="s">
        <v>ＮＴＴ</v>
        <stp/>
        <stp>Market</stp>
        <stp>STOCK</stp>
        <stp>94320.T</stp>
        <stp>銘柄名称</stp>
        <tr r="C2" s="6"/>
      </tp>
    </main>
    <main first="rtdsrv.b7852a9e825342649ebd0c1fcbd2c4db">
      <tp t="s">
        <v>09:04:10</v>
        <stp/>
        <stp>Market</stp>
        <stp>STOCK</stp>
        <stp>94320.T</stp>
        <stp>高値詳細時刻</stp>
        <tr r="AK2" s="6"/>
      </tp>
      <tp t="s">
        <v>2026/09/02</v>
        <stp/>
        <stp>Market</stp>
        <stp>STOCK</stp>
        <stp>94320.T</stp>
        <stp>貸株金利適用日</stp>
        <tr r="ER2" s="6"/>
      </tp>
      <tp t="s">
        <v>C</v>
        <stp/>
        <stp>Market</stp>
        <stp>STOCK</stp>
        <stp>94320.T</stp>
        <stp>前日終値フラグ</stp>
        <tr r="Q2" s="6"/>
      </tp>
    </main>
    <main first="rtdsrv.b7852a9e825342649ebd0c1fcbd2c4db">
      <tp>
        <v>42357932</v>
        <stp/>
        <stp>Market</stp>
        <stp>STOCK</stp>
        <stp>94320.T</stp>
        <stp>売買代金</stp>
        <tr r="AA2" s="6"/>
      </tp>
    </main>
    <main first="rtdsrv.b7852a9e825342649ebd0c1fcbd2c4db">
      <tp t="s">
        <v>15:30:00</v>
        <stp/>
        <stp>Market</stp>
        <stp>STOCK</stp>
        <stp>94320.T</stp>
        <stp>最良売気配詳細時刻</stp>
        <tr r="BI2" s="6"/>
      </tp>
      <tp t="s">
        <v>15:30:00</v>
        <stp/>
        <stp>Market</stp>
        <stp>STOCK</stp>
        <stp>94320.T</stp>
        <stp>現在値詳細時刻</stp>
        <tr r="J2" s="6"/>
      </tp>
      <tp t="s">
        <v>2026/09/29</v>
        <stp/>
        <stp>Market</stp>
        <stp>STOCK</stp>
        <stp>94320.T</stp>
        <stp>中配落日</stp>
        <tr r="EC2" s="6"/>
      </tp>
      <tp t="s">
        <v>2026/08/06</v>
        <stp/>
        <stp>Market</stp>
        <stp>STOCK</stp>
        <stp>94320.T</stp>
        <stp>決算発表日</stp>
        <tr r="EE2" s="6"/>
      </tp>
    </main>
    <main first="rtdsrv.b7852a9e825342649ebd0c1fcbd2c4db">
      <tp>
        <v>174.1</v>
        <stp/>
        <stp>Market</stp>
        <stp>STOCK</stp>
        <stp>94320.T</stp>
        <stp>最良買気配値10</stp>
        <tr r="DA2" s="6"/>
      </tp>
    </main>
    <main first="rtdsrv.b7852a9e825342649ebd0c1fcbd2c4db">
      <tp>
        <v>175.6</v>
        <stp/>
        <stp>Market</stp>
        <stp>STOCK</stp>
        <stp>94320.T</stp>
        <stp>年初来高値</stp>
        <tr r="EI2" s="6"/>
      </tp>
      <tp>
        <v>3180000</v>
        <stp/>
        <stp>Market</stp>
        <stp>STOCK</stp>
        <stp>94320.T</stp>
        <stp>上場来高値</stp>
        <tr r="EM2" s="6"/>
      </tp>
    </main>
    <main first="rtdsrv.b7852a9e825342649ebd0c1fcbd2c4db">
      <tp>
        <v>15864415</v>
        <stp/>
        <stp>Market</stp>
        <stp>STOCK</stp>
        <stp>94320.T</stp>
        <stp>時価総額</stp>
        <tr r="AC2" s="6"/>
      </tp>
      <tp t="s">
        <v>2027/03/30</v>
        <stp/>
        <stp>Market</stp>
        <stp>STOCK</stp>
        <stp>94320.T</stp>
        <stp>配当落日</stp>
        <tr r="EB2" s="6"/>
      </tp>
    </main>
    <main first="rtdsrv.b7852a9e825342649ebd0c1fcbd2c4db">
      <tp>
        <v>429900</v>
        <stp/>
        <stp>Market</stp>
        <stp>STOCK</stp>
        <stp>94320.T</stp>
        <stp>最良売気配数量3</stp>
        <tr r="DD2" s="6"/>
      </tp>
      <tp>
        <v>425300</v>
        <stp/>
        <stp>Market</stp>
        <stp>STOCK</stp>
        <stp>94320.T</stp>
        <stp>最良売気配数量2</stp>
        <tr r="DC2" s="6"/>
      </tp>
      <tp>
        <v>839600</v>
        <stp/>
        <stp>Market</stp>
        <stp>STOCK</stp>
        <stp>94320.T</stp>
        <stp>最良売気配数量1</stp>
        <tr r="DB2" s="6"/>
      </tp>
      <tp>
        <v>411900</v>
        <stp/>
        <stp>Market</stp>
        <stp>STOCK</stp>
        <stp>94320.T</stp>
        <stp>最良売気配数量7</stp>
        <tr r="DH2" s="6"/>
      </tp>
      <tp>
        <v>321800</v>
        <stp/>
        <stp>Market</stp>
        <stp>STOCK</stp>
        <stp>94320.T</stp>
        <stp>最良売気配数量6</stp>
        <tr r="DG2" s="6"/>
      </tp>
      <tp>
        <v>155900</v>
        <stp/>
        <stp>Market</stp>
        <stp>STOCK</stp>
        <stp>94320.T</stp>
        <stp>最良売気配数量5</stp>
        <tr r="DF2" s="6"/>
      </tp>
      <tp>
        <v>776200</v>
        <stp/>
        <stp>Market</stp>
        <stp>STOCK</stp>
        <stp>94320.T</stp>
        <stp>最良売気配数量4</stp>
        <tr r="DE2" s="6"/>
      </tp>
      <tp>
        <v>167000</v>
        <stp/>
        <stp>Market</stp>
        <stp>STOCK</stp>
        <stp>94320.T</stp>
        <stp>最良売気配数量9</stp>
        <tr r="DJ2" s="6"/>
      </tp>
      <tp>
        <v>2990200</v>
        <stp/>
        <stp>Market</stp>
        <stp>STOCK</stp>
        <stp>94320.T</stp>
        <stp>最良売気配数量8</stp>
        <tr r="DI2" s="6"/>
      </tp>
    </main>
    <main first="rtdsrv.b7852a9e825342649ebd0c1fcbd2c4db">
      <tp>
        <v>175.3</v>
        <stp/>
        <stp>Market</stp>
        <stp>STOCK</stp>
        <stp>94320.T</stp>
        <stp>最良売気配値</stp>
        <tr r="BC2" s="6"/>
      </tp>
      <tp>
        <v>175</v>
        <stp/>
        <stp>Market</stp>
        <stp>STOCK</stp>
        <stp>94320.T</stp>
        <stp>最良買気配値</stp>
        <tr r="BD2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C73A-D9CD-4E18-AE68-0BEA4811D523}">
  <sheetPr codeName="Sheet11"/>
  <dimension ref="A1:S27"/>
  <sheetViews>
    <sheetView workbookViewId="0">
      <selection activeCell="I8" sqref="I8"/>
    </sheetView>
  </sheetViews>
  <sheetFormatPr defaultRowHeight="18.75"/>
  <cols>
    <col min="1" max="1" width="11" customWidth="1"/>
    <col min="2" max="2" width="18.25" customWidth="1"/>
    <col min="3" max="3" width="11.75" customWidth="1"/>
    <col min="4" max="4" width="11.375" customWidth="1"/>
    <col min="5" max="5" width="8.375" customWidth="1"/>
    <col min="6" max="6" width="8.875" customWidth="1"/>
    <col min="7" max="7" width="10.25" customWidth="1"/>
    <col min="10" max="10" width="9.5" customWidth="1"/>
    <col min="13" max="13" width="15.5" customWidth="1"/>
    <col min="14" max="14" width="14.625" customWidth="1"/>
    <col min="15" max="15" width="14.875" customWidth="1"/>
    <col min="16" max="16" width="11" customWidth="1"/>
    <col min="17" max="17" width="14.25" customWidth="1"/>
    <col min="18" max="18" width="19.125" customWidth="1"/>
    <col min="19" max="19" width="17" customWidth="1"/>
  </cols>
  <sheetData>
    <row r="1" spans="1:19">
      <c r="A1" t="str" cm="1">
        <f t="array" ref="A1">_xll.RssStockOrder(A6,B6,C6,D6,E6,F6,G6,H6,I6,J6,K6,L6, , , , , , , , )</f>
        <v>=RssStockOrder(A6,B6,C6,D6,E6,F6,G6,H6,I6,J6,K6,L6, , , , , , , , ) =&gt; 待機中</v>
      </c>
    </row>
    <row r="4" spans="1:19">
      <c r="A4">
        <v>1</v>
      </c>
      <c r="B4">
        <v>2</v>
      </c>
      <c r="C4">
        <v>3</v>
      </c>
      <c r="D4">
        <v>4</v>
      </c>
      <c r="E4">
        <v>5</v>
      </c>
      <c r="F4">
        <v>6</v>
      </c>
      <c r="G4">
        <v>7</v>
      </c>
      <c r="H4">
        <v>8</v>
      </c>
      <c r="I4">
        <v>9</v>
      </c>
      <c r="J4">
        <v>10</v>
      </c>
      <c r="K4">
        <v>11</v>
      </c>
      <c r="L4">
        <v>12</v>
      </c>
      <c r="M4">
        <v>13</v>
      </c>
      <c r="N4">
        <v>14</v>
      </c>
      <c r="O4">
        <v>15</v>
      </c>
      <c r="P4">
        <v>16</v>
      </c>
      <c r="Q4">
        <v>17</v>
      </c>
      <c r="R4">
        <v>18</v>
      </c>
      <c r="S4">
        <v>19</v>
      </c>
    </row>
    <row r="5" spans="1:19">
      <c r="A5" t="s">
        <v>130</v>
      </c>
      <c r="B5" t="s">
        <v>97</v>
      </c>
      <c r="C5" t="s">
        <v>98</v>
      </c>
      <c r="D5" t="s">
        <v>115</v>
      </c>
      <c r="E5" t="s">
        <v>99</v>
      </c>
      <c r="F5" t="s">
        <v>101</v>
      </c>
      <c r="G5" t="s">
        <v>100</v>
      </c>
      <c r="H5" t="s">
        <v>102</v>
      </c>
      <c r="I5" t="s">
        <v>103</v>
      </c>
      <c r="J5" t="s">
        <v>104</v>
      </c>
      <c r="K5" t="s">
        <v>105</v>
      </c>
      <c r="L5" t="s">
        <v>106</v>
      </c>
      <c r="M5" t="s">
        <v>107</v>
      </c>
      <c r="N5" t="s">
        <v>108</v>
      </c>
      <c r="O5" t="s">
        <v>109</v>
      </c>
      <c r="P5" t="s">
        <v>110</v>
      </c>
      <c r="Q5" t="s">
        <v>111</v>
      </c>
      <c r="R5" t="s">
        <v>112</v>
      </c>
      <c r="S5" t="s">
        <v>113</v>
      </c>
    </row>
    <row r="6" spans="1:19">
      <c r="A6">
        <v>2</v>
      </c>
      <c r="B6">
        <v>0</v>
      </c>
      <c r="C6">
        <v>9432</v>
      </c>
      <c r="D6">
        <v>3</v>
      </c>
      <c r="E6">
        <v>0</v>
      </c>
      <c r="F6">
        <v>1</v>
      </c>
      <c r="G6">
        <v>100</v>
      </c>
      <c r="H6">
        <v>1</v>
      </c>
      <c r="I6">
        <v>145</v>
      </c>
      <c r="J6">
        <v>2</v>
      </c>
      <c r="L6">
        <v>1</v>
      </c>
    </row>
    <row r="9" spans="1:19">
      <c r="A9">
        <v>1</v>
      </c>
      <c r="B9" t="s">
        <v>96</v>
      </c>
      <c r="C9" t="s">
        <v>114</v>
      </c>
    </row>
    <row r="10" spans="1:19">
      <c r="A10">
        <v>2</v>
      </c>
      <c r="B10" t="s">
        <v>97</v>
      </c>
      <c r="C10" t="s">
        <v>116</v>
      </c>
    </row>
    <row r="11" spans="1:19">
      <c r="A11">
        <v>3</v>
      </c>
      <c r="B11" t="s">
        <v>98</v>
      </c>
      <c r="C11" t="s">
        <v>117</v>
      </c>
    </row>
    <row r="12" spans="1:19">
      <c r="A12">
        <v>4</v>
      </c>
      <c r="B12" t="s">
        <v>115</v>
      </c>
      <c r="C12" t="s">
        <v>118</v>
      </c>
    </row>
    <row r="13" spans="1:19">
      <c r="A13">
        <v>5</v>
      </c>
      <c r="B13" t="s">
        <v>99</v>
      </c>
      <c r="C13" t="s">
        <v>119</v>
      </c>
    </row>
    <row r="14" spans="1:19">
      <c r="A14">
        <v>6</v>
      </c>
      <c r="B14" t="s">
        <v>101</v>
      </c>
      <c r="C14" t="s">
        <v>120</v>
      </c>
    </row>
    <row r="15" spans="1:19">
      <c r="A15">
        <v>7</v>
      </c>
      <c r="B15" t="s">
        <v>100</v>
      </c>
    </row>
    <row r="16" spans="1:19">
      <c r="A16">
        <v>8</v>
      </c>
      <c r="B16" t="s">
        <v>102</v>
      </c>
      <c r="C16" t="s">
        <v>121</v>
      </c>
    </row>
    <row r="17" spans="1:3">
      <c r="A17">
        <v>9</v>
      </c>
      <c r="B17" t="s">
        <v>103</v>
      </c>
      <c r="C17" t="s">
        <v>122</v>
      </c>
    </row>
    <row r="18" spans="1:3">
      <c r="A18">
        <v>10</v>
      </c>
      <c r="B18" t="s">
        <v>104</v>
      </c>
      <c r="C18" t="s">
        <v>123</v>
      </c>
    </row>
    <row r="19" spans="1:3">
      <c r="A19">
        <v>11</v>
      </c>
      <c r="B19" t="s">
        <v>105</v>
      </c>
      <c r="C19" t="s">
        <v>124</v>
      </c>
    </row>
    <row r="20" spans="1:3">
      <c r="A20">
        <v>12</v>
      </c>
      <c r="B20" t="s">
        <v>106</v>
      </c>
      <c r="C20" t="s">
        <v>125</v>
      </c>
    </row>
    <row r="21" spans="1:3">
      <c r="A21">
        <v>13</v>
      </c>
      <c r="B21" t="s">
        <v>107</v>
      </c>
    </row>
    <row r="22" spans="1:3">
      <c r="A22">
        <v>14</v>
      </c>
      <c r="B22" t="s">
        <v>108</v>
      </c>
      <c r="C22" t="s">
        <v>126</v>
      </c>
    </row>
    <row r="23" spans="1:3">
      <c r="A23">
        <v>15</v>
      </c>
      <c r="B23" t="s">
        <v>109</v>
      </c>
      <c r="C23" t="s">
        <v>127</v>
      </c>
    </row>
    <row r="24" spans="1:3">
      <c r="A24">
        <v>16</v>
      </c>
      <c r="B24" t="s">
        <v>110</v>
      </c>
    </row>
    <row r="25" spans="1:3">
      <c r="A25">
        <v>17</v>
      </c>
      <c r="B25" t="s">
        <v>111</v>
      </c>
      <c r="C25" t="s">
        <v>128</v>
      </c>
    </row>
    <row r="26" spans="1:3">
      <c r="A26">
        <v>18</v>
      </c>
      <c r="B26" t="s">
        <v>112</v>
      </c>
      <c r="C26" t="s">
        <v>123</v>
      </c>
    </row>
    <row r="27" spans="1:3">
      <c r="A27">
        <v>19</v>
      </c>
      <c r="B27" t="s">
        <v>113</v>
      </c>
      <c r="C27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11ED5-0887-4F39-9C01-443DCE4AB51A}">
  <dimension ref="A1:K1"/>
  <sheetViews>
    <sheetView workbookViewId="0">
      <selection activeCell="L10" sqref="L10"/>
    </sheetView>
  </sheetViews>
  <sheetFormatPr defaultRowHeight="18.75"/>
  <cols>
    <col min="4" max="4" width="11.75" customWidth="1"/>
    <col min="5" max="5" width="14.5" customWidth="1"/>
  </cols>
  <sheetData>
    <row r="1" spans="1:11">
      <c r="A1" t="s">
        <v>274</v>
      </c>
      <c r="B1" t="s">
        <v>275</v>
      </c>
      <c r="C1" t="s">
        <v>319</v>
      </c>
      <c r="D1" t="s">
        <v>320</v>
      </c>
      <c r="E1" t="s">
        <v>321</v>
      </c>
      <c r="F1" t="s">
        <v>322</v>
      </c>
      <c r="G1" t="s">
        <v>318</v>
      </c>
      <c r="H1" t="s">
        <v>323</v>
      </c>
      <c r="I1" t="s">
        <v>276</v>
      </c>
      <c r="J1" t="s">
        <v>324</v>
      </c>
      <c r="K1" t="s">
        <v>325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5F4EA-05F5-46AD-A7DB-157010DD3295}">
  <dimension ref="A1"/>
  <sheetViews>
    <sheetView workbookViewId="0">
      <selection activeCell="G15" sqref="G15"/>
    </sheetView>
  </sheetViews>
  <sheetFormatPr defaultRowHeight="18.75"/>
  <sheetData>
    <row r="1" spans="1:1">
      <c r="A1" s="2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9"/>
  <sheetViews>
    <sheetView workbookViewId="0">
      <selection activeCell="C6" sqref="C6"/>
    </sheetView>
  </sheetViews>
  <sheetFormatPr defaultRowHeight="18.75"/>
  <cols>
    <col min="3" max="3" width="12.875" customWidth="1"/>
    <col min="5" max="5" width="10.75" customWidth="1"/>
    <col min="6" max="6" width="13.625" customWidth="1"/>
  </cols>
  <sheetData>
    <row r="1" spans="1:6">
      <c r="A1" t="str" cm="1">
        <f t="array" ref="A1">_xll.RssOrderIDList($A$2:$F$2)</f>
        <v>=RssOrderIDList($A$2:$F$2) =&gt; 配信中</v>
      </c>
    </row>
    <row r="2" spans="1: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326</v>
      </c>
    </row>
    <row r="3" spans="1:6">
      <c r="A3" s="1" t="s">
        <v>131</v>
      </c>
      <c r="B3" s="1" t="s">
        <v>131</v>
      </c>
      <c r="C3" s="1" t="s">
        <v>131</v>
      </c>
      <c r="D3" s="1" t="s">
        <v>131</v>
      </c>
      <c r="E3" s="1" t="s">
        <v>131</v>
      </c>
      <c r="F3" s="1" t="s">
        <v>131</v>
      </c>
    </row>
    <row r="4" spans="1:6">
      <c r="A4" s="1"/>
      <c r="B4" s="1"/>
      <c r="C4" s="1"/>
      <c r="D4" s="1"/>
      <c r="E4" s="1"/>
      <c r="F4" s="1"/>
    </row>
    <row r="8" spans="1:6">
      <c r="A8" s="1">
        <v>1</v>
      </c>
      <c r="B8" s="1" t="s">
        <v>132</v>
      </c>
      <c r="C8" s="1" t="s">
        <v>133</v>
      </c>
      <c r="D8" s="1" t="s">
        <v>134</v>
      </c>
      <c r="E8" s="1" t="s">
        <v>34</v>
      </c>
      <c r="F8" s="1" t="s">
        <v>135</v>
      </c>
    </row>
    <row r="9" spans="1:6">
      <c r="A9" s="1">
        <v>2</v>
      </c>
      <c r="B9" s="1" t="s">
        <v>132</v>
      </c>
      <c r="C9" s="1" t="s">
        <v>133</v>
      </c>
      <c r="D9" s="1" t="s">
        <v>136</v>
      </c>
      <c r="E9" s="1">
        <v>54053073</v>
      </c>
      <c r="F9" s="1" t="s">
        <v>137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65AB2-89D4-4A59-8448-A01B1AF40C48}">
  <sheetPr codeName="Sheet10"/>
  <dimension ref="A2:A6"/>
  <sheetViews>
    <sheetView workbookViewId="0">
      <selection activeCell="A2" sqref="A2"/>
    </sheetView>
  </sheetViews>
  <sheetFormatPr defaultRowHeight="18.75"/>
  <cols>
    <col min="1" max="1" width="15" customWidth="1"/>
    <col min="2" max="2" width="94.625" customWidth="1"/>
  </cols>
  <sheetData>
    <row r="2" spans="1:1">
      <c r="A2" cm="1">
        <f t="array" ref="A2">_xll.RssOrderStatus(1)</f>
        <v>-1</v>
      </c>
    </row>
    <row r="6" spans="1:1">
      <c r="A6" t="s">
        <v>95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D1147-15F3-45F2-B612-FAD342CCE77E}">
  <sheetPr codeName="Sheet3"/>
  <dimension ref="A1:AD5"/>
  <sheetViews>
    <sheetView workbookViewId="0">
      <selection activeCell="A3" sqref="A3:XFD125"/>
    </sheetView>
  </sheetViews>
  <sheetFormatPr defaultRowHeight="18.75"/>
  <sheetData>
    <row r="1" spans="1:30">
      <c r="A1" t="str" cm="1">
        <f t="array" ref="A1">_xll.RssOrderList($A$2:$AD$2, 0, 0, "", "A", 0, 0, 0, 0, 0)</f>
        <v>=RssOrderList($A$2:$AD$2, 0, 0, "", "A", 0, 0, 0, 0, 0) =&gt; 配信中</v>
      </c>
    </row>
    <row r="2" spans="1:30">
      <c r="A2" t="s">
        <v>4</v>
      </c>
      <c r="B2" t="s">
        <v>5</v>
      </c>
      <c r="C2" t="s">
        <v>6</v>
      </c>
      <c r="D2" t="s">
        <v>7</v>
      </c>
      <c r="E2" t="s">
        <v>8</v>
      </c>
      <c r="F2" t="s">
        <v>9</v>
      </c>
      <c r="G2" t="s">
        <v>10</v>
      </c>
      <c r="H2" t="s">
        <v>11</v>
      </c>
      <c r="I2" t="s">
        <v>12</v>
      </c>
      <c r="J2" t="s">
        <v>13</v>
      </c>
      <c r="K2" t="s">
        <v>14</v>
      </c>
      <c r="L2" t="s">
        <v>15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T2" t="s">
        <v>23</v>
      </c>
      <c r="U2" t="s">
        <v>24</v>
      </c>
      <c r="V2" t="s">
        <v>25</v>
      </c>
      <c r="W2" t="s">
        <v>26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</row>
    <row r="3" spans="1:30">
      <c r="A3" s="1">
        <v>53095981</v>
      </c>
      <c r="B3" s="1" t="s">
        <v>333</v>
      </c>
      <c r="C3" s="1" t="s">
        <v>334</v>
      </c>
      <c r="D3" s="1" t="s">
        <v>335</v>
      </c>
      <c r="E3" s="1" t="s">
        <v>35</v>
      </c>
      <c r="F3" s="1">
        <v>7012</v>
      </c>
      <c r="G3" s="1" t="s">
        <v>294</v>
      </c>
      <c r="H3" s="1" t="s">
        <v>43</v>
      </c>
      <c r="I3" s="1" t="s">
        <v>336</v>
      </c>
      <c r="J3" s="1" t="s">
        <v>46</v>
      </c>
      <c r="K3" s="1" t="s">
        <v>47</v>
      </c>
      <c r="L3" s="1" t="s">
        <v>337</v>
      </c>
      <c r="M3" s="1" t="s">
        <v>49</v>
      </c>
      <c r="N3" s="1" t="s">
        <v>48</v>
      </c>
      <c r="O3" s="1" t="s">
        <v>338</v>
      </c>
      <c r="P3" s="1">
        <v>20260902</v>
      </c>
      <c r="Q3" s="1">
        <v>100</v>
      </c>
      <c r="R3" s="1">
        <v>100</v>
      </c>
      <c r="S3" s="1">
        <v>2446.5</v>
      </c>
      <c r="T3" s="1" t="s">
        <v>339</v>
      </c>
      <c r="U3" s="1" t="s">
        <v>335</v>
      </c>
      <c r="V3" s="1" t="s">
        <v>335</v>
      </c>
      <c r="W3" s="1" t="s">
        <v>335</v>
      </c>
      <c r="X3" s="1" t="s">
        <v>35</v>
      </c>
      <c r="Y3" s="1" t="s">
        <v>335</v>
      </c>
      <c r="Z3" s="1" t="s">
        <v>35</v>
      </c>
      <c r="AA3" s="1" t="s">
        <v>340</v>
      </c>
      <c r="AB3" s="1" t="s">
        <v>35</v>
      </c>
      <c r="AC3" s="1" t="s">
        <v>337</v>
      </c>
      <c r="AD3" s="1" t="s">
        <v>341</v>
      </c>
    </row>
    <row r="4" spans="1:30">
      <c r="A4">
        <v>53114625</v>
      </c>
      <c r="B4" t="s">
        <v>342</v>
      </c>
      <c r="C4" t="s">
        <v>334</v>
      </c>
      <c r="D4" t="s">
        <v>335</v>
      </c>
      <c r="E4" t="s">
        <v>35</v>
      </c>
      <c r="F4">
        <v>7012</v>
      </c>
      <c r="G4" t="s">
        <v>294</v>
      </c>
      <c r="H4" t="s">
        <v>43</v>
      </c>
      <c r="I4" t="s">
        <v>336</v>
      </c>
      <c r="J4" t="s">
        <v>46</v>
      </c>
      <c r="K4" t="s">
        <v>47</v>
      </c>
      <c r="L4" t="s">
        <v>343</v>
      </c>
      <c r="M4" t="s">
        <v>52</v>
      </c>
      <c r="N4" t="s">
        <v>51</v>
      </c>
      <c r="O4" t="s">
        <v>338</v>
      </c>
      <c r="P4">
        <v>20260902</v>
      </c>
      <c r="Q4">
        <v>100</v>
      </c>
      <c r="R4">
        <v>100</v>
      </c>
      <c r="S4" t="s">
        <v>344</v>
      </c>
      <c r="T4" t="s">
        <v>339</v>
      </c>
      <c r="U4" t="s">
        <v>335</v>
      </c>
      <c r="V4" t="s">
        <v>335</v>
      </c>
      <c r="W4" t="s">
        <v>335</v>
      </c>
      <c r="X4" t="s">
        <v>53</v>
      </c>
      <c r="Y4" t="s">
        <v>335</v>
      </c>
      <c r="Z4" t="s">
        <v>35</v>
      </c>
      <c r="AA4" t="s">
        <v>340</v>
      </c>
      <c r="AB4" t="s">
        <v>35</v>
      </c>
      <c r="AC4" t="s">
        <v>343</v>
      </c>
      <c r="AD4" t="s">
        <v>345</v>
      </c>
    </row>
    <row r="5" spans="1:30">
      <c r="A5" s="1" t="s">
        <v>138</v>
      </c>
      <c r="B5" s="1" t="s">
        <v>138</v>
      </c>
      <c r="C5" s="1" t="s">
        <v>138</v>
      </c>
      <c r="D5" s="1" t="s">
        <v>138</v>
      </c>
      <c r="E5" s="1" t="s">
        <v>138</v>
      </c>
      <c r="F5" s="1" t="s">
        <v>138</v>
      </c>
      <c r="G5" s="1" t="s">
        <v>138</v>
      </c>
      <c r="H5" s="1" t="s">
        <v>138</v>
      </c>
      <c r="I5" s="1" t="s">
        <v>138</v>
      </c>
      <c r="J5" s="1" t="s">
        <v>138</v>
      </c>
      <c r="K5" s="1" t="s">
        <v>138</v>
      </c>
      <c r="L5" s="1" t="s">
        <v>138</v>
      </c>
      <c r="M5" s="1" t="s">
        <v>138</v>
      </c>
      <c r="N5" s="1" t="s">
        <v>138</v>
      </c>
      <c r="O5" s="1" t="s">
        <v>138</v>
      </c>
      <c r="P5" s="1" t="s">
        <v>138</v>
      </c>
      <c r="Q5" s="1" t="s">
        <v>138</v>
      </c>
      <c r="R5" s="1" t="s">
        <v>138</v>
      </c>
      <c r="S5" s="1" t="s">
        <v>138</v>
      </c>
      <c r="T5" s="1" t="s">
        <v>138</v>
      </c>
      <c r="U5" s="1" t="s">
        <v>138</v>
      </c>
      <c r="V5" s="1" t="s">
        <v>138</v>
      </c>
      <c r="W5" s="1" t="s">
        <v>138</v>
      </c>
      <c r="X5" s="1" t="s">
        <v>138</v>
      </c>
      <c r="Y5" s="1" t="s">
        <v>138</v>
      </c>
      <c r="Z5" s="1" t="s">
        <v>138</v>
      </c>
      <c r="AA5" s="1" t="s">
        <v>138</v>
      </c>
      <c r="AB5" s="1" t="s">
        <v>138</v>
      </c>
      <c r="AC5" s="1" t="s">
        <v>138</v>
      </c>
      <c r="AD5" s="1" t="s">
        <v>138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E1C9-064A-4C71-8B7F-6D67E78A2B37}">
  <sheetPr codeName="Sheet4"/>
  <dimension ref="A1:O134"/>
  <sheetViews>
    <sheetView tabSelected="1" topLeftCell="A127" workbookViewId="0">
      <selection activeCell="F133" sqref="F133"/>
    </sheetView>
  </sheetViews>
  <sheetFormatPr defaultRowHeight="18.75"/>
  <cols>
    <col min="1" max="1" width="18.75" customWidth="1"/>
  </cols>
  <sheetData>
    <row r="1" spans="1:15">
      <c r="A1" t="str" cm="1">
        <f t="array" ref="A1">_xll.RssExecutionList($A$2:$O$2, 0, "", "A", 0, 0)</f>
        <v>=RssExecutionList($A$2:$O$2, 0, "", "A", 0, 0) =&gt; 配信中</v>
      </c>
    </row>
    <row r="2" spans="1:15">
      <c r="A2" t="s">
        <v>38</v>
      </c>
      <c r="B2" t="s">
        <v>39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17</v>
      </c>
      <c r="J2" t="s">
        <v>16</v>
      </c>
      <c r="K2" t="s">
        <v>21</v>
      </c>
      <c r="L2" t="s">
        <v>40</v>
      </c>
      <c r="M2" t="s">
        <v>41</v>
      </c>
      <c r="N2" t="s">
        <v>27</v>
      </c>
      <c r="O2" t="s">
        <v>42</v>
      </c>
    </row>
    <row r="3" spans="1:15">
      <c r="A3" s="1" t="s">
        <v>346</v>
      </c>
      <c r="B3" s="1">
        <v>20260904</v>
      </c>
      <c r="C3" s="1">
        <v>7012</v>
      </c>
      <c r="D3" s="1" t="s">
        <v>294</v>
      </c>
      <c r="E3" s="1" t="s">
        <v>43</v>
      </c>
      <c r="F3" s="1" t="s">
        <v>50</v>
      </c>
      <c r="G3" s="1" t="s">
        <v>46</v>
      </c>
      <c r="H3" s="1" t="s">
        <v>47</v>
      </c>
      <c r="I3" s="1" t="s">
        <v>48</v>
      </c>
      <c r="J3" s="1" t="s">
        <v>49</v>
      </c>
      <c r="K3" s="1">
        <v>100</v>
      </c>
      <c r="L3" s="1">
        <v>2446.5</v>
      </c>
      <c r="M3" s="1">
        <v>244650</v>
      </c>
      <c r="N3" s="1" t="s">
        <v>35</v>
      </c>
      <c r="O3" s="1">
        <v>0</v>
      </c>
    </row>
    <row r="4" spans="1:15">
      <c r="A4" t="s">
        <v>343</v>
      </c>
      <c r="B4">
        <v>20260904</v>
      </c>
      <c r="C4">
        <v>7012</v>
      </c>
      <c r="D4" t="s">
        <v>294</v>
      </c>
      <c r="E4" t="s">
        <v>43</v>
      </c>
      <c r="F4" t="s">
        <v>45</v>
      </c>
      <c r="G4" t="s">
        <v>46</v>
      </c>
      <c r="H4" t="s">
        <v>47</v>
      </c>
      <c r="I4" t="s">
        <v>51</v>
      </c>
      <c r="J4" t="s">
        <v>52</v>
      </c>
      <c r="K4">
        <v>100</v>
      </c>
      <c r="L4">
        <v>2458.9</v>
      </c>
      <c r="M4">
        <v>245890</v>
      </c>
      <c r="N4" t="s">
        <v>53</v>
      </c>
      <c r="O4">
        <v>0</v>
      </c>
    </row>
    <row r="5" spans="1:15">
      <c r="A5" s="1" t="s">
        <v>131</v>
      </c>
      <c r="B5" s="1" t="s">
        <v>131</v>
      </c>
      <c r="C5" s="1" t="s">
        <v>131</v>
      </c>
      <c r="D5" s="1" t="s">
        <v>131</v>
      </c>
      <c r="E5" s="1" t="s">
        <v>131</v>
      </c>
      <c r="F5" s="1" t="s">
        <v>131</v>
      </c>
      <c r="G5" s="1" t="s">
        <v>131</v>
      </c>
      <c r="H5" s="1" t="s">
        <v>131</v>
      </c>
      <c r="I5" s="1" t="s">
        <v>131</v>
      </c>
      <c r="J5" s="1" t="s">
        <v>131</v>
      </c>
      <c r="K5" s="1" t="s">
        <v>131</v>
      </c>
      <c r="L5" s="1" t="s">
        <v>131</v>
      </c>
      <c r="M5" s="1" t="s">
        <v>131</v>
      </c>
      <c r="N5" s="1" t="s">
        <v>131</v>
      </c>
      <c r="O5" s="1" t="s">
        <v>131</v>
      </c>
    </row>
    <row r="6" spans="1:15">
      <c r="A6" t="s">
        <v>278</v>
      </c>
      <c r="B6">
        <v>20260825</v>
      </c>
      <c r="C6">
        <v>6613</v>
      </c>
      <c r="D6" t="s">
        <v>140</v>
      </c>
      <c r="E6" t="s">
        <v>43</v>
      </c>
      <c r="F6" t="s">
        <v>50</v>
      </c>
      <c r="G6" t="s">
        <v>46</v>
      </c>
      <c r="H6" t="s">
        <v>47</v>
      </c>
      <c r="I6" t="s">
        <v>51</v>
      </c>
      <c r="J6" t="s">
        <v>52</v>
      </c>
      <c r="K6">
        <v>100</v>
      </c>
      <c r="L6">
        <v>2136</v>
      </c>
      <c r="M6">
        <v>213600</v>
      </c>
      <c r="N6" t="s">
        <v>53</v>
      </c>
      <c r="O6">
        <v>0</v>
      </c>
    </row>
    <row r="7" spans="1:15">
      <c r="A7" t="s">
        <v>279</v>
      </c>
      <c r="B7">
        <v>20260825</v>
      </c>
      <c r="C7">
        <v>5016</v>
      </c>
      <c r="D7" t="s">
        <v>277</v>
      </c>
      <c r="E7" t="s">
        <v>43</v>
      </c>
      <c r="F7" t="s">
        <v>45</v>
      </c>
      <c r="G7" t="s">
        <v>46</v>
      </c>
      <c r="H7" t="s">
        <v>47</v>
      </c>
      <c r="I7" t="s">
        <v>48</v>
      </c>
      <c r="J7" t="s">
        <v>49</v>
      </c>
      <c r="K7">
        <v>100</v>
      </c>
      <c r="L7">
        <v>3606.3</v>
      </c>
      <c r="M7">
        <v>360630</v>
      </c>
      <c r="N7" t="s">
        <v>35</v>
      </c>
      <c r="O7">
        <v>0</v>
      </c>
    </row>
    <row r="8" spans="1:15">
      <c r="A8" t="s">
        <v>280</v>
      </c>
      <c r="B8">
        <v>20260825</v>
      </c>
      <c r="C8">
        <v>5016</v>
      </c>
      <c r="D8" t="s">
        <v>277</v>
      </c>
      <c r="E8" t="s">
        <v>43</v>
      </c>
      <c r="F8" t="s">
        <v>45</v>
      </c>
      <c r="G8" t="s">
        <v>46</v>
      </c>
      <c r="H8" t="s">
        <v>47</v>
      </c>
      <c r="I8" t="s">
        <v>51</v>
      </c>
      <c r="J8" t="s">
        <v>52</v>
      </c>
      <c r="K8">
        <v>100</v>
      </c>
      <c r="L8">
        <v>3588.3</v>
      </c>
      <c r="M8">
        <v>358830</v>
      </c>
      <c r="N8" t="s">
        <v>53</v>
      </c>
      <c r="O8">
        <v>0</v>
      </c>
    </row>
    <row r="9" spans="1:15">
      <c r="A9" t="s">
        <v>281</v>
      </c>
      <c r="B9">
        <v>20260825</v>
      </c>
      <c r="C9">
        <v>8136</v>
      </c>
      <c r="D9" t="s">
        <v>282</v>
      </c>
      <c r="E9" t="s">
        <v>43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K9">
        <v>100</v>
      </c>
      <c r="L9">
        <v>1215.5</v>
      </c>
      <c r="M9">
        <v>121550</v>
      </c>
      <c r="N9" t="s">
        <v>35</v>
      </c>
      <c r="O9">
        <v>0</v>
      </c>
    </row>
    <row r="10" spans="1:15">
      <c r="A10" s="1" t="s">
        <v>283</v>
      </c>
      <c r="B10" s="1">
        <v>20260825</v>
      </c>
      <c r="C10" s="1">
        <v>6613</v>
      </c>
      <c r="D10" s="1" t="s">
        <v>140</v>
      </c>
      <c r="E10" s="1" t="s">
        <v>43</v>
      </c>
      <c r="F10" s="1" t="s">
        <v>45</v>
      </c>
      <c r="G10" s="1" t="s">
        <v>46</v>
      </c>
      <c r="H10" s="1" t="s">
        <v>47</v>
      </c>
      <c r="I10" s="1" t="s">
        <v>48</v>
      </c>
      <c r="J10" s="1" t="s">
        <v>49</v>
      </c>
      <c r="K10" s="1">
        <v>100</v>
      </c>
      <c r="L10" s="1">
        <v>2141.9</v>
      </c>
      <c r="M10" s="1">
        <v>214190</v>
      </c>
      <c r="N10" s="1" t="s">
        <v>35</v>
      </c>
      <c r="O10" s="1">
        <v>0</v>
      </c>
    </row>
    <row r="11" spans="1:15">
      <c r="A11" s="1" t="s">
        <v>284</v>
      </c>
      <c r="B11" s="1">
        <v>20260825</v>
      </c>
      <c r="C11" s="1">
        <v>6613</v>
      </c>
      <c r="D11" s="1" t="s">
        <v>140</v>
      </c>
      <c r="E11" s="1" t="s">
        <v>43</v>
      </c>
      <c r="F11" s="1" t="s">
        <v>50</v>
      </c>
      <c r="G11" s="1" t="s">
        <v>46</v>
      </c>
      <c r="H11" s="1" t="s">
        <v>47</v>
      </c>
      <c r="I11" s="1" t="s">
        <v>51</v>
      </c>
      <c r="J11" s="1" t="s">
        <v>52</v>
      </c>
      <c r="K11" s="1">
        <v>100</v>
      </c>
      <c r="L11" s="1">
        <v>2132</v>
      </c>
      <c r="M11" s="1">
        <v>213200</v>
      </c>
      <c r="N11" s="1" t="s">
        <v>53</v>
      </c>
      <c r="O11" s="1">
        <v>0</v>
      </c>
    </row>
    <row r="12" spans="1:15">
      <c r="A12" s="1" t="s">
        <v>285</v>
      </c>
      <c r="B12" s="1">
        <v>20260825</v>
      </c>
      <c r="C12" s="1">
        <v>6613</v>
      </c>
      <c r="D12" s="1" t="s">
        <v>140</v>
      </c>
      <c r="E12" s="1" t="s">
        <v>43</v>
      </c>
      <c r="F12" s="1" t="s">
        <v>45</v>
      </c>
      <c r="G12" s="1" t="s">
        <v>46</v>
      </c>
      <c r="H12" s="1" t="s">
        <v>47</v>
      </c>
      <c r="I12" s="1" t="s">
        <v>48</v>
      </c>
      <c r="J12" s="1" t="s">
        <v>49</v>
      </c>
      <c r="K12" s="1">
        <v>100</v>
      </c>
      <c r="L12" s="1">
        <v>2141</v>
      </c>
      <c r="M12" s="1">
        <v>214100</v>
      </c>
      <c r="N12" s="1" t="s">
        <v>35</v>
      </c>
      <c r="O12" s="1">
        <v>0</v>
      </c>
    </row>
    <row r="13" spans="1:15">
      <c r="A13" s="1" t="s">
        <v>286</v>
      </c>
      <c r="B13" s="1">
        <v>20260825</v>
      </c>
      <c r="C13" s="1">
        <v>6613</v>
      </c>
      <c r="D13" s="1" t="s">
        <v>140</v>
      </c>
      <c r="E13" s="1" t="s">
        <v>43</v>
      </c>
      <c r="F13" s="1" t="s">
        <v>50</v>
      </c>
      <c r="G13" s="1" t="s">
        <v>46</v>
      </c>
      <c r="H13" s="1" t="s">
        <v>47</v>
      </c>
      <c r="I13" s="1" t="s">
        <v>51</v>
      </c>
      <c r="J13" s="1" t="s">
        <v>52</v>
      </c>
      <c r="K13" s="1">
        <v>100</v>
      </c>
      <c r="L13" s="1">
        <v>2128</v>
      </c>
      <c r="M13" s="1">
        <v>212800</v>
      </c>
      <c r="N13" s="1" t="s">
        <v>53</v>
      </c>
      <c r="O13" s="1">
        <v>0</v>
      </c>
    </row>
    <row r="14" spans="1:15">
      <c r="A14" s="1" t="s">
        <v>287</v>
      </c>
      <c r="B14" s="1">
        <v>20260825</v>
      </c>
      <c r="C14" s="1">
        <v>8136</v>
      </c>
      <c r="D14" s="1" t="s">
        <v>282</v>
      </c>
      <c r="E14" s="1" t="s">
        <v>43</v>
      </c>
      <c r="F14" s="1" t="s">
        <v>45</v>
      </c>
      <c r="G14" s="1" t="s">
        <v>46</v>
      </c>
      <c r="H14" s="1" t="s">
        <v>47</v>
      </c>
      <c r="I14" s="1" t="s">
        <v>51</v>
      </c>
      <c r="J14" s="1" t="s">
        <v>52</v>
      </c>
      <c r="K14" s="1">
        <v>100</v>
      </c>
      <c r="L14" s="1">
        <v>1209.5999999999999</v>
      </c>
      <c r="M14" s="1">
        <v>120960</v>
      </c>
      <c r="N14" s="1" t="s">
        <v>53</v>
      </c>
      <c r="O14" s="1">
        <v>0</v>
      </c>
    </row>
    <row r="15" spans="1:15">
      <c r="A15" s="1" t="s">
        <v>288</v>
      </c>
      <c r="B15" s="1">
        <v>20260825</v>
      </c>
      <c r="C15" s="1">
        <v>6613</v>
      </c>
      <c r="D15" s="1" t="s">
        <v>140</v>
      </c>
      <c r="E15" s="1" t="s">
        <v>43</v>
      </c>
      <c r="F15" s="1" t="s">
        <v>45</v>
      </c>
      <c r="G15" s="1" t="s">
        <v>46</v>
      </c>
      <c r="H15" s="1" t="s">
        <v>47</v>
      </c>
      <c r="I15" s="1" t="s">
        <v>48</v>
      </c>
      <c r="J15" s="1" t="s">
        <v>49</v>
      </c>
      <c r="K15" s="1">
        <v>100</v>
      </c>
      <c r="L15" s="1">
        <v>2117.8000000000002</v>
      </c>
      <c r="M15" s="1">
        <v>211780</v>
      </c>
      <c r="N15" s="1" t="s">
        <v>35</v>
      </c>
      <c r="O15" s="1">
        <v>0</v>
      </c>
    </row>
    <row r="16" spans="1:15">
      <c r="A16" t="s">
        <v>289</v>
      </c>
      <c r="B16">
        <v>20260825</v>
      </c>
      <c r="C16">
        <v>6613</v>
      </c>
      <c r="D16" t="s">
        <v>140</v>
      </c>
      <c r="E16" t="s">
        <v>43</v>
      </c>
      <c r="F16" t="s">
        <v>50</v>
      </c>
      <c r="G16" t="s">
        <v>46</v>
      </c>
      <c r="H16" t="s">
        <v>47</v>
      </c>
      <c r="I16" t="s">
        <v>51</v>
      </c>
      <c r="J16" t="s">
        <v>52</v>
      </c>
      <c r="K16">
        <v>100</v>
      </c>
      <c r="L16">
        <v>2112</v>
      </c>
      <c r="M16">
        <v>211200</v>
      </c>
      <c r="N16" t="s">
        <v>53</v>
      </c>
      <c r="O16">
        <v>0</v>
      </c>
    </row>
    <row r="17" spans="1:15">
      <c r="A17" s="1" t="s">
        <v>290</v>
      </c>
      <c r="B17" s="1">
        <v>20260825</v>
      </c>
      <c r="C17" s="1">
        <v>6613</v>
      </c>
      <c r="D17" s="1" t="s">
        <v>140</v>
      </c>
      <c r="E17" s="1" t="s">
        <v>43</v>
      </c>
      <c r="F17" s="1" t="s">
        <v>45</v>
      </c>
      <c r="G17" s="1" t="s">
        <v>46</v>
      </c>
      <c r="H17" s="1" t="s">
        <v>47</v>
      </c>
      <c r="I17" s="1" t="s">
        <v>48</v>
      </c>
      <c r="J17" s="1" t="s">
        <v>49</v>
      </c>
      <c r="K17" s="1">
        <v>100</v>
      </c>
      <c r="L17" s="1">
        <v>2117</v>
      </c>
      <c r="M17" s="1">
        <v>211700</v>
      </c>
      <c r="N17" s="1" t="s">
        <v>35</v>
      </c>
      <c r="O17" s="1">
        <v>0</v>
      </c>
    </row>
    <row r="18" spans="1:15">
      <c r="A18" t="s">
        <v>291</v>
      </c>
      <c r="B18">
        <v>20260825</v>
      </c>
      <c r="C18">
        <v>6613</v>
      </c>
      <c r="D18" t="s">
        <v>140</v>
      </c>
      <c r="E18" t="s">
        <v>43</v>
      </c>
      <c r="F18" t="s">
        <v>50</v>
      </c>
      <c r="G18" t="s">
        <v>46</v>
      </c>
      <c r="H18" t="s">
        <v>47</v>
      </c>
      <c r="I18" t="s">
        <v>51</v>
      </c>
      <c r="J18" t="s">
        <v>52</v>
      </c>
      <c r="K18">
        <v>100</v>
      </c>
      <c r="L18">
        <v>2102</v>
      </c>
      <c r="M18">
        <v>210200</v>
      </c>
      <c r="N18" t="s">
        <v>53</v>
      </c>
      <c r="O18">
        <v>0</v>
      </c>
    </row>
    <row r="19" spans="1:15">
      <c r="A19" t="s">
        <v>292</v>
      </c>
      <c r="B19">
        <v>20260825</v>
      </c>
      <c r="C19">
        <v>6613</v>
      </c>
      <c r="D19" t="s">
        <v>140</v>
      </c>
      <c r="E19" t="s">
        <v>43</v>
      </c>
      <c r="F19" t="s">
        <v>45</v>
      </c>
      <c r="G19" t="s">
        <v>46</v>
      </c>
      <c r="H19" t="s">
        <v>47</v>
      </c>
      <c r="I19" t="s">
        <v>48</v>
      </c>
      <c r="J19" t="s">
        <v>49</v>
      </c>
      <c r="K19">
        <v>100</v>
      </c>
      <c r="L19">
        <v>2101.9</v>
      </c>
      <c r="M19">
        <v>210190</v>
      </c>
      <c r="N19" t="s">
        <v>35</v>
      </c>
      <c r="O19">
        <v>0</v>
      </c>
    </row>
    <row r="20" spans="1:15">
      <c r="A20" s="1" t="s">
        <v>293</v>
      </c>
      <c r="B20" s="1">
        <v>20260825</v>
      </c>
      <c r="C20" s="1">
        <v>6613</v>
      </c>
      <c r="D20" s="1" t="s">
        <v>140</v>
      </c>
      <c r="E20" s="1" t="s">
        <v>43</v>
      </c>
      <c r="F20" s="1" t="s">
        <v>45</v>
      </c>
      <c r="G20" s="1" t="s">
        <v>46</v>
      </c>
      <c r="H20" s="1" t="s">
        <v>47</v>
      </c>
      <c r="I20" s="1" t="s">
        <v>51</v>
      </c>
      <c r="J20" s="1" t="s">
        <v>52</v>
      </c>
      <c r="K20" s="1">
        <v>100</v>
      </c>
      <c r="L20" s="1">
        <v>2135</v>
      </c>
      <c r="M20" s="1">
        <v>213500</v>
      </c>
      <c r="N20" s="1" t="s">
        <v>53</v>
      </c>
      <c r="O20" s="1">
        <v>0</v>
      </c>
    </row>
    <row r="21" spans="1:15">
      <c r="A21" s="1" t="s">
        <v>295</v>
      </c>
      <c r="B21" s="1">
        <v>20260825</v>
      </c>
      <c r="C21" s="1">
        <v>7012</v>
      </c>
      <c r="D21" s="1" t="s">
        <v>294</v>
      </c>
      <c r="E21" s="1" t="s">
        <v>43</v>
      </c>
      <c r="F21" s="1" t="s">
        <v>45</v>
      </c>
      <c r="G21" s="1" t="s">
        <v>46</v>
      </c>
      <c r="H21" s="1" t="s">
        <v>47</v>
      </c>
      <c r="I21" s="1" t="s">
        <v>48</v>
      </c>
      <c r="J21" s="1" t="s">
        <v>49</v>
      </c>
      <c r="K21" s="1">
        <v>100</v>
      </c>
      <c r="L21" s="1">
        <v>2602.9</v>
      </c>
      <c r="M21" s="1">
        <v>260290</v>
      </c>
      <c r="N21" s="1" t="s">
        <v>35</v>
      </c>
      <c r="O21" s="1">
        <v>0</v>
      </c>
    </row>
    <row r="22" spans="1:15">
      <c r="A22" s="1" t="s">
        <v>296</v>
      </c>
      <c r="B22" s="1">
        <v>20260825</v>
      </c>
      <c r="C22" s="1">
        <v>7012</v>
      </c>
      <c r="D22" s="1" t="s">
        <v>294</v>
      </c>
      <c r="E22" s="1" t="s">
        <v>43</v>
      </c>
      <c r="F22" s="1" t="s">
        <v>45</v>
      </c>
      <c r="G22" s="1" t="s">
        <v>46</v>
      </c>
      <c r="H22" s="1" t="s">
        <v>47</v>
      </c>
      <c r="I22" s="1" t="s">
        <v>51</v>
      </c>
      <c r="J22" s="1" t="s">
        <v>52</v>
      </c>
      <c r="K22" s="1">
        <v>100</v>
      </c>
      <c r="L22" s="1">
        <v>2587.5</v>
      </c>
      <c r="M22" s="1">
        <v>258750</v>
      </c>
      <c r="N22" s="1" t="s">
        <v>53</v>
      </c>
      <c r="O22" s="1">
        <v>0</v>
      </c>
    </row>
    <row r="23" spans="1:15">
      <c r="A23" s="1" t="s">
        <v>297</v>
      </c>
      <c r="B23" s="1">
        <v>20260825</v>
      </c>
      <c r="C23" s="1">
        <v>7012</v>
      </c>
      <c r="D23" s="1" t="s">
        <v>294</v>
      </c>
      <c r="E23" s="1" t="s">
        <v>43</v>
      </c>
      <c r="F23" s="1" t="s">
        <v>45</v>
      </c>
      <c r="G23" s="1" t="s">
        <v>46</v>
      </c>
      <c r="H23" s="1" t="s">
        <v>47</v>
      </c>
      <c r="I23" s="1" t="s">
        <v>48</v>
      </c>
      <c r="J23" s="1" t="s">
        <v>49</v>
      </c>
      <c r="K23" s="1">
        <v>100</v>
      </c>
      <c r="L23" s="1">
        <v>2587.5</v>
      </c>
      <c r="M23" s="1">
        <v>258750</v>
      </c>
      <c r="N23" s="1" t="s">
        <v>35</v>
      </c>
      <c r="O23" s="1">
        <v>0</v>
      </c>
    </row>
    <row r="24" spans="1:15">
      <c r="A24" s="1" t="s">
        <v>298</v>
      </c>
      <c r="B24" s="1">
        <v>20260825</v>
      </c>
      <c r="C24" s="1">
        <v>7012</v>
      </c>
      <c r="D24" s="1" t="s">
        <v>294</v>
      </c>
      <c r="E24" s="1" t="s">
        <v>43</v>
      </c>
      <c r="F24" s="1" t="s">
        <v>45</v>
      </c>
      <c r="G24" s="1" t="s">
        <v>46</v>
      </c>
      <c r="H24" s="1" t="s">
        <v>47</v>
      </c>
      <c r="I24" s="1" t="s">
        <v>51</v>
      </c>
      <c r="J24" s="1" t="s">
        <v>52</v>
      </c>
      <c r="K24" s="1">
        <v>100</v>
      </c>
      <c r="L24" s="1">
        <v>2595.6</v>
      </c>
      <c r="M24" s="1">
        <v>259560</v>
      </c>
      <c r="N24" s="1" t="s">
        <v>53</v>
      </c>
      <c r="O24" s="1">
        <v>0</v>
      </c>
    </row>
    <row r="25" spans="1:15">
      <c r="A25" s="1" t="s">
        <v>299</v>
      </c>
      <c r="B25" s="1">
        <v>20260825</v>
      </c>
      <c r="C25" s="1">
        <v>3436</v>
      </c>
      <c r="D25" s="1" t="s">
        <v>139</v>
      </c>
      <c r="E25" s="1" t="s">
        <v>43</v>
      </c>
      <c r="F25" s="1" t="s">
        <v>50</v>
      </c>
      <c r="G25" s="1" t="s">
        <v>46</v>
      </c>
      <c r="H25" s="1" t="s">
        <v>47</v>
      </c>
      <c r="I25" s="1" t="s">
        <v>48</v>
      </c>
      <c r="J25" s="1" t="s">
        <v>49</v>
      </c>
      <c r="K25" s="1">
        <v>100</v>
      </c>
      <c r="L25" s="1">
        <v>3387</v>
      </c>
      <c r="M25" s="1">
        <v>338700</v>
      </c>
      <c r="N25" s="1" t="s">
        <v>35</v>
      </c>
      <c r="O25" s="1">
        <v>0</v>
      </c>
    </row>
    <row r="26" spans="1:15">
      <c r="A26" s="1" t="s">
        <v>300</v>
      </c>
      <c r="B26" s="1">
        <v>20260825</v>
      </c>
      <c r="C26" s="1">
        <v>3436</v>
      </c>
      <c r="D26" s="1" t="s">
        <v>139</v>
      </c>
      <c r="E26" s="1" t="s">
        <v>43</v>
      </c>
      <c r="F26" s="1" t="s">
        <v>45</v>
      </c>
      <c r="G26" s="1" t="s">
        <v>46</v>
      </c>
      <c r="H26" s="1" t="s">
        <v>47</v>
      </c>
      <c r="I26" s="1" t="s">
        <v>51</v>
      </c>
      <c r="J26" s="1" t="s">
        <v>52</v>
      </c>
      <c r="K26" s="1">
        <v>100</v>
      </c>
      <c r="L26" s="1">
        <v>3382.1</v>
      </c>
      <c r="M26" s="1">
        <v>338210</v>
      </c>
      <c r="N26" s="1" t="s">
        <v>53</v>
      </c>
      <c r="O26" s="1">
        <v>0</v>
      </c>
    </row>
    <row r="27" spans="1:15">
      <c r="A27" s="1" t="s">
        <v>301</v>
      </c>
      <c r="B27" s="1">
        <v>20260825</v>
      </c>
      <c r="C27" s="1">
        <v>7012</v>
      </c>
      <c r="D27" s="1" t="s">
        <v>294</v>
      </c>
      <c r="E27" s="1" t="s">
        <v>43</v>
      </c>
      <c r="F27" s="1" t="s">
        <v>45</v>
      </c>
      <c r="G27" s="1" t="s">
        <v>46</v>
      </c>
      <c r="H27" s="1" t="s">
        <v>47</v>
      </c>
      <c r="I27" s="1" t="s">
        <v>48</v>
      </c>
      <c r="J27" s="1" t="s">
        <v>49</v>
      </c>
      <c r="K27" s="1">
        <v>100</v>
      </c>
      <c r="L27" s="1">
        <v>2594.4</v>
      </c>
      <c r="M27" s="1">
        <v>259440</v>
      </c>
      <c r="N27" s="1" t="s">
        <v>35</v>
      </c>
      <c r="O27" s="1">
        <v>0</v>
      </c>
    </row>
    <row r="28" spans="1:15">
      <c r="A28" s="1" t="s">
        <v>131</v>
      </c>
      <c r="B28" s="1" t="s">
        <v>131</v>
      </c>
      <c r="C28" s="1" t="s">
        <v>131</v>
      </c>
      <c r="D28" s="1" t="s">
        <v>131</v>
      </c>
      <c r="E28" s="1" t="s">
        <v>131</v>
      </c>
      <c r="F28" s="1" t="s">
        <v>131</v>
      </c>
      <c r="G28" s="1" t="s">
        <v>131</v>
      </c>
      <c r="H28" s="1" t="s">
        <v>131</v>
      </c>
      <c r="I28" s="1" t="s">
        <v>131</v>
      </c>
      <c r="J28" s="1" t="s">
        <v>131</v>
      </c>
      <c r="K28" s="1" t="s">
        <v>131</v>
      </c>
      <c r="L28" s="1" t="s">
        <v>131</v>
      </c>
      <c r="M28" s="1" t="s">
        <v>131</v>
      </c>
      <c r="N28" s="1" t="s">
        <v>131</v>
      </c>
      <c r="O28" s="1" t="s">
        <v>131</v>
      </c>
    </row>
    <row r="29" spans="1:15">
      <c r="A29" s="1" t="s">
        <v>169</v>
      </c>
      <c r="B29" s="1">
        <v>20260820</v>
      </c>
      <c r="C29" s="1">
        <v>9984</v>
      </c>
      <c r="D29" s="1" t="s">
        <v>143</v>
      </c>
      <c r="E29" s="1" t="s">
        <v>43</v>
      </c>
      <c r="F29" s="1" t="s">
        <v>45</v>
      </c>
      <c r="G29" s="1" t="s">
        <v>46</v>
      </c>
      <c r="H29" s="1" t="s">
        <v>47</v>
      </c>
      <c r="I29" s="1" t="s">
        <v>51</v>
      </c>
      <c r="J29" s="1" t="s">
        <v>52</v>
      </c>
      <c r="K29" s="1">
        <v>100</v>
      </c>
      <c r="L29" s="1">
        <v>6157.1</v>
      </c>
      <c r="M29" s="1">
        <v>615710</v>
      </c>
      <c r="N29" s="1" t="s">
        <v>53</v>
      </c>
      <c r="O29" s="1">
        <v>0</v>
      </c>
    </row>
    <row r="30" spans="1:15">
      <c r="A30" s="1" t="s">
        <v>170</v>
      </c>
      <c r="B30" s="1">
        <v>20260820</v>
      </c>
      <c r="C30" s="1">
        <v>6613</v>
      </c>
      <c r="D30" s="1" t="s">
        <v>140</v>
      </c>
      <c r="E30" s="1" t="s">
        <v>43</v>
      </c>
      <c r="F30" s="1" t="s">
        <v>45</v>
      </c>
      <c r="G30" s="1" t="s">
        <v>46</v>
      </c>
      <c r="H30" s="1" t="s">
        <v>47</v>
      </c>
      <c r="I30" s="1" t="s">
        <v>48</v>
      </c>
      <c r="J30" s="1" t="s">
        <v>49</v>
      </c>
      <c r="K30" s="1">
        <v>100</v>
      </c>
      <c r="L30" s="1">
        <v>2144.1999999999998</v>
      </c>
      <c r="M30" s="1">
        <v>214420</v>
      </c>
      <c r="N30" s="1" t="s">
        <v>35</v>
      </c>
      <c r="O30" s="1">
        <v>0</v>
      </c>
    </row>
    <row r="31" spans="1:15">
      <c r="A31" s="1" t="s">
        <v>171</v>
      </c>
      <c r="B31" s="1">
        <v>20260820</v>
      </c>
      <c r="C31" s="1">
        <v>6613</v>
      </c>
      <c r="D31" s="1" t="s">
        <v>140</v>
      </c>
      <c r="E31" s="1" t="s">
        <v>43</v>
      </c>
      <c r="F31" s="1" t="s">
        <v>45</v>
      </c>
      <c r="G31" s="1" t="s">
        <v>46</v>
      </c>
      <c r="H31" s="1" t="s">
        <v>47</v>
      </c>
      <c r="I31" s="1" t="s">
        <v>51</v>
      </c>
      <c r="J31" s="1" t="s">
        <v>52</v>
      </c>
      <c r="K31" s="1">
        <v>100</v>
      </c>
      <c r="L31" s="1">
        <v>2184.6</v>
      </c>
      <c r="M31" s="1">
        <v>218460</v>
      </c>
      <c r="N31" s="1" t="s">
        <v>53</v>
      </c>
      <c r="O31" s="1">
        <v>0</v>
      </c>
    </row>
    <row r="32" spans="1:15">
      <c r="A32" s="1" t="s">
        <v>172</v>
      </c>
      <c r="B32" s="1">
        <v>20260820</v>
      </c>
      <c r="C32" s="1">
        <v>3436</v>
      </c>
      <c r="D32" s="1" t="s">
        <v>139</v>
      </c>
      <c r="E32" s="1" t="s">
        <v>43</v>
      </c>
      <c r="F32" s="1" t="s">
        <v>45</v>
      </c>
      <c r="G32" s="1" t="s">
        <v>46</v>
      </c>
      <c r="H32" s="1" t="s">
        <v>47</v>
      </c>
      <c r="I32" s="1" t="s">
        <v>51</v>
      </c>
      <c r="J32" s="1" t="s">
        <v>52</v>
      </c>
      <c r="K32" s="1">
        <v>100</v>
      </c>
      <c r="L32" s="1">
        <v>4034.2</v>
      </c>
      <c r="M32" s="1">
        <v>403420</v>
      </c>
      <c r="N32" s="1" t="s">
        <v>53</v>
      </c>
      <c r="O32" s="1">
        <v>0</v>
      </c>
    </row>
    <row r="33" spans="1:15">
      <c r="A33" s="1" t="s">
        <v>173</v>
      </c>
      <c r="B33" s="1">
        <v>20260820</v>
      </c>
      <c r="C33" s="1">
        <v>3436</v>
      </c>
      <c r="D33" s="1" t="s">
        <v>139</v>
      </c>
      <c r="E33" s="1" t="s">
        <v>43</v>
      </c>
      <c r="F33" s="1" t="s">
        <v>45</v>
      </c>
      <c r="G33" s="1" t="s">
        <v>46</v>
      </c>
      <c r="H33" s="1" t="s">
        <v>47</v>
      </c>
      <c r="I33" s="1" t="s">
        <v>48</v>
      </c>
      <c r="J33" s="1" t="s">
        <v>49</v>
      </c>
      <c r="K33" s="1">
        <v>100</v>
      </c>
      <c r="L33" s="1">
        <v>4021.7</v>
      </c>
      <c r="M33" s="1">
        <v>402170</v>
      </c>
      <c r="N33" s="1" t="s">
        <v>35</v>
      </c>
      <c r="O33" s="1">
        <v>0</v>
      </c>
    </row>
    <row r="34" spans="1:15">
      <c r="A34" s="1" t="s">
        <v>174</v>
      </c>
      <c r="B34" s="1">
        <v>20260820</v>
      </c>
      <c r="C34" s="1">
        <v>6613</v>
      </c>
      <c r="D34" s="1" t="s">
        <v>140</v>
      </c>
      <c r="E34" s="1" t="s">
        <v>43</v>
      </c>
      <c r="F34" s="1" t="s">
        <v>45</v>
      </c>
      <c r="G34" s="1" t="s">
        <v>46</v>
      </c>
      <c r="H34" s="1" t="s">
        <v>47</v>
      </c>
      <c r="I34" s="1" t="s">
        <v>48</v>
      </c>
      <c r="J34" s="1" t="s">
        <v>49</v>
      </c>
      <c r="K34" s="1">
        <v>100</v>
      </c>
      <c r="L34" s="1">
        <v>2188.8000000000002</v>
      </c>
      <c r="M34" s="1">
        <v>218880</v>
      </c>
      <c r="N34" s="1" t="s">
        <v>35</v>
      </c>
      <c r="O34" s="1">
        <v>0</v>
      </c>
    </row>
    <row r="35" spans="1:15">
      <c r="A35" s="1" t="s">
        <v>175</v>
      </c>
      <c r="B35" s="1">
        <v>20260820</v>
      </c>
      <c r="C35" s="1">
        <v>6613</v>
      </c>
      <c r="D35" s="1" t="s">
        <v>140</v>
      </c>
      <c r="E35" s="1" t="s">
        <v>43</v>
      </c>
      <c r="F35" s="1" t="s">
        <v>45</v>
      </c>
      <c r="G35" s="1" t="s">
        <v>46</v>
      </c>
      <c r="H35" s="1" t="s">
        <v>47</v>
      </c>
      <c r="I35" s="1" t="s">
        <v>51</v>
      </c>
      <c r="J35" s="1" t="s">
        <v>52</v>
      </c>
      <c r="K35" s="1">
        <v>100</v>
      </c>
      <c r="L35" s="1">
        <v>2206.4</v>
      </c>
      <c r="M35" s="1">
        <v>220640</v>
      </c>
      <c r="N35" s="1" t="s">
        <v>53</v>
      </c>
      <c r="O35" s="1">
        <v>0</v>
      </c>
    </row>
    <row r="36" spans="1:15">
      <c r="A36" t="s">
        <v>176</v>
      </c>
      <c r="B36">
        <v>20260820</v>
      </c>
      <c r="C36">
        <v>4063</v>
      </c>
      <c r="D36" t="s">
        <v>177</v>
      </c>
      <c r="E36" t="s">
        <v>43</v>
      </c>
      <c r="F36" t="s">
        <v>45</v>
      </c>
      <c r="G36" t="s">
        <v>46</v>
      </c>
      <c r="H36" t="s">
        <v>47</v>
      </c>
      <c r="I36" t="s">
        <v>48</v>
      </c>
      <c r="J36" t="s">
        <v>49</v>
      </c>
      <c r="K36">
        <v>100</v>
      </c>
      <c r="L36">
        <v>6391</v>
      </c>
      <c r="M36">
        <v>639100</v>
      </c>
      <c r="N36" t="s">
        <v>35</v>
      </c>
      <c r="O36">
        <v>0</v>
      </c>
    </row>
    <row r="37" spans="1:15">
      <c r="A37" t="s">
        <v>178</v>
      </c>
      <c r="B37">
        <v>20260820</v>
      </c>
      <c r="C37">
        <v>9984</v>
      </c>
      <c r="D37" t="s">
        <v>143</v>
      </c>
      <c r="E37" t="s">
        <v>43</v>
      </c>
      <c r="F37" t="s">
        <v>45</v>
      </c>
      <c r="G37" t="s">
        <v>46</v>
      </c>
      <c r="H37" t="s">
        <v>47</v>
      </c>
      <c r="I37" t="s">
        <v>48</v>
      </c>
      <c r="J37" t="s">
        <v>49</v>
      </c>
      <c r="K37">
        <v>100</v>
      </c>
      <c r="L37">
        <v>6135.9</v>
      </c>
      <c r="M37">
        <v>613590</v>
      </c>
      <c r="N37" t="s">
        <v>35</v>
      </c>
      <c r="O37">
        <v>0</v>
      </c>
    </row>
    <row r="38" spans="1:15">
      <c r="A38" t="s">
        <v>179</v>
      </c>
      <c r="B38">
        <v>20260820</v>
      </c>
      <c r="C38">
        <v>9984</v>
      </c>
      <c r="D38" t="s">
        <v>143</v>
      </c>
      <c r="E38" t="s">
        <v>43</v>
      </c>
      <c r="F38" t="s">
        <v>45</v>
      </c>
      <c r="G38" t="s">
        <v>46</v>
      </c>
      <c r="H38" t="s">
        <v>47</v>
      </c>
      <c r="I38" t="s">
        <v>51</v>
      </c>
      <c r="J38" t="s">
        <v>52</v>
      </c>
      <c r="K38">
        <v>100</v>
      </c>
      <c r="L38">
        <v>6111.8</v>
      </c>
      <c r="M38">
        <v>611180</v>
      </c>
      <c r="N38" t="s">
        <v>53</v>
      </c>
      <c r="O38">
        <v>0</v>
      </c>
    </row>
    <row r="39" spans="1:15">
      <c r="A39" t="s">
        <v>180</v>
      </c>
      <c r="B39">
        <v>20260820</v>
      </c>
      <c r="C39">
        <v>9984</v>
      </c>
      <c r="D39" t="s">
        <v>143</v>
      </c>
      <c r="E39" t="s">
        <v>43</v>
      </c>
      <c r="F39" t="s">
        <v>45</v>
      </c>
      <c r="G39" t="s">
        <v>46</v>
      </c>
      <c r="H39" t="s">
        <v>47</v>
      </c>
      <c r="I39" t="s">
        <v>48</v>
      </c>
      <c r="J39" t="s">
        <v>49</v>
      </c>
      <c r="K39">
        <v>100</v>
      </c>
      <c r="L39">
        <v>6108.9</v>
      </c>
      <c r="M39">
        <v>610890</v>
      </c>
      <c r="N39" t="s">
        <v>35</v>
      </c>
      <c r="O39">
        <v>0</v>
      </c>
    </row>
    <row r="40" spans="1:15">
      <c r="A40" t="s">
        <v>181</v>
      </c>
      <c r="B40">
        <v>20260820</v>
      </c>
      <c r="C40">
        <v>9984</v>
      </c>
      <c r="D40" t="s">
        <v>143</v>
      </c>
      <c r="E40" t="s">
        <v>43</v>
      </c>
      <c r="F40" t="s">
        <v>45</v>
      </c>
      <c r="G40" t="s">
        <v>46</v>
      </c>
      <c r="H40" t="s">
        <v>47</v>
      </c>
      <c r="I40" t="s">
        <v>51</v>
      </c>
      <c r="J40" t="s">
        <v>52</v>
      </c>
      <c r="K40">
        <v>100</v>
      </c>
      <c r="L40">
        <v>6152</v>
      </c>
      <c r="M40">
        <v>615200</v>
      </c>
      <c r="N40" t="s">
        <v>53</v>
      </c>
      <c r="O40">
        <v>0</v>
      </c>
    </row>
    <row r="41" spans="1:15">
      <c r="A41" t="s">
        <v>182</v>
      </c>
      <c r="B41">
        <v>20260820</v>
      </c>
      <c r="C41">
        <v>6613</v>
      </c>
      <c r="D41" t="s">
        <v>140</v>
      </c>
      <c r="E41" t="s">
        <v>43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K41">
        <v>100</v>
      </c>
      <c r="L41">
        <v>2248.6</v>
      </c>
      <c r="M41">
        <v>224860</v>
      </c>
      <c r="N41" t="s">
        <v>35</v>
      </c>
      <c r="O41">
        <v>0</v>
      </c>
    </row>
    <row r="42" spans="1:15">
      <c r="A42" t="s">
        <v>183</v>
      </c>
      <c r="B42">
        <v>20260820</v>
      </c>
      <c r="C42">
        <v>6613</v>
      </c>
      <c r="D42" t="s">
        <v>140</v>
      </c>
      <c r="E42" t="s">
        <v>43</v>
      </c>
      <c r="F42" t="s">
        <v>45</v>
      </c>
      <c r="G42" t="s">
        <v>46</v>
      </c>
      <c r="H42" t="s">
        <v>47</v>
      </c>
      <c r="I42" t="s">
        <v>51</v>
      </c>
      <c r="J42" t="s">
        <v>52</v>
      </c>
      <c r="K42">
        <v>100</v>
      </c>
      <c r="L42">
        <v>2284.1999999999998</v>
      </c>
      <c r="M42">
        <v>228420</v>
      </c>
      <c r="N42" t="s">
        <v>53</v>
      </c>
      <c r="O42">
        <v>0</v>
      </c>
    </row>
    <row r="43" spans="1:15">
      <c r="A43" t="s">
        <v>184</v>
      </c>
      <c r="B43">
        <v>20260820</v>
      </c>
      <c r="C43">
        <v>6613</v>
      </c>
      <c r="D43" t="s">
        <v>140</v>
      </c>
      <c r="E43" t="s">
        <v>43</v>
      </c>
      <c r="F43" t="s">
        <v>45</v>
      </c>
      <c r="G43" t="s">
        <v>46</v>
      </c>
      <c r="H43" t="s">
        <v>47</v>
      </c>
      <c r="I43" t="s">
        <v>48</v>
      </c>
      <c r="J43" t="s">
        <v>49</v>
      </c>
      <c r="K43">
        <v>100</v>
      </c>
      <c r="L43">
        <v>2287.1999999999998</v>
      </c>
      <c r="M43">
        <v>228720</v>
      </c>
      <c r="N43" t="s">
        <v>35</v>
      </c>
      <c r="O43">
        <v>0</v>
      </c>
    </row>
    <row r="44" spans="1:15">
      <c r="A44" t="s">
        <v>185</v>
      </c>
      <c r="B44">
        <v>20260820</v>
      </c>
      <c r="C44">
        <v>6613</v>
      </c>
      <c r="D44" t="s">
        <v>140</v>
      </c>
      <c r="E44" t="s">
        <v>43</v>
      </c>
      <c r="F44" t="s">
        <v>45</v>
      </c>
      <c r="G44" t="s">
        <v>46</v>
      </c>
      <c r="H44" t="s">
        <v>47</v>
      </c>
      <c r="I44" t="s">
        <v>51</v>
      </c>
      <c r="J44" t="s">
        <v>52</v>
      </c>
      <c r="K44">
        <v>100</v>
      </c>
      <c r="L44">
        <v>2272.8000000000002</v>
      </c>
      <c r="M44">
        <v>227280</v>
      </c>
      <c r="N44" t="s">
        <v>53</v>
      </c>
      <c r="O44">
        <v>0</v>
      </c>
    </row>
    <row r="45" spans="1:15">
      <c r="A45" t="s">
        <v>186</v>
      </c>
      <c r="B45">
        <v>20260820</v>
      </c>
      <c r="C45">
        <v>6613</v>
      </c>
      <c r="D45" t="s">
        <v>140</v>
      </c>
      <c r="E45" t="s">
        <v>43</v>
      </c>
      <c r="F45" t="s">
        <v>45</v>
      </c>
      <c r="G45" t="s">
        <v>46</v>
      </c>
      <c r="H45" t="s">
        <v>47</v>
      </c>
      <c r="I45" t="s">
        <v>48</v>
      </c>
      <c r="J45" t="s">
        <v>49</v>
      </c>
      <c r="K45">
        <v>100</v>
      </c>
      <c r="L45">
        <v>2270.8000000000002</v>
      </c>
      <c r="M45">
        <v>227080</v>
      </c>
      <c r="N45" t="s">
        <v>35</v>
      </c>
      <c r="O45">
        <v>0</v>
      </c>
    </row>
    <row r="46" spans="1:15">
      <c r="A46" t="s">
        <v>187</v>
      </c>
      <c r="B46">
        <v>20260820</v>
      </c>
      <c r="C46">
        <v>6613</v>
      </c>
      <c r="D46" t="s">
        <v>140</v>
      </c>
      <c r="E46" t="s">
        <v>43</v>
      </c>
      <c r="F46" t="s">
        <v>188</v>
      </c>
      <c r="G46" t="s">
        <v>46</v>
      </c>
      <c r="H46" t="s">
        <v>47</v>
      </c>
      <c r="I46" t="s">
        <v>51</v>
      </c>
      <c r="J46" t="s">
        <v>52</v>
      </c>
      <c r="K46">
        <v>100</v>
      </c>
      <c r="L46">
        <v>2235.1</v>
      </c>
      <c r="M46">
        <v>223510</v>
      </c>
      <c r="N46" t="s">
        <v>53</v>
      </c>
      <c r="O46">
        <v>0</v>
      </c>
    </row>
    <row r="47" spans="1:15">
      <c r="A47" t="s">
        <v>189</v>
      </c>
      <c r="B47">
        <v>20260820</v>
      </c>
      <c r="C47">
        <v>4063</v>
      </c>
      <c r="D47" t="s">
        <v>177</v>
      </c>
      <c r="E47" t="s">
        <v>43</v>
      </c>
      <c r="F47" t="s">
        <v>45</v>
      </c>
      <c r="G47" t="s">
        <v>46</v>
      </c>
      <c r="H47" t="s">
        <v>47</v>
      </c>
      <c r="I47" t="s">
        <v>51</v>
      </c>
      <c r="J47" t="s">
        <v>52</v>
      </c>
      <c r="K47">
        <v>100</v>
      </c>
      <c r="L47">
        <v>6375.6</v>
      </c>
      <c r="M47">
        <v>637560</v>
      </c>
      <c r="N47" t="s">
        <v>53</v>
      </c>
      <c r="O47">
        <v>0</v>
      </c>
    </row>
    <row r="48" spans="1:15">
      <c r="A48" t="s">
        <v>190</v>
      </c>
      <c r="B48">
        <v>20260820</v>
      </c>
      <c r="C48">
        <v>3436</v>
      </c>
      <c r="D48" t="s">
        <v>139</v>
      </c>
      <c r="E48" t="s">
        <v>43</v>
      </c>
      <c r="F48" t="s">
        <v>45</v>
      </c>
      <c r="G48" t="s">
        <v>46</v>
      </c>
      <c r="H48" t="s">
        <v>47</v>
      </c>
      <c r="I48" t="s">
        <v>51</v>
      </c>
      <c r="J48" t="s">
        <v>52</v>
      </c>
      <c r="K48">
        <v>100</v>
      </c>
      <c r="L48">
        <v>3968.5</v>
      </c>
      <c r="M48">
        <v>396850</v>
      </c>
      <c r="N48" t="s">
        <v>53</v>
      </c>
      <c r="O48">
        <v>0</v>
      </c>
    </row>
    <row r="49" spans="1:15">
      <c r="A49" t="s">
        <v>191</v>
      </c>
      <c r="B49">
        <v>20260820</v>
      </c>
      <c r="C49">
        <v>6613</v>
      </c>
      <c r="D49" t="s">
        <v>140</v>
      </c>
      <c r="E49" t="s">
        <v>43</v>
      </c>
      <c r="F49" t="s">
        <v>45</v>
      </c>
      <c r="G49" t="s">
        <v>46</v>
      </c>
      <c r="H49" t="s">
        <v>47</v>
      </c>
      <c r="I49" t="s">
        <v>48</v>
      </c>
      <c r="J49" t="s">
        <v>49</v>
      </c>
      <c r="K49">
        <v>100</v>
      </c>
      <c r="L49">
        <v>2239.9</v>
      </c>
      <c r="M49">
        <v>223990</v>
      </c>
      <c r="N49" t="s">
        <v>35</v>
      </c>
      <c r="O49">
        <v>0</v>
      </c>
    </row>
    <row r="50" spans="1:15">
      <c r="A50" s="1" t="s">
        <v>192</v>
      </c>
      <c r="B50" s="1">
        <v>20260820</v>
      </c>
      <c r="C50" s="1">
        <v>4063</v>
      </c>
      <c r="D50" s="1" t="s">
        <v>177</v>
      </c>
      <c r="E50" s="1" t="s">
        <v>43</v>
      </c>
      <c r="F50" s="1" t="s">
        <v>45</v>
      </c>
      <c r="G50" s="1" t="s">
        <v>46</v>
      </c>
      <c r="H50" s="1" t="s">
        <v>47</v>
      </c>
      <c r="I50" s="1" t="s">
        <v>48</v>
      </c>
      <c r="J50" s="1" t="s">
        <v>49</v>
      </c>
      <c r="K50" s="1">
        <v>100</v>
      </c>
      <c r="L50" s="1">
        <v>6382.9</v>
      </c>
      <c r="M50" s="1">
        <v>638290</v>
      </c>
      <c r="N50" s="1" t="s">
        <v>35</v>
      </c>
      <c r="O50" s="1">
        <v>0</v>
      </c>
    </row>
    <row r="51" spans="1:15">
      <c r="A51" t="s">
        <v>193</v>
      </c>
      <c r="B51">
        <v>20260820</v>
      </c>
      <c r="C51">
        <v>9984</v>
      </c>
      <c r="D51" t="s">
        <v>143</v>
      </c>
      <c r="E51" t="s">
        <v>43</v>
      </c>
      <c r="F51" t="s">
        <v>45</v>
      </c>
      <c r="G51" t="s">
        <v>46</v>
      </c>
      <c r="H51" t="s">
        <v>47</v>
      </c>
      <c r="I51" t="s">
        <v>48</v>
      </c>
      <c r="J51" t="s">
        <v>49</v>
      </c>
      <c r="K51">
        <v>100</v>
      </c>
      <c r="L51">
        <v>6185.4</v>
      </c>
      <c r="M51">
        <v>618540</v>
      </c>
      <c r="N51" t="s">
        <v>35</v>
      </c>
      <c r="O51">
        <v>0</v>
      </c>
    </row>
    <row r="52" spans="1:15">
      <c r="A52" s="1" t="s">
        <v>194</v>
      </c>
      <c r="B52" s="1">
        <v>20260820</v>
      </c>
      <c r="C52" s="1">
        <v>6613</v>
      </c>
      <c r="D52" s="1" t="s">
        <v>140</v>
      </c>
      <c r="E52" s="1" t="s">
        <v>43</v>
      </c>
      <c r="F52" s="1" t="s">
        <v>45</v>
      </c>
      <c r="G52" s="1" t="s">
        <v>46</v>
      </c>
      <c r="H52" s="1" t="s">
        <v>47</v>
      </c>
      <c r="I52" s="1" t="s">
        <v>51</v>
      </c>
      <c r="J52" s="1" t="s">
        <v>52</v>
      </c>
      <c r="K52" s="1">
        <v>100</v>
      </c>
      <c r="L52" s="1">
        <v>2249.6</v>
      </c>
      <c r="M52" s="1">
        <v>224960</v>
      </c>
      <c r="N52" s="1" t="s">
        <v>53</v>
      </c>
      <c r="O52" s="1">
        <v>0</v>
      </c>
    </row>
    <row r="53" spans="1:15">
      <c r="A53" t="s">
        <v>195</v>
      </c>
      <c r="B53">
        <v>20260820</v>
      </c>
      <c r="C53">
        <v>6613</v>
      </c>
      <c r="D53" t="s">
        <v>140</v>
      </c>
      <c r="E53" t="s">
        <v>43</v>
      </c>
      <c r="F53" t="s">
        <v>45</v>
      </c>
      <c r="G53" t="s">
        <v>46</v>
      </c>
      <c r="H53" t="s">
        <v>47</v>
      </c>
      <c r="I53" t="s">
        <v>48</v>
      </c>
      <c r="J53" t="s">
        <v>49</v>
      </c>
      <c r="K53">
        <v>100</v>
      </c>
      <c r="L53">
        <v>2252.1</v>
      </c>
      <c r="M53">
        <v>225210</v>
      </c>
      <c r="N53" t="s">
        <v>35</v>
      </c>
      <c r="O53">
        <v>0</v>
      </c>
    </row>
    <row r="54" spans="1:15">
      <c r="A54" t="s">
        <v>196</v>
      </c>
      <c r="B54">
        <v>20260820</v>
      </c>
      <c r="C54">
        <v>9984</v>
      </c>
      <c r="D54" t="s">
        <v>143</v>
      </c>
      <c r="E54" t="s">
        <v>43</v>
      </c>
      <c r="F54" t="s">
        <v>45</v>
      </c>
      <c r="G54" t="s">
        <v>46</v>
      </c>
      <c r="H54" t="s">
        <v>47</v>
      </c>
      <c r="I54" t="s">
        <v>51</v>
      </c>
      <c r="J54" t="s">
        <v>52</v>
      </c>
      <c r="K54">
        <v>100</v>
      </c>
      <c r="L54">
        <v>6208</v>
      </c>
      <c r="M54">
        <v>620800</v>
      </c>
      <c r="N54" t="s">
        <v>53</v>
      </c>
      <c r="O54">
        <v>0</v>
      </c>
    </row>
    <row r="55" spans="1:15">
      <c r="A55" t="s">
        <v>197</v>
      </c>
      <c r="B55">
        <v>20260820</v>
      </c>
      <c r="C55">
        <v>6613</v>
      </c>
      <c r="D55" t="s">
        <v>140</v>
      </c>
      <c r="E55" t="s">
        <v>43</v>
      </c>
      <c r="F55" t="s">
        <v>50</v>
      </c>
      <c r="G55" t="s">
        <v>46</v>
      </c>
      <c r="H55" t="s">
        <v>47</v>
      </c>
      <c r="I55" t="s">
        <v>51</v>
      </c>
      <c r="J55" t="s">
        <v>52</v>
      </c>
      <c r="K55">
        <v>100</v>
      </c>
      <c r="L55">
        <v>2243</v>
      </c>
      <c r="M55">
        <v>224300</v>
      </c>
      <c r="N55" t="s">
        <v>53</v>
      </c>
      <c r="O55">
        <v>0</v>
      </c>
    </row>
    <row r="56" spans="1:15">
      <c r="A56" t="s">
        <v>198</v>
      </c>
      <c r="B56">
        <v>20260820</v>
      </c>
      <c r="C56">
        <v>5803</v>
      </c>
      <c r="D56" t="s">
        <v>199</v>
      </c>
      <c r="E56" t="s">
        <v>43</v>
      </c>
      <c r="F56" t="s">
        <v>45</v>
      </c>
      <c r="G56" t="s">
        <v>46</v>
      </c>
      <c r="H56" t="s">
        <v>47</v>
      </c>
      <c r="I56" t="s">
        <v>48</v>
      </c>
      <c r="J56" t="s">
        <v>49</v>
      </c>
      <c r="K56">
        <v>100</v>
      </c>
      <c r="L56">
        <v>6334.8</v>
      </c>
      <c r="M56">
        <v>633480</v>
      </c>
      <c r="N56" t="s">
        <v>35</v>
      </c>
      <c r="O56">
        <v>0</v>
      </c>
    </row>
    <row r="57" spans="1:15">
      <c r="A57" t="s">
        <v>200</v>
      </c>
      <c r="B57">
        <v>20260820</v>
      </c>
      <c r="C57">
        <v>4063</v>
      </c>
      <c r="D57" t="s">
        <v>177</v>
      </c>
      <c r="E57" t="s">
        <v>43</v>
      </c>
      <c r="F57" t="s">
        <v>45</v>
      </c>
      <c r="G57" t="s">
        <v>46</v>
      </c>
      <c r="H57" t="s">
        <v>47</v>
      </c>
      <c r="I57" t="s">
        <v>51</v>
      </c>
      <c r="J57" t="s">
        <v>52</v>
      </c>
      <c r="K57">
        <v>100</v>
      </c>
      <c r="L57">
        <v>6364</v>
      </c>
      <c r="M57">
        <v>636400</v>
      </c>
      <c r="N57" t="s">
        <v>53</v>
      </c>
      <c r="O57">
        <v>0</v>
      </c>
    </row>
    <row r="58" spans="1:15">
      <c r="A58" t="s">
        <v>201</v>
      </c>
      <c r="B58">
        <v>20260820</v>
      </c>
      <c r="C58" t="s">
        <v>202</v>
      </c>
      <c r="D58" t="s">
        <v>203</v>
      </c>
      <c r="E58" t="s">
        <v>43</v>
      </c>
      <c r="F58" t="s">
        <v>45</v>
      </c>
      <c r="G58" t="s">
        <v>46</v>
      </c>
      <c r="H58" t="s">
        <v>47</v>
      </c>
      <c r="I58" t="s">
        <v>48</v>
      </c>
      <c r="J58" t="s">
        <v>49</v>
      </c>
      <c r="K58">
        <v>100</v>
      </c>
      <c r="L58">
        <v>3755</v>
      </c>
      <c r="M58">
        <v>375500</v>
      </c>
      <c r="N58" t="s">
        <v>35</v>
      </c>
      <c r="O58">
        <v>0</v>
      </c>
    </row>
    <row r="59" spans="1:15">
      <c r="A59" t="s">
        <v>204</v>
      </c>
      <c r="B59">
        <v>20260820</v>
      </c>
      <c r="C59">
        <v>6613</v>
      </c>
      <c r="D59" t="s">
        <v>140</v>
      </c>
      <c r="E59" t="s">
        <v>43</v>
      </c>
      <c r="F59" t="s">
        <v>45</v>
      </c>
      <c r="G59" t="s">
        <v>46</v>
      </c>
      <c r="H59" t="s">
        <v>47</v>
      </c>
      <c r="I59" t="s">
        <v>48</v>
      </c>
      <c r="J59" t="s">
        <v>49</v>
      </c>
      <c r="K59">
        <v>100</v>
      </c>
      <c r="L59">
        <v>2222.6</v>
      </c>
      <c r="M59">
        <v>222260</v>
      </c>
      <c r="N59" t="s">
        <v>35</v>
      </c>
      <c r="O59">
        <v>0</v>
      </c>
    </row>
    <row r="60" spans="1:15">
      <c r="A60" t="s">
        <v>205</v>
      </c>
      <c r="B60">
        <v>20260820</v>
      </c>
      <c r="C60">
        <v>5803</v>
      </c>
      <c r="D60" t="s">
        <v>199</v>
      </c>
      <c r="E60" t="s">
        <v>43</v>
      </c>
      <c r="F60" t="s">
        <v>45</v>
      </c>
      <c r="G60" t="s">
        <v>46</v>
      </c>
      <c r="H60" t="s">
        <v>47</v>
      </c>
      <c r="I60" t="s">
        <v>51</v>
      </c>
      <c r="J60" t="s">
        <v>52</v>
      </c>
      <c r="K60">
        <v>100</v>
      </c>
      <c r="L60">
        <v>6346.4</v>
      </c>
      <c r="M60">
        <v>634640</v>
      </c>
      <c r="N60" t="s">
        <v>53</v>
      </c>
      <c r="O60">
        <v>0</v>
      </c>
    </row>
    <row r="61" spans="1:15">
      <c r="A61" t="s">
        <v>206</v>
      </c>
      <c r="B61">
        <v>20260820</v>
      </c>
      <c r="C61">
        <v>6613</v>
      </c>
      <c r="D61" t="s">
        <v>140</v>
      </c>
      <c r="E61" t="s">
        <v>43</v>
      </c>
      <c r="F61" t="s">
        <v>45</v>
      </c>
      <c r="G61" t="s">
        <v>46</v>
      </c>
      <c r="H61" t="s">
        <v>47</v>
      </c>
      <c r="I61" t="s">
        <v>48</v>
      </c>
      <c r="J61" t="s">
        <v>49</v>
      </c>
      <c r="K61">
        <v>100</v>
      </c>
      <c r="L61">
        <v>2205.8000000000002</v>
      </c>
      <c r="M61">
        <v>220580</v>
      </c>
      <c r="N61" t="s">
        <v>35</v>
      </c>
      <c r="O61">
        <v>0</v>
      </c>
    </row>
    <row r="62" spans="1:15">
      <c r="A62" t="s">
        <v>207</v>
      </c>
      <c r="B62">
        <v>20260820</v>
      </c>
      <c r="C62" t="s">
        <v>202</v>
      </c>
      <c r="D62" t="s">
        <v>203</v>
      </c>
      <c r="E62" t="s">
        <v>43</v>
      </c>
      <c r="F62" t="s">
        <v>45</v>
      </c>
      <c r="G62" t="s">
        <v>46</v>
      </c>
      <c r="H62" t="s">
        <v>47</v>
      </c>
      <c r="I62" t="s">
        <v>51</v>
      </c>
      <c r="J62" t="s">
        <v>52</v>
      </c>
      <c r="K62">
        <v>100</v>
      </c>
      <c r="L62">
        <v>3771</v>
      </c>
      <c r="M62">
        <v>377100</v>
      </c>
      <c r="N62" t="s">
        <v>53</v>
      </c>
      <c r="O62">
        <v>0</v>
      </c>
    </row>
    <row r="63" spans="1:15">
      <c r="A63" t="s">
        <v>208</v>
      </c>
      <c r="B63">
        <v>20260820</v>
      </c>
      <c r="C63" t="s">
        <v>202</v>
      </c>
      <c r="D63" t="s">
        <v>203</v>
      </c>
      <c r="E63" t="s">
        <v>43</v>
      </c>
      <c r="F63" t="s">
        <v>45</v>
      </c>
      <c r="G63" t="s">
        <v>46</v>
      </c>
      <c r="H63" t="s">
        <v>47</v>
      </c>
      <c r="I63" t="s">
        <v>48</v>
      </c>
      <c r="J63" t="s">
        <v>49</v>
      </c>
      <c r="K63">
        <v>100</v>
      </c>
      <c r="L63">
        <v>3795.5</v>
      </c>
      <c r="M63">
        <v>379550</v>
      </c>
      <c r="N63" t="s">
        <v>35</v>
      </c>
      <c r="O63">
        <v>0</v>
      </c>
    </row>
    <row r="64" spans="1:15">
      <c r="A64" t="s">
        <v>209</v>
      </c>
      <c r="B64">
        <v>20260820</v>
      </c>
      <c r="C64">
        <v>3436</v>
      </c>
      <c r="D64" t="s">
        <v>139</v>
      </c>
      <c r="E64" t="s">
        <v>43</v>
      </c>
      <c r="F64" t="s">
        <v>45</v>
      </c>
      <c r="G64" t="s">
        <v>46</v>
      </c>
      <c r="H64" t="s">
        <v>47</v>
      </c>
      <c r="I64" t="s">
        <v>48</v>
      </c>
      <c r="J64" t="s">
        <v>49</v>
      </c>
      <c r="K64">
        <v>100</v>
      </c>
      <c r="L64">
        <v>4010.7</v>
      </c>
      <c r="M64">
        <v>401070</v>
      </c>
      <c r="N64" t="s">
        <v>35</v>
      </c>
      <c r="O64">
        <v>0</v>
      </c>
    </row>
    <row r="65" spans="1:15">
      <c r="A65" t="s">
        <v>210</v>
      </c>
      <c r="B65">
        <v>20260820</v>
      </c>
      <c r="C65">
        <v>6613</v>
      </c>
      <c r="D65" t="s">
        <v>140</v>
      </c>
      <c r="E65" t="s">
        <v>43</v>
      </c>
      <c r="F65" t="s">
        <v>45</v>
      </c>
      <c r="G65" t="s">
        <v>46</v>
      </c>
      <c r="H65" t="s">
        <v>47</v>
      </c>
      <c r="I65" t="s">
        <v>51</v>
      </c>
      <c r="J65" t="s">
        <v>52</v>
      </c>
      <c r="K65">
        <v>100</v>
      </c>
      <c r="L65">
        <v>2242</v>
      </c>
      <c r="M65">
        <v>224200</v>
      </c>
      <c r="N65" t="s">
        <v>53</v>
      </c>
      <c r="O65">
        <v>0</v>
      </c>
    </row>
    <row r="66" spans="1:15">
      <c r="A66" t="s">
        <v>211</v>
      </c>
      <c r="B66">
        <v>20260820</v>
      </c>
      <c r="C66">
        <v>6613</v>
      </c>
      <c r="D66" t="s">
        <v>140</v>
      </c>
      <c r="E66" t="s">
        <v>43</v>
      </c>
      <c r="F66" t="s">
        <v>45</v>
      </c>
      <c r="G66" t="s">
        <v>46</v>
      </c>
      <c r="H66" t="s">
        <v>47</v>
      </c>
      <c r="I66" t="s">
        <v>51</v>
      </c>
      <c r="J66" t="s">
        <v>52</v>
      </c>
      <c r="K66">
        <v>100</v>
      </c>
      <c r="L66">
        <v>2241.4</v>
      </c>
      <c r="M66">
        <v>224140</v>
      </c>
      <c r="N66" t="s">
        <v>53</v>
      </c>
      <c r="O66">
        <v>0</v>
      </c>
    </row>
    <row r="67" spans="1:15">
      <c r="A67" t="s">
        <v>212</v>
      </c>
      <c r="B67">
        <v>20260820</v>
      </c>
      <c r="C67">
        <v>3436</v>
      </c>
      <c r="D67" t="s">
        <v>139</v>
      </c>
      <c r="E67" t="s">
        <v>43</v>
      </c>
      <c r="F67" t="s">
        <v>45</v>
      </c>
      <c r="G67" t="s">
        <v>46</v>
      </c>
      <c r="H67" t="s">
        <v>47</v>
      </c>
      <c r="I67" t="s">
        <v>48</v>
      </c>
      <c r="J67" t="s">
        <v>49</v>
      </c>
      <c r="K67">
        <v>100</v>
      </c>
      <c r="L67">
        <v>4000</v>
      </c>
      <c r="M67">
        <v>400000</v>
      </c>
      <c r="N67" t="s">
        <v>35</v>
      </c>
      <c r="O67">
        <v>0</v>
      </c>
    </row>
    <row r="68" spans="1:15">
      <c r="A68" t="s">
        <v>213</v>
      </c>
      <c r="B68">
        <v>20260820</v>
      </c>
      <c r="C68" t="s">
        <v>202</v>
      </c>
      <c r="D68" t="s">
        <v>203</v>
      </c>
      <c r="E68" t="s">
        <v>43</v>
      </c>
      <c r="F68" t="s">
        <v>45</v>
      </c>
      <c r="G68" t="s">
        <v>46</v>
      </c>
      <c r="H68" t="s">
        <v>47</v>
      </c>
      <c r="I68" t="s">
        <v>51</v>
      </c>
      <c r="J68" t="s">
        <v>52</v>
      </c>
      <c r="K68">
        <v>100</v>
      </c>
      <c r="L68">
        <v>3814.5</v>
      </c>
      <c r="M68">
        <v>381450</v>
      </c>
      <c r="N68" t="s">
        <v>53</v>
      </c>
      <c r="O68">
        <v>0</v>
      </c>
    </row>
    <row r="69" spans="1:15">
      <c r="A69" t="s">
        <v>214</v>
      </c>
      <c r="B69">
        <v>20260820</v>
      </c>
      <c r="C69">
        <v>6613</v>
      </c>
      <c r="D69" t="s">
        <v>140</v>
      </c>
      <c r="E69" t="s">
        <v>43</v>
      </c>
      <c r="F69" t="s">
        <v>45</v>
      </c>
      <c r="G69" t="s">
        <v>46</v>
      </c>
      <c r="H69" t="s">
        <v>47</v>
      </c>
      <c r="I69" t="s">
        <v>48</v>
      </c>
      <c r="J69" t="s">
        <v>49</v>
      </c>
      <c r="K69">
        <v>100</v>
      </c>
      <c r="L69">
        <v>2240.6</v>
      </c>
      <c r="M69">
        <v>224060</v>
      </c>
      <c r="N69" t="s">
        <v>35</v>
      </c>
      <c r="O69">
        <v>0</v>
      </c>
    </row>
    <row r="70" spans="1:15">
      <c r="A70" t="s">
        <v>215</v>
      </c>
      <c r="B70">
        <v>20260820</v>
      </c>
      <c r="C70">
        <v>6613</v>
      </c>
      <c r="D70" t="s">
        <v>140</v>
      </c>
      <c r="E70" t="s">
        <v>43</v>
      </c>
      <c r="F70" t="s">
        <v>45</v>
      </c>
      <c r="G70" t="s">
        <v>46</v>
      </c>
      <c r="H70" t="s">
        <v>47</v>
      </c>
      <c r="I70" t="s">
        <v>48</v>
      </c>
      <c r="J70" t="s">
        <v>49</v>
      </c>
      <c r="K70">
        <v>100</v>
      </c>
      <c r="L70">
        <v>2219.6</v>
      </c>
      <c r="M70">
        <v>221960</v>
      </c>
      <c r="N70" t="s">
        <v>35</v>
      </c>
      <c r="O70">
        <v>0</v>
      </c>
    </row>
    <row r="71" spans="1:15">
      <c r="A71" t="s">
        <v>216</v>
      </c>
      <c r="B71">
        <v>20260820</v>
      </c>
      <c r="C71">
        <v>6613</v>
      </c>
      <c r="D71" t="s">
        <v>140</v>
      </c>
      <c r="E71" t="s">
        <v>43</v>
      </c>
      <c r="F71" t="s">
        <v>45</v>
      </c>
      <c r="G71" t="s">
        <v>46</v>
      </c>
      <c r="H71" t="s">
        <v>47</v>
      </c>
      <c r="I71" t="s">
        <v>48</v>
      </c>
      <c r="J71" t="s">
        <v>49</v>
      </c>
      <c r="K71">
        <v>100</v>
      </c>
      <c r="L71">
        <v>2151.6999999999998</v>
      </c>
      <c r="M71">
        <v>215170</v>
      </c>
      <c r="N71" t="s">
        <v>35</v>
      </c>
      <c r="O71">
        <v>0</v>
      </c>
    </row>
    <row r="72" spans="1:15">
      <c r="A72" t="s">
        <v>217</v>
      </c>
      <c r="B72">
        <v>20260820</v>
      </c>
      <c r="C72">
        <v>6613</v>
      </c>
      <c r="D72" t="s">
        <v>140</v>
      </c>
      <c r="E72" t="s">
        <v>43</v>
      </c>
      <c r="F72" t="s">
        <v>45</v>
      </c>
      <c r="G72" t="s">
        <v>46</v>
      </c>
      <c r="H72" t="s">
        <v>47</v>
      </c>
      <c r="I72" t="s">
        <v>51</v>
      </c>
      <c r="J72" t="s">
        <v>52</v>
      </c>
      <c r="K72">
        <v>200</v>
      </c>
      <c r="L72">
        <v>2137.4</v>
      </c>
      <c r="M72">
        <v>427480</v>
      </c>
      <c r="N72" t="s">
        <v>53</v>
      </c>
      <c r="O72">
        <v>0</v>
      </c>
    </row>
    <row r="73" spans="1:15">
      <c r="A73" t="s">
        <v>217</v>
      </c>
      <c r="B73">
        <v>20260820</v>
      </c>
      <c r="C73">
        <v>6613</v>
      </c>
      <c r="D73" t="s">
        <v>140</v>
      </c>
      <c r="E73" t="s">
        <v>43</v>
      </c>
      <c r="F73" t="s">
        <v>45</v>
      </c>
      <c r="G73" t="s">
        <v>46</v>
      </c>
      <c r="H73" t="s">
        <v>47</v>
      </c>
      <c r="I73" t="s">
        <v>51</v>
      </c>
      <c r="J73" t="s">
        <v>52</v>
      </c>
      <c r="K73">
        <v>100</v>
      </c>
      <c r="L73">
        <v>2137.1</v>
      </c>
      <c r="M73">
        <v>213710</v>
      </c>
      <c r="N73" t="s">
        <v>53</v>
      </c>
      <c r="O73">
        <v>0</v>
      </c>
    </row>
    <row r="74" spans="1:15">
      <c r="A74" t="s">
        <v>218</v>
      </c>
      <c r="B74">
        <v>20260820</v>
      </c>
      <c r="C74">
        <v>6613</v>
      </c>
      <c r="D74" t="s">
        <v>140</v>
      </c>
      <c r="E74" t="s">
        <v>43</v>
      </c>
      <c r="F74" t="s">
        <v>45</v>
      </c>
      <c r="G74" t="s">
        <v>46</v>
      </c>
      <c r="H74" t="s">
        <v>47</v>
      </c>
      <c r="I74" t="s">
        <v>48</v>
      </c>
      <c r="J74" t="s">
        <v>49</v>
      </c>
      <c r="K74">
        <v>100</v>
      </c>
      <c r="L74">
        <v>2129.6</v>
      </c>
      <c r="M74">
        <v>212960</v>
      </c>
      <c r="N74" t="s">
        <v>35</v>
      </c>
      <c r="O74">
        <v>0</v>
      </c>
    </row>
    <row r="75" spans="1:15">
      <c r="A75" t="s">
        <v>219</v>
      </c>
      <c r="B75">
        <v>20260820</v>
      </c>
      <c r="C75">
        <v>6613</v>
      </c>
      <c r="D75" t="s">
        <v>140</v>
      </c>
      <c r="E75" t="s">
        <v>43</v>
      </c>
      <c r="F75" t="s">
        <v>45</v>
      </c>
      <c r="G75" t="s">
        <v>46</v>
      </c>
      <c r="H75" t="s">
        <v>47</v>
      </c>
      <c r="I75" t="s">
        <v>48</v>
      </c>
      <c r="J75" t="s">
        <v>49</v>
      </c>
      <c r="K75">
        <v>100</v>
      </c>
      <c r="L75">
        <v>2132.1999999999998</v>
      </c>
      <c r="M75">
        <v>213220</v>
      </c>
      <c r="N75" t="s">
        <v>35</v>
      </c>
      <c r="O75">
        <v>0</v>
      </c>
    </row>
    <row r="76" spans="1:15">
      <c r="A76" t="s">
        <v>220</v>
      </c>
      <c r="B76">
        <v>20260820</v>
      </c>
      <c r="C76">
        <v>9984</v>
      </c>
      <c r="D76" t="s">
        <v>143</v>
      </c>
      <c r="E76" t="s">
        <v>43</v>
      </c>
      <c r="F76" t="s">
        <v>45</v>
      </c>
      <c r="G76" t="s">
        <v>46</v>
      </c>
      <c r="H76" t="s">
        <v>47</v>
      </c>
      <c r="I76" t="s">
        <v>48</v>
      </c>
      <c r="J76" t="s">
        <v>49</v>
      </c>
      <c r="K76">
        <v>100</v>
      </c>
      <c r="L76">
        <v>6056.9</v>
      </c>
      <c r="M76">
        <v>605690</v>
      </c>
      <c r="N76" t="s">
        <v>35</v>
      </c>
      <c r="O76">
        <v>0</v>
      </c>
    </row>
    <row r="77" spans="1:15">
      <c r="A77" t="s">
        <v>221</v>
      </c>
      <c r="B77">
        <v>20260820</v>
      </c>
      <c r="C77">
        <v>6613</v>
      </c>
      <c r="D77" t="s">
        <v>140</v>
      </c>
      <c r="E77" t="s">
        <v>43</v>
      </c>
      <c r="F77" t="s">
        <v>50</v>
      </c>
      <c r="G77" t="s">
        <v>46</v>
      </c>
      <c r="H77" t="s">
        <v>47</v>
      </c>
      <c r="I77" t="s">
        <v>48</v>
      </c>
      <c r="J77" t="s">
        <v>49</v>
      </c>
      <c r="K77">
        <v>100</v>
      </c>
      <c r="L77">
        <v>2139</v>
      </c>
      <c r="M77">
        <v>213900</v>
      </c>
      <c r="N77" t="s">
        <v>35</v>
      </c>
      <c r="O77">
        <v>0</v>
      </c>
    </row>
    <row r="78" spans="1:15">
      <c r="A78" t="s">
        <v>222</v>
      </c>
      <c r="B78">
        <v>20260820</v>
      </c>
      <c r="C78">
        <v>9984</v>
      </c>
      <c r="D78" t="s">
        <v>143</v>
      </c>
      <c r="E78" t="s">
        <v>43</v>
      </c>
      <c r="F78" t="s">
        <v>45</v>
      </c>
      <c r="G78" t="s">
        <v>46</v>
      </c>
      <c r="H78" t="s">
        <v>47</v>
      </c>
      <c r="I78" t="s">
        <v>51</v>
      </c>
      <c r="J78" t="s">
        <v>52</v>
      </c>
      <c r="K78">
        <v>100</v>
      </c>
      <c r="L78">
        <v>5917.9</v>
      </c>
      <c r="M78">
        <v>591790</v>
      </c>
      <c r="N78" t="s">
        <v>53</v>
      </c>
      <c r="O78">
        <v>0</v>
      </c>
    </row>
    <row r="79" spans="1:15">
      <c r="A79" t="s">
        <v>223</v>
      </c>
      <c r="B79">
        <v>20260820</v>
      </c>
      <c r="C79">
        <v>3436</v>
      </c>
      <c r="D79" t="s">
        <v>139</v>
      </c>
      <c r="E79" t="s">
        <v>43</v>
      </c>
      <c r="F79" t="s">
        <v>45</v>
      </c>
      <c r="G79" t="s">
        <v>46</v>
      </c>
      <c r="H79" t="s">
        <v>47</v>
      </c>
      <c r="I79" t="s">
        <v>51</v>
      </c>
      <c r="J79" t="s">
        <v>52</v>
      </c>
      <c r="K79">
        <v>200</v>
      </c>
      <c r="L79">
        <v>3814.4</v>
      </c>
      <c r="M79">
        <v>762880</v>
      </c>
      <c r="N79" t="s">
        <v>53</v>
      </c>
      <c r="O79">
        <v>0</v>
      </c>
    </row>
    <row r="80" spans="1:15">
      <c r="A80" t="s">
        <v>224</v>
      </c>
      <c r="B80">
        <v>20260820</v>
      </c>
      <c r="C80">
        <v>9984</v>
      </c>
      <c r="D80" t="s">
        <v>143</v>
      </c>
      <c r="E80" t="s">
        <v>43</v>
      </c>
      <c r="F80" t="s">
        <v>45</v>
      </c>
      <c r="G80" t="s">
        <v>46</v>
      </c>
      <c r="H80" t="s">
        <v>47</v>
      </c>
      <c r="I80" t="s">
        <v>48</v>
      </c>
      <c r="J80" t="s">
        <v>49</v>
      </c>
      <c r="K80">
        <v>100</v>
      </c>
      <c r="L80">
        <v>5930.9</v>
      </c>
      <c r="M80">
        <v>593090</v>
      </c>
      <c r="N80" t="s">
        <v>35</v>
      </c>
      <c r="O80">
        <v>0</v>
      </c>
    </row>
    <row r="81" spans="1:15">
      <c r="A81" t="s">
        <v>225</v>
      </c>
      <c r="B81">
        <v>20260820</v>
      </c>
      <c r="C81">
        <v>9984</v>
      </c>
      <c r="D81" t="s">
        <v>143</v>
      </c>
      <c r="E81" t="s">
        <v>43</v>
      </c>
      <c r="F81" t="s">
        <v>50</v>
      </c>
      <c r="G81" t="s">
        <v>46</v>
      </c>
      <c r="H81" t="s">
        <v>47</v>
      </c>
      <c r="I81" t="s">
        <v>51</v>
      </c>
      <c r="J81" t="s">
        <v>52</v>
      </c>
      <c r="K81">
        <v>100</v>
      </c>
      <c r="L81">
        <v>5902</v>
      </c>
      <c r="M81">
        <v>590200</v>
      </c>
      <c r="N81" t="s">
        <v>53</v>
      </c>
      <c r="O81">
        <v>0</v>
      </c>
    </row>
    <row r="82" spans="1:15">
      <c r="A82" t="s">
        <v>226</v>
      </c>
      <c r="B82">
        <v>20260820</v>
      </c>
      <c r="C82" t="s">
        <v>202</v>
      </c>
      <c r="D82" t="s">
        <v>203</v>
      </c>
      <c r="E82" t="s">
        <v>43</v>
      </c>
      <c r="F82" t="s">
        <v>45</v>
      </c>
      <c r="G82" t="s">
        <v>46</v>
      </c>
      <c r="H82" t="s">
        <v>47</v>
      </c>
      <c r="I82" t="s">
        <v>48</v>
      </c>
      <c r="J82" t="s">
        <v>49</v>
      </c>
      <c r="K82">
        <v>100</v>
      </c>
      <c r="L82">
        <v>3765</v>
      </c>
      <c r="M82">
        <v>376500</v>
      </c>
      <c r="N82" t="s">
        <v>35</v>
      </c>
      <c r="O82">
        <v>0</v>
      </c>
    </row>
    <row r="83" spans="1:15">
      <c r="A83" t="s">
        <v>227</v>
      </c>
      <c r="B83">
        <v>20260820</v>
      </c>
      <c r="C83" t="s">
        <v>202</v>
      </c>
      <c r="D83" t="s">
        <v>203</v>
      </c>
      <c r="E83" t="s">
        <v>43</v>
      </c>
      <c r="F83" t="s">
        <v>45</v>
      </c>
      <c r="G83" t="s">
        <v>46</v>
      </c>
      <c r="H83" t="s">
        <v>47</v>
      </c>
      <c r="I83" t="s">
        <v>51</v>
      </c>
      <c r="J83" t="s">
        <v>52</v>
      </c>
      <c r="K83">
        <v>100</v>
      </c>
      <c r="L83">
        <v>3767.5</v>
      </c>
      <c r="M83">
        <v>376750</v>
      </c>
      <c r="N83" t="s">
        <v>53</v>
      </c>
      <c r="O83">
        <v>0</v>
      </c>
    </row>
    <row r="84" spans="1:15">
      <c r="A84" t="s">
        <v>228</v>
      </c>
      <c r="B84">
        <v>20260820</v>
      </c>
      <c r="C84">
        <v>9984</v>
      </c>
      <c r="D84" t="s">
        <v>143</v>
      </c>
      <c r="E84" t="s">
        <v>43</v>
      </c>
      <c r="F84" t="s">
        <v>45</v>
      </c>
      <c r="G84" t="s">
        <v>46</v>
      </c>
      <c r="H84" t="s">
        <v>47</v>
      </c>
      <c r="I84" t="s">
        <v>48</v>
      </c>
      <c r="J84" t="s">
        <v>49</v>
      </c>
      <c r="K84">
        <v>100</v>
      </c>
      <c r="L84">
        <v>5927.8</v>
      </c>
      <c r="M84">
        <v>592780</v>
      </c>
      <c r="N84" t="s">
        <v>35</v>
      </c>
      <c r="O84">
        <v>0</v>
      </c>
    </row>
    <row r="85" spans="1:15">
      <c r="A85" t="s">
        <v>229</v>
      </c>
      <c r="B85">
        <v>20260820</v>
      </c>
      <c r="C85">
        <v>6613</v>
      </c>
      <c r="D85" t="s">
        <v>140</v>
      </c>
      <c r="E85" t="s">
        <v>43</v>
      </c>
      <c r="F85" t="s">
        <v>45</v>
      </c>
      <c r="G85" t="s">
        <v>46</v>
      </c>
      <c r="H85" t="s">
        <v>47</v>
      </c>
      <c r="I85" t="s">
        <v>51</v>
      </c>
      <c r="J85" t="s">
        <v>52</v>
      </c>
      <c r="K85">
        <v>100</v>
      </c>
      <c r="L85">
        <v>2046.8</v>
      </c>
      <c r="M85">
        <v>204680</v>
      </c>
      <c r="N85" t="s">
        <v>53</v>
      </c>
      <c r="O85">
        <v>0</v>
      </c>
    </row>
    <row r="86" spans="1:15">
      <c r="A86" t="s">
        <v>230</v>
      </c>
      <c r="B86">
        <v>20260820</v>
      </c>
      <c r="C86">
        <v>3436</v>
      </c>
      <c r="D86" t="s">
        <v>139</v>
      </c>
      <c r="E86" t="s">
        <v>43</v>
      </c>
      <c r="F86" t="s">
        <v>45</v>
      </c>
      <c r="G86" t="s">
        <v>46</v>
      </c>
      <c r="H86" t="s">
        <v>47</v>
      </c>
      <c r="I86" t="s">
        <v>48</v>
      </c>
      <c r="J86" t="s">
        <v>49</v>
      </c>
      <c r="K86">
        <v>100</v>
      </c>
      <c r="L86">
        <v>3826</v>
      </c>
      <c r="M86">
        <v>382600</v>
      </c>
      <c r="N86" t="s">
        <v>35</v>
      </c>
      <c r="O86">
        <v>0</v>
      </c>
    </row>
    <row r="87" spans="1:15">
      <c r="A87" t="s">
        <v>231</v>
      </c>
      <c r="B87">
        <v>20260820</v>
      </c>
      <c r="C87">
        <v>6613</v>
      </c>
      <c r="D87" t="s">
        <v>140</v>
      </c>
      <c r="E87" t="s">
        <v>43</v>
      </c>
      <c r="F87" t="s">
        <v>45</v>
      </c>
      <c r="G87" t="s">
        <v>46</v>
      </c>
      <c r="H87" t="s">
        <v>47</v>
      </c>
      <c r="I87" t="s">
        <v>51</v>
      </c>
      <c r="J87" t="s">
        <v>52</v>
      </c>
      <c r="K87">
        <v>100</v>
      </c>
      <c r="L87">
        <v>2040.4</v>
      </c>
      <c r="M87">
        <v>204040</v>
      </c>
      <c r="N87" t="s">
        <v>53</v>
      </c>
      <c r="O87">
        <v>0</v>
      </c>
    </row>
    <row r="88" spans="1:15">
      <c r="A88" t="s">
        <v>232</v>
      </c>
      <c r="B88">
        <v>20260820</v>
      </c>
      <c r="C88">
        <v>3436</v>
      </c>
      <c r="D88" t="s">
        <v>139</v>
      </c>
      <c r="E88" t="s">
        <v>43</v>
      </c>
      <c r="F88" t="s">
        <v>45</v>
      </c>
      <c r="G88" t="s">
        <v>46</v>
      </c>
      <c r="H88" t="s">
        <v>47</v>
      </c>
      <c r="I88" t="s">
        <v>48</v>
      </c>
      <c r="J88" t="s">
        <v>49</v>
      </c>
      <c r="K88">
        <v>100</v>
      </c>
      <c r="L88">
        <v>3836.9</v>
      </c>
      <c r="M88">
        <v>383690</v>
      </c>
      <c r="N88" t="s">
        <v>35</v>
      </c>
      <c r="O88">
        <v>0</v>
      </c>
    </row>
    <row r="89" spans="1:15">
      <c r="A89" t="s">
        <v>233</v>
      </c>
      <c r="B89">
        <v>20260820</v>
      </c>
      <c r="C89">
        <v>3436</v>
      </c>
      <c r="D89" t="s">
        <v>139</v>
      </c>
      <c r="E89" t="s">
        <v>43</v>
      </c>
      <c r="F89" t="s">
        <v>45</v>
      </c>
      <c r="G89" t="s">
        <v>46</v>
      </c>
      <c r="H89" t="s">
        <v>47</v>
      </c>
      <c r="I89" t="s">
        <v>51</v>
      </c>
      <c r="J89" t="s">
        <v>52</v>
      </c>
      <c r="K89">
        <v>100</v>
      </c>
      <c r="L89">
        <v>3881</v>
      </c>
      <c r="M89">
        <v>388100</v>
      </c>
      <c r="N89" t="s">
        <v>53</v>
      </c>
      <c r="O89">
        <v>0</v>
      </c>
    </row>
    <row r="90" spans="1:15">
      <c r="A90" t="s">
        <v>233</v>
      </c>
      <c r="B90">
        <v>20260820</v>
      </c>
      <c r="C90">
        <v>3436</v>
      </c>
      <c r="D90" t="s">
        <v>139</v>
      </c>
      <c r="E90" t="s">
        <v>43</v>
      </c>
      <c r="F90" t="s">
        <v>50</v>
      </c>
      <c r="G90" t="s">
        <v>46</v>
      </c>
      <c r="H90" t="s">
        <v>47</v>
      </c>
      <c r="I90" t="s">
        <v>51</v>
      </c>
      <c r="J90" t="s">
        <v>52</v>
      </c>
      <c r="K90">
        <v>100</v>
      </c>
      <c r="L90">
        <v>3881</v>
      </c>
      <c r="M90">
        <v>388100</v>
      </c>
      <c r="N90" t="s">
        <v>53</v>
      </c>
      <c r="O90">
        <v>0</v>
      </c>
    </row>
    <row r="91" spans="1:15">
      <c r="A91" t="s">
        <v>234</v>
      </c>
      <c r="B91">
        <v>20260820</v>
      </c>
      <c r="C91">
        <v>3436</v>
      </c>
      <c r="D91" t="s">
        <v>139</v>
      </c>
      <c r="E91" t="s">
        <v>43</v>
      </c>
      <c r="F91" t="s">
        <v>45</v>
      </c>
      <c r="G91" t="s">
        <v>46</v>
      </c>
      <c r="H91" t="s">
        <v>47</v>
      </c>
      <c r="I91" t="s">
        <v>48</v>
      </c>
      <c r="J91" t="s">
        <v>49</v>
      </c>
      <c r="K91">
        <v>100</v>
      </c>
      <c r="L91">
        <v>3884.9</v>
      </c>
      <c r="M91">
        <v>388490</v>
      </c>
      <c r="N91" t="s">
        <v>35</v>
      </c>
      <c r="O91">
        <v>0</v>
      </c>
    </row>
    <row r="92" spans="1:15">
      <c r="A92" t="s">
        <v>235</v>
      </c>
      <c r="B92">
        <v>20260820</v>
      </c>
      <c r="C92">
        <v>3436</v>
      </c>
      <c r="D92" t="s">
        <v>139</v>
      </c>
      <c r="E92" t="s">
        <v>43</v>
      </c>
      <c r="F92" t="s">
        <v>45</v>
      </c>
      <c r="G92" t="s">
        <v>46</v>
      </c>
      <c r="H92" t="s">
        <v>47</v>
      </c>
      <c r="I92" t="s">
        <v>51</v>
      </c>
      <c r="J92" t="s">
        <v>52</v>
      </c>
      <c r="K92">
        <v>100</v>
      </c>
      <c r="L92">
        <v>3866.7</v>
      </c>
      <c r="M92">
        <v>386670</v>
      </c>
      <c r="N92" t="s">
        <v>53</v>
      </c>
      <c r="O92">
        <v>0</v>
      </c>
    </row>
    <row r="93" spans="1:15">
      <c r="A93" t="s">
        <v>236</v>
      </c>
      <c r="B93">
        <v>20260820</v>
      </c>
      <c r="C93">
        <v>6613</v>
      </c>
      <c r="D93" t="s">
        <v>140</v>
      </c>
      <c r="E93" t="s">
        <v>43</v>
      </c>
      <c r="F93" t="s">
        <v>45</v>
      </c>
      <c r="G93" t="s">
        <v>46</v>
      </c>
      <c r="H93" t="s">
        <v>47</v>
      </c>
      <c r="I93" t="s">
        <v>51</v>
      </c>
      <c r="J93" t="s">
        <v>52</v>
      </c>
      <c r="K93">
        <v>100</v>
      </c>
      <c r="L93">
        <v>2076.1</v>
      </c>
      <c r="M93">
        <v>207610</v>
      </c>
      <c r="N93" t="s">
        <v>53</v>
      </c>
      <c r="O93">
        <v>0</v>
      </c>
    </row>
    <row r="94" spans="1:15">
      <c r="A94" t="s">
        <v>237</v>
      </c>
      <c r="B94">
        <v>20260820</v>
      </c>
      <c r="C94">
        <v>9984</v>
      </c>
      <c r="D94" t="s">
        <v>143</v>
      </c>
      <c r="E94" t="s">
        <v>43</v>
      </c>
      <c r="F94" t="s">
        <v>45</v>
      </c>
      <c r="G94" t="s">
        <v>46</v>
      </c>
      <c r="H94" t="s">
        <v>47</v>
      </c>
      <c r="I94" t="s">
        <v>51</v>
      </c>
      <c r="J94" t="s">
        <v>52</v>
      </c>
      <c r="K94">
        <v>100</v>
      </c>
      <c r="L94">
        <v>5973</v>
      </c>
      <c r="M94">
        <v>597300</v>
      </c>
      <c r="N94" t="s">
        <v>53</v>
      </c>
      <c r="O94">
        <v>0</v>
      </c>
    </row>
    <row r="95" spans="1:15">
      <c r="A95" t="s">
        <v>238</v>
      </c>
      <c r="B95">
        <v>20260820</v>
      </c>
      <c r="C95">
        <v>3436</v>
      </c>
      <c r="D95" t="s">
        <v>139</v>
      </c>
      <c r="E95" t="s">
        <v>43</v>
      </c>
      <c r="F95" t="s">
        <v>45</v>
      </c>
      <c r="G95" t="s">
        <v>46</v>
      </c>
      <c r="H95" t="s">
        <v>47</v>
      </c>
      <c r="I95" t="s">
        <v>48</v>
      </c>
      <c r="J95" t="s">
        <v>49</v>
      </c>
      <c r="K95">
        <v>100</v>
      </c>
      <c r="L95">
        <v>3850.8</v>
      </c>
      <c r="M95">
        <v>385080</v>
      </c>
      <c r="N95" t="s">
        <v>35</v>
      </c>
      <c r="O95">
        <v>0</v>
      </c>
    </row>
    <row r="96" spans="1:15">
      <c r="A96" t="s">
        <v>239</v>
      </c>
      <c r="B96">
        <v>20260820</v>
      </c>
      <c r="C96">
        <v>9984</v>
      </c>
      <c r="D96" t="s">
        <v>143</v>
      </c>
      <c r="E96" t="s">
        <v>43</v>
      </c>
      <c r="F96" t="s">
        <v>45</v>
      </c>
      <c r="G96" t="s">
        <v>46</v>
      </c>
      <c r="H96" t="s">
        <v>47</v>
      </c>
      <c r="I96" t="s">
        <v>48</v>
      </c>
      <c r="J96" t="s">
        <v>49</v>
      </c>
      <c r="K96">
        <v>100</v>
      </c>
      <c r="L96">
        <v>5970</v>
      </c>
      <c r="M96">
        <v>597000</v>
      </c>
      <c r="N96" t="s">
        <v>35</v>
      </c>
      <c r="O96">
        <v>0</v>
      </c>
    </row>
    <row r="97" spans="1:15">
      <c r="A97" t="s">
        <v>240</v>
      </c>
      <c r="B97">
        <v>20260820</v>
      </c>
      <c r="C97">
        <v>6613</v>
      </c>
      <c r="D97" t="s">
        <v>140</v>
      </c>
      <c r="E97" t="s">
        <v>43</v>
      </c>
      <c r="F97" t="s">
        <v>45</v>
      </c>
      <c r="G97" t="s">
        <v>46</v>
      </c>
      <c r="H97" t="s">
        <v>47</v>
      </c>
      <c r="I97" t="s">
        <v>48</v>
      </c>
      <c r="J97" t="s">
        <v>49</v>
      </c>
      <c r="K97">
        <v>100</v>
      </c>
      <c r="L97">
        <v>2074</v>
      </c>
      <c r="M97">
        <v>207400</v>
      </c>
      <c r="N97" t="s">
        <v>35</v>
      </c>
      <c r="O97">
        <v>0</v>
      </c>
    </row>
    <row r="98" spans="1:15">
      <c r="A98" t="s">
        <v>241</v>
      </c>
      <c r="B98">
        <v>20260820</v>
      </c>
      <c r="C98">
        <v>3436</v>
      </c>
      <c r="D98" t="s">
        <v>139</v>
      </c>
      <c r="E98" t="s">
        <v>43</v>
      </c>
      <c r="F98" t="s">
        <v>50</v>
      </c>
      <c r="G98" t="s">
        <v>46</v>
      </c>
      <c r="H98" t="s">
        <v>47</v>
      </c>
      <c r="I98" t="s">
        <v>48</v>
      </c>
      <c r="J98" t="s">
        <v>49</v>
      </c>
      <c r="K98">
        <v>100</v>
      </c>
      <c r="L98">
        <v>3864</v>
      </c>
      <c r="M98">
        <v>386400</v>
      </c>
      <c r="N98" t="s">
        <v>35</v>
      </c>
      <c r="O98">
        <v>0</v>
      </c>
    </row>
    <row r="99" spans="1:15">
      <c r="A99" t="s">
        <v>242</v>
      </c>
      <c r="B99">
        <v>20260820</v>
      </c>
      <c r="C99">
        <v>6613</v>
      </c>
      <c r="D99" t="s">
        <v>140</v>
      </c>
      <c r="E99" t="s">
        <v>43</v>
      </c>
      <c r="F99" t="s">
        <v>45</v>
      </c>
      <c r="G99" t="s">
        <v>46</v>
      </c>
      <c r="H99" t="s">
        <v>47</v>
      </c>
      <c r="I99" t="s">
        <v>51</v>
      </c>
      <c r="J99" t="s">
        <v>52</v>
      </c>
      <c r="K99">
        <v>100</v>
      </c>
      <c r="L99">
        <v>2097.8000000000002</v>
      </c>
      <c r="M99">
        <v>209780</v>
      </c>
      <c r="N99" t="s">
        <v>53</v>
      </c>
      <c r="O99">
        <v>0</v>
      </c>
    </row>
    <row r="100" spans="1:15">
      <c r="A100" t="s">
        <v>243</v>
      </c>
      <c r="B100">
        <v>20260820</v>
      </c>
      <c r="C100">
        <v>6613</v>
      </c>
      <c r="D100" t="s">
        <v>140</v>
      </c>
      <c r="E100" t="s">
        <v>43</v>
      </c>
      <c r="F100" t="s">
        <v>45</v>
      </c>
      <c r="G100" t="s">
        <v>46</v>
      </c>
      <c r="H100" t="s">
        <v>47</v>
      </c>
      <c r="I100" t="s">
        <v>48</v>
      </c>
      <c r="J100" t="s">
        <v>49</v>
      </c>
      <c r="K100">
        <v>100</v>
      </c>
      <c r="L100">
        <v>2101.8000000000002</v>
      </c>
      <c r="M100">
        <v>210180</v>
      </c>
      <c r="N100" t="s">
        <v>35</v>
      </c>
      <c r="O100">
        <v>0</v>
      </c>
    </row>
    <row r="101" spans="1:15">
      <c r="A101" t="s">
        <v>244</v>
      </c>
      <c r="B101">
        <v>20260820</v>
      </c>
      <c r="C101">
        <v>3436</v>
      </c>
      <c r="D101" t="s">
        <v>139</v>
      </c>
      <c r="E101" t="s">
        <v>43</v>
      </c>
      <c r="F101" t="s">
        <v>45</v>
      </c>
      <c r="G101" t="s">
        <v>46</v>
      </c>
      <c r="H101" t="s">
        <v>47</v>
      </c>
      <c r="I101" t="s">
        <v>51</v>
      </c>
      <c r="J101" t="s">
        <v>52</v>
      </c>
      <c r="K101">
        <v>200</v>
      </c>
      <c r="L101">
        <v>3846.3</v>
      </c>
      <c r="M101">
        <v>769260</v>
      </c>
      <c r="N101" t="s">
        <v>53</v>
      </c>
      <c r="O101">
        <v>0</v>
      </c>
    </row>
    <row r="102" spans="1:15">
      <c r="A102" t="s">
        <v>245</v>
      </c>
      <c r="B102">
        <v>20260820</v>
      </c>
      <c r="C102">
        <v>3436</v>
      </c>
      <c r="D102" t="s">
        <v>139</v>
      </c>
      <c r="E102" t="s">
        <v>43</v>
      </c>
      <c r="F102" t="s">
        <v>45</v>
      </c>
      <c r="G102" t="s">
        <v>46</v>
      </c>
      <c r="H102" t="s">
        <v>47</v>
      </c>
      <c r="I102" t="s">
        <v>48</v>
      </c>
      <c r="J102" t="s">
        <v>49</v>
      </c>
      <c r="K102">
        <v>100</v>
      </c>
      <c r="L102">
        <v>3827.6</v>
      </c>
      <c r="M102">
        <v>382760</v>
      </c>
      <c r="N102" t="s">
        <v>35</v>
      </c>
      <c r="O102">
        <v>0</v>
      </c>
    </row>
    <row r="103" spans="1:15">
      <c r="A103" t="s">
        <v>246</v>
      </c>
      <c r="B103">
        <v>20260820</v>
      </c>
      <c r="C103">
        <v>6613</v>
      </c>
      <c r="D103" t="s">
        <v>140</v>
      </c>
      <c r="E103" t="s">
        <v>43</v>
      </c>
      <c r="F103" t="s">
        <v>45</v>
      </c>
      <c r="G103" t="s">
        <v>46</v>
      </c>
      <c r="H103" t="s">
        <v>47</v>
      </c>
      <c r="I103" t="s">
        <v>51</v>
      </c>
      <c r="J103" t="s">
        <v>52</v>
      </c>
      <c r="K103">
        <v>100</v>
      </c>
      <c r="L103">
        <v>2103.8000000000002</v>
      </c>
      <c r="M103">
        <v>210380</v>
      </c>
      <c r="N103" t="s">
        <v>53</v>
      </c>
      <c r="O103">
        <v>0</v>
      </c>
    </row>
    <row r="104" spans="1:15">
      <c r="A104" t="s">
        <v>247</v>
      </c>
      <c r="B104">
        <v>20260820</v>
      </c>
      <c r="C104">
        <v>3436</v>
      </c>
      <c r="D104" t="s">
        <v>139</v>
      </c>
      <c r="E104" t="s">
        <v>43</v>
      </c>
      <c r="F104" t="s">
        <v>45</v>
      </c>
      <c r="G104" t="s">
        <v>46</v>
      </c>
      <c r="H104" t="s">
        <v>47</v>
      </c>
      <c r="I104" t="s">
        <v>51</v>
      </c>
      <c r="J104" t="s">
        <v>52</v>
      </c>
      <c r="K104">
        <v>100</v>
      </c>
      <c r="L104">
        <v>3828.3</v>
      </c>
      <c r="M104">
        <v>382830</v>
      </c>
      <c r="N104" t="s">
        <v>53</v>
      </c>
      <c r="O104">
        <v>0</v>
      </c>
    </row>
    <row r="105" spans="1:15">
      <c r="A105" t="s">
        <v>248</v>
      </c>
      <c r="B105">
        <v>20260820</v>
      </c>
      <c r="C105">
        <v>6613</v>
      </c>
      <c r="D105" t="s">
        <v>140</v>
      </c>
      <c r="E105" t="s">
        <v>43</v>
      </c>
      <c r="F105" t="s">
        <v>50</v>
      </c>
      <c r="G105" t="s">
        <v>46</v>
      </c>
      <c r="H105" t="s">
        <v>47</v>
      </c>
      <c r="I105" t="s">
        <v>48</v>
      </c>
      <c r="J105" t="s">
        <v>49</v>
      </c>
      <c r="K105">
        <v>100</v>
      </c>
      <c r="L105">
        <v>2108</v>
      </c>
      <c r="M105">
        <v>210800</v>
      </c>
      <c r="N105" t="s">
        <v>35</v>
      </c>
      <c r="O105">
        <v>0</v>
      </c>
    </row>
    <row r="106" spans="1:15">
      <c r="A106" t="s">
        <v>249</v>
      </c>
      <c r="B106">
        <v>20260820</v>
      </c>
      <c r="C106">
        <v>3436</v>
      </c>
      <c r="D106" t="s">
        <v>139</v>
      </c>
      <c r="E106" t="s">
        <v>43</v>
      </c>
      <c r="F106" t="s">
        <v>45</v>
      </c>
      <c r="G106" t="s">
        <v>46</v>
      </c>
      <c r="H106" t="s">
        <v>47</v>
      </c>
      <c r="I106" t="s">
        <v>48</v>
      </c>
      <c r="J106" t="s">
        <v>49</v>
      </c>
      <c r="K106">
        <v>100</v>
      </c>
      <c r="L106">
        <v>3831.9</v>
      </c>
      <c r="M106">
        <v>383190</v>
      </c>
      <c r="N106" t="s">
        <v>35</v>
      </c>
      <c r="O106">
        <v>0</v>
      </c>
    </row>
    <row r="107" spans="1:15">
      <c r="A107" t="s">
        <v>250</v>
      </c>
      <c r="B107">
        <v>20260820</v>
      </c>
      <c r="C107">
        <v>3436</v>
      </c>
      <c r="D107" t="s">
        <v>139</v>
      </c>
      <c r="E107" t="s">
        <v>43</v>
      </c>
      <c r="F107" t="s">
        <v>45</v>
      </c>
      <c r="G107" t="s">
        <v>46</v>
      </c>
      <c r="H107" t="s">
        <v>47</v>
      </c>
      <c r="I107" t="s">
        <v>48</v>
      </c>
      <c r="J107" t="s">
        <v>49</v>
      </c>
      <c r="K107">
        <v>100</v>
      </c>
      <c r="L107">
        <v>3836.9</v>
      </c>
      <c r="M107">
        <v>383690</v>
      </c>
      <c r="N107" t="s">
        <v>35</v>
      </c>
      <c r="O107">
        <v>0</v>
      </c>
    </row>
    <row r="108" spans="1:15">
      <c r="A108" t="s">
        <v>251</v>
      </c>
      <c r="B108">
        <v>20260820</v>
      </c>
      <c r="C108">
        <v>6613</v>
      </c>
      <c r="D108" t="s">
        <v>140</v>
      </c>
      <c r="E108" t="s">
        <v>43</v>
      </c>
      <c r="F108" t="s">
        <v>45</v>
      </c>
      <c r="G108" t="s">
        <v>46</v>
      </c>
      <c r="H108" t="s">
        <v>47</v>
      </c>
      <c r="I108" t="s">
        <v>51</v>
      </c>
      <c r="J108" t="s">
        <v>52</v>
      </c>
      <c r="K108">
        <v>100</v>
      </c>
      <c r="L108">
        <v>2119.8000000000002</v>
      </c>
      <c r="M108">
        <v>211980</v>
      </c>
      <c r="N108" t="s">
        <v>53</v>
      </c>
      <c r="O108">
        <v>0</v>
      </c>
    </row>
    <row r="109" spans="1:15">
      <c r="A109" t="s">
        <v>252</v>
      </c>
      <c r="B109">
        <v>20260820</v>
      </c>
      <c r="C109">
        <v>3436</v>
      </c>
      <c r="D109" t="s">
        <v>139</v>
      </c>
      <c r="E109" t="s">
        <v>43</v>
      </c>
      <c r="F109" t="s">
        <v>45</v>
      </c>
      <c r="G109" t="s">
        <v>46</v>
      </c>
      <c r="H109" t="s">
        <v>47</v>
      </c>
      <c r="I109" t="s">
        <v>51</v>
      </c>
      <c r="J109" t="s">
        <v>52</v>
      </c>
      <c r="K109">
        <v>200</v>
      </c>
      <c r="L109">
        <v>3822</v>
      </c>
      <c r="M109">
        <v>764400</v>
      </c>
      <c r="N109" t="s">
        <v>53</v>
      </c>
      <c r="O109">
        <v>0</v>
      </c>
    </row>
    <row r="110" spans="1:15">
      <c r="A110" t="s">
        <v>253</v>
      </c>
      <c r="B110">
        <v>20260820</v>
      </c>
      <c r="C110">
        <v>9984</v>
      </c>
      <c r="D110" t="s">
        <v>143</v>
      </c>
      <c r="E110" t="s">
        <v>43</v>
      </c>
      <c r="F110" t="s">
        <v>45</v>
      </c>
      <c r="G110" t="s">
        <v>46</v>
      </c>
      <c r="H110" t="s">
        <v>47</v>
      </c>
      <c r="I110" t="s">
        <v>51</v>
      </c>
      <c r="J110" t="s">
        <v>52</v>
      </c>
      <c r="K110">
        <v>100</v>
      </c>
      <c r="L110">
        <v>5942.5</v>
      </c>
      <c r="M110">
        <v>594250</v>
      </c>
      <c r="N110" t="s">
        <v>53</v>
      </c>
      <c r="O110">
        <v>0</v>
      </c>
    </row>
    <row r="111" spans="1:15">
      <c r="A111" t="s">
        <v>254</v>
      </c>
      <c r="B111">
        <v>20260820</v>
      </c>
      <c r="C111">
        <v>6613</v>
      </c>
      <c r="D111" t="s">
        <v>140</v>
      </c>
      <c r="E111" t="s">
        <v>43</v>
      </c>
      <c r="F111" t="s">
        <v>50</v>
      </c>
      <c r="G111" t="s">
        <v>46</v>
      </c>
      <c r="H111" t="s">
        <v>47</v>
      </c>
      <c r="I111" t="s">
        <v>48</v>
      </c>
      <c r="J111" t="s">
        <v>49</v>
      </c>
      <c r="K111">
        <v>100</v>
      </c>
      <c r="L111">
        <v>2127</v>
      </c>
      <c r="M111">
        <v>212700</v>
      </c>
      <c r="N111" t="s">
        <v>35</v>
      </c>
      <c r="O111">
        <v>0</v>
      </c>
    </row>
    <row r="112" spans="1:15">
      <c r="A112" t="s">
        <v>255</v>
      </c>
      <c r="B112">
        <v>20260820</v>
      </c>
      <c r="C112">
        <v>9984</v>
      </c>
      <c r="D112" t="s">
        <v>143</v>
      </c>
      <c r="E112" t="s">
        <v>43</v>
      </c>
      <c r="F112" t="s">
        <v>45</v>
      </c>
      <c r="G112" t="s">
        <v>46</v>
      </c>
      <c r="H112" t="s">
        <v>47</v>
      </c>
      <c r="I112" t="s">
        <v>48</v>
      </c>
      <c r="J112" t="s">
        <v>49</v>
      </c>
      <c r="K112">
        <v>100</v>
      </c>
      <c r="L112">
        <v>5958.9</v>
      </c>
      <c r="M112">
        <v>595890</v>
      </c>
      <c r="N112" t="s">
        <v>35</v>
      </c>
      <c r="O112">
        <v>0</v>
      </c>
    </row>
    <row r="113" spans="1:15">
      <c r="A113" t="s">
        <v>256</v>
      </c>
      <c r="B113">
        <v>20260820</v>
      </c>
      <c r="C113">
        <v>3436</v>
      </c>
      <c r="D113" t="s">
        <v>139</v>
      </c>
      <c r="E113" t="s">
        <v>43</v>
      </c>
      <c r="F113" t="s">
        <v>45</v>
      </c>
      <c r="G113" t="s">
        <v>46</v>
      </c>
      <c r="H113" t="s">
        <v>47</v>
      </c>
      <c r="I113" t="s">
        <v>48</v>
      </c>
      <c r="J113" t="s">
        <v>49</v>
      </c>
      <c r="K113">
        <v>100</v>
      </c>
      <c r="L113">
        <v>3825.9</v>
      </c>
      <c r="M113">
        <v>382590</v>
      </c>
      <c r="N113" t="s">
        <v>35</v>
      </c>
      <c r="O113">
        <v>0</v>
      </c>
    </row>
    <row r="114" spans="1:15">
      <c r="A114" t="s">
        <v>257</v>
      </c>
      <c r="B114">
        <v>20260820</v>
      </c>
      <c r="C114">
        <v>6613</v>
      </c>
      <c r="D114" t="s">
        <v>140</v>
      </c>
      <c r="E114" t="s">
        <v>43</v>
      </c>
      <c r="F114" t="s">
        <v>50</v>
      </c>
      <c r="G114" t="s">
        <v>46</v>
      </c>
      <c r="H114" t="s">
        <v>47</v>
      </c>
      <c r="I114" t="s">
        <v>48</v>
      </c>
      <c r="J114" t="s">
        <v>49</v>
      </c>
      <c r="K114">
        <v>100</v>
      </c>
      <c r="L114">
        <v>2147</v>
      </c>
      <c r="M114">
        <v>214700</v>
      </c>
      <c r="N114" t="s">
        <v>35</v>
      </c>
      <c r="O114">
        <v>0</v>
      </c>
    </row>
    <row r="115" spans="1:15">
      <c r="A115" t="s">
        <v>258</v>
      </c>
      <c r="B115">
        <v>20260820</v>
      </c>
      <c r="C115">
        <v>9984</v>
      </c>
      <c r="D115" t="s">
        <v>143</v>
      </c>
      <c r="E115" t="s">
        <v>43</v>
      </c>
      <c r="F115" t="s">
        <v>45</v>
      </c>
      <c r="G115" t="s">
        <v>46</v>
      </c>
      <c r="H115" t="s">
        <v>47</v>
      </c>
      <c r="I115" t="s">
        <v>51</v>
      </c>
      <c r="J115" t="s">
        <v>52</v>
      </c>
      <c r="K115">
        <v>100</v>
      </c>
      <c r="L115">
        <v>5946.1</v>
      </c>
      <c r="M115">
        <v>594610</v>
      </c>
      <c r="N115" t="s">
        <v>53</v>
      </c>
      <c r="O115">
        <v>0</v>
      </c>
    </row>
    <row r="116" spans="1:15">
      <c r="A116" t="s">
        <v>259</v>
      </c>
      <c r="B116">
        <v>20260820</v>
      </c>
      <c r="C116">
        <v>3436</v>
      </c>
      <c r="D116" t="s">
        <v>139</v>
      </c>
      <c r="E116" t="s">
        <v>43</v>
      </c>
      <c r="F116" t="s">
        <v>45</v>
      </c>
      <c r="G116" t="s">
        <v>46</v>
      </c>
      <c r="H116" t="s">
        <v>47</v>
      </c>
      <c r="I116" t="s">
        <v>51</v>
      </c>
      <c r="J116" t="s">
        <v>52</v>
      </c>
      <c r="K116">
        <v>100</v>
      </c>
      <c r="L116">
        <v>3820.6</v>
      </c>
      <c r="M116">
        <v>382060</v>
      </c>
      <c r="N116" t="s">
        <v>53</v>
      </c>
      <c r="O116">
        <v>0</v>
      </c>
    </row>
    <row r="117" spans="1:15">
      <c r="A117" t="s">
        <v>260</v>
      </c>
      <c r="B117">
        <v>20260820</v>
      </c>
      <c r="C117">
        <v>6613</v>
      </c>
      <c r="D117" t="s">
        <v>140</v>
      </c>
      <c r="E117" t="s">
        <v>43</v>
      </c>
      <c r="F117" t="s">
        <v>45</v>
      </c>
      <c r="G117" t="s">
        <v>46</v>
      </c>
      <c r="H117" t="s">
        <v>47</v>
      </c>
      <c r="I117" t="s">
        <v>51</v>
      </c>
      <c r="J117" t="s">
        <v>52</v>
      </c>
      <c r="K117">
        <v>100</v>
      </c>
      <c r="L117">
        <v>2129.6999999999998</v>
      </c>
      <c r="M117">
        <v>212970</v>
      </c>
      <c r="N117" t="s">
        <v>53</v>
      </c>
      <c r="O117">
        <v>0</v>
      </c>
    </row>
    <row r="118" spans="1:15">
      <c r="A118" t="s">
        <v>260</v>
      </c>
      <c r="B118">
        <v>20260820</v>
      </c>
      <c r="C118">
        <v>6613</v>
      </c>
      <c r="D118" t="s">
        <v>140</v>
      </c>
      <c r="E118" t="s">
        <v>43</v>
      </c>
      <c r="F118" t="s">
        <v>45</v>
      </c>
      <c r="G118" t="s">
        <v>46</v>
      </c>
      <c r="H118" t="s">
        <v>47</v>
      </c>
      <c r="I118" t="s">
        <v>51</v>
      </c>
      <c r="J118" t="s">
        <v>52</v>
      </c>
      <c r="K118">
        <v>100</v>
      </c>
      <c r="L118">
        <v>2129.6</v>
      </c>
      <c r="M118">
        <v>212960</v>
      </c>
      <c r="N118" t="s">
        <v>53</v>
      </c>
      <c r="O118">
        <v>0</v>
      </c>
    </row>
    <row r="119" spans="1:15">
      <c r="A119" t="s">
        <v>261</v>
      </c>
      <c r="B119">
        <v>20260820</v>
      </c>
      <c r="C119">
        <v>6613</v>
      </c>
      <c r="D119" t="s">
        <v>140</v>
      </c>
      <c r="E119" t="s">
        <v>43</v>
      </c>
      <c r="F119" t="s">
        <v>45</v>
      </c>
      <c r="G119" t="s">
        <v>46</v>
      </c>
      <c r="H119" t="s">
        <v>47</v>
      </c>
      <c r="I119" t="s">
        <v>48</v>
      </c>
      <c r="J119" t="s">
        <v>49</v>
      </c>
      <c r="K119">
        <v>100</v>
      </c>
      <c r="L119">
        <v>2130</v>
      </c>
      <c r="M119">
        <v>213000</v>
      </c>
      <c r="N119" t="s">
        <v>35</v>
      </c>
      <c r="O119">
        <v>0</v>
      </c>
    </row>
    <row r="120" spans="1:15">
      <c r="A120" t="s">
        <v>261</v>
      </c>
      <c r="B120">
        <v>20260820</v>
      </c>
      <c r="C120">
        <v>6613</v>
      </c>
      <c r="D120" t="s">
        <v>140</v>
      </c>
      <c r="E120" t="s">
        <v>43</v>
      </c>
      <c r="F120" t="s">
        <v>50</v>
      </c>
      <c r="G120" t="s">
        <v>46</v>
      </c>
      <c r="H120" t="s">
        <v>47</v>
      </c>
      <c r="I120" t="s">
        <v>48</v>
      </c>
      <c r="J120" t="s">
        <v>49</v>
      </c>
      <c r="K120">
        <v>100</v>
      </c>
      <c r="L120">
        <v>2130</v>
      </c>
      <c r="M120">
        <v>213000</v>
      </c>
      <c r="N120" t="s">
        <v>35</v>
      </c>
      <c r="O120">
        <v>0</v>
      </c>
    </row>
    <row r="121" spans="1:15">
      <c r="A121" t="s">
        <v>262</v>
      </c>
      <c r="B121">
        <v>20260820</v>
      </c>
      <c r="C121">
        <v>3436</v>
      </c>
      <c r="D121" t="s">
        <v>139</v>
      </c>
      <c r="E121" t="s">
        <v>43</v>
      </c>
      <c r="F121" t="s">
        <v>45</v>
      </c>
      <c r="G121" t="s">
        <v>46</v>
      </c>
      <c r="H121" t="s">
        <v>47</v>
      </c>
      <c r="I121" t="s">
        <v>48</v>
      </c>
      <c r="J121" t="s">
        <v>49</v>
      </c>
      <c r="K121">
        <v>100</v>
      </c>
      <c r="L121">
        <v>3813.3</v>
      </c>
      <c r="M121">
        <v>381330</v>
      </c>
      <c r="N121" t="s">
        <v>35</v>
      </c>
      <c r="O121">
        <v>0</v>
      </c>
    </row>
    <row r="122" spans="1:15">
      <c r="A122" t="s">
        <v>263</v>
      </c>
      <c r="B122">
        <v>20260820</v>
      </c>
      <c r="C122">
        <v>9984</v>
      </c>
      <c r="D122" t="s">
        <v>143</v>
      </c>
      <c r="E122" t="s">
        <v>43</v>
      </c>
      <c r="F122" t="s">
        <v>45</v>
      </c>
      <c r="G122" t="s">
        <v>46</v>
      </c>
      <c r="H122" t="s">
        <v>47</v>
      </c>
      <c r="I122" t="s">
        <v>48</v>
      </c>
      <c r="J122" t="s">
        <v>49</v>
      </c>
      <c r="K122">
        <v>100</v>
      </c>
      <c r="L122">
        <v>5897.8</v>
      </c>
      <c r="M122">
        <v>589780</v>
      </c>
      <c r="N122" t="s">
        <v>35</v>
      </c>
      <c r="O122">
        <v>0</v>
      </c>
    </row>
    <row r="123" spans="1:15">
      <c r="A123" t="s">
        <v>264</v>
      </c>
      <c r="B123">
        <v>20260820</v>
      </c>
      <c r="C123">
        <v>3436</v>
      </c>
      <c r="D123" t="s">
        <v>139</v>
      </c>
      <c r="E123" t="s">
        <v>43</v>
      </c>
      <c r="F123" t="s">
        <v>45</v>
      </c>
      <c r="G123" t="s">
        <v>46</v>
      </c>
      <c r="H123" t="s">
        <v>47</v>
      </c>
      <c r="I123" t="s">
        <v>51</v>
      </c>
      <c r="J123" t="s">
        <v>52</v>
      </c>
      <c r="K123">
        <v>100</v>
      </c>
      <c r="L123">
        <v>3809.2</v>
      </c>
      <c r="M123">
        <v>380920</v>
      </c>
      <c r="N123" t="s">
        <v>53</v>
      </c>
      <c r="O123">
        <v>0</v>
      </c>
    </row>
    <row r="124" spans="1:15">
      <c r="A124" t="s">
        <v>265</v>
      </c>
      <c r="B124">
        <v>20260820</v>
      </c>
      <c r="C124">
        <v>9984</v>
      </c>
      <c r="D124" t="s">
        <v>143</v>
      </c>
      <c r="E124" t="s">
        <v>43</v>
      </c>
      <c r="F124" t="s">
        <v>45</v>
      </c>
      <c r="G124" t="s">
        <v>46</v>
      </c>
      <c r="H124" t="s">
        <v>47</v>
      </c>
      <c r="I124" t="s">
        <v>51</v>
      </c>
      <c r="J124" t="s">
        <v>52</v>
      </c>
      <c r="K124">
        <v>100</v>
      </c>
      <c r="L124">
        <v>5865.3</v>
      </c>
      <c r="M124">
        <v>586530</v>
      </c>
      <c r="N124" t="s">
        <v>53</v>
      </c>
      <c r="O124">
        <v>0</v>
      </c>
    </row>
    <row r="125" spans="1:15">
      <c r="A125" t="s">
        <v>266</v>
      </c>
      <c r="B125">
        <v>20260820</v>
      </c>
      <c r="C125">
        <v>3436</v>
      </c>
      <c r="D125" t="s">
        <v>139</v>
      </c>
      <c r="E125" t="s">
        <v>43</v>
      </c>
      <c r="F125" t="s">
        <v>50</v>
      </c>
      <c r="G125" t="s">
        <v>267</v>
      </c>
      <c r="H125" t="s">
        <v>268</v>
      </c>
      <c r="I125" t="s">
        <v>48</v>
      </c>
      <c r="J125" t="s">
        <v>49</v>
      </c>
      <c r="K125">
        <v>100</v>
      </c>
      <c r="L125">
        <v>3805</v>
      </c>
      <c r="M125">
        <v>380500</v>
      </c>
      <c r="N125" t="s">
        <v>35</v>
      </c>
      <c r="O125">
        <v>0</v>
      </c>
    </row>
    <row r="126" spans="1:15">
      <c r="A126" t="s">
        <v>269</v>
      </c>
      <c r="B126">
        <v>20260820</v>
      </c>
      <c r="C126">
        <v>3436</v>
      </c>
      <c r="D126" t="s">
        <v>139</v>
      </c>
      <c r="E126" t="s">
        <v>43</v>
      </c>
      <c r="F126" t="s">
        <v>45</v>
      </c>
      <c r="G126" t="s">
        <v>267</v>
      </c>
      <c r="H126" t="s">
        <v>268</v>
      </c>
      <c r="I126" t="s">
        <v>51</v>
      </c>
      <c r="J126" t="s">
        <v>52</v>
      </c>
      <c r="K126">
        <v>100</v>
      </c>
      <c r="L126">
        <v>3796</v>
      </c>
      <c r="M126">
        <v>379600</v>
      </c>
      <c r="N126" t="s">
        <v>53</v>
      </c>
      <c r="O126">
        <v>0</v>
      </c>
    </row>
    <row r="127" spans="1:15">
      <c r="A127" t="s">
        <v>270</v>
      </c>
      <c r="B127">
        <v>20260820</v>
      </c>
      <c r="C127">
        <v>3436</v>
      </c>
      <c r="D127" t="s">
        <v>139</v>
      </c>
      <c r="E127" t="s">
        <v>43</v>
      </c>
      <c r="F127" t="s">
        <v>45</v>
      </c>
      <c r="G127" t="s">
        <v>267</v>
      </c>
      <c r="H127" t="s">
        <v>268</v>
      </c>
      <c r="I127" t="s">
        <v>48</v>
      </c>
      <c r="J127" t="s">
        <v>49</v>
      </c>
      <c r="K127">
        <v>100</v>
      </c>
      <c r="L127">
        <v>3793.8</v>
      </c>
      <c r="M127">
        <v>379380</v>
      </c>
      <c r="N127" t="s">
        <v>35</v>
      </c>
      <c r="O127">
        <v>0</v>
      </c>
    </row>
    <row r="128" spans="1:15">
      <c r="A128" t="s">
        <v>271</v>
      </c>
      <c r="B128">
        <v>20260820</v>
      </c>
      <c r="C128">
        <v>9984</v>
      </c>
      <c r="D128" t="s">
        <v>143</v>
      </c>
      <c r="E128" t="s">
        <v>43</v>
      </c>
      <c r="F128" t="s">
        <v>45</v>
      </c>
      <c r="G128" t="s">
        <v>267</v>
      </c>
      <c r="H128" t="s">
        <v>268</v>
      </c>
      <c r="I128" t="s">
        <v>48</v>
      </c>
      <c r="J128" t="s">
        <v>49</v>
      </c>
      <c r="K128">
        <v>100</v>
      </c>
      <c r="L128">
        <v>5863</v>
      </c>
      <c r="M128">
        <v>586300</v>
      </c>
      <c r="N128" t="s">
        <v>35</v>
      </c>
      <c r="O128">
        <v>0</v>
      </c>
    </row>
    <row r="129" spans="1:15">
      <c r="A129" t="s">
        <v>272</v>
      </c>
      <c r="B129">
        <v>20260820</v>
      </c>
      <c r="C129">
        <v>6613</v>
      </c>
      <c r="D129" t="s">
        <v>140</v>
      </c>
      <c r="E129" t="s">
        <v>43</v>
      </c>
      <c r="F129" t="s">
        <v>50</v>
      </c>
      <c r="G129" t="s">
        <v>46</v>
      </c>
      <c r="H129" t="s">
        <v>47</v>
      </c>
      <c r="I129" t="s">
        <v>51</v>
      </c>
      <c r="J129" t="s">
        <v>52</v>
      </c>
      <c r="K129">
        <v>200</v>
      </c>
      <c r="L129">
        <v>2093</v>
      </c>
      <c r="M129">
        <v>418600</v>
      </c>
      <c r="N129" t="s">
        <v>53</v>
      </c>
      <c r="O129">
        <v>0</v>
      </c>
    </row>
    <row r="130" spans="1:15">
      <c r="A130" s="1" t="s">
        <v>138</v>
      </c>
      <c r="B130" s="1" t="s">
        <v>138</v>
      </c>
      <c r="C130" s="1" t="s">
        <v>138</v>
      </c>
      <c r="D130" s="1" t="s">
        <v>138</v>
      </c>
      <c r="E130" s="1" t="s">
        <v>138</v>
      </c>
      <c r="F130" s="1" t="s">
        <v>138</v>
      </c>
      <c r="G130" s="1" t="s">
        <v>138</v>
      </c>
      <c r="H130" s="1" t="s">
        <v>138</v>
      </c>
      <c r="I130" s="1" t="s">
        <v>138</v>
      </c>
      <c r="J130" s="1" t="s">
        <v>138</v>
      </c>
      <c r="K130" s="1" t="s">
        <v>138</v>
      </c>
      <c r="L130" s="1" t="s">
        <v>138</v>
      </c>
      <c r="M130" s="1" t="s">
        <v>138</v>
      </c>
      <c r="N130" s="1" t="s">
        <v>138</v>
      </c>
      <c r="O130" s="1" t="s">
        <v>138</v>
      </c>
    </row>
    <row r="133" spans="1:15">
      <c r="A133" s="1" t="s">
        <v>346</v>
      </c>
      <c r="B133" s="1">
        <v>20260904</v>
      </c>
      <c r="C133" s="1">
        <v>7012</v>
      </c>
      <c r="D133" s="1" t="s">
        <v>294</v>
      </c>
      <c r="E133" s="1" t="s">
        <v>43</v>
      </c>
      <c r="F133" s="1" t="s">
        <v>50</v>
      </c>
      <c r="G133" s="1" t="s">
        <v>46</v>
      </c>
      <c r="H133" s="1" t="s">
        <v>47</v>
      </c>
      <c r="I133" s="1" t="s">
        <v>48</v>
      </c>
      <c r="J133" s="1" t="s">
        <v>49</v>
      </c>
      <c r="K133" s="1">
        <v>100</v>
      </c>
      <c r="L133" s="1">
        <v>2446.5</v>
      </c>
      <c r="M133" s="1">
        <v>244650</v>
      </c>
      <c r="N133" s="1" t="s">
        <v>35</v>
      </c>
      <c r="O133" s="1">
        <v>0</v>
      </c>
    </row>
    <row r="134" spans="1:15">
      <c r="A134" t="s">
        <v>343</v>
      </c>
      <c r="B134">
        <v>20260904</v>
      </c>
      <c r="C134">
        <v>7012</v>
      </c>
      <c r="D134" t="s">
        <v>294</v>
      </c>
      <c r="E134" t="s">
        <v>43</v>
      </c>
      <c r="F134" t="s">
        <v>45</v>
      </c>
      <c r="G134" t="s">
        <v>46</v>
      </c>
      <c r="H134" t="s">
        <v>47</v>
      </c>
      <c r="I134" t="s">
        <v>51</v>
      </c>
      <c r="J134" t="s">
        <v>52</v>
      </c>
      <c r="K134">
        <v>100</v>
      </c>
      <c r="L134">
        <v>2458.9</v>
      </c>
      <c r="M134">
        <v>245890</v>
      </c>
      <c r="N134" t="s">
        <v>53</v>
      </c>
      <c r="O134">
        <v>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4830-90E7-456A-838C-2542EA37EBC7}">
  <sheetPr codeName="Sheet5"/>
  <dimension ref="A1:R17"/>
  <sheetViews>
    <sheetView workbookViewId="0">
      <selection activeCell="A3" sqref="A3:XFD3"/>
    </sheetView>
  </sheetViews>
  <sheetFormatPr defaultRowHeight="18.75"/>
  <sheetData>
    <row r="1" spans="1:18">
      <c r="A1" t="str" cm="1">
        <f t="array" ref="A1">_xll.RssPositionList($A$2:$R$2, "", "A")</f>
        <v>=RssPositionList($A$2:$R$2, "", "A") =&gt; 配信中</v>
      </c>
    </row>
    <row r="2" spans="1:18">
      <c r="A2" t="s">
        <v>54</v>
      </c>
      <c r="B2" t="s">
        <v>10</v>
      </c>
      <c r="C2" t="s">
        <v>11</v>
      </c>
      <c r="D2" t="s">
        <v>55</v>
      </c>
      <c r="E2" t="s">
        <v>56</v>
      </c>
      <c r="F2" t="s">
        <v>57</v>
      </c>
      <c r="G2" t="s">
        <v>58</v>
      </c>
      <c r="H2" t="s">
        <v>59</v>
      </c>
      <c r="I2" t="s">
        <v>60</v>
      </c>
      <c r="J2" t="s">
        <v>61</v>
      </c>
      <c r="K2" t="s">
        <v>62</v>
      </c>
      <c r="L2" t="s">
        <v>63</v>
      </c>
      <c r="M2" t="s">
        <v>64</v>
      </c>
      <c r="N2" t="s">
        <v>65</v>
      </c>
      <c r="O2" t="s">
        <v>66</v>
      </c>
      <c r="P2" t="s">
        <v>67</v>
      </c>
      <c r="Q2" t="s">
        <v>68</v>
      </c>
      <c r="R2" t="s">
        <v>69</v>
      </c>
    </row>
    <row r="3" spans="1:18">
      <c r="A3">
        <v>1605</v>
      </c>
      <c r="B3" t="s">
        <v>70</v>
      </c>
      <c r="C3" t="s">
        <v>36</v>
      </c>
      <c r="D3">
        <v>11</v>
      </c>
      <c r="E3">
        <v>0</v>
      </c>
      <c r="F3">
        <v>4717.2727000000004</v>
      </c>
      <c r="G3">
        <v>4051</v>
      </c>
      <c r="H3">
        <v>-61</v>
      </c>
      <c r="I3">
        <v>-1.48</v>
      </c>
      <c r="J3">
        <v>44561</v>
      </c>
      <c r="K3">
        <v>-7328.9997000000003</v>
      </c>
      <c r="L3">
        <v>-14.124108</v>
      </c>
      <c r="M3" t="s">
        <v>34</v>
      </c>
      <c r="N3">
        <v>0</v>
      </c>
      <c r="O3">
        <v>4050</v>
      </c>
      <c r="P3">
        <v>9.23</v>
      </c>
      <c r="Q3">
        <v>0.92</v>
      </c>
      <c r="R3">
        <v>2.76</v>
      </c>
    </row>
    <row r="4" spans="1:18">
      <c r="A4" t="s">
        <v>355</v>
      </c>
      <c r="B4" t="s">
        <v>356</v>
      </c>
      <c r="C4" t="s">
        <v>357</v>
      </c>
      <c r="D4">
        <v>15</v>
      </c>
      <c r="E4">
        <v>0</v>
      </c>
      <c r="F4">
        <v>90501.133300000001</v>
      </c>
      <c r="G4">
        <v>51000</v>
      </c>
      <c r="H4">
        <v>0</v>
      </c>
      <c r="I4">
        <v>0</v>
      </c>
      <c r="J4">
        <v>765000</v>
      </c>
      <c r="K4">
        <v>-592516.99950000003</v>
      </c>
      <c r="L4">
        <v>-43.647114999999999</v>
      </c>
      <c r="M4" t="s">
        <v>358</v>
      </c>
      <c r="N4">
        <v>0</v>
      </c>
      <c r="O4">
        <v>51000</v>
      </c>
      <c r="P4">
        <v>7.05</v>
      </c>
      <c r="Q4">
        <v>19.899999999999999</v>
      </c>
      <c r="R4">
        <v>0</v>
      </c>
    </row>
    <row r="5" spans="1:18">
      <c r="A5" t="s">
        <v>355</v>
      </c>
      <c r="B5" t="s">
        <v>356</v>
      </c>
      <c r="C5" t="s">
        <v>359</v>
      </c>
      <c r="D5">
        <v>1</v>
      </c>
      <c r="E5">
        <v>0</v>
      </c>
      <c r="F5">
        <v>92644</v>
      </c>
      <c r="G5">
        <v>51000</v>
      </c>
      <c r="H5">
        <v>0</v>
      </c>
      <c r="I5">
        <v>0</v>
      </c>
      <c r="J5">
        <v>51000</v>
      </c>
      <c r="K5">
        <v>-41644</v>
      </c>
      <c r="L5">
        <v>-44.950563000000002</v>
      </c>
      <c r="M5" t="s">
        <v>358</v>
      </c>
      <c r="N5">
        <v>0</v>
      </c>
      <c r="O5">
        <v>51000</v>
      </c>
      <c r="P5">
        <v>7.05</v>
      </c>
      <c r="Q5">
        <v>19.899999999999999</v>
      </c>
      <c r="R5">
        <v>0</v>
      </c>
    </row>
    <row r="6" spans="1:18">
      <c r="A6">
        <v>5706</v>
      </c>
      <c r="B6" t="s">
        <v>72</v>
      </c>
      <c r="C6" t="s">
        <v>71</v>
      </c>
      <c r="D6">
        <v>1</v>
      </c>
      <c r="E6">
        <v>0</v>
      </c>
      <c r="F6">
        <v>27872</v>
      </c>
      <c r="G6">
        <v>26340</v>
      </c>
      <c r="H6">
        <v>-2485</v>
      </c>
      <c r="I6">
        <v>-8.6199999999999992</v>
      </c>
      <c r="J6">
        <v>26340</v>
      </c>
      <c r="K6">
        <v>-1532</v>
      </c>
      <c r="L6">
        <v>-5.496556</v>
      </c>
      <c r="M6" t="s">
        <v>141</v>
      </c>
      <c r="N6">
        <v>0</v>
      </c>
      <c r="O6">
        <v>26600</v>
      </c>
      <c r="P6">
        <v>17.72</v>
      </c>
      <c r="Q6">
        <v>3.65</v>
      </c>
      <c r="R6">
        <v>0.91</v>
      </c>
    </row>
    <row r="7" spans="1:18">
      <c r="A7">
        <v>5803</v>
      </c>
      <c r="B7" t="s">
        <v>73</v>
      </c>
      <c r="C7" t="s">
        <v>71</v>
      </c>
      <c r="D7">
        <v>90</v>
      </c>
      <c r="E7">
        <v>0</v>
      </c>
      <c r="F7">
        <v>4436.3554999999997</v>
      </c>
      <c r="G7">
        <v>5090</v>
      </c>
      <c r="H7">
        <v>-208</v>
      </c>
      <c r="I7">
        <v>-3.93</v>
      </c>
      <c r="J7">
        <v>458100</v>
      </c>
      <c r="K7">
        <v>58828.004999999997</v>
      </c>
      <c r="L7">
        <v>14.733817</v>
      </c>
      <c r="M7" t="s">
        <v>34</v>
      </c>
      <c r="N7">
        <v>0</v>
      </c>
      <c r="O7">
        <v>5110</v>
      </c>
      <c r="P7">
        <v>24.72</v>
      </c>
      <c r="Q7">
        <v>15.03</v>
      </c>
      <c r="R7">
        <v>0.75</v>
      </c>
    </row>
    <row r="8" spans="1:18">
      <c r="A8">
        <v>6228</v>
      </c>
      <c r="B8" t="s">
        <v>74</v>
      </c>
      <c r="C8" t="s">
        <v>36</v>
      </c>
      <c r="D8">
        <v>100</v>
      </c>
      <c r="E8">
        <v>0</v>
      </c>
      <c r="F8">
        <v>1100.5</v>
      </c>
      <c r="G8">
        <v>505</v>
      </c>
      <c r="H8">
        <v>18</v>
      </c>
      <c r="I8">
        <v>3.7</v>
      </c>
      <c r="J8">
        <v>50500</v>
      </c>
      <c r="K8">
        <v>-59550</v>
      </c>
      <c r="L8">
        <v>-54.111767</v>
      </c>
      <c r="M8" t="s">
        <v>34</v>
      </c>
      <c r="N8">
        <v>0</v>
      </c>
      <c r="O8">
        <v>505</v>
      </c>
      <c r="P8">
        <v>0</v>
      </c>
      <c r="Q8">
        <v>0.75</v>
      </c>
      <c r="R8">
        <v>0</v>
      </c>
    </row>
    <row r="9" spans="1:18">
      <c r="A9">
        <v>6702</v>
      </c>
      <c r="B9" t="s">
        <v>75</v>
      </c>
      <c r="C9" t="s">
        <v>71</v>
      </c>
      <c r="D9">
        <v>20</v>
      </c>
      <c r="E9">
        <v>0</v>
      </c>
      <c r="F9">
        <v>3361.75</v>
      </c>
      <c r="G9">
        <v>3801</v>
      </c>
      <c r="H9">
        <v>-146</v>
      </c>
      <c r="I9">
        <v>-3.7</v>
      </c>
      <c r="J9">
        <v>76020</v>
      </c>
      <c r="K9">
        <v>8785</v>
      </c>
      <c r="L9">
        <v>13.066110999999999</v>
      </c>
      <c r="M9" t="s">
        <v>34</v>
      </c>
      <c r="N9">
        <v>0</v>
      </c>
      <c r="O9">
        <v>3800</v>
      </c>
      <c r="P9">
        <v>21.22</v>
      </c>
      <c r="Q9">
        <v>3.25</v>
      </c>
      <c r="R9">
        <v>1.45</v>
      </c>
    </row>
    <row r="10" spans="1:18">
      <c r="A10">
        <v>6857</v>
      </c>
      <c r="B10" t="s">
        <v>76</v>
      </c>
      <c r="C10" t="s">
        <v>71</v>
      </c>
      <c r="D10">
        <v>1</v>
      </c>
      <c r="E10">
        <v>0</v>
      </c>
      <c r="F10">
        <v>26228</v>
      </c>
      <c r="G10">
        <v>32540</v>
      </c>
      <c r="H10">
        <v>-840</v>
      </c>
      <c r="I10">
        <v>-2.52</v>
      </c>
      <c r="J10">
        <v>32540</v>
      </c>
      <c r="K10">
        <v>6312</v>
      </c>
      <c r="L10">
        <v>24.065884</v>
      </c>
      <c r="M10" t="s">
        <v>34</v>
      </c>
      <c r="N10">
        <v>0</v>
      </c>
      <c r="O10">
        <v>32620</v>
      </c>
      <c r="P10">
        <v>35.590000000000003</v>
      </c>
      <c r="Q10">
        <v>29.64</v>
      </c>
      <c r="R10">
        <v>0.22</v>
      </c>
    </row>
    <row r="11" spans="1:18">
      <c r="A11">
        <v>6920</v>
      </c>
      <c r="B11" t="s">
        <v>77</v>
      </c>
      <c r="C11" t="s">
        <v>71</v>
      </c>
      <c r="D11">
        <v>7</v>
      </c>
      <c r="E11">
        <v>0</v>
      </c>
      <c r="F11">
        <v>37002.428500000002</v>
      </c>
      <c r="G11">
        <v>32350</v>
      </c>
      <c r="H11">
        <v>-730</v>
      </c>
      <c r="I11">
        <v>-2.21</v>
      </c>
      <c r="J11">
        <v>226450</v>
      </c>
      <c r="K11">
        <v>-32566.999500000002</v>
      </c>
      <c r="L11">
        <v>-12.573306000000001</v>
      </c>
      <c r="M11" t="s">
        <v>34</v>
      </c>
      <c r="N11">
        <v>0</v>
      </c>
      <c r="O11">
        <v>32000</v>
      </c>
      <c r="P11">
        <v>32.21</v>
      </c>
      <c r="Q11">
        <v>11.74</v>
      </c>
      <c r="R11">
        <v>1.0900000000000001</v>
      </c>
    </row>
    <row r="12" spans="1:18">
      <c r="A12">
        <v>6981</v>
      </c>
      <c r="B12" t="s">
        <v>78</v>
      </c>
      <c r="C12" t="s">
        <v>71</v>
      </c>
      <c r="D12">
        <v>8</v>
      </c>
      <c r="E12">
        <v>0</v>
      </c>
      <c r="F12">
        <v>11780.875</v>
      </c>
      <c r="G12">
        <v>6920</v>
      </c>
      <c r="H12">
        <v>-370</v>
      </c>
      <c r="I12">
        <v>-5.08</v>
      </c>
      <c r="J12">
        <v>55360</v>
      </c>
      <c r="K12">
        <v>-38887</v>
      </c>
      <c r="L12">
        <v>-41.260730000000002</v>
      </c>
      <c r="M12" t="s">
        <v>34</v>
      </c>
      <c r="N12">
        <v>0</v>
      </c>
      <c r="O12">
        <v>6887.8</v>
      </c>
      <c r="P12">
        <v>35.68</v>
      </c>
      <c r="Q12">
        <v>4.63</v>
      </c>
      <c r="R12">
        <v>1.01</v>
      </c>
    </row>
    <row r="13" spans="1:18">
      <c r="A13">
        <v>7974</v>
      </c>
      <c r="B13" t="s">
        <v>79</v>
      </c>
      <c r="C13" t="s">
        <v>71</v>
      </c>
      <c r="D13">
        <v>13</v>
      </c>
      <c r="E13">
        <v>0</v>
      </c>
      <c r="F13">
        <v>8590.5383999999995</v>
      </c>
      <c r="G13">
        <v>8821</v>
      </c>
      <c r="H13">
        <v>-282</v>
      </c>
      <c r="I13">
        <v>-3.1</v>
      </c>
      <c r="J13">
        <v>114673</v>
      </c>
      <c r="K13">
        <v>2996.0007999999998</v>
      </c>
      <c r="L13">
        <v>2.6827380000000001</v>
      </c>
      <c r="M13" t="s">
        <v>34</v>
      </c>
      <c r="N13">
        <v>0</v>
      </c>
      <c r="O13">
        <v>8754</v>
      </c>
      <c r="P13">
        <v>27.48</v>
      </c>
      <c r="Q13">
        <v>3.44</v>
      </c>
      <c r="R13">
        <v>1.84</v>
      </c>
    </row>
    <row r="14" spans="1:18">
      <c r="A14">
        <v>8267</v>
      </c>
      <c r="B14" t="s">
        <v>80</v>
      </c>
      <c r="C14" t="s">
        <v>71</v>
      </c>
      <c r="D14">
        <v>200</v>
      </c>
      <c r="E14">
        <v>0</v>
      </c>
      <c r="F14">
        <v>2288.5500000000002</v>
      </c>
      <c r="G14">
        <v>1358.5</v>
      </c>
      <c r="H14">
        <v>-1.5</v>
      </c>
      <c r="I14">
        <v>-0.11</v>
      </c>
      <c r="J14">
        <v>271700</v>
      </c>
      <c r="K14">
        <v>-186010</v>
      </c>
      <c r="L14">
        <v>-40.639268999999999</v>
      </c>
      <c r="M14" t="s">
        <v>141</v>
      </c>
      <c r="N14">
        <v>0</v>
      </c>
      <c r="O14">
        <v>1352.9</v>
      </c>
      <c r="P14">
        <v>51.45</v>
      </c>
      <c r="Q14">
        <v>3.08</v>
      </c>
      <c r="R14">
        <v>1.1000000000000001</v>
      </c>
    </row>
    <row r="15" spans="1:18">
      <c r="A15" s="1" t="s">
        <v>131</v>
      </c>
      <c r="B15" s="1" t="s">
        <v>131</v>
      </c>
      <c r="C15" s="1" t="s">
        <v>131</v>
      </c>
      <c r="D15" s="1" t="s">
        <v>131</v>
      </c>
      <c r="E15" s="1" t="s">
        <v>131</v>
      </c>
      <c r="F15" s="1" t="s">
        <v>131</v>
      </c>
      <c r="G15" s="1" t="s">
        <v>131</v>
      </c>
      <c r="H15" s="1" t="s">
        <v>131</v>
      </c>
      <c r="I15" s="1" t="s">
        <v>131</v>
      </c>
      <c r="J15" s="1" t="s">
        <v>131</v>
      </c>
      <c r="K15" s="1" t="s">
        <v>131</v>
      </c>
      <c r="L15" s="1" t="s">
        <v>131</v>
      </c>
      <c r="M15" s="1" t="s">
        <v>131</v>
      </c>
      <c r="N15" s="1" t="s">
        <v>131</v>
      </c>
      <c r="O15" s="1" t="s">
        <v>131</v>
      </c>
      <c r="P15" s="1" t="s">
        <v>131</v>
      </c>
      <c r="Q15" s="1" t="s">
        <v>131</v>
      </c>
      <c r="R15" s="1" t="s">
        <v>131</v>
      </c>
    </row>
    <row r="16" spans="1:18">
      <c r="A16" s="1" t="s">
        <v>138</v>
      </c>
      <c r="B16" s="1" t="s">
        <v>138</v>
      </c>
      <c r="C16" s="1" t="s">
        <v>138</v>
      </c>
      <c r="D16" s="1" t="s">
        <v>138</v>
      </c>
      <c r="E16" s="1" t="s">
        <v>138</v>
      </c>
      <c r="F16" s="1" t="s">
        <v>138</v>
      </c>
      <c r="G16" s="1" t="s">
        <v>138</v>
      </c>
      <c r="H16" s="1" t="s">
        <v>138</v>
      </c>
      <c r="I16" s="1" t="s">
        <v>138</v>
      </c>
      <c r="J16" s="1" t="s">
        <v>138</v>
      </c>
      <c r="K16" s="1" t="s">
        <v>138</v>
      </c>
      <c r="L16" s="1" t="s">
        <v>138</v>
      </c>
      <c r="M16" s="1" t="s">
        <v>138</v>
      </c>
      <c r="N16" s="1" t="s">
        <v>138</v>
      </c>
      <c r="O16" s="1" t="s">
        <v>138</v>
      </c>
      <c r="P16" s="1" t="s">
        <v>138</v>
      </c>
      <c r="Q16" s="1" t="s">
        <v>138</v>
      </c>
      <c r="R16" s="1" t="s">
        <v>138</v>
      </c>
    </row>
    <row r="17" spans="1:18">
      <c r="A17" s="1" t="s">
        <v>131</v>
      </c>
      <c r="B17" s="1" t="s">
        <v>131</v>
      </c>
      <c r="C17" s="1" t="s">
        <v>131</v>
      </c>
      <c r="D17" s="1" t="s">
        <v>131</v>
      </c>
      <c r="E17" s="1" t="s">
        <v>131</v>
      </c>
      <c r="F17" s="1" t="s">
        <v>131</v>
      </c>
      <c r="G17" s="1" t="s">
        <v>131</v>
      </c>
      <c r="H17" s="1" t="s">
        <v>131</v>
      </c>
      <c r="I17" s="1" t="s">
        <v>131</v>
      </c>
      <c r="J17" s="1" t="s">
        <v>131</v>
      </c>
      <c r="K17" s="1" t="s">
        <v>131</v>
      </c>
      <c r="L17" s="1" t="s">
        <v>131</v>
      </c>
      <c r="M17" s="1" t="s">
        <v>131</v>
      </c>
      <c r="N17" s="1" t="s">
        <v>131</v>
      </c>
      <c r="O17" s="1" t="s">
        <v>131</v>
      </c>
      <c r="P17" s="1" t="s">
        <v>131</v>
      </c>
      <c r="Q17" s="1" t="s">
        <v>131</v>
      </c>
      <c r="R17" s="1" t="s">
        <v>131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7A6BA-C22F-44A3-8486-13B9974483A7}">
  <sheetPr codeName="Sheet6"/>
  <dimension ref="A1:T12"/>
  <sheetViews>
    <sheetView workbookViewId="0">
      <selection activeCell="A3" sqref="A3:XFD3"/>
    </sheetView>
  </sheetViews>
  <sheetFormatPr defaultRowHeight="18.75"/>
  <cols>
    <col min="2" max="2" width="20.375" customWidth="1"/>
  </cols>
  <sheetData>
    <row r="1" spans="1:20">
      <c r="A1" t="str" cm="1">
        <f t="array" ref="A1">_xll.RssMarginPositionList($A$2:$T$2, "", "A", 0, 0, 0)</f>
        <v>=RssMarginPositionList($A$2:$T$2, "", "A", 0, 0, 0) =&gt; 配信中</v>
      </c>
    </row>
    <row r="2" spans="1:20">
      <c r="A2" t="s">
        <v>9</v>
      </c>
      <c r="B2" t="s">
        <v>10</v>
      </c>
      <c r="C2" t="s">
        <v>11</v>
      </c>
      <c r="D2" t="s">
        <v>81</v>
      </c>
      <c r="E2" t="s">
        <v>13</v>
      </c>
      <c r="F2" t="s">
        <v>14</v>
      </c>
      <c r="G2" t="s">
        <v>16</v>
      </c>
      <c r="H2" t="s">
        <v>82</v>
      </c>
      <c r="I2" t="s">
        <v>56</v>
      </c>
      <c r="J2" t="s">
        <v>83</v>
      </c>
      <c r="K2" t="s">
        <v>84</v>
      </c>
      <c r="L2" t="s">
        <v>85</v>
      </c>
      <c r="M2" t="s">
        <v>58</v>
      </c>
      <c r="N2" t="s">
        <v>59</v>
      </c>
      <c r="O2" t="s">
        <v>60</v>
      </c>
      <c r="P2" t="s">
        <v>61</v>
      </c>
      <c r="Q2" t="s">
        <v>62</v>
      </c>
      <c r="R2" t="s">
        <v>63</v>
      </c>
      <c r="S2" t="s">
        <v>86</v>
      </c>
      <c r="T2" t="s">
        <v>87</v>
      </c>
    </row>
    <row r="3" spans="1:20">
      <c r="A3">
        <v>5016</v>
      </c>
      <c r="B3" t="s">
        <v>88</v>
      </c>
      <c r="C3" t="s">
        <v>36</v>
      </c>
      <c r="D3" t="s">
        <v>44</v>
      </c>
      <c r="E3" t="s">
        <v>89</v>
      </c>
      <c r="F3" t="s">
        <v>90</v>
      </c>
      <c r="G3" t="s">
        <v>37</v>
      </c>
      <c r="H3">
        <v>100</v>
      </c>
      <c r="I3">
        <v>0</v>
      </c>
      <c r="J3">
        <v>5653.6</v>
      </c>
      <c r="K3">
        <v>20260511</v>
      </c>
      <c r="L3">
        <v>20261110</v>
      </c>
      <c r="M3">
        <v>3660</v>
      </c>
      <c r="N3">
        <v>-182</v>
      </c>
      <c r="O3">
        <v>-4.74</v>
      </c>
      <c r="P3">
        <v>366000</v>
      </c>
      <c r="Q3">
        <v>-204863</v>
      </c>
      <c r="R3">
        <v>-36.235849999999999</v>
      </c>
      <c r="S3">
        <v>30</v>
      </c>
      <c r="T3">
        <v>0</v>
      </c>
    </row>
    <row r="4" spans="1:20">
      <c r="A4">
        <v>5016</v>
      </c>
      <c r="B4" t="s">
        <v>88</v>
      </c>
      <c r="C4" t="s">
        <v>36</v>
      </c>
      <c r="D4" t="s">
        <v>44</v>
      </c>
      <c r="E4" t="s">
        <v>89</v>
      </c>
      <c r="F4" t="s">
        <v>90</v>
      </c>
      <c r="G4" t="s">
        <v>37</v>
      </c>
      <c r="H4">
        <v>100</v>
      </c>
      <c r="I4">
        <v>0</v>
      </c>
      <c r="J4">
        <v>5702.3</v>
      </c>
      <c r="K4">
        <v>20260511</v>
      </c>
      <c r="L4">
        <v>20261110</v>
      </c>
      <c r="M4">
        <v>3660</v>
      </c>
      <c r="N4">
        <v>-182</v>
      </c>
      <c r="O4">
        <v>-4.74</v>
      </c>
      <c r="P4">
        <v>366000</v>
      </c>
      <c r="Q4">
        <v>-209446</v>
      </c>
      <c r="R4">
        <v>-36.730091000000002</v>
      </c>
      <c r="S4">
        <v>30</v>
      </c>
      <c r="T4">
        <v>0</v>
      </c>
    </row>
    <row r="5" spans="1:20">
      <c r="A5">
        <v>5016</v>
      </c>
      <c r="B5" t="s">
        <v>88</v>
      </c>
      <c r="C5" t="s">
        <v>36</v>
      </c>
      <c r="D5" t="s">
        <v>44</v>
      </c>
      <c r="E5" t="s">
        <v>89</v>
      </c>
      <c r="F5" t="s">
        <v>90</v>
      </c>
      <c r="G5" t="s">
        <v>37</v>
      </c>
      <c r="H5">
        <v>100</v>
      </c>
      <c r="I5">
        <v>0</v>
      </c>
      <c r="J5">
        <v>5315</v>
      </c>
      <c r="K5">
        <v>20260622</v>
      </c>
      <c r="L5">
        <v>20261221</v>
      </c>
      <c r="M5">
        <v>3660</v>
      </c>
      <c r="N5">
        <v>-182</v>
      </c>
      <c r="O5">
        <v>-4.74</v>
      </c>
      <c r="P5">
        <v>366000</v>
      </c>
      <c r="Q5">
        <v>-168874</v>
      </c>
      <c r="R5">
        <v>-31.773095000000001</v>
      </c>
      <c r="S5">
        <v>30</v>
      </c>
      <c r="T5">
        <v>0</v>
      </c>
    </row>
    <row r="6" spans="1:20">
      <c r="A6">
        <v>5803</v>
      </c>
      <c r="B6" t="s">
        <v>73</v>
      </c>
      <c r="C6" t="s">
        <v>36</v>
      </c>
      <c r="D6" t="s">
        <v>44</v>
      </c>
      <c r="E6" t="s">
        <v>89</v>
      </c>
      <c r="F6" t="s">
        <v>90</v>
      </c>
      <c r="G6" t="s">
        <v>37</v>
      </c>
      <c r="H6">
        <v>100</v>
      </c>
      <c r="I6">
        <v>0</v>
      </c>
      <c r="J6">
        <v>6449.9</v>
      </c>
      <c r="K6">
        <v>20260624</v>
      </c>
      <c r="L6">
        <v>20261223</v>
      </c>
      <c r="M6">
        <v>5090</v>
      </c>
      <c r="N6">
        <v>-208</v>
      </c>
      <c r="O6">
        <v>-3.93</v>
      </c>
      <c r="P6">
        <v>509000</v>
      </c>
      <c r="Q6">
        <v>-139871</v>
      </c>
      <c r="R6">
        <v>-21.685763000000001</v>
      </c>
      <c r="S6">
        <v>30</v>
      </c>
      <c r="T6">
        <v>0</v>
      </c>
    </row>
    <row r="7" spans="1:20">
      <c r="A7">
        <v>5803</v>
      </c>
      <c r="B7" t="s">
        <v>73</v>
      </c>
      <c r="C7" t="s">
        <v>36</v>
      </c>
      <c r="D7" t="s">
        <v>44</v>
      </c>
      <c r="E7" t="s">
        <v>89</v>
      </c>
      <c r="F7" t="s">
        <v>90</v>
      </c>
      <c r="G7" t="s">
        <v>37</v>
      </c>
      <c r="H7">
        <v>100</v>
      </c>
      <c r="I7">
        <v>0</v>
      </c>
      <c r="J7">
        <v>6452.8</v>
      </c>
      <c r="K7">
        <v>20260624</v>
      </c>
      <c r="L7">
        <v>20261223</v>
      </c>
      <c r="M7">
        <v>5090</v>
      </c>
      <c r="N7">
        <v>-208</v>
      </c>
      <c r="O7">
        <v>-3.93</v>
      </c>
      <c r="P7">
        <v>509000</v>
      </c>
      <c r="Q7">
        <v>-139944</v>
      </c>
      <c r="R7">
        <v>-21.687329999999999</v>
      </c>
      <c r="S7">
        <v>30</v>
      </c>
      <c r="T7">
        <v>0</v>
      </c>
    </row>
    <row r="8" spans="1:20">
      <c r="A8">
        <v>5803</v>
      </c>
      <c r="B8" t="s">
        <v>73</v>
      </c>
      <c r="C8" t="s">
        <v>36</v>
      </c>
      <c r="D8" t="s">
        <v>44</v>
      </c>
      <c r="E8" t="s">
        <v>89</v>
      </c>
      <c r="F8" t="s">
        <v>90</v>
      </c>
      <c r="G8" t="s">
        <v>37</v>
      </c>
      <c r="H8">
        <v>100</v>
      </c>
      <c r="I8">
        <v>0</v>
      </c>
      <c r="J8">
        <v>5300.5</v>
      </c>
      <c r="K8">
        <v>20260901</v>
      </c>
      <c r="L8">
        <v>20270226</v>
      </c>
      <c r="M8">
        <v>5090</v>
      </c>
      <c r="N8">
        <v>-208</v>
      </c>
      <c r="O8">
        <v>-3.93</v>
      </c>
      <c r="P8">
        <v>509000</v>
      </c>
      <c r="Q8">
        <v>-21253</v>
      </c>
      <c r="R8">
        <v>-4.0096220000000002</v>
      </c>
      <c r="S8">
        <v>30</v>
      </c>
      <c r="T8">
        <v>0</v>
      </c>
    </row>
    <row r="9" spans="1:20">
      <c r="A9" s="1">
        <v>9984</v>
      </c>
      <c r="B9" s="1" t="s">
        <v>91</v>
      </c>
      <c r="C9" s="1" t="s">
        <v>36</v>
      </c>
      <c r="D9" s="1" t="s">
        <v>44</v>
      </c>
      <c r="E9" s="1" t="s">
        <v>89</v>
      </c>
      <c r="F9" s="1" t="s">
        <v>90</v>
      </c>
      <c r="G9" s="1" t="s">
        <v>37</v>
      </c>
      <c r="H9" s="1">
        <v>100</v>
      </c>
      <c r="I9" s="1">
        <v>0</v>
      </c>
      <c r="J9" s="1">
        <v>7240.1</v>
      </c>
      <c r="K9" s="1">
        <v>20260622</v>
      </c>
      <c r="L9" s="1">
        <v>20261221</v>
      </c>
      <c r="M9" s="1">
        <v>4924</v>
      </c>
      <c r="N9" s="1">
        <v>-338</v>
      </c>
      <c r="O9" s="1">
        <v>-6.42</v>
      </c>
      <c r="P9" s="1">
        <v>492400</v>
      </c>
      <c r="Q9" s="1">
        <v>-236051</v>
      </c>
      <c r="R9" s="1">
        <v>-32.603279000000001</v>
      </c>
      <c r="S9" s="1">
        <v>30</v>
      </c>
      <c r="T9" s="1">
        <v>0</v>
      </c>
    </row>
    <row r="10" spans="1:20">
      <c r="A10" s="1">
        <v>9984</v>
      </c>
      <c r="B10" s="1" t="s">
        <v>91</v>
      </c>
      <c r="C10" s="1" t="s">
        <v>36</v>
      </c>
      <c r="D10" s="1" t="s">
        <v>44</v>
      </c>
      <c r="E10" s="1" t="s">
        <v>89</v>
      </c>
      <c r="F10" s="1" t="s">
        <v>90</v>
      </c>
      <c r="G10" s="1" t="s">
        <v>37</v>
      </c>
      <c r="H10" s="1">
        <v>100</v>
      </c>
      <c r="I10" s="1">
        <v>0</v>
      </c>
      <c r="J10" s="1">
        <v>5863</v>
      </c>
      <c r="K10" s="1">
        <v>20260818</v>
      </c>
      <c r="L10" s="1">
        <v>20270217</v>
      </c>
      <c r="M10" s="1">
        <v>4924</v>
      </c>
      <c r="N10" s="1">
        <v>-338</v>
      </c>
      <c r="O10" s="1">
        <v>-6.42</v>
      </c>
      <c r="P10" s="1">
        <v>492400</v>
      </c>
      <c r="Q10" s="1">
        <v>-94754</v>
      </c>
      <c r="R10" s="1">
        <v>-16.161351</v>
      </c>
      <c r="S10" s="1">
        <v>30</v>
      </c>
      <c r="T10" s="1">
        <v>0</v>
      </c>
    </row>
    <row r="11" spans="1:20">
      <c r="A11" s="1" t="s">
        <v>131</v>
      </c>
      <c r="B11" s="1" t="s">
        <v>131</v>
      </c>
      <c r="C11" s="1" t="s">
        <v>131</v>
      </c>
      <c r="D11" s="1" t="s">
        <v>131</v>
      </c>
      <c r="E11" s="1" t="s">
        <v>131</v>
      </c>
      <c r="F11" s="1" t="s">
        <v>131</v>
      </c>
      <c r="G11" s="1" t="s">
        <v>131</v>
      </c>
      <c r="H11" s="1" t="s">
        <v>131</v>
      </c>
      <c r="I11" s="1" t="s">
        <v>131</v>
      </c>
      <c r="J11" s="1" t="s">
        <v>131</v>
      </c>
      <c r="K11" s="1" t="s">
        <v>131</v>
      </c>
      <c r="L11" s="1" t="s">
        <v>131</v>
      </c>
      <c r="M11" s="1" t="s">
        <v>131</v>
      </c>
      <c r="N11" s="1" t="s">
        <v>131</v>
      </c>
      <c r="O11" s="1" t="s">
        <v>131</v>
      </c>
      <c r="P11" s="1" t="s">
        <v>131</v>
      </c>
      <c r="Q11" s="1" t="s">
        <v>131</v>
      </c>
      <c r="R11" s="1" t="s">
        <v>131</v>
      </c>
      <c r="S11" s="1" t="s">
        <v>131</v>
      </c>
      <c r="T11" s="1" t="s">
        <v>131</v>
      </c>
    </row>
    <row r="12" spans="1:20">
      <c r="A12" s="1" t="s">
        <v>138</v>
      </c>
      <c r="B12" s="1" t="s">
        <v>138</v>
      </c>
      <c r="C12" s="1" t="s">
        <v>138</v>
      </c>
      <c r="D12" s="1" t="s">
        <v>138</v>
      </c>
      <c r="E12" s="1" t="s">
        <v>138</v>
      </c>
      <c r="F12" s="1" t="s">
        <v>138</v>
      </c>
      <c r="G12" s="1" t="s">
        <v>138</v>
      </c>
      <c r="H12" s="1" t="s">
        <v>138</v>
      </c>
      <c r="I12" s="1" t="s">
        <v>138</v>
      </c>
      <c r="J12" s="1" t="s">
        <v>138</v>
      </c>
      <c r="K12" s="1" t="s">
        <v>138</v>
      </c>
      <c r="L12" s="1" t="s">
        <v>138</v>
      </c>
      <c r="M12" s="1" t="s">
        <v>138</v>
      </c>
      <c r="N12" s="1" t="s">
        <v>138</v>
      </c>
      <c r="O12" s="1" t="s">
        <v>138</v>
      </c>
      <c r="P12" s="1" t="s">
        <v>138</v>
      </c>
      <c r="Q12" s="1" t="s">
        <v>138</v>
      </c>
      <c r="R12" s="1" t="s">
        <v>138</v>
      </c>
      <c r="S12" s="1" t="s">
        <v>138</v>
      </c>
      <c r="T12" s="1" t="s">
        <v>138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0DBFC-6FBE-418A-B05C-90E69441E9F4}">
  <sheetPr codeName="Sheet7"/>
  <dimension ref="A2:ER2"/>
  <sheetViews>
    <sheetView workbookViewId="0">
      <selection activeCell="A2" sqref="A2"/>
    </sheetView>
  </sheetViews>
  <sheetFormatPr defaultRowHeight="18.75"/>
  <sheetData>
    <row r="2" spans="1:148">
      <c r="A2" cm="1">
        <f t="array" ref="A2">_xll.RssMarket("9432.T", "銘柄コード")</f>
        <v>9432</v>
      </c>
      <c r="B2" t="str" cm="1">
        <f t="array" ref="B2">_xll.RssMarket("9432.T", "市場コード")</f>
        <v>T</v>
      </c>
      <c r="C2" t="str" cm="1">
        <f t="array" ref="C2">_xll.RssMarket("9432.T", "銘柄名称")</f>
        <v>ＮＴＴ</v>
      </c>
      <c r="D2" t="str" cm="1">
        <f t="array" ref="D2">_xll.RssMarket("9432.T", "市場名称")</f>
        <v>東証</v>
      </c>
      <c r="E2" t="str" cm="1">
        <f t="array" ref="E2">_xll.RssMarket("9432.T", "市場部名称")</f>
        <v>東証Ｐ</v>
      </c>
      <c r="F2" t="str" cm="1">
        <f t="array" ref="F2">_xll.RssMarket("9432.T", "市場部略称")</f>
        <v>東Ｐ</v>
      </c>
      <c r="G2" t="str" cm="1">
        <f t="array" ref="G2">_xll.RssMarket("9432.T", "現在日付")</f>
        <v>2026/09/02</v>
      </c>
      <c r="H2" cm="1">
        <f t="array" ref="H2">_xll.RssMarket("9432.T", "現在値")</f>
        <v>175.2</v>
      </c>
      <c r="I2" t="str" cm="1">
        <f t="array" ref="I2">_xll.RssMarket("9432.T", "現在値時刻")</f>
        <v>15:30</v>
      </c>
      <c r="J2" t="str" cm="1">
        <f t="array" ref="J2">_xll.RssMarket("9432.T", "現在値詳細時刻")</f>
        <v>15:30:00</v>
      </c>
      <c r="K2" t="str" cm="1">
        <f t="array" ref="K2">_xll.RssMarket("9432.T", "現在値ティック")</f>
        <v>↑</v>
      </c>
      <c r="L2" t="str" cm="1">
        <f t="array" ref="L2">_xll.RssMarket("9432.T", "現在値フラグ")</f>
        <v>C</v>
      </c>
      <c r="M2" cm="1">
        <f t="array" ref="M2">_xll.RssMarket("9432.T", "前日比")</f>
        <v>-0.4</v>
      </c>
      <c r="N2" cm="1">
        <f t="array" ref="N2">_xll.RssMarket("9432.T", "前日比率")</f>
        <v>-0.23</v>
      </c>
      <c r="O2" cm="1">
        <f t="array" ref="O2">_xll.RssMarket("9432.T", "前日終値")</f>
        <v>175.6</v>
      </c>
      <c r="P2" t="str" cm="1">
        <f t="array" ref="P2">_xll.RssMarket("9432.T", "前日日付")</f>
        <v>2026/09/01</v>
      </c>
      <c r="Q2" t="str" cm="1">
        <f t="array" ref="Q2">_xll.RssMarket("9432.T", "前日終値フラグ")</f>
        <v>C</v>
      </c>
      <c r="R2" cm="1">
        <f t="array" ref="R2">_xll.RssMarket("9432.T", "歩み1")</f>
        <v>174.7</v>
      </c>
      <c r="S2" cm="1">
        <f t="array" ref="S2">_xll.RssMarket("9432.T", "歩み2")</f>
        <v>174.6</v>
      </c>
      <c r="T2" cm="1">
        <f t="array" ref="T2">_xll.RssMarket("9432.T", "歩み3")</f>
        <v>174.7</v>
      </c>
      <c r="U2" cm="1">
        <f t="array" ref="U2">_xll.RssMarket("9432.T", "歩み4")</f>
        <v>174.6</v>
      </c>
      <c r="V2" t="str" cm="1">
        <f t="array" ref="V2">_xll.RssMarket("9432.T", "歩み1詳細時刻")</f>
        <v>15:24:59</v>
      </c>
      <c r="W2" t="str" cm="1">
        <f t="array" ref="W2">_xll.RssMarket("9432.T", "歩み2詳細時刻")</f>
        <v>15:24:59</v>
      </c>
      <c r="X2" t="str" cm="1">
        <f t="array" ref="X2">_xll.RssMarket("9432.T", "歩み3詳細時刻")</f>
        <v>15:24:59</v>
      </c>
      <c r="Y2" t="str" cm="1">
        <f t="array" ref="Y2">_xll.RssMarket("9432.T", "歩み4詳細時刻")</f>
        <v>15:24:59</v>
      </c>
      <c r="Z2" cm="1">
        <f t="array" ref="Z2">_xll.RssMarket("9432.T", "出来高")</f>
        <v>242348800</v>
      </c>
      <c r="AA2" cm="1">
        <f t="array" ref="AA2">_xll.RssMarket("9432.T", "売買代金")</f>
        <v>42357932</v>
      </c>
      <c r="AB2" cm="1">
        <f t="array" ref="AB2">_xll.RssMarket("9432.T", "出来高加重平均")</f>
        <v>174.7808</v>
      </c>
      <c r="AC2" cm="1">
        <f t="array" ref="AC2">_xll.RssMarket("9432.T", "時価総額")</f>
        <v>15864415</v>
      </c>
      <c r="AD2" cm="1">
        <f t="array" ref="AD2">_xll.RssMarket("9432.T", "始値")</f>
        <v>175.1</v>
      </c>
      <c r="AE2" cm="1">
        <f t="array" ref="AE2">_xll.RssMarket("9432.T", "高値")</f>
        <v>175.8</v>
      </c>
      <c r="AF2" cm="1">
        <f t="array" ref="AF2">_xll.RssMarket("9432.T", "安値")</f>
        <v>173.7</v>
      </c>
      <c r="AG2" t="str" cm="1">
        <f t="array" ref="AG2">_xll.RssMarket("9432.T", "始値時刻")</f>
        <v>09:00</v>
      </c>
      <c r="AH2" t="str" cm="1">
        <f t="array" ref="AH2">_xll.RssMarket("9432.T", "高値時刻")</f>
        <v>09:04</v>
      </c>
      <c r="AI2" t="str" cm="1">
        <f t="array" ref="AI2">_xll.RssMarket("9432.T", "安値時刻")</f>
        <v>10:13</v>
      </c>
      <c r="AJ2" t="str" cm="1">
        <f t="array" ref="AJ2">_xll.RssMarket("9432.T", "始値詳細時刻")</f>
        <v>09:00:00</v>
      </c>
      <c r="AK2" t="str" cm="1">
        <f t="array" ref="AK2">_xll.RssMarket("9432.T", "高値詳細時刻")</f>
        <v>09:04:10</v>
      </c>
      <c r="AL2" t="str" cm="1">
        <f t="array" ref="AL2">_xll.RssMarket("9432.T", "安値詳細時刻")</f>
        <v>10:13:08</v>
      </c>
      <c r="AM2" cm="1">
        <f t="array" ref="AM2">_xll.RssMarket("9432.T", "前場始値")</f>
        <v>175.1</v>
      </c>
      <c r="AN2" cm="1">
        <f t="array" ref="AN2">_xll.RssMarket("9432.T", "前場高値")</f>
        <v>175.8</v>
      </c>
      <c r="AO2" cm="1">
        <f t="array" ref="AO2">_xll.RssMarket("9432.T", "前場安値")</f>
        <v>173.7</v>
      </c>
      <c r="AP2" cm="1">
        <f t="array" ref="AP2">_xll.RssMarket("9432.T", "前場終値")</f>
        <v>174.1</v>
      </c>
      <c r="AQ2" cm="1">
        <f t="array" ref="AQ2">_xll.RssMarket("9432.T", "前場出来高")</f>
        <v>130608900</v>
      </c>
      <c r="AR2" cm="1">
        <f t="array" ref="AR2">_xll.RssMarket("9432.T", "後場始値")</f>
        <v>174.4</v>
      </c>
      <c r="AS2" cm="1">
        <f t="array" ref="AS2">_xll.RssMarket("9432.T", "後場高値")</f>
        <v>175.2</v>
      </c>
      <c r="AT2" cm="1">
        <f t="array" ref="AT2">_xll.RssMarket("9432.T", "後場安値")</f>
        <v>174.2</v>
      </c>
      <c r="AU2" t="str" cm="1">
        <f t="array" ref="AU2">_xll.RssMarket("9432.T", "前場始値時刻")</f>
        <v>09:00</v>
      </c>
      <c r="AV2" t="str" cm="1">
        <f t="array" ref="AV2">_xll.RssMarket("9432.T", "前場高値時刻")</f>
        <v>09:04</v>
      </c>
      <c r="AW2" t="str" cm="1">
        <f t="array" ref="AW2">_xll.RssMarket("9432.T", "前場安値時刻")</f>
        <v>10:13</v>
      </c>
      <c r="AX2" t="str" cm="1">
        <f t="array" ref="AX2">_xll.RssMarket("9432.T", "前場終値時刻")</f>
        <v>11:30</v>
      </c>
      <c r="AY2" t="str" cm="1">
        <f t="array" ref="AY2">_xll.RssMarket("9432.T", "前場出来高時刻")</f>
        <v>11:30</v>
      </c>
      <c r="AZ2" t="str" cm="1">
        <f t="array" ref="AZ2">_xll.RssMarket("9432.T", "後場始値時刻")</f>
        <v>12:30</v>
      </c>
      <c r="BA2" t="str" cm="1">
        <f t="array" ref="BA2">_xll.RssMarket("9432.T", "後場高値時刻")</f>
        <v>15:30</v>
      </c>
      <c r="BB2" t="str" cm="1">
        <f t="array" ref="BB2">_xll.RssMarket("9432.T", "後場安値時刻")</f>
        <v>12:30</v>
      </c>
      <c r="BC2" cm="1">
        <f t="array" ref="BC2">_xll.RssMarket("9432.T", "最良売気配値")</f>
        <v>175.3</v>
      </c>
      <c r="BD2" cm="1">
        <f t="array" ref="BD2">_xll.RssMarket("9432.T", "最良買気配値")</f>
        <v>175</v>
      </c>
      <c r="BE2" cm="1">
        <f t="array" ref="BE2">_xll.RssMarket("9432.T", "最良売気配数量")</f>
        <v>839600</v>
      </c>
      <c r="BF2" cm="1">
        <f t="array" ref="BF2">_xll.RssMarket("9432.T", "最良買気配数量")</f>
        <v>6100</v>
      </c>
      <c r="BG2" t="str" cm="1">
        <f t="array" ref="BG2">_xll.RssMarket("9432.T", "最良売気配時刻")</f>
        <v>15:30</v>
      </c>
      <c r="BH2" t="str" cm="1">
        <f t="array" ref="BH2">_xll.RssMarket("9432.T", "最良買気配時刻")</f>
        <v>15:30</v>
      </c>
      <c r="BI2" t="str" cm="1">
        <f t="array" ref="BI2">_xll.RssMarket("9432.T", "最良売気配詳細時刻")</f>
        <v>15:30:00</v>
      </c>
      <c r="BJ2" t="str" cm="1">
        <f t="array" ref="BJ2">_xll.RssMarket("9432.T", "最良買気配詳細時刻")</f>
        <v>15:30:00</v>
      </c>
      <c r="BK2" t="str" cm="1">
        <f t="array" ref="BK2">_xll.RssMarket("9432.T", "特別売気配フラグ")</f>
        <v xml:space="preserve"> </v>
      </c>
      <c r="BL2" t="str" cm="1">
        <f t="array" ref="BL2">_xll.RssMarket("9432.T", "特別買気配フラグ")</f>
        <v xml:space="preserve"> </v>
      </c>
      <c r="BM2" cm="1">
        <f t="array" ref="BM2">_xll.RssMarket("9432.T", "信用貸借区分")</f>
        <v>1</v>
      </c>
      <c r="BN2" cm="1">
        <f t="array" ref="BN2">_xll.RssMarket("9432.T", "逆日歩")</f>
        <v>0</v>
      </c>
      <c r="BO2" t="str" cm="1">
        <f t="array" ref="BO2">_xll.RssMarket("9432.T", "逆日歩更新日付")</f>
        <v/>
      </c>
      <c r="BP2" cm="1">
        <f t="array" ref="BP2">_xll.RssMarket("9432.T", "信用売残")</f>
        <v>26242000</v>
      </c>
      <c r="BQ2" cm="1">
        <f t="array" ref="BQ2">_xll.RssMarket("9432.T", "信用売残前週比")</f>
        <v>183800</v>
      </c>
      <c r="BR2" cm="1">
        <f t="array" ref="BR2">_xll.RssMarket("9432.T", "信用買残")</f>
        <v>74173500</v>
      </c>
      <c r="BS2" cm="1">
        <f t="array" ref="BS2">_xll.RssMarket("9432.T", "信用買残前週比")</f>
        <v>5975200</v>
      </c>
      <c r="BT2" cm="1">
        <f t="array" ref="BT2">_xll.RssMarket("9432.T", "信用倍率")</f>
        <v>2.83</v>
      </c>
      <c r="BU2" t="str" cm="1">
        <f t="array" ref="BU2">_xll.RssMarket("9432.T", "証金残更新日付")</f>
        <v>2026/09/02</v>
      </c>
      <c r="BV2" cm="1">
        <f t="array" ref="BV2">_xll.RssMarket("9432.T", "新規貸株")</f>
        <v>17300</v>
      </c>
      <c r="BW2" cm="1">
        <f t="array" ref="BW2">_xll.RssMarket("9432.T", "新規融資")</f>
        <v>280800</v>
      </c>
      <c r="BX2" cm="1">
        <f t="array" ref="BX2">_xll.RssMarket("9432.T", "返済貸株")</f>
        <v>518300</v>
      </c>
      <c r="BY2" cm="1">
        <f t="array" ref="BY2">_xll.RssMarket("9432.T", "返済融資")</f>
        <v>31600</v>
      </c>
      <c r="BZ2" cm="1">
        <f t="array" ref="BZ2">_xll.RssMarket("9432.T", "残高貸株")</f>
        <v>135200</v>
      </c>
      <c r="CA2" cm="1">
        <f t="array" ref="CA2">_xll.RssMarket("9432.T", "残高融資")</f>
        <v>3594400</v>
      </c>
      <c r="CB2" cm="1">
        <f t="array" ref="CB2">_xll.RssMarket("9432.T", "残高差引")</f>
        <v>3459200</v>
      </c>
      <c r="CC2" cm="1">
        <f t="array" ref="CC2">_xll.RssMarket("9432.T", "前日比貸株")</f>
        <v>-501000</v>
      </c>
      <c r="CD2" cm="1">
        <f t="array" ref="CD2">_xll.RssMarket("9432.T", "前日比融資")</f>
        <v>249200</v>
      </c>
      <c r="CE2" cm="1">
        <f t="array" ref="CE2">_xll.RssMarket("9432.T", "前日比差引")</f>
        <v>750200</v>
      </c>
      <c r="CF2" cm="1">
        <f t="array" ref="CF2">_xll.RssMarket("9432.T", "回転日数")</f>
        <v>9.8000000000000007</v>
      </c>
      <c r="CG2" cm="1">
        <f t="array" ref="CG2">_xll.RssMarket("9432.T", "貸借倍率")</f>
        <v>26.59</v>
      </c>
      <c r="CH2" cm="1">
        <f t="array" ref="CH2">_xll.RssMarket("9432.T", "最良売気配値1")</f>
        <v>175.3</v>
      </c>
      <c r="CI2" cm="1">
        <f t="array" ref="CI2">_xll.RssMarket("9432.T", "最良売気配値2")</f>
        <v>175.4</v>
      </c>
      <c r="CJ2" cm="1">
        <f t="array" ref="CJ2">_xll.RssMarket("9432.T", "最良売気配値3")</f>
        <v>175.5</v>
      </c>
      <c r="CK2" cm="1">
        <f t="array" ref="CK2">_xll.RssMarket("9432.T", "最良売気配値4")</f>
        <v>175.6</v>
      </c>
      <c r="CL2" cm="1">
        <f t="array" ref="CL2">_xll.RssMarket("9432.T", "最良売気配値5")</f>
        <v>175.7</v>
      </c>
      <c r="CM2" cm="1">
        <f t="array" ref="CM2">_xll.RssMarket("9432.T", "最良売気配値6")</f>
        <v>175.8</v>
      </c>
      <c r="CN2" cm="1">
        <f t="array" ref="CN2">_xll.RssMarket("9432.T", "最良売気配値7")</f>
        <v>175.9</v>
      </c>
      <c r="CO2" cm="1">
        <f t="array" ref="CO2">_xll.RssMarket("9432.T", "最良売気配値8")</f>
        <v>176</v>
      </c>
      <c r="CP2" cm="1">
        <f t="array" ref="CP2">_xll.RssMarket("9432.T", "最良売気配値9")</f>
        <v>176.1</v>
      </c>
      <c r="CQ2" cm="1">
        <f t="array" ref="CQ2">_xll.RssMarket("9432.T", "最良売気配値10")</f>
        <v>176.2</v>
      </c>
      <c r="CR2" cm="1">
        <f t="array" ref="CR2">_xll.RssMarket("9432.T", "最良買気配値1")</f>
        <v>175</v>
      </c>
      <c r="CS2" cm="1">
        <f t="array" ref="CS2">_xll.RssMarket("9432.T", "最良買気配値2")</f>
        <v>174.9</v>
      </c>
      <c r="CT2" cm="1">
        <f t="array" ref="CT2">_xll.RssMarket("9432.T", "最良買気配値3")</f>
        <v>174.8</v>
      </c>
      <c r="CU2" cm="1">
        <f t="array" ref="CU2">_xll.RssMarket("9432.T", "最良買気配値4")</f>
        <v>174.7</v>
      </c>
      <c r="CV2" cm="1">
        <f t="array" ref="CV2">_xll.RssMarket("9432.T", "最良買気配値5")</f>
        <v>174.6</v>
      </c>
      <c r="CW2" cm="1">
        <f t="array" ref="CW2">_xll.RssMarket("9432.T", "最良買気配値6")</f>
        <v>174.5</v>
      </c>
      <c r="CX2" cm="1">
        <f t="array" ref="CX2">_xll.RssMarket("9432.T", "最良買気配値7")</f>
        <v>174.4</v>
      </c>
      <c r="CY2" cm="1">
        <f t="array" ref="CY2">_xll.RssMarket("9432.T", "最良買気配値8")</f>
        <v>174.3</v>
      </c>
      <c r="CZ2" cm="1">
        <f t="array" ref="CZ2">_xll.RssMarket("9432.T", "最良買気配値9")</f>
        <v>174.2</v>
      </c>
      <c r="DA2" cm="1">
        <f t="array" ref="DA2">_xll.RssMarket("9432.T", "最良買気配値10")</f>
        <v>174.1</v>
      </c>
      <c r="DB2" cm="1">
        <f t="array" ref="DB2">_xll.RssMarket("9432.T", "最良売気配数量1")</f>
        <v>839600</v>
      </c>
      <c r="DC2" cm="1">
        <f t="array" ref="DC2">_xll.RssMarket("9432.T", "最良売気配数量2")</f>
        <v>425300</v>
      </c>
      <c r="DD2" cm="1">
        <f t="array" ref="DD2">_xll.RssMarket("9432.T", "最良売気配数量3")</f>
        <v>429900</v>
      </c>
      <c r="DE2" cm="1">
        <f t="array" ref="DE2">_xll.RssMarket("9432.T", "最良売気配数量4")</f>
        <v>776200</v>
      </c>
      <c r="DF2" cm="1">
        <f t="array" ref="DF2">_xll.RssMarket("9432.T", "最良売気配数量5")</f>
        <v>155900</v>
      </c>
      <c r="DG2" cm="1">
        <f t="array" ref="DG2">_xll.RssMarket("9432.T", "最良売気配数量6")</f>
        <v>321800</v>
      </c>
      <c r="DH2" cm="1">
        <f t="array" ref="DH2">_xll.RssMarket("9432.T", "最良売気配数量7")</f>
        <v>411900</v>
      </c>
      <c r="DI2" cm="1">
        <f t="array" ref="DI2">_xll.RssMarket("9432.T", "最良売気配数量8")</f>
        <v>2990200</v>
      </c>
      <c r="DJ2" cm="1">
        <f t="array" ref="DJ2">_xll.RssMarket("9432.T", "最良売気配数量9")</f>
        <v>167000</v>
      </c>
      <c r="DK2" cm="1">
        <f t="array" ref="DK2">_xll.RssMarket("9432.T", "最良売気配数量10")</f>
        <v>248300</v>
      </c>
      <c r="DL2" cm="1">
        <f t="array" ref="DL2">_xll.RssMarket("9432.T", "最良買気配数量1")</f>
        <v>6100</v>
      </c>
      <c r="DM2" cm="1">
        <f t="array" ref="DM2">_xll.RssMarket("9432.T", "最良買気配数量2")</f>
        <v>9000</v>
      </c>
      <c r="DN2" cm="1">
        <f t="array" ref="DN2">_xll.RssMarket("9432.T", "最良買気配数量3")</f>
        <v>7000</v>
      </c>
      <c r="DO2" cm="1">
        <f t="array" ref="DO2">_xll.RssMarket("9432.T", "最良買気配数量4")</f>
        <v>37000</v>
      </c>
      <c r="DP2" cm="1">
        <f t="array" ref="DP2">_xll.RssMarket("9432.T", "最良買気配数量5")</f>
        <v>8500</v>
      </c>
      <c r="DQ2" cm="1">
        <f t="array" ref="DQ2">_xll.RssMarket("9432.T", "最良買気配数量6")</f>
        <v>459000</v>
      </c>
      <c r="DR2" cm="1">
        <f t="array" ref="DR2">_xll.RssMarket("9432.T", "最良買気配数量7")</f>
        <v>85500</v>
      </c>
      <c r="DS2" cm="1">
        <f t="array" ref="DS2">_xll.RssMarket("9432.T", "最良買気配数量8")</f>
        <v>164300</v>
      </c>
      <c r="DT2" cm="1">
        <f t="array" ref="DT2">_xll.RssMarket("9432.T", "最良買気配数量9")</f>
        <v>465100</v>
      </c>
      <c r="DU2" cm="1">
        <f t="array" ref="DU2">_xll.RssMarket("9432.T", "最良買気配数量10")</f>
        <v>417300</v>
      </c>
      <c r="DV2" cm="1">
        <f t="array" ref="DV2">_xll.RssMarket("9432.T", "売成行数量")</f>
        <v>0</v>
      </c>
      <c r="DW2" cm="1">
        <f t="array" ref="DW2">_xll.RssMarket("9432.T", "買成行数量")</f>
        <v>0</v>
      </c>
      <c r="DX2" cm="1">
        <f t="array" ref="DX2">_xll.RssMarket("9432.T", "OVER気配数量")</f>
        <v>45406300</v>
      </c>
      <c r="DY2" cm="1">
        <f t="array" ref="DY2">_xll.RssMarket("9432.T", "UNDER気配数量")</f>
        <v>53523000</v>
      </c>
      <c r="DZ2" cm="1">
        <f t="array" ref="DZ2">_xll.RssMarket("9432.T", "単位株数")</f>
        <v>100</v>
      </c>
      <c r="EA2" cm="1">
        <f t="array" ref="EA2">_xll.RssMarket("9432.T", "配当")</f>
        <v>5.4</v>
      </c>
      <c r="EB2" t="str" cm="1">
        <f t="array" ref="EB2">_xll.RssMarket("9432.T", "配当落日")</f>
        <v>2027/03/30</v>
      </c>
      <c r="EC2" t="str" cm="1">
        <f t="array" ref="EC2">_xll.RssMarket("9432.T", "中配落日")</f>
        <v>2026/09/29</v>
      </c>
      <c r="ED2" t="str" cm="1">
        <f t="array" ref="ED2">_xll.RssMarket("9432.T", "権利落日")</f>
        <v>2023/06/29</v>
      </c>
      <c r="EE2" t="str" cm="1">
        <f t="array" ref="EE2">_xll.RssMarket("9432.T", "決算発表日")</f>
        <v>2026/08/06</v>
      </c>
      <c r="EF2" cm="1">
        <f t="array" ref="EF2">_xll.RssMarket("9432.T", "PER")</f>
        <v>14.36</v>
      </c>
      <c r="EG2" cm="1">
        <f t="array" ref="EG2">_xll.RssMarket("9432.T", "PBR")</f>
        <v>1.46</v>
      </c>
      <c r="EH2" cm="1">
        <f t="array" ref="EH2">_xll.RssMarket("9432.T", "当日基準値")</f>
        <v>176</v>
      </c>
      <c r="EI2" cm="1">
        <f t="array" ref="EI2">_xll.RssMarket("9432.T", "年初来高値")</f>
        <v>175.6</v>
      </c>
      <c r="EJ2" cm="1">
        <f t="array" ref="EJ2">_xll.RssMarket("9432.T", "年初来安値")</f>
        <v>142.6</v>
      </c>
      <c r="EK2" t="str" cm="1">
        <f t="array" ref="EK2">_xll.RssMarket("9432.T", "年初来高値日付")</f>
        <v>2026/09/01</v>
      </c>
      <c r="EL2" t="str" cm="1">
        <f t="array" ref="EL2">_xll.RssMarket("9432.T", "年初来安値日付")</f>
        <v>2026/06/23</v>
      </c>
      <c r="EM2" cm="1">
        <f t="array" ref="EM2">_xll.RssMarket("9432.T", "上場来高値")</f>
        <v>3180000</v>
      </c>
      <c r="EN2" cm="1">
        <f t="array" ref="EN2">_xll.RssMarket("9432.T", "上場来安値")</f>
        <v>135.19999999999999</v>
      </c>
      <c r="EO2" t="str" cm="1">
        <f t="array" ref="EO2">_xll.RssMarket("9432.T", "上場来高値日付")</f>
        <v>1987/04/22</v>
      </c>
      <c r="EP2" t="str" cm="1">
        <f t="array" ref="EP2">_xll.RssMarket("9432.T", "上場来安値日付")</f>
        <v>2025/04/07</v>
      </c>
      <c r="EQ2" cm="1">
        <f t="array" ref="EQ2">_xll.RssMarket("9432.T", "貸株金利")</f>
        <v>0.1</v>
      </c>
      <c r="ER2" t="str" cm="1">
        <f t="array" ref="ER2">_xll.RssMarket("9432.T", "貸株金利適用日")</f>
        <v>2026/09/02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EFAF-6F9B-4697-9EA8-FB2625B59A43}">
  <sheetPr codeName="Sheet8"/>
  <dimension ref="A1:C103"/>
  <sheetViews>
    <sheetView topLeftCell="A94" workbookViewId="0">
      <selection activeCell="A2" sqref="A2"/>
    </sheetView>
  </sheetViews>
  <sheetFormatPr defaultRowHeight="18.75"/>
  <sheetData>
    <row r="1" spans="1:3">
      <c r="A1" t="str" cm="1">
        <f t="array" ref="A1">_xll.RssTickList($A$2:$C$2, "9432.T", 100)</f>
        <v>=RssTickList($A$2:$C$2, "9432.T", 100) =&gt; 配信中</v>
      </c>
    </row>
    <row r="2" spans="1:3">
      <c r="A2" t="s">
        <v>92</v>
      </c>
      <c r="B2" t="s">
        <v>93</v>
      </c>
      <c r="C2" t="s">
        <v>94</v>
      </c>
    </row>
    <row r="3" spans="1:3">
      <c r="A3" t="s">
        <v>302</v>
      </c>
      <c r="B3">
        <v>44673200</v>
      </c>
      <c r="C3">
        <v>175.2</v>
      </c>
    </row>
    <row r="4" spans="1:3">
      <c r="A4" t="s">
        <v>303</v>
      </c>
      <c r="B4">
        <v>100</v>
      </c>
      <c r="C4">
        <v>174.7</v>
      </c>
    </row>
    <row r="5" spans="1:3">
      <c r="A5" t="s">
        <v>303</v>
      </c>
      <c r="B5">
        <v>100</v>
      </c>
      <c r="C5">
        <v>174.6</v>
      </c>
    </row>
    <row r="6" spans="1:3">
      <c r="A6" t="s">
        <v>303</v>
      </c>
      <c r="B6">
        <v>100</v>
      </c>
      <c r="C6">
        <v>174.7</v>
      </c>
    </row>
    <row r="7" spans="1:3">
      <c r="A7" t="s">
        <v>303</v>
      </c>
      <c r="B7">
        <v>100</v>
      </c>
      <c r="C7">
        <v>174.6</v>
      </c>
    </row>
    <row r="8" spans="1:3">
      <c r="A8" t="s">
        <v>303</v>
      </c>
      <c r="B8">
        <v>100</v>
      </c>
      <c r="C8">
        <v>174.6</v>
      </c>
    </row>
    <row r="9" spans="1:3">
      <c r="A9" t="s">
        <v>303</v>
      </c>
      <c r="B9">
        <v>600</v>
      </c>
      <c r="C9">
        <v>174.7</v>
      </c>
    </row>
    <row r="10" spans="1:3">
      <c r="A10" t="s">
        <v>303</v>
      </c>
      <c r="B10">
        <v>100</v>
      </c>
      <c r="C10">
        <v>174.6</v>
      </c>
    </row>
    <row r="11" spans="1:3">
      <c r="A11" t="s">
        <v>303</v>
      </c>
      <c r="B11">
        <v>100</v>
      </c>
      <c r="C11">
        <v>174.6</v>
      </c>
    </row>
    <row r="12" spans="1:3">
      <c r="A12" t="s">
        <v>303</v>
      </c>
      <c r="B12">
        <v>100</v>
      </c>
      <c r="C12">
        <v>174.6</v>
      </c>
    </row>
    <row r="13" spans="1:3">
      <c r="A13" t="s">
        <v>303</v>
      </c>
      <c r="B13">
        <v>900</v>
      </c>
      <c r="C13">
        <v>174.7</v>
      </c>
    </row>
    <row r="14" spans="1:3">
      <c r="A14" t="s">
        <v>303</v>
      </c>
      <c r="B14">
        <v>100</v>
      </c>
      <c r="C14">
        <v>174.6</v>
      </c>
    </row>
    <row r="15" spans="1:3">
      <c r="A15" t="s">
        <v>303</v>
      </c>
      <c r="B15">
        <v>100</v>
      </c>
      <c r="C15">
        <v>174.7</v>
      </c>
    </row>
    <row r="16" spans="1:3">
      <c r="A16" t="s">
        <v>303</v>
      </c>
      <c r="B16">
        <v>300</v>
      </c>
      <c r="C16">
        <v>174.7</v>
      </c>
    </row>
    <row r="17" spans="1:3">
      <c r="A17" t="s">
        <v>303</v>
      </c>
      <c r="B17">
        <v>100</v>
      </c>
      <c r="C17">
        <v>174.6</v>
      </c>
    </row>
    <row r="18" spans="1:3">
      <c r="A18" t="s">
        <v>304</v>
      </c>
      <c r="B18">
        <v>600</v>
      </c>
      <c r="C18">
        <v>174.7</v>
      </c>
    </row>
    <row r="19" spans="1:3">
      <c r="A19" t="s">
        <v>304</v>
      </c>
      <c r="B19">
        <v>400</v>
      </c>
      <c r="C19">
        <v>174.7</v>
      </c>
    </row>
    <row r="20" spans="1:3">
      <c r="A20" t="s">
        <v>304</v>
      </c>
      <c r="B20">
        <v>7200</v>
      </c>
      <c r="C20">
        <v>174.6</v>
      </c>
    </row>
    <row r="21" spans="1:3">
      <c r="A21" t="s">
        <v>304</v>
      </c>
      <c r="B21">
        <v>1200</v>
      </c>
      <c r="C21">
        <v>174.7</v>
      </c>
    </row>
    <row r="22" spans="1:3">
      <c r="A22" t="s">
        <v>304</v>
      </c>
      <c r="B22">
        <v>400</v>
      </c>
      <c r="C22">
        <v>174.7</v>
      </c>
    </row>
    <row r="23" spans="1:3">
      <c r="A23" t="s">
        <v>304</v>
      </c>
      <c r="B23">
        <v>2600</v>
      </c>
      <c r="C23">
        <v>174.7</v>
      </c>
    </row>
    <row r="24" spans="1:3">
      <c r="A24" t="s">
        <v>304</v>
      </c>
      <c r="B24">
        <v>900</v>
      </c>
      <c r="C24">
        <v>174.7</v>
      </c>
    </row>
    <row r="25" spans="1:3">
      <c r="A25" t="s">
        <v>305</v>
      </c>
      <c r="B25">
        <v>3000</v>
      </c>
      <c r="C25">
        <v>174.7</v>
      </c>
    </row>
    <row r="26" spans="1:3">
      <c r="A26" t="s">
        <v>305</v>
      </c>
      <c r="B26">
        <v>1000</v>
      </c>
      <c r="C26">
        <v>174.5</v>
      </c>
    </row>
    <row r="27" spans="1:3">
      <c r="A27" t="s">
        <v>305</v>
      </c>
      <c r="B27">
        <v>200</v>
      </c>
      <c r="C27">
        <v>174.7</v>
      </c>
    </row>
    <row r="28" spans="1:3">
      <c r="A28" t="s">
        <v>305</v>
      </c>
      <c r="B28">
        <v>100</v>
      </c>
      <c r="C28">
        <v>174.7</v>
      </c>
    </row>
    <row r="29" spans="1:3">
      <c r="A29" t="s">
        <v>305</v>
      </c>
      <c r="B29">
        <v>300</v>
      </c>
      <c r="C29">
        <v>174.5</v>
      </c>
    </row>
    <row r="30" spans="1:3">
      <c r="A30" t="s">
        <v>305</v>
      </c>
      <c r="B30">
        <v>200</v>
      </c>
      <c r="C30">
        <v>174.5</v>
      </c>
    </row>
    <row r="31" spans="1:3">
      <c r="A31" t="s">
        <v>305</v>
      </c>
      <c r="B31">
        <v>100000</v>
      </c>
      <c r="C31">
        <v>174.6</v>
      </c>
    </row>
    <row r="32" spans="1:3">
      <c r="A32" t="s">
        <v>306</v>
      </c>
      <c r="B32">
        <v>100</v>
      </c>
      <c r="C32">
        <v>174.6</v>
      </c>
    </row>
    <row r="33" spans="1:3">
      <c r="A33" t="s">
        <v>306</v>
      </c>
      <c r="B33">
        <v>3300</v>
      </c>
      <c r="C33">
        <v>174.6</v>
      </c>
    </row>
    <row r="34" spans="1:3">
      <c r="A34" t="s">
        <v>306</v>
      </c>
      <c r="B34">
        <v>3400</v>
      </c>
      <c r="C34">
        <v>174.6</v>
      </c>
    </row>
    <row r="35" spans="1:3">
      <c r="A35" t="s">
        <v>306</v>
      </c>
      <c r="B35">
        <v>100</v>
      </c>
      <c r="C35">
        <v>174.5</v>
      </c>
    </row>
    <row r="36" spans="1:3">
      <c r="A36" t="s">
        <v>306</v>
      </c>
      <c r="B36">
        <v>400</v>
      </c>
      <c r="C36">
        <v>174.6</v>
      </c>
    </row>
    <row r="37" spans="1:3">
      <c r="A37" t="s">
        <v>306</v>
      </c>
      <c r="B37">
        <v>3800</v>
      </c>
      <c r="C37">
        <v>174.6</v>
      </c>
    </row>
    <row r="38" spans="1:3">
      <c r="A38" t="s">
        <v>306</v>
      </c>
      <c r="B38">
        <v>200</v>
      </c>
      <c r="C38">
        <v>174.6</v>
      </c>
    </row>
    <row r="39" spans="1:3">
      <c r="A39" t="s">
        <v>306</v>
      </c>
      <c r="B39">
        <v>8200</v>
      </c>
      <c r="C39">
        <v>174.6</v>
      </c>
    </row>
    <row r="40" spans="1:3">
      <c r="A40" t="s">
        <v>306</v>
      </c>
      <c r="B40">
        <v>100</v>
      </c>
      <c r="C40">
        <v>174.6</v>
      </c>
    </row>
    <row r="41" spans="1:3">
      <c r="A41" t="s">
        <v>307</v>
      </c>
      <c r="B41">
        <v>100</v>
      </c>
      <c r="C41">
        <v>174.5</v>
      </c>
    </row>
    <row r="42" spans="1:3">
      <c r="A42" t="s">
        <v>307</v>
      </c>
      <c r="B42">
        <v>3400</v>
      </c>
      <c r="C42">
        <v>174.6</v>
      </c>
    </row>
    <row r="43" spans="1:3">
      <c r="A43" t="s">
        <v>307</v>
      </c>
      <c r="B43">
        <v>300</v>
      </c>
      <c r="C43">
        <v>174.6</v>
      </c>
    </row>
    <row r="44" spans="1:3">
      <c r="A44" t="s">
        <v>307</v>
      </c>
      <c r="B44">
        <v>200</v>
      </c>
      <c r="C44">
        <v>174.6</v>
      </c>
    </row>
    <row r="45" spans="1:3">
      <c r="A45" t="s">
        <v>307</v>
      </c>
      <c r="B45">
        <v>100</v>
      </c>
      <c r="C45">
        <v>174.6</v>
      </c>
    </row>
    <row r="46" spans="1:3">
      <c r="A46" t="s">
        <v>307</v>
      </c>
      <c r="B46">
        <v>4300</v>
      </c>
      <c r="C46">
        <v>174.6</v>
      </c>
    </row>
    <row r="47" spans="1:3">
      <c r="A47" t="s">
        <v>307</v>
      </c>
      <c r="B47">
        <v>700</v>
      </c>
      <c r="C47">
        <v>174.5</v>
      </c>
    </row>
    <row r="48" spans="1:3">
      <c r="A48" t="s">
        <v>308</v>
      </c>
      <c r="B48">
        <v>300</v>
      </c>
      <c r="C48">
        <v>174.6</v>
      </c>
    </row>
    <row r="49" spans="1:3">
      <c r="A49" t="s">
        <v>308</v>
      </c>
      <c r="B49">
        <v>1200</v>
      </c>
      <c r="C49">
        <v>174.6</v>
      </c>
    </row>
    <row r="50" spans="1:3">
      <c r="A50" t="s">
        <v>309</v>
      </c>
      <c r="B50">
        <v>500</v>
      </c>
      <c r="C50">
        <v>174.6</v>
      </c>
    </row>
    <row r="51" spans="1:3">
      <c r="A51" t="s">
        <v>309</v>
      </c>
      <c r="B51">
        <v>1100</v>
      </c>
      <c r="C51">
        <v>174.6</v>
      </c>
    </row>
    <row r="52" spans="1:3">
      <c r="A52" t="s">
        <v>309</v>
      </c>
      <c r="B52">
        <v>400</v>
      </c>
      <c r="C52">
        <v>174.6</v>
      </c>
    </row>
    <row r="53" spans="1:3">
      <c r="A53" s="1" t="s">
        <v>309</v>
      </c>
      <c r="B53" s="1">
        <v>500</v>
      </c>
      <c r="C53" s="1">
        <v>174.6</v>
      </c>
    </row>
    <row r="54" spans="1:3">
      <c r="A54" t="s">
        <v>309</v>
      </c>
      <c r="B54">
        <v>4000</v>
      </c>
      <c r="C54">
        <v>174.6</v>
      </c>
    </row>
    <row r="55" spans="1:3">
      <c r="A55" t="s">
        <v>310</v>
      </c>
      <c r="B55">
        <v>1100</v>
      </c>
      <c r="C55">
        <v>174.6</v>
      </c>
    </row>
    <row r="56" spans="1:3">
      <c r="A56" t="s">
        <v>310</v>
      </c>
      <c r="B56">
        <v>1100</v>
      </c>
      <c r="C56">
        <v>174.6</v>
      </c>
    </row>
    <row r="57" spans="1:3">
      <c r="A57" t="s">
        <v>310</v>
      </c>
      <c r="B57">
        <v>100</v>
      </c>
      <c r="C57">
        <v>174.6</v>
      </c>
    </row>
    <row r="58" spans="1:3">
      <c r="A58" t="s">
        <v>310</v>
      </c>
      <c r="B58">
        <v>100</v>
      </c>
      <c r="C58">
        <v>174.6</v>
      </c>
    </row>
    <row r="59" spans="1:3">
      <c r="A59" t="s">
        <v>311</v>
      </c>
      <c r="B59">
        <v>6000</v>
      </c>
      <c r="C59">
        <v>174.6</v>
      </c>
    </row>
    <row r="60" spans="1:3">
      <c r="A60" t="s">
        <v>311</v>
      </c>
      <c r="B60">
        <v>6100</v>
      </c>
      <c r="C60">
        <v>174.6</v>
      </c>
    </row>
    <row r="61" spans="1:3">
      <c r="A61" t="s">
        <v>327</v>
      </c>
      <c r="B61">
        <v>500</v>
      </c>
      <c r="C61">
        <v>174.5</v>
      </c>
    </row>
    <row r="62" spans="1:3">
      <c r="A62" t="s">
        <v>327</v>
      </c>
      <c r="B62">
        <v>200</v>
      </c>
      <c r="C62">
        <v>174.5</v>
      </c>
    </row>
    <row r="63" spans="1:3">
      <c r="A63" t="s">
        <v>327</v>
      </c>
      <c r="B63">
        <v>1700</v>
      </c>
      <c r="C63">
        <v>174.6</v>
      </c>
    </row>
    <row r="64" spans="1:3">
      <c r="A64" t="s">
        <v>327</v>
      </c>
      <c r="B64">
        <v>9200</v>
      </c>
      <c r="C64">
        <v>174.6</v>
      </c>
    </row>
    <row r="65" spans="1:3">
      <c r="A65" t="s">
        <v>328</v>
      </c>
      <c r="B65">
        <v>100</v>
      </c>
      <c r="C65">
        <v>174.6</v>
      </c>
    </row>
    <row r="66" spans="1:3">
      <c r="A66" t="s">
        <v>328</v>
      </c>
      <c r="B66">
        <v>5000</v>
      </c>
      <c r="C66">
        <v>174.6</v>
      </c>
    </row>
    <row r="67" spans="1:3">
      <c r="A67" t="s">
        <v>329</v>
      </c>
      <c r="B67">
        <v>300</v>
      </c>
      <c r="C67">
        <v>174.5</v>
      </c>
    </row>
    <row r="68" spans="1:3">
      <c r="A68" t="s">
        <v>329</v>
      </c>
      <c r="B68">
        <v>15600</v>
      </c>
      <c r="C68">
        <v>174.6</v>
      </c>
    </row>
    <row r="69" spans="1:3">
      <c r="A69" t="s">
        <v>347</v>
      </c>
      <c r="B69">
        <v>3300</v>
      </c>
      <c r="C69">
        <v>174.6</v>
      </c>
    </row>
    <row r="70" spans="1:3">
      <c r="A70" t="s">
        <v>330</v>
      </c>
      <c r="B70">
        <v>6700</v>
      </c>
      <c r="C70">
        <v>174.6</v>
      </c>
    </row>
    <row r="71" spans="1:3">
      <c r="A71" t="s">
        <v>312</v>
      </c>
      <c r="B71">
        <v>3000</v>
      </c>
      <c r="C71">
        <v>174.5</v>
      </c>
    </row>
    <row r="72" spans="1:3">
      <c r="A72" t="s">
        <v>313</v>
      </c>
      <c r="B72">
        <v>10500</v>
      </c>
      <c r="C72">
        <v>174.6</v>
      </c>
    </row>
    <row r="73" spans="1:3">
      <c r="A73" t="s">
        <v>313</v>
      </c>
      <c r="B73">
        <v>1600</v>
      </c>
      <c r="C73">
        <v>174.6</v>
      </c>
    </row>
    <row r="74" spans="1:3">
      <c r="A74" t="s">
        <v>348</v>
      </c>
      <c r="B74">
        <v>100</v>
      </c>
      <c r="C74">
        <v>174.6</v>
      </c>
    </row>
    <row r="75" spans="1:3">
      <c r="A75" t="s">
        <v>349</v>
      </c>
      <c r="B75">
        <v>10000</v>
      </c>
      <c r="C75">
        <v>174.5</v>
      </c>
    </row>
    <row r="76" spans="1:3">
      <c r="A76" t="s">
        <v>350</v>
      </c>
      <c r="B76">
        <v>6200</v>
      </c>
      <c r="C76">
        <v>174.6</v>
      </c>
    </row>
    <row r="77" spans="1:3">
      <c r="A77" t="s">
        <v>351</v>
      </c>
      <c r="B77">
        <v>1000</v>
      </c>
      <c r="C77">
        <v>174.5</v>
      </c>
    </row>
    <row r="78" spans="1:3">
      <c r="A78" t="s">
        <v>352</v>
      </c>
      <c r="B78">
        <v>100</v>
      </c>
      <c r="C78">
        <v>174.5</v>
      </c>
    </row>
    <row r="79" spans="1:3">
      <c r="A79" t="s">
        <v>352</v>
      </c>
      <c r="B79">
        <v>100</v>
      </c>
      <c r="C79">
        <v>174.6</v>
      </c>
    </row>
    <row r="80" spans="1:3">
      <c r="A80" t="s">
        <v>352</v>
      </c>
      <c r="B80">
        <v>3400</v>
      </c>
      <c r="C80">
        <v>174.6</v>
      </c>
    </row>
    <row r="81" spans="1:3">
      <c r="A81" t="s">
        <v>352</v>
      </c>
      <c r="B81">
        <v>272700</v>
      </c>
      <c r="C81">
        <v>174.6</v>
      </c>
    </row>
    <row r="82" spans="1:3">
      <c r="A82" t="s">
        <v>353</v>
      </c>
      <c r="B82">
        <v>4900</v>
      </c>
      <c r="C82">
        <v>174.7</v>
      </c>
    </row>
    <row r="83" spans="1:3">
      <c r="A83" t="s">
        <v>353</v>
      </c>
      <c r="B83">
        <v>200</v>
      </c>
      <c r="C83">
        <v>174.6</v>
      </c>
    </row>
    <row r="84" spans="1:3">
      <c r="A84" t="s">
        <v>353</v>
      </c>
      <c r="B84">
        <v>200</v>
      </c>
      <c r="C84">
        <v>174.6</v>
      </c>
    </row>
    <row r="85" spans="1:3">
      <c r="A85" t="s">
        <v>353</v>
      </c>
      <c r="B85">
        <v>1000</v>
      </c>
      <c r="C85">
        <v>174.6</v>
      </c>
    </row>
    <row r="86" spans="1:3">
      <c r="A86" t="s">
        <v>353</v>
      </c>
      <c r="B86">
        <v>100</v>
      </c>
      <c r="C86">
        <v>174.7</v>
      </c>
    </row>
    <row r="87" spans="1:3">
      <c r="A87" t="s">
        <v>354</v>
      </c>
      <c r="B87">
        <v>1000</v>
      </c>
      <c r="C87">
        <v>174.7</v>
      </c>
    </row>
    <row r="88" spans="1:3">
      <c r="A88" t="s">
        <v>354</v>
      </c>
      <c r="B88">
        <v>200</v>
      </c>
      <c r="C88">
        <v>174.6</v>
      </c>
    </row>
    <row r="89" spans="1:3">
      <c r="A89" t="s">
        <v>314</v>
      </c>
      <c r="B89">
        <v>1000</v>
      </c>
      <c r="C89">
        <v>174.7</v>
      </c>
    </row>
    <row r="90" spans="1:3">
      <c r="A90" t="s">
        <v>314</v>
      </c>
      <c r="B90">
        <v>200</v>
      </c>
      <c r="C90">
        <v>174.6</v>
      </c>
    </row>
    <row r="91" spans="1:3">
      <c r="A91" t="s">
        <v>331</v>
      </c>
      <c r="B91">
        <v>100</v>
      </c>
      <c r="C91">
        <v>174.7</v>
      </c>
    </row>
    <row r="92" spans="1:3">
      <c r="A92" t="s">
        <v>331</v>
      </c>
      <c r="B92">
        <v>2000</v>
      </c>
      <c r="C92">
        <v>174.7</v>
      </c>
    </row>
    <row r="93" spans="1:3">
      <c r="A93" t="s">
        <v>331</v>
      </c>
      <c r="B93">
        <v>38300</v>
      </c>
      <c r="C93">
        <v>174.7</v>
      </c>
    </row>
    <row r="94" spans="1:3">
      <c r="A94" t="s">
        <v>315</v>
      </c>
      <c r="B94">
        <v>9100</v>
      </c>
      <c r="C94">
        <v>174.7</v>
      </c>
    </row>
    <row r="95" spans="1:3">
      <c r="A95" t="s">
        <v>315</v>
      </c>
      <c r="B95">
        <v>500</v>
      </c>
      <c r="C95">
        <v>174.7</v>
      </c>
    </row>
    <row r="96" spans="1:3">
      <c r="A96" t="s">
        <v>315</v>
      </c>
      <c r="B96">
        <v>300</v>
      </c>
      <c r="C96">
        <v>174.7</v>
      </c>
    </row>
    <row r="97" spans="1:3">
      <c r="A97" t="s">
        <v>315</v>
      </c>
      <c r="B97">
        <v>100</v>
      </c>
      <c r="C97">
        <v>174.6</v>
      </c>
    </row>
    <row r="98" spans="1:3">
      <c r="A98" t="s">
        <v>315</v>
      </c>
      <c r="B98">
        <v>1300</v>
      </c>
      <c r="C98">
        <v>174.7</v>
      </c>
    </row>
    <row r="99" spans="1:3">
      <c r="A99" t="s">
        <v>316</v>
      </c>
      <c r="B99">
        <v>100</v>
      </c>
      <c r="C99">
        <v>174.7</v>
      </c>
    </row>
    <row r="100" spans="1:3">
      <c r="A100" t="s">
        <v>316</v>
      </c>
      <c r="B100">
        <v>100</v>
      </c>
      <c r="C100">
        <v>174.6</v>
      </c>
    </row>
    <row r="101" spans="1:3">
      <c r="A101" t="s">
        <v>317</v>
      </c>
      <c r="B101">
        <v>2400</v>
      </c>
      <c r="C101">
        <v>174.6</v>
      </c>
    </row>
    <row r="102" spans="1:3">
      <c r="A102" t="s">
        <v>332</v>
      </c>
      <c r="B102">
        <v>100</v>
      </c>
      <c r="C102">
        <v>174.6</v>
      </c>
    </row>
    <row r="103" spans="1:3">
      <c r="A103" s="1" t="s">
        <v>131</v>
      </c>
      <c r="B103" s="1" t="s">
        <v>131</v>
      </c>
      <c r="C103" s="1" t="s">
        <v>131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02CB9-A196-4563-A290-58FC6C564D9F}">
  <dimension ref="A1:O130"/>
  <sheetViews>
    <sheetView workbookViewId="0">
      <selection activeCell="I16" sqref="I16"/>
    </sheetView>
  </sheetViews>
  <sheetFormatPr defaultRowHeight="18.75"/>
  <cols>
    <col min="1" max="1" width="18.75" customWidth="1"/>
  </cols>
  <sheetData>
    <row r="1" spans="1:15">
      <c r="A1" t="s">
        <v>273</v>
      </c>
    </row>
    <row r="2" spans="1:15">
      <c r="A2" t="s">
        <v>38</v>
      </c>
      <c r="B2" t="s">
        <v>39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17</v>
      </c>
      <c r="J2" t="s">
        <v>16</v>
      </c>
      <c r="K2" t="s">
        <v>21</v>
      </c>
      <c r="L2" t="s">
        <v>40</v>
      </c>
      <c r="M2" t="s">
        <v>41</v>
      </c>
      <c r="N2" t="s">
        <v>27</v>
      </c>
      <c r="O2" t="s">
        <v>42</v>
      </c>
    </row>
    <row r="3" spans="1:15">
      <c r="A3" s="1" t="s">
        <v>142</v>
      </c>
      <c r="B3" s="1">
        <v>20260820</v>
      </c>
      <c r="C3" s="1">
        <v>9984</v>
      </c>
      <c r="D3" s="1" t="s">
        <v>143</v>
      </c>
      <c r="E3" s="1" t="s">
        <v>43</v>
      </c>
      <c r="F3" s="1" t="s">
        <v>45</v>
      </c>
      <c r="G3" s="1" t="s">
        <v>46</v>
      </c>
      <c r="H3" s="1" t="s">
        <v>47</v>
      </c>
      <c r="I3" s="1" t="s">
        <v>48</v>
      </c>
      <c r="J3" s="1" t="s">
        <v>49</v>
      </c>
      <c r="K3" s="1">
        <v>100</v>
      </c>
      <c r="L3" s="1">
        <v>5945.9</v>
      </c>
      <c r="M3" s="1">
        <v>594590</v>
      </c>
      <c r="N3" s="1" t="s">
        <v>35</v>
      </c>
      <c r="O3" s="1">
        <v>0</v>
      </c>
    </row>
    <row r="4" spans="1:15">
      <c r="A4" t="s">
        <v>144</v>
      </c>
      <c r="B4">
        <v>20260820</v>
      </c>
      <c r="C4">
        <v>9984</v>
      </c>
      <c r="D4" t="s">
        <v>143</v>
      </c>
      <c r="E4" t="s">
        <v>43</v>
      </c>
      <c r="F4" t="s">
        <v>45</v>
      </c>
      <c r="G4" t="s">
        <v>46</v>
      </c>
      <c r="H4" t="s">
        <v>47</v>
      </c>
      <c r="I4" t="s">
        <v>51</v>
      </c>
      <c r="J4" t="s">
        <v>52</v>
      </c>
      <c r="K4">
        <v>100</v>
      </c>
      <c r="L4">
        <v>5978.1</v>
      </c>
      <c r="M4">
        <v>597810</v>
      </c>
      <c r="N4" t="s">
        <v>53</v>
      </c>
      <c r="O4">
        <v>0</v>
      </c>
    </row>
    <row r="5" spans="1:15">
      <c r="A5" s="1" t="s">
        <v>145</v>
      </c>
      <c r="B5" s="1">
        <v>20260820</v>
      </c>
      <c r="C5" s="1">
        <v>3436</v>
      </c>
      <c r="D5" s="1" t="s">
        <v>139</v>
      </c>
      <c r="E5" s="1" t="s">
        <v>43</v>
      </c>
      <c r="F5" s="1" t="s">
        <v>45</v>
      </c>
      <c r="G5" s="1" t="s">
        <v>46</v>
      </c>
      <c r="H5" s="1" t="s">
        <v>47</v>
      </c>
      <c r="I5" s="1" t="s">
        <v>48</v>
      </c>
      <c r="J5" s="1" t="s">
        <v>49</v>
      </c>
      <c r="K5" s="1">
        <v>100</v>
      </c>
      <c r="L5" s="1">
        <v>4118</v>
      </c>
      <c r="M5" s="1">
        <v>411800</v>
      </c>
      <c r="N5" s="1" t="s">
        <v>35</v>
      </c>
      <c r="O5" s="1">
        <v>0</v>
      </c>
    </row>
    <row r="6" spans="1:15">
      <c r="A6" t="s">
        <v>146</v>
      </c>
      <c r="B6">
        <v>20260820</v>
      </c>
      <c r="C6">
        <v>9984</v>
      </c>
      <c r="D6" t="s">
        <v>143</v>
      </c>
      <c r="E6" t="s">
        <v>43</v>
      </c>
      <c r="F6" t="s">
        <v>45</v>
      </c>
      <c r="G6" t="s">
        <v>46</v>
      </c>
      <c r="H6" t="s">
        <v>47</v>
      </c>
      <c r="I6" t="s">
        <v>48</v>
      </c>
      <c r="J6" t="s">
        <v>49</v>
      </c>
      <c r="K6">
        <v>100</v>
      </c>
      <c r="L6">
        <v>6008</v>
      </c>
      <c r="M6">
        <v>600800</v>
      </c>
      <c r="N6" t="s">
        <v>35</v>
      </c>
      <c r="O6">
        <v>0</v>
      </c>
    </row>
    <row r="7" spans="1:15">
      <c r="A7" t="s">
        <v>147</v>
      </c>
      <c r="B7">
        <v>20260820</v>
      </c>
      <c r="C7">
        <v>9984</v>
      </c>
      <c r="D7" t="s">
        <v>143</v>
      </c>
      <c r="E7" t="s">
        <v>43</v>
      </c>
      <c r="F7" t="s">
        <v>50</v>
      </c>
      <c r="G7" t="s">
        <v>46</v>
      </c>
      <c r="H7" t="s">
        <v>47</v>
      </c>
      <c r="I7" t="s">
        <v>51</v>
      </c>
      <c r="J7" t="s">
        <v>52</v>
      </c>
      <c r="K7">
        <v>100</v>
      </c>
      <c r="L7">
        <v>6064</v>
      </c>
      <c r="M7">
        <v>606400</v>
      </c>
      <c r="N7" t="s">
        <v>53</v>
      </c>
      <c r="O7">
        <v>0</v>
      </c>
    </row>
    <row r="8" spans="1:15">
      <c r="A8" t="s">
        <v>148</v>
      </c>
      <c r="B8">
        <v>20260820</v>
      </c>
      <c r="C8">
        <v>3436</v>
      </c>
      <c r="D8" t="s">
        <v>139</v>
      </c>
      <c r="E8" t="s">
        <v>43</v>
      </c>
      <c r="F8" t="s">
        <v>45</v>
      </c>
      <c r="G8" t="s">
        <v>46</v>
      </c>
      <c r="H8" t="s">
        <v>47</v>
      </c>
      <c r="I8" t="s">
        <v>51</v>
      </c>
      <c r="J8" t="s">
        <v>52</v>
      </c>
      <c r="K8">
        <v>100</v>
      </c>
      <c r="L8">
        <v>4105.2</v>
      </c>
      <c r="M8">
        <v>410520</v>
      </c>
      <c r="N8" t="s">
        <v>53</v>
      </c>
      <c r="O8">
        <v>0</v>
      </c>
    </row>
    <row r="9" spans="1:15">
      <c r="A9" t="s">
        <v>149</v>
      </c>
      <c r="B9">
        <v>20260820</v>
      </c>
      <c r="C9">
        <v>3436</v>
      </c>
      <c r="D9" t="s">
        <v>139</v>
      </c>
      <c r="E9" t="s">
        <v>43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K9">
        <v>100</v>
      </c>
      <c r="L9">
        <v>4158.8999999999996</v>
      </c>
      <c r="M9">
        <v>415890</v>
      </c>
      <c r="N9" t="s">
        <v>35</v>
      </c>
      <c r="O9">
        <v>0</v>
      </c>
    </row>
    <row r="10" spans="1:15">
      <c r="A10" s="1" t="s">
        <v>150</v>
      </c>
      <c r="B10" s="1">
        <v>20260820</v>
      </c>
      <c r="C10" s="1">
        <v>9984</v>
      </c>
      <c r="D10" s="1" t="s">
        <v>143</v>
      </c>
      <c r="E10" s="1" t="s">
        <v>43</v>
      </c>
      <c r="F10" s="1" t="s">
        <v>45</v>
      </c>
      <c r="G10" s="1" t="s">
        <v>46</v>
      </c>
      <c r="H10" s="1" t="s">
        <v>47</v>
      </c>
      <c r="I10" s="1" t="s">
        <v>48</v>
      </c>
      <c r="J10" s="1" t="s">
        <v>49</v>
      </c>
      <c r="K10" s="1">
        <v>100</v>
      </c>
      <c r="L10" s="1">
        <v>6057</v>
      </c>
      <c r="M10" s="1">
        <v>605700</v>
      </c>
      <c r="N10" s="1" t="s">
        <v>35</v>
      </c>
      <c r="O10" s="1">
        <v>0</v>
      </c>
    </row>
    <row r="11" spans="1:15">
      <c r="A11" s="1" t="s">
        <v>151</v>
      </c>
      <c r="B11" s="1">
        <v>20260820</v>
      </c>
      <c r="C11" s="1">
        <v>9984</v>
      </c>
      <c r="D11" s="1" t="s">
        <v>143</v>
      </c>
      <c r="E11" s="1" t="s">
        <v>43</v>
      </c>
      <c r="F11" s="1" t="s">
        <v>45</v>
      </c>
      <c r="G11" s="1" t="s">
        <v>46</v>
      </c>
      <c r="H11" s="1" t="s">
        <v>47</v>
      </c>
      <c r="I11" s="1" t="s">
        <v>51</v>
      </c>
      <c r="J11" s="1" t="s">
        <v>52</v>
      </c>
      <c r="K11" s="1">
        <v>100</v>
      </c>
      <c r="L11" s="1">
        <v>6076.1</v>
      </c>
      <c r="M11" s="1">
        <v>607610</v>
      </c>
      <c r="N11" s="1" t="s">
        <v>53</v>
      </c>
      <c r="O11" s="1">
        <v>0</v>
      </c>
    </row>
    <row r="12" spans="1:15">
      <c r="A12" s="1" t="s">
        <v>152</v>
      </c>
      <c r="B12" s="1">
        <v>20260820</v>
      </c>
      <c r="C12" s="1">
        <v>3436</v>
      </c>
      <c r="D12" s="1" t="s">
        <v>139</v>
      </c>
      <c r="E12" s="1" t="s">
        <v>43</v>
      </c>
      <c r="F12" s="1" t="s">
        <v>45</v>
      </c>
      <c r="G12" s="1" t="s">
        <v>46</v>
      </c>
      <c r="H12" s="1" t="s">
        <v>47</v>
      </c>
      <c r="I12" s="1" t="s">
        <v>51</v>
      </c>
      <c r="J12" s="1" t="s">
        <v>52</v>
      </c>
      <c r="K12" s="1">
        <v>100</v>
      </c>
      <c r="L12" s="1">
        <v>4169.2</v>
      </c>
      <c r="M12" s="1">
        <v>416920</v>
      </c>
      <c r="N12" s="1" t="s">
        <v>53</v>
      </c>
      <c r="O12" s="1">
        <v>0</v>
      </c>
    </row>
    <row r="13" spans="1:15">
      <c r="A13" s="1" t="s">
        <v>153</v>
      </c>
      <c r="B13" s="1">
        <v>20260820</v>
      </c>
      <c r="C13" s="1">
        <v>9984</v>
      </c>
      <c r="D13" s="1" t="s">
        <v>143</v>
      </c>
      <c r="E13" s="1" t="s">
        <v>43</v>
      </c>
      <c r="F13" s="1" t="s">
        <v>45</v>
      </c>
      <c r="G13" s="1" t="s">
        <v>46</v>
      </c>
      <c r="H13" s="1" t="s">
        <v>47</v>
      </c>
      <c r="I13" s="1" t="s">
        <v>48</v>
      </c>
      <c r="J13" s="1" t="s">
        <v>49</v>
      </c>
      <c r="K13" s="1">
        <v>100</v>
      </c>
      <c r="L13" s="1">
        <v>6073.9</v>
      </c>
      <c r="M13" s="1">
        <v>607390</v>
      </c>
      <c r="N13" s="1" t="s">
        <v>35</v>
      </c>
      <c r="O13" s="1">
        <v>0</v>
      </c>
    </row>
    <row r="14" spans="1:15">
      <c r="A14" s="1" t="s">
        <v>154</v>
      </c>
      <c r="B14" s="1">
        <v>20260820</v>
      </c>
      <c r="C14" s="1">
        <v>9984</v>
      </c>
      <c r="D14" s="1" t="s">
        <v>143</v>
      </c>
      <c r="E14" s="1" t="s">
        <v>43</v>
      </c>
      <c r="F14" s="1" t="s">
        <v>50</v>
      </c>
      <c r="G14" s="1" t="s">
        <v>46</v>
      </c>
      <c r="H14" s="1" t="s">
        <v>47</v>
      </c>
      <c r="I14" s="1" t="s">
        <v>51</v>
      </c>
      <c r="J14" s="1" t="s">
        <v>52</v>
      </c>
      <c r="K14" s="1">
        <v>100</v>
      </c>
      <c r="L14" s="1">
        <v>6080</v>
      </c>
      <c r="M14" s="1">
        <v>608000</v>
      </c>
      <c r="N14" s="1" t="s">
        <v>53</v>
      </c>
      <c r="O14" s="1">
        <v>0</v>
      </c>
    </row>
    <row r="15" spans="1:15">
      <c r="A15" s="1" t="s">
        <v>155</v>
      </c>
      <c r="B15" s="1">
        <v>20260820</v>
      </c>
      <c r="C15" s="1">
        <v>3436</v>
      </c>
      <c r="D15" s="1" t="s">
        <v>139</v>
      </c>
      <c r="E15" s="1" t="s">
        <v>43</v>
      </c>
      <c r="F15" s="1" t="s">
        <v>45</v>
      </c>
      <c r="G15" s="1" t="s">
        <v>46</v>
      </c>
      <c r="H15" s="1" t="s">
        <v>47</v>
      </c>
      <c r="I15" s="1" t="s">
        <v>48</v>
      </c>
      <c r="J15" s="1" t="s">
        <v>49</v>
      </c>
      <c r="K15" s="1">
        <v>100</v>
      </c>
      <c r="L15" s="1">
        <v>4115.8</v>
      </c>
      <c r="M15" s="1">
        <v>411580</v>
      </c>
      <c r="N15" s="1" t="s">
        <v>35</v>
      </c>
      <c r="O15" s="1">
        <v>0</v>
      </c>
    </row>
    <row r="16" spans="1:15">
      <c r="A16" t="s">
        <v>156</v>
      </c>
      <c r="B16">
        <v>20260820</v>
      </c>
      <c r="C16">
        <v>3436</v>
      </c>
      <c r="D16" t="s">
        <v>139</v>
      </c>
      <c r="E16" t="s">
        <v>43</v>
      </c>
      <c r="F16" t="s">
        <v>45</v>
      </c>
      <c r="G16" t="s">
        <v>46</v>
      </c>
      <c r="H16" t="s">
        <v>47</v>
      </c>
      <c r="I16" t="s">
        <v>51</v>
      </c>
      <c r="J16" t="s">
        <v>52</v>
      </c>
      <c r="K16">
        <v>100</v>
      </c>
      <c r="L16">
        <v>4123.7</v>
      </c>
      <c r="M16">
        <v>412370</v>
      </c>
      <c r="N16" t="s">
        <v>53</v>
      </c>
      <c r="O16">
        <v>0</v>
      </c>
    </row>
    <row r="17" spans="1:15">
      <c r="A17" s="1" t="s">
        <v>157</v>
      </c>
      <c r="B17" s="1">
        <v>20260820</v>
      </c>
      <c r="C17" s="1">
        <v>9984</v>
      </c>
      <c r="D17" s="1" t="s">
        <v>143</v>
      </c>
      <c r="E17" s="1" t="s">
        <v>43</v>
      </c>
      <c r="F17" s="1" t="s">
        <v>45</v>
      </c>
      <c r="G17" s="1" t="s">
        <v>46</v>
      </c>
      <c r="H17" s="1" t="s">
        <v>47</v>
      </c>
      <c r="I17" s="1" t="s">
        <v>48</v>
      </c>
      <c r="J17" s="1" t="s">
        <v>49</v>
      </c>
      <c r="K17" s="1">
        <v>100</v>
      </c>
      <c r="L17" s="1">
        <v>6082.6</v>
      </c>
      <c r="M17" s="1">
        <v>608260</v>
      </c>
      <c r="N17" s="1" t="s">
        <v>35</v>
      </c>
      <c r="O17" s="1">
        <v>0</v>
      </c>
    </row>
    <row r="18" spans="1:15">
      <c r="A18" t="s">
        <v>158</v>
      </c>
      <c r="B18">
        <v>20260820</v>
      </c>
      <c r="C18">
        <v>9984</v>
      </c>
      <c r="D18" t="s">
        <v>143</v>
      </c>
      <c r="E18" t="s">
        <v>43</v>
      </c>
      <c r="F18" t="s">
        <v>50</v>
      </c>
      <c r="G18" t="s">
        <v>46</v>
      </c>
      <c r="H18" t="s">
        <v>47</v>
      </c>
      <c r="I18" t="s">
        <v>51</v>
      </c>
      <c r="J18" t="s">
        <v>52</v>
      </c>
      <c r="K18">
        <v>100</v>
      </c>
      <c r="L18">
        <v>6141</v>
      </c>
      <c r="M18">
        <v>614100</v>
      </c>
      <c r="N18" t="s">
        <v>53</v>
      </c>
      <c r="O18">
        <v>0</v>
      </c>
    </row>
    <row r="19" spans="1:15">
      <c r="A19" t="s">
        <v>159</v>
      </c>
      <c r="B19">
        <v>20260820</v>
      </c>
      <c r="C19">
        <v>9984</v>
      </c>
      <c r="D19" t="s">
        <v>143</v>
      </c>
      <c r="E19" t="s">
        <v>43</v>
      </c>
      <c r="F19" t="s">
        <v>45</v>
      </c>
      <c r="G19" t="s">
        <v>46</v>
      </c>
      <c r="H19" t="s">
        <v>47</v>
      </c>
      <c r="I19" t="s">
        <v>48</v>
      </c>
      <c r="J19" t="s">
        <v>49</v>
      </c>
      <c r="K19">
        <v>100</v>
      </c>
      <c r="L19">
        <v>6178.4</v>
      </c>
      <c r="M19">
        <v>617840</v>
      </c>
      <c r="N19" t="s">
        <v>35</v>
      </c>
      <c r="O19">
        <v>0</v>
      </c>
    </row>
    <row r="20" spans="1:15">
      <c r="A20" t="s">
        <v>160</v>
      </c>
      <c r="B20">
        <v>20260820</v>
      </c>
      <c r="C20">
        <v>3436</v>
      </c>
      <c r="D20" t="s">
        <v>139</v>
      </c>
      <c r="E20" t="s">
        <v>43</v>
      </c>
      <c r="F20" t="s">
        <v>45</v>
      </c>
      <c r="G20" t="s">
        <v>46</v>
      </c>
      <c r="H20" t="s">
        <v>47</v>
      </c>
      <c r="I20" t="s">
        <v>48</v>
      </c>
      <c r="J20" t="s">
        <v>49</v>
      </c>
      <c r="K20">
        <v>100</v>
      </c>
      <c r="L20">
        <v>4120.8999999999996</v>
      </c>
      <c r="M20">
        <v>412090</v>
      </c>
      <c r="N20" t="s">
        <v>35</v>
      </c>
      <c r="O20">
        <v>0</v>
      </c>
    </row>
    <row r="21" spans="1:15">
      <c r="A21" t="s">
        <v>161</v>
      </c>
      <c r="B21">
        <v>20260820</v>
      </c>
      <c r="C21">
        <v>9984</v>
      </c>
      <c r="D21" t="s">
        <v>143</v>
      </c>
      <c r="E21" t="s">
        <v>43</v>
      </c>
      <c r="F21" t="s">
        <v>45</v>
      </c>
      <c r="G21" t="s">
        <v>46</v>
      </c>
      <c r="H21" t="s">
        <v>47</v>
      </c>
      <c r="I21" t="s">
        <v>51</v>
      </c>
      <c r="J21" t="s">
        <v>52</v>
      </c>
      <c r="K21">
        <v>100</v>
      </c>
      <c r="L21">
        <v>6202.1</v>
      </c>
      <c r="M21">
        <v>620210</v>
      </c>
      <c r="N21" t="s">
        <v>53</v>
      </c>
      <c r="O21">
        <v>0</v>
      </c>
    </row>
    <row r="22" spans="1:15">
      <c r="A22" t="s">
        <v>162</v>
      </c>
      <c r="B22">
        <v>20260820</v>
      </c>
      <c r="C22">
        <v>3436</v>
      </c>
      <c r="D22" t="s">
        <v>139</v>
      </c>
      <c r="E22" t="s">
        <v>43</v>
      </c>
      <c r="F22" t="s">
        <v>45</v>
      </c>
      <c r="G22" t="s">
        <v>46</v>
      </c>
      <c r="H22" t="s">
        <v>47</v>
      </c>
      <c r="I22" t="s">
        <v>51</v>
      </c>
      <c r="J22" t="s">
        <v>52</v>
      </c>
      <c r="K22">
        <v>100</v>
      </c>
      <c r="L22">
        <v>4062.1</v>
      </c>
      <c r="M22">
        <v>406210</v>
      </c>
      <c r="N22" t="s">
        <v>53</v>
      </c>
      <c r="O22">
        <v>0</v>
      </c>
    </row>
    <row r="23" spans="1:15">
      <c r="A23" t="s">
        <v>163</v>
      </c>
      <c r="B23">
        <v>20260820</v>
      </c>
      <c r="C23">
        <v>3436</v>
      </c>
      <c r="D23" t="s">
        <v>139</v>
      </c>
      <c r="E23" t="s">
        <v>43</v>
      </c>
      <c r="F23" t="s">
        <v>45</v>
      </c>
      <c r="G23" t="s">
        <v>46</v>
      </c>
      <c r="H23" t="s">
        <v>47</v>
      </c>
      <c r="I23" t="s">
        <v>48</v>
      </c>
      <c r="J23" t="s">
        <v>49</v>
      </c>
      <c r="K23">
        <v>100</v>
      </c>
      <c r="L23">
        <v>4058.9</v>
      </c>
      <c r="M23">
        <v>405890</v>
      </c>
      <c r="N23" t="s">
        <v>35</v>
      </c>
      <c r="O23">
        <v>0</v>
      </c>
    </row>
    <row r="24" spans="1:15">
      <c r="A24" t="s">
        <v>164</v>
      </c>
      <c r="B24">
        <v>20260820</v>
      </c>
      <c r="C24">
        <v>9984</v>
      </c>
      <c r="D24" t="s">
        <v>143</v>
      </c>
      <c r="E24" t="s">
        <v>43</v>
      </c>
      <c r="F24" t="s">
        <v>45</v>
      </c>
      <c r="G24" t="s">
        <v>46</v>
      </c>
      <c r="H24" t="s">
        <v>47</v>
      </c>
      <c r="I24" t="s">
        <v>48</v>
      </c>
      <c r="J24" t="s">
        <v>49</v>
      </c>
      <c r="K24">
        <v>100</v>
      </c>
      <c r="L24">
        <v>6171.9</v>
      </c>
      <c r="M24">
        <v>617190</v>
      </c>
      <c r="N24" t="s">
        <v>35</v>
      </c>
      <c r="O24">
        <v>0</v>
      </c>
    </row>
    <row r="25" spans="1:15">
      <c r="A25" s="1" t="s">
        <v>165</v>
      </c>
      <c r="B25" s="1">
        <v>20260820</v>
      </c>
      <c r="C25" s="1">
        <v>9984</v>
      </c>
      <c r="D25" s="1" t="s">
        <v>143</v>
      </c>
      <c r="E25" s="1" t="s">
        <v>43</v>
      </c>
      <c r="F25" s="1" t="s">
        <v>45</v>
      </c>
      <c r="G25" s="1" t="s">
        <v>46</v>
      </c>
      <c r="H25" s="1" t="s">
        <v>47</v>
      </c>
      <c r="I25" s="1" t="s">
        <v>51</v>
      </c>
      <c r="J25" s="1" t="s">
        <v>52</v>
      </c>
      <c r="K25" s="1">
        <v>100</v>
      </c>
      <c r="L25" s="1">
        <v>6170.1</v>
      </c>
      <c r="M25" s="1">
        <v>617010</v>
      </c>
      <c r="N25" s="1" t="s">
        <v>53</v>
      </c>
      <c r="O25" s="1">
        <v>0</v>
      </c>
    </row>
    <row r="26" spans="1:15">
      <c r="A26" s="1" t="s">
        <v>166</v>
      </c>
      <c r="B26" s="1">
        <v>20260820</v>
      </c>
      <c r="C26" s="1">
        <v>3436</v>
      </c>
      <c r="D26" s="1" t="s">
        <v>139</v>
      </c>
      <c r="E26" s="1" t="s">
        <v>43</v>
      </c>
      <c r="F26" s="1" t="s">
        <v>50</v>
      </c>
      <c r="G26" s="1" t="s">
        <v>46</v>
      </c>
      <c r="H26" s="1" t="s">
        <v>47</v>
      </c>
      <c r="I26" s="1" t="s">
        <v>51</v>
      </c>
      <c r="J26" s="1" t="s">
        <v>52</v>
      </c>
      <c r="K26" s="1">
        <v>100</v>
      </c>
      <c r="L26" s="1">
        <v>4018</v>
      </c>
      <c r="M26" s="1">
        <v>401800</v>
      </c>
      <c r="N26" s="1" t="s">
        <v>53</v>
      </c>
      <c r="O26" s="1">
        <v>0</v>
      </c>
    </row>
    <row r="27" spans="1:15">
      <c r="A27" s="1" t="s">
        <v>167</v>
      </c>
      <c r="B27" s="1">
        <v>20260820</v>
      </c>
      <c r="C27" s="1">
        <v>9984</v>
      </c>
      <c r="D27" s="1" t="s">
        <v>143</v>
      </c>
      <c r="E27" s="1" t="s">
        <v>43</v>
      </c>
      <c r="F27" s="1" t="s">
        <v>45</v>
      </c>
      <c r="G27" s="1" t="s">
        <v>46</v>
      </c>
      <c r="H27" s="1" t="s">
        <v>47</v>
      </c>
      <c r="I27" s="1" t="s">
        <v>48</v>
      </c>
      <c r="J27" s="1" t="s">
        <v>49</v>
      </c>
      <c r="K27" s="1">
        <v>100</v>
      </c>
      <c r="L27" s="1">
        <v>6152.9</v>
      </c>
      <c r="M27" s="1">
        <v>615290</v>
      </c>
      <c r="N27" s="1" t="s">
        <v>35</v>
      </c>
      <c r="O27" s="1">
        <v>0</v>
      </c>
    </row>
    <row r="28" spans="1:15">
      <c r="A28" s="1" t="s">
        <v>168</v>
      </c>
      <c r="B28" s="1">
        <v>20260820</v>
      </c>
      <c r="C28" s="1">
        <v>3436</v>
      </c>
      <c r="D28" s="1" t="s">
        <v>139</v>
      </c>
      <c r="E28" s="1" t="s">
        <v>43</v>
      </c>
      <c r="F28" s="1" t="s">
        <v>45</v>
      </c>
      <c r="G28" s="1" t="s">
        <v>46</v>
      </c>
      <c r="H28" s="1" t="s">
        <v>47</v>
      </c>
      <c r="I28" s="1" t="s">
        <v>48</v>
      </c>
      <c r="J28" s="1" t="s">
        <v>49</v>
      </c>
      <c r="K28" s="1">
        <v>100</v>
      </c>
      <c r="L28" s="1">
        <v>4048.9</v>
      </c>
      <c r="M28" s="1">
        <v>404890</v>
      </c>
      <c r="N28" s="1" t="s">
        <v>35</v>
      </c>
      <c r="O28" s="1">
        <v>0</v>
      </c>
    </row>
    <row r="29" spans="1:15">
      <c r="A29" s="1" t="s">
        <v>169</v>
      </c>
      <c r="B29" s="1">
        <v>20260820</v>
      </c>
      <c r="C29" s="1">
        <v>9984</v>
      </c>
      <c r="D29" s="1" t="s">
        <v>143</v>
      </c>
      <c r="E29" s="1" t="s">
        <v>43</v>
      </c>
      <c r="F29" s="1" t="s">
        <v>45</v>
      </c>
      <c r="G29" s="1" t="s">
        <v>46</v>
      </c>
      <c r="H29" s="1" t="s">
        <v>47</v>
      </c>
      <c r="I29" s="1" t="s">
        <v>51</v>
      </c>
      <c r="J29" s="1" t="s">
        <v>52</v>
      </c>
      <c r="K29" s="1">
        <v>100</v>
      </c>
      <c r="L29" s="1">
        <v>6157.1</v>
      </c>
      <c r="M29" s="1">
        <v>615710</v>
      </c>
      <c r="N29" s="1" t="s">
        <v>53</v>
      </c>
      <c r="O29" s="1">
        <v>0</v>
      </c>
    </row>
    <row r="30" spans="1:15">
      <c r="A30" s="1" t="s">
        <v>170</v>
      </c>
      <c r="B30" s="1">
        <v>20260820</v>
      </c>
      <c r="C30" s="1">
        <v>6613</v>
      </c>
      <c r="D30" s="1" t="s">
        <v>140</v>
      </c>
      <c r="E30" s="1" t="s">
        <v>43</v>
      </c>
      <c r="F30" s="1" t="s">
        <v>45</v>
      </c>
      <c r="G30" s="1" t="s">
        <v>46</v>
      </c>
      <c r="H30" s="1" t="s">
        <v>47</v>
      </c>
      <c r="I30" s="1" t="s">
        <v>48</v>
      </c>
      <c r="J30" s="1" t="s">
        <v>49</v>
      </c>
      <c r="K30" s="1">
        <v>100</v>
      </c>
      <c r="L30" s="1">
        <v>2144.1999999999998</v>
      </c>
      <c r="M30" s="1">
        <v>214420</v>
      </c>
      <c r="N30" s="1" t="s">
        <v>35</v>
      </c>
      <c r="O30" s="1">
        <v>0</v>
      </c>
    </row>
    <row r="31" spans="1:15">
      <c r="A31" s="1" t="s">
        <v>171</v>
      </c>
      <c r="B31" s="1">
        <v>20260820</v>
      </c>
      <c r="C31" s="1">
        <v>6613</v>
      </c>
      <c r="D31" s="1" t="s">
        <v>140</v>
      </c>
      <c r="E31" s="1" t="s">
        <v>43</v>
      </c>
      <c r="F31" s="1" t="s">
        <v>45</v>
      </c>
      <c r="G31" s="1" t="s">
        <v>46</v>
      </c>
      <c r="H31" s="1" t="s">
        <v>47</v>
      </c>
      <c r="I31" s="1" t="s">
        <v>51</v>
      </c>
      <c r="J31" s="1" t="s">
        <v>52</v>
      </c>
      <c r="K31" s="1">
        <v>100</v>
      </c>
      <c r="L31" s="1">
        <v>2184.6</v>
      </c>
      <c r="M31" s="1">
        <v>218460</v>
      </c>
      <c r="N31" s="1" t="s">
        <v>53</v>
      </c>
      <c r="O31" s="1">
        <v>0</v>
      </c>
    </row>
    <row r="32" spans="1:15">
      <c r="A32" s="1" t="s">
        <v>172</v>
      </c>
      <c r="B32" s="1">
        <v>20260820</v>
      </c>
      <c r="C32" s="1">
        <v>3436</v>
      </c>
      <c r="D32" s="1" t="s">
        <v>139</v>
      </c>
      <c r="E32" s="1" t="s">
        <v>43</v>
      </c>
      <c r="F32" s="1" t="s">
        <v>45</v>
      </c>
      <c r="G32" s="1" t="s">
        <v>46</v>
      </c>
      <c r="H32" s="1" t="s">
        <v>47</v>
      </c>
      <c r="I32" s="1" t="s">
        <v>51</v>
      </c>
      <c r="J32" s="1" t="s">
        <v>52</v>
      </c>
      <c r="K32" s="1">
        <v>100</v>
      </c>
      <c r="L32" s="1">
        <v>4034.2</v>
      </c>
      <c r="M32" s="1">
        <v>403420</v>
      </c>
      <c r="N32" s="1" t="s">
        <v>53</v>
      </c>
      <c r="O32" s="1">
        <v>0</v>
      </c>
    </row>
    <row r="33" spans="1:15">
      <c r="A33" s="1" t="s">
        <v>173</v>
      </c>
      <c r="B33" s="1">
        <v>20260820</v>
      </c>
      <c r="C33" s="1">
        <v>3436</v>
      </c>
      <c r="D33" s="1" t="s">
        <v>139</v>
      </c>
      <c r="E33" s="1" t="s">
        <v>43</v>
      </c>
      <c r="F33" s="1" t="s">
        <v>45</v>
      </c>
      <c r="G33" s="1" t="s">
        <v>46</v>
      </c>
      <c r="H33" s="1" t="s">
        <v>47</v>
      </c>
      <c r="I33" s="1" t="s">
        <v>48</v>
      </c>
      <c r="J33" s="1" t="s">
        <v>49</v>
      </c>
      <c r="K33" s="1">
        <v>100</v>
      </c>
      <c r="L33" s="1">
        <v>4021.7</v>
      </c>
      <c r="M33" s="1">
        <v>402170</v>
      </c>
      <c r="N33" s="1" t="s">
        <v>35</v>
      </c>
      <c r="O33" s="1">
        <v>0</v>
      </c>
    </row>
    <row r="34" spans="1:15">
      <c r="A34" s="1" t="s">
        <v>174</v>
      </c>
      <c r="B34" s="1">
        <v>20260820</v>
      </c>
      <c r="C34" s="1">
        <v>6613</v>
      </c>
      <c r="D34" s="1" t="s">
        <v>140</v>
      </c>
      <c r="E34" s="1" t="s">
        <v>43</v>
      </c>
      <c r="F34" s="1" t="s">
        <v>45</v>
      </c>
      <c r="G34" s="1" t="s">
        <v>46</v>
      </c>
      <c r="H34" s="1" t="s">
        <v>47</v>
      </c>
      <c r="I34" s="1" t="s">
        <v>48</v>
      </c>
      <c r="J34" s="1" t="s">
        <v>49</v>
      </c>
      <c r="K34" s="1">
        <v>100</v>
      </c>
      <c r="L34" s="1">
        <v>2188.8000000000002</v>
      </c>
      <c r="M34" s="1">
        <v>218880</v>
      </c>
      <c r="N34" s="1" t="s">
        <v>35</v>
      </c>
      <c r="O34" s="1">
        <v>0</v>
      </c>
    </row>
    <row r="35" spans="1:15">
      <c r="A35" s="1" t="s">
        <v>175</v>
      </c>
      <c r="B35" s="1">
        <v>20260820</v>
      </c>
      <c r="C35" s="1">
        <v>6613</v>
      </c>
      <c r="D35" s="1" t="s">
        <v>140</v>
      </c>
      <c r="E35" s="1" t="s">
        <v>43</v>
      </c>
      <c r="F35" s="1" t="s">
        <v>45</v>
      </c>
      <c r="G35" s="1" t="s">
        <v>46</v>
      </c>
      <c r="H35" s="1" t="s">
        <v>47</v>
      </c>
      <c r="I35" s="1" t="s">
        <v>51</v>
      </c>
      <c r="J35" s="1" t="s">
        <v>52</v>
      </c>
      <c r="K35" s="1">
        <v>100</v>
      </c>
      <c r="L35" s="1">
        <v>2206.4</v>
      </c>
      <c r="M35" s="1">
        <v>220640</v>
      </c>
      <c r="N35" s="1" t="s">
        <v>53</v>
      </c>
      <c r="O35" s="1">
        <v>0</v>
      </c>
    </row>
    <row r="36" spans="1:15">
      <c r="A36" t="s">
        <v>176</v>
      </c>
      <c r="B36">
        <v>20260820</v>
      </c>
      <c r="C36">
        <v>4063</v>
      </c>
      <c r="D36" t="s">
        <v>177</v>
      </c>
      <c r="E36" t="s">
        <v>43</v>
      </c>
      <c r="F36" t="s">
        <v>45</v>
      </c>
      <c r="G36" t="s">
        <v>46</v>
      </c>
      <c r="H36" t="s">
        <v>47</v>
      </c>
      <c r="I36" t="s">
        <v>48</v>
      </c>
      <c r="J36" t="s">
        <v>49</v>
      </c>
      <c r="K36">
        <v>100</v>
      </c>
      <c r="L36">
        <v>6391</v>
      </c>
      <c r="M36">
        <v>639100</v>
      </c>
      <c r="N36" t="s">
        <v>35</v>
      </c>
      <c r="O36">
        <v>0</v>
      </c>
    </row>
    <row r="37" spans="1:15">
      <c r="A37" t="s">
        <v>178</v>
      </c>
      <c r="B37">
        <v>20260820</v>
      </c>
      <c r="C37">
        <v>9984</v>
      </c>
      <c r="D37" t="s">
        <v>143</v>
      </c>
      <c r="E37" t="s">
        <v>43</v>
      </c>
      <c r="F37" t="s">
        <v>45</v>
      </c>
      <c r="G37" t="s">
        <v>46</v>
      </c>
      <c r="H37" t="s">
        <v>47</v>
      </c>
      <c r="I37" t="s">
        <v>48</v>
      </c>
      <c r="J37" t="s">
        <v>49</v>
      </c>
      <c r="K37">
        <v>100</v>
      </c>
      <c r="L37">
        <v>6135.9</v>
      </c>
      <c r="M37">
        <v>613590</v>
      </c>
      <c r="N37" t="s">
        <v>35</v>
      </c>
      <c r="O37">
        <v>0</v>
      </c>
    </row>
    <row r="38" spans="1:15">
      <c r="A38" t="s">
        <v>179</v>
      </c>
      <c r="B38">
        <v>20260820</v>
      </c>
      <c r="C38">
        <v>9984</v>
      </c>
      <c r="D38" t="s">
        <v>143</v>
      </c>
      <c r="E38" t="s">
        <v>43</v>
      </c>
      <c r="F38" t="s">
        <v>45</v>
      </c>
      <c r="G38" t="s">
        <v>46</v>
      </c>
      <c r="H38" t="s">
        <v>47</v>
      </c>
      <c r="I38" t="s">
        <v>51</v>
      </c>
      <c r="J38" t="s">
        <v>52</v>
      </c>
      <c r="K38">
        <v>100</v>
      </c>
      <c r="L38">
        <v>6111.8</v>
      </c>
      <c r="M38">
        <v>611180</v>
      </c>
      <c r="N38" t="s">
        <v>53</v>
      </c>
      <c r="O38">
        <v>0</v>
      </c>
    </row>
    <row r="39" spans="1:15">
      <c r="A39" t="s">
        <v>180</v>
      </c>
      <c r="B39">
        <v>20260820</v>
      </c>
      <c r="C39">
        <v>9984</v>
      </c>
      <c r="D39" t="s">
        <v>143</v>
      </c>
      <c r="E39" t="s">
        <v>43</v>
      </c>
      <c r="F39" t="s">
        <v>45</v>
      </c>
      <c r="G39" t="s">
        <v>46</v>
      </c>
      <c r="H39" t="s">
        <v>47</v>
      </c>
      <c r="I39" t="s">
        <v>48</v>
      </c>
      <c r="J39" t="s">
        <v>49</v>
      </c>
      <c r="K39">
        <v>100</v>
      </c>
      <c r="L39">
        <v>6108.9</v>
      </c>
      <c r="M39">
        <v>610890</v>
      </c>
      <c r="N39" t="s">
        <v>35</v>
      </c>
      <c r="O39">
        <v>0</v>
      </c>
    </row>
    <row r="40" spans="1:15">
      <c r="A40" t="s">
        <v>181</v>
      </c>
      <c r="B40">
        <v>20260820</v>
      </c>
      <c r="C40">
        <v>9984</v>
      </c>
      <c r="D40" t="s">
        <v>143</v>
      </c>
      <c r="E40" t="s">
        <v>43</v>
      </c>
      <c r="F40" t="s">
        <v>45</v>
      </c>
      <c r="G40" t="s">
        <v>46</v>
      </c>
      <c r="H40" t="s">
        <v>47</v>
      </c>
      <c r="I40" t="s">
        <v>51</v>
      </c>
      <c r="J40" t="s">
        <v>52</v>
      </c>
      <c r="K40">
        <v>100</v>
      </c>
      <c r="L40">
        <v>6152</v>
      </c>
      <c r="M40">
        <v>615200</v>
      </c>
      <c r="N40" t="s">
        <v>53</v>
      </c>
      <c r="O40">
        <v>0</v>
      </c>
    </row>
    <row r="41" spans="1:15">
      <c r="A41" t="s">
        <v>182</v>
      </c>
      <c r="B41">
        <v>20260820</v>
      </c>
      <c r="C41">
        <v>6613</v>
      </c>
      <c r="D41" t="s">
        <v>140</v>
      </c>
      <c r="E41" t="s">
        <v>43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K41">
        <v>100</v>
      </c>
      <c r="L41">
        <v>2248.6</v>
      </c>
      <c r="M41">
        <v>224860</v>
      </c>
      <c r="N41" t="s">
        <v>35</v>
      </c>
      <c r="O41">
        <v>0</v>
      </c>
    </row>
    <row r="42" spans="1:15">
      <c r="A42" t="s">
        <v>183</v>
      </c>
      <c r="B42">
        <v>20260820</v>
      </c>
      <c r="C42">
        <v>6613</v>
      </c>
      <c r="D42" t="s">
        <v>140</v>
      </c>
      <c r="E42" t="s">
        <v>43</v>
      </c>
      <c r="F42" t="s">
        <v>45</v>
      </c>
      <c r="G42" t="s">
        <v>46</v>
      </c>
      <c r="H42" t="s">
        <v>47</v>
      </c>
      <c r="I42" t="s">
        <v>51</v>
      </c>
      <c r="J42" t="s">
        <v>52</v>
      </c>
      <c r="K42">
        <v>100</v>
      </c>
      <c r="L42">
        <v>2284.1999999999998</v>
      </c>
      <c r="M42">
        <v>228420</v>
      </c>
      <c r="N42" t="s">
        <v>53</v>
      </c>
      <c r="O42">
        <v>0</v>
      </c>
    </row>
    <row r="43" spans="1:15">
      <c r="A43" t="s">
        <v>184</v>
      </c>
      <c r="B43">
        <v>20260820</v>
      </c>
      <c r="C43">
        <v>6613</v>
      </c>
      <c r="D43" t="s">
        <v>140</v>
      </c>
      <c r="E43" t="s">
        <v>43</v>
      </c>
      <c r="F43" t="s">
        <v>45</v>
      </c>
      <c r="G43" t="s">
        <v>46</v>
      </c>
      <c r="H43" t="s">
        <v>47</v>
      </c>
      <c r="I43" t="s">
        <v>48</v>
      </c>
      <c r="J43" t="s">
        <v>49</v>
      </c>
      <c r="K43">
        <v>100</v>
      </c>
      <c r="L43">
        <v>2287.1999999999998</v>
      </c>
      <c r="M43">
        <v>228720</v>
      </c>
      <c r="N43" t="s">
        <v>35</v>
      </c>
      <c r="O43">
        <v>0</v>
      </c>
    </row>
    <row r="44" spans="1:15">
      <c r="A44" t="s">
        <v>185</v>
      </c>
      <c r="B44">
        <v>20260820</v>
      </c>
      <c r="C44">
        <v>6613</v>
      </c>
      <c r="D44" t="s">
        <v>140</v>
      </c>
      <c r="E44" t="s">
        <v>43</v>
      </c>
      <c r="F44" t="s">
        <v>45</v>
      </c>
      <c r="G44" t="s">
        <v>46</v>
      </c>
      <c r="H44" t="s">
        <v>47</v>
      </c>
      <c r="I44" t="s">
        <v>51</v>
      </c>
      <c r="J44" t="s">
        <v>52</v>
      </c>
      <c r="K44">
        <v>100</v>
      </c>
      <c r="L44">
        <v>2272.8000000000002</v>
      </c>
      <c r="M44">
        <v>227280</v>
      </c>
      <c r="N44" t="s">
        <v>53</v>
      </c>
      <c r="O44">
        <v>0</v>
      </c>
    </row>
    <row r="45" spans="1:15">
      <c r="A45" t="s">
        <v>186</v>
      </c>
      <c r="B45">
        <v>20260820</v>
      </c>
      <c r="C45">
        <v>6613</v>
      </c>
      <c r="D45" t="s">
        <v>140</v>
      </c>
      <c r="E45" t="s">
        <v>43</v>
      </c>
      <c r="F45" t="s">
        <v>45</v>
      </c>
      <c r="G45" t="s">
        <v>46</v>
      </c>
      <c r="H45" t="s">
        <v>47</v>
      </c>
      <c r="I45" t="s">
        <v>48</v>
      </c>
      <c r="J45" t="s">
        <v>49</v>
      </c>
      <c r="K45">
        <v>100</v>
      </c>
      <c r="L45">
        <v>2270.8000000000002</v>
      </c>
      <c r="M45">
        <v>227080</v>
      </c>
      <c r="N45" t="s">
        <v>35</v>
      </c>
      <c r="O45">
        <v>0</v>
      </c>
    </row>
    <row r="46" spans="1:15">
      <c r="A46" t="s">
        <v>187</v>
      </c>
      <c r="B46">
        <v>20260820</v>
      </c>
      <c r="C46">
        <v>6613</v>
      </c>
      <c r="D46" t="s">
        <v>140</v>
      </c>
      <c r="E46" t="s">
        <v>43</v>
      </c>
      <c r="F46" t="s">
        <v>188</v>
      </c>
      <c r="G46" t="s">
        <v>46</v>
      </c>
      <c r="H46" t="s">
        <v>47</v>
      </c>
      <c r="I46" t="s">
        <v>51</v>
      </c>
      <c r="J46" t="s">
        <v>52</v>
      </c>
      <c r="K46">
        <v>100</v>
      </c>
      <c r="L46">
        <v>2235.1</v>
      </c>
      <c r="M46">
        <v>223510</v>
      </c>
      <c r="N46" t="s">
        <v>53</v>
      </c>
      <c r="O46">
        <v>0</v>
      </c>
    </row>
    <row r="47" spans="1:15">
      <c r="A47" t="s">
        <v>189</v>
      </c>
      <c r="B47">
        <v>20260820</v>
      </c>
      <c r="C47">
        <v>4063</v>
      </c>
      <c r="D47" t="s">
        <v>177</v>
      </c>
      <c r="E47" t="s">
        <v>43</v>
      </c>
      <c r="F47" t="s">
        <v>45</v>
      </c>
      <c r="G47" t="s">
        <v>46</v>
      </c>
      <c r="H47" t="s">
        <v>47</v>
      </c>
      <c r="I47" t="s">
        <v>51</v>
      </c>
      <c r="J47" t="s">
        <v>52</v>
      </c>
      <c r="K47">
        <v>100</v>
      </c>
      <c r="L47">
        <v>6375.6</v>
      </c>
      <c r="M47">
        <v>637560</v>
      </c>
      <c r="N47" t="s">
        <v>53</v>
      </c>
      <c r="O47">
        <v>0</v>
      </c>
    </row>
    <row r="48" spans="1:15">
      <c r="A48" t="s">
        <v>190</v>
      </c>
      <c r="B48">
        <v>20260820</v>
      </c>
      <c r="C48">
        <v>3436</v>
      </c>
      <c r="D48" t="s">
        <v>139</v>
      </c>
      <c r="E48" t="s">
        <v>43</v>
      </c>
      <c r="F48" t="s">
        <v>45</v>
      </c>
      <c r="G48" t="s">
        <v>46</v>
      </c>
      <c r="H48" t="s">
        <v>47</v>
      </c>
      <c r="I48" t="s">
        <v>51</v>
      </c>
      <c r="J48" t="s">
        <v>52</v>
      </c>
      <c r="K48">
        <v>100</v>
      </c>
      <c r="L48">
        <v>3968.5</v>
      </c>
      <c r="M48">
        <v>396850</v>
      </c>
      <c r="N48" t="s">
        <v>53</v>
      </c>
      <c r="O48">
        <v>0</v>
      </c>
    </row>
    <row r="49" spans="1:15">
      <c r="A49" t="s">
        <v>191</v>
      </c>
      <c r="B49">
        <v>20260820</v>
      </c>
      <c r="C49">
        <v>6613</v>
      </c>
      <c r="D49" t="s">
        <v>140</v>
      </c>
      <c r="E49" t="s">
        <v>43</v>
      </c>
      <c r="F49" t="s">
        <v>45</v>
      </c>
      <c r="G49" t="s">
        <v>46</v>
      </c>
      <c r="H49" t="s">
        <v>47</v>
      </c>
      <c r="I49" t="s">
        <v>48</v>
      </c>
      <c r="J49" t="s">
        <v>49</v>
      </c>
      <c r="K49">
        <v>100</v>
      </c>
      <c r="L49">
        <v>2239.9</v>
      </c>
      <c r="M49">
        <v>223990</v>
      </c>
      <c r="N49" t="s">
        <v>35</v>
      </c>
      <c r="O49">
        <v>0</v>
      </c>
    </row>
    <row r="50" spans="1:15">
      <c r="A50" s="1" t="s">
        <v>192</v>
      </c>
      <c r="B50" s="1">
        <v>20260820</v>
      </c>
      <c r="C50" s="1">
        <v>4063</v>
      </c>
      <c r="D50" s="1" t="s">
        <v>177</v>
      </c>
      <c r="E50" s="1" t="s">
        <v>43</v>
      </c>
      <c r="F50" s="1" t="s">
        <v>45</v>
      </c>
      <c r="G50" s="1" t="s">
        <v>46</v>
      </c>
      <c r="H50" s="1" t="s">
        <v>47</v>
      </c>
      <c r="I50" s="1" t="s">
        <v>48</v>
      </c>
      <c r="J50" s="1" t="s">
        <v>49</v>
      </c>
      <c r="K50" s="1">
        <v>100</v>
      </c>
      <c r="L50" s="1">
        <v>6382.9</v>
      </c>
      <c r="M50" s="1">
        <v>638290</v>
      </c>
      <c r="N50" s="1" t="s">
        <v>35</v>
      </c>
      <c r="O50" s="1">
        <v>0</v>
      </c>
    </row>
    <row r="51" spans="1:15">
      <c r="A51" t="s">
        <v>193</v>
      </c>
      <c r="B51">
        <v>20260820</v>
      </c>
      <c r="C51">
        <v>9984</v>
      </c>
      <c r="D51" t="s">
        <v>143</v>
      </c>
      <c r="E51" t="s">
        <v>43</v>
      </c>
      <c r="F51" t="s">
        <v>45</v>
      </c>
      <c r="G51" t="s">
        <v>46</v>
      </c>
      <c r="H51" t="s">
        <v>47</v>
      </c>
      <c r="I51" t="s">
        <v>48</v>
      </c>
      <c r="J51" t="s">
        <v>49</v>
      </c>
      <c r="K51">
        <v>100</v>
      </c>
      <c r="L51">
        <v>6185.4</v>
      </c>
      <c r="M51">
        <v>618540</v>
      </c>
      <c r="N51" t="s">
        <v>35</v>
      </c>
      <c r="O51">
        <v>0</v>
      </c>
    </row>
    <row r="52" spans="1:15">
      <c r="A52" s="1" t="s">
        <v>194</v>
      </c>
      <c r="B52" s="1">
        <v>20260820</v>
      </c>
      <c r="C52" s="1">
        <v>6613</v>
      </c>
      <c r="D52" s="1" t="s">
        <v>140</v>
      </c>
      <c r="E52" s="1" t="s">
        <v>43</v>
      </c>
      <c r="F52" s="1" t="s">
        <v>45</v>
      </c>
      <c r="G52" s="1" t="s">
        <v>46</v>
      </c>
      <c r="H52" s="1" t="s">
        <v>47</v>
      </c>
      <c r="I52" s="1" t="s">
        <v>51</v>
      </c>
      <c r="J52" s="1" t="s">
        <v>52</v>
      </c>
      <c r="K52" s="1">
        <v>100</v>
      </c>
      <c r="L52" s="1">
        <v>2249.6</v>
      </c>
      <c r="M52" s="1">
        <v>224960</v>
      </c>
      <c r="N52" s="1" t="s">
        <v>53</v>
      </c>
      <c r="O52" s="1">
        <v>0</v>
      </c>
    </row>
    <row r="53" spans="1:15">
      <c r="A53" t="s">
        <v>195</v>
      </c>
      <c r="B53">
        <v>20260820</v>
      </c>
      <c r="C53">
        <v>6613</v>
      </c>
      <c r="D53" t="s">
        <v>140</v>
      </c>
      <c r="E53" t="s">
        <v>43</v>
      </c>
      <c r="F53" t="s">
        <v>45</v>
      </c>
      <c r="G53" t="s">
        <v>46</v>
      </c>
      <c r="H53" t="s">
        <v>47</v>
      </c>
      <c r="I53" t="s">
        <v>48</v>
      </c>
      <c r="J53" t="s">
        <v>49</v>
      </c>
      <c r="K53">
        <v>100</v>
      </c>
      <c r="L53">
        <v>2252.1</v>
      </c>
      <c r="M53">
        <v>225210</v>
      </c>
      <c r="N53" t="s">
        <v>35</v>
      </c>
      <c r="O53">
        <v>0</v>
      </c>
    </row>
    <row r="54" spans="1:15">
      <c r="A54" t="s">
        <v>196</v>
      </c>
      <c r="B54">
        <v>20260820</v>
      </c>
      <c r="C54">
        <v>9984</v>
      </c>
      <c r="D54" t="s">
        <v>143</v>
      </c>
      <c r="E54" t="s">
        <v>43</v>
      </c>
      <c r="F54" t="s">
        <v>45</v>
      </c>
      <c r="G54" t="s">
        <v>46</v>
      </c>
      <c r="H54" t="s">
        <v>47</v>
      </c>
      <c r="I54" t="s">
        <v>51</v>
      </c>
      <c r="J54" t="s">
        <v>52</v>
      </c>
      <c r="K54">
        <v>100</v>
      </c>
      <c r="L54">
        <v>6208</v>
      </c>
      <c r="M54">
        <v>620800</v>
      </c>
      <c r="N54" t="s">
        <v>53</v>
      </c>
      <c r="O54">
        <v>0</v>
      </c>
    </row>
    <row r="55" spans="1:15">
      <c r="A55" t="s">
        <v>197</v>
      </c>
      <c r="B55">
        <v>20260820</v>
      </c>
      <c r="C55">
        <v>6613</v>
      </c>
      <c r="D55" t="s">
        <v>140</v>
      </c>
      <c r="E55" t="s">
        <v>43</v>
      </c>
      <c r="F55" t="s">
        <v>50</v>
      </c>
      <c r="G55" t="s">
        <v>46</v>
      </c>
      <c r="H55" t="s">
        <v>47</v>
      </c>
      <c r="I55" t="s">
        <v>51</v>
      </c>
      <c r="J55" t="s">
        <v>52</v>
      </c>
      <c r="K55">
        <v>100</v>
      </c>
      <c r="L55">
        <v>2243</v>
      </c>
      <c r="M55">
        <v>224300</v>
      </c>
      <c r="N55" t="s">
        <v>53</v>
      </c>
      <c r="O55">
        <v>0</v>
      </c>
    </row>
    <row r="56" spans="1:15">
      <c r="A56" t="s">
        <v>198</v>
      </c>
      <c r="B56">
        <v>20260820</v>
      </c>
      <c r="C56">
        <v>5803</v>
      </c>
      <c r="D56" t="s">
        <v>199</v>
      </c>
      <c r="E56" t="s">
        <v>43</v>
      </c>
      <c r="F56" t="s">
        <v>45</v>
      </c>
      <c r="G56" t="s">
        <v>46</v>
      </c>
      <c r="H56" t="s">
        <v>47</v>
      </c>
      <c r="I56" t="s">
        <v>48</v>
      </c>
      <c r="J56" t="s">
        <v>49</v>
      </c>
      <c r="K56">
        <v>100</v>
      </c>
      <c r="L56">
        <v>6334.8</v>
      </c>
      <c r="M56">
        <v>633480</v>
      </c>
      <c r="N56" t="s">
        <v>35</v>
      </c>
      <c r="O56">
        <v>0</v>
      </c>
    </row>
    <row r="57" spans="1:15">
      <c r="A57" t="s">
        <v>200</v>
      </c>
      <c r="B57">
        <v>20260820</v>
      </c>
      <c r="C57">
        <v>4063</v>
      </c>
      <c r="D57" t="s">
        <v>177</v>
      </c>
      <c r="E57" t="s">
        <v>43</v>
      </c>
      <c r="F57" t="s">
        <v>45</v>
      </c>
      <c r="G57" t="s">
        <v>46</v>
      </c>
      <c r="H57" t="s">
        <v>47</v>
      </c>
      <c r="I57" t="s">
        <v>51</v>
      </c>
      <c r="J57" t="s">
        <v>52</v>
      </c>
      <c r="K57">
        <v>100</v>
      </c>
      <c r="L57">
        <v>6364</v>
      </c>
      <c r="M57">
        <v>636400</v>
      </c>
      <c r="N57" t="s">
        <v>53</v>
      </c>
      <c r="O57">
        <v>0</v>
      </c>
    </row>
    <row r="58" spans="1:15">
      <c r="A58" t="s">
        <v>201</v>
      </c>
      <c r="B58">
        <v>20260820</v>
      </c>
      <c r="C58" t="s">
        <v>202</v>
      </c>
      <c r="D58" t="s">
        <v>203</v>
      </c>
      <c r="E58" t="s">
        <v>43</v>
      </c>
      <c r="F58" t="s">
        <v>45</v>
      </c>
      <c r="G58" t="s">
        <v>46</v>
      </c>
      <c r="H58" t="s">
        <v>47</v>
      </c>
      <c r="I58" t="s">
        <v>48</v>
      </c>
      <c r="J58" t="s">
        <v>49</v>
      </c>
      <c r="K58">
        <v>100</v>
      </c>
      <c r="L58">
        <v>3755</v>
      </c>
      <c r="M58">
        <v>375500</v>
      </c>
      <c r="N58" t="s">
        <v>35</v>
      </c>
      <c r="O58">
        <v>0</v>
      </c>
    </row>
    <row r="59" spans="1:15">
      <c r="A59" t="s">
        <v>204</v>
      </c>
      <c r="B59">
        <v>20260820</v>
      </c>
      <c r="C59">
        <v>6613</v>
      </c>
      <c r="D59" t="s">
        <v>140</v>
      </c>
      <c r="E59" t="s">
        <v>43</v>
      </c>
      <c r="F59" t="s">
        <v>45</v>
      </c>
      <c r="G59" t="s">
        <v>46</v>
      </c>
      <c r="H59" t="s">
        <v>47</v>
      </c>
      <c r="I59" t="s">
        <v>48</v>
      </c>
      <c r="J59" t="s">
        <v>49</v>
      </c>
      <c r="K59">
        <v>100</v>
      </c>
      <c r="L59">
        <v>2222.6</v>
      </c>
      <c r="M59">
        <v>222260</v>
      </c>
      <c r="N59" t="s">
        <v>35</v>
      </c>
      <c r="O59">
        <v>0</v>
      </c>
    </row>
    <row r="60" spans="1:15">
      <c r="A60" t="s">
        <v>205</v>
      </c>
      <c r="B60">
        <v>20260820</v>
      </c>
      <c r="C60">
        <v>5803</v>
      </c>
      <c r="D60" t="s">
        <v>199</v>
      </c>
      <c r="E60" t="s">
        <v>43</v>
      </c>
      <c r="F60" t="s">
        <v>45</v>
      </c>
      <c r="G60" t="s">
        <v>46</v>
      </c>
      <c r="H60" t="s">
        <v>47</v>
      </c>
      <c r="I60" t="s">
        <v>51</v>
      </c>
      <c r="J60" t="s">
        <v>52</v>
      </c>
      <c r="K60">
        <v>100</v>
      </c>
      <c r="L60">
        <v>6346.4</v>
      </c>
      <c r="M60">
        <v>634640</v>
      </c>
      <c r="N60" t="s">
        <v>53</v>
      </c>
      <c r="O60">
        <v>0</v>
      </c>
    </row>
    <row r="61" spans="1:15">
      <c r="A61" t="s">
        <v>206</v>
      </c>
      <c r="B61">
        <v>20260820</v>
      </c>
      <c r="C61">
        <v>6613</v>
      </c>
      <c r="D61" t="s">
        <v>140</v>
      </c>
      <c r="E61" t="s">
        <v>43</v>
      </c>
      <c r="F61" t="s">
        <v>45</v>
      </c>
      <c r="G61" t="s">
        <v>46</v>
      </c>
      <c r="H61" t="s">
        <v>47</v>
      </c>
      <c r="I61" t="s">
        <v>48</v>
      </c>
      <c r="J61" t="s">
        <v>49</v>
      </c>
      <c r="K61">
        <v>100</v>
      </c>
      <c r="L61">
        <v>2205.8000000000002</v>
      </c>
      <c r="M61">
        <v>220580</v>
      </c>
      <c r="N61" t="s">
        <v>35</v>
      </c>
      <c r="O61">
        <v>0</v>
      </c>
    </row>
    <row r="62" spans="1:15">
      <c r="A62" t="s">
        <v>207</v>
      </c>
      <c r="B62">
        <v>20260820</v>
      </c>
      <c r="C62" t="s">
        <v>202</v>
      </c>
      <c r="D62" t="s">
        <v>203</v>
      </c>
      <c r="E62" t="s">
        <v>43</v>
      </c>
      <c r="F62" t="s">
        <v>45</v>
      </c>
      <c r="G62" t="s">
        <v>46</v>
      </c>
      <c r="H62" t="s">
        <v>47</v>
      </c>
      <c r="I62" t="s">
        <v>51</v>
      </c>
      <c r="J62" t="s">
        <v>52</v>
      </c>
      <c r="K62">
        <v>100</v>
      </c>
      <c r="L62">
        <v>3771</v>
      </c>
      <c r="M62">
        <v>377100</v>
      </c>
      <c r="N62" t="s">
        <v>53</v>
      </c>
      <c r="O62">
        <v>0</v>
      </c>
    </row>
    <row r="63" spans="1:15">
      <c r="A63" t="s">
        <v>208</v>
      </c>
      <c r="B63">
        <v>20260820</v>
      </c>
      <c r="C63" t="s">
        <v>202</v>
      </c>
      <c r="D63" t="s">
        <v>203</v>
      </c>
      <c r="E63" t="s">
        <v>43</v>
      </c>
      <c r="F63" t="s">
        <v>45</v>
      </c>
      <c r="G63" t="s">
        <v>46</v>
      </c>
      <c r="H63" t="s">
        <v>47</v>
      </c>
      <c r="I63" t="s">
        <v>48</v>
      </c>
      <c r="J63" t="s">
        <v>49</v>
      </c>
      <c r="K63">
        <v>100</v>
      </c>
      <c r="L63">
        <v>3795.5</v>
      </c>
      <c r="M63">
        <v>379550</v>
      </c>
      <c r="N63" t="s">
        <v>35</v>
      </c>
      <c r="O63">
        <v>0</v>
      </c>
    </row>
    <row r="64" spans="1:15">
      <c r="A64" t="s">
        <v>209</v>
      </c>
      <c r="B64">
        <v>20260820</v>
      </c>
      <c r="C64">
        <v>3436</v>
      </c>
      <c r="D64" t="s">
        <v>139</v>
      </c>
      <c r="E64" t="s">
        <v>43</v>
      </c>
      <c r="F64" t="s">
        <v>45</v>
      </c>
      <c r="G64" t="s">
        <v>46</v>
      </c>
      <c r="H64" t="s">
        <v>47</v>
      </c>
      <c r="I64" t="s">
        <v>48</v>
      </c>
      <c r="J64" t="s">
        <v>49</v>
      </c>
      <c r="K64">
        <v>100</v>
      </c>
      <c r="L64">
        <v>4010.7</v>
      </c>
      <c r="M64">
        <v>401070</v>
      </c>
      <c r="N64" t="s">
        <v>35</v>
      </c>
      <c r="O64">
        <v>0</v>
      </c>
    </row>
    <row r="65" spans="1:15">
      <c r="A65" t="s">
        <v>210</v>
      </c>
      <c r="B65">
        <v>20260820</v>
      </c>
      <c r="C65">
        <v>6613</v>
      </c>
      <c r="D65" t="s">
        <v>140</v>
      </c>
      <c r="E65" t="s">
        <v>43</v>
      </c>
      <c r="F65" t="s">
        <v>45</v>
      </c>
      <c r="G65" t="s">
        <v>46</v>
      </c>
      <c r="H65" t="s">
        <v>47</v>
      </c>
      <c r="I65" t="s">
        <v>51</v>
      </c>
      <c r="J65" t="s">
        <v>52</v>
      </c>
      <c r="K65">
        <v>100</v>
      </c>
      <c r="L65">
        <v>2242</v>
      </c>
      <c r="M65">
        <v>224200</v>
      </c>
      <c r="N65" t="s">
        <v>53</v>
      </c>
      <c r="O65">
        <v>0</v>
      </c>
    </row>
    <row r="66" spans="1:15">
      <c r="A66" t="s">
        <v>211</v>
      </c>
      <c r="B66">
        <v>20260820</v>
      </c>
      <c r="C66">
        <v>6613</v>
      </c>
      <c r="D66" t="s">
        <v>140</v>
      </c>
      <c r="E66" t="s">
        <v>43</v>
      </c>
      <c r="F66" t="s">
        <v>45</v>
      </c>
      <c r="G66" t="s">
        <v>46</v>
      </c>
      <c r="H66" t="s">
        <v>47</v>
      </c>
      <c r="I66" t="s">
        <v>51</v>
      </c>
      <c r="J66" t="s">
        <v>52</v>
      </c>
      <c r="K66">
        <v>100</v>
      </c>
      <c r="L66">
        <v>2241.4</v>
      </c>
      <c r="M66">
        <v>224140</v>
      </c>
      <c r="N66" t="s">
        <v>53</v>
      </c>
      <c r="O66">
        <v>0</v>
      </c>
    </row>
    <row r="67" spans="1:15">
      <c r="A67" t="s">
        <v>212</v>
      </c>
      <c r="B67">
        <v>20260820</v>
      </c>
      <c r="C67">
        <v>3436</v>
      </c>
      <c r="D67" t="s">
        <v>139</v>
      </c>
      <c r="E67" t="s">
        <v>43</v>
      </c>
      <c r="F67" t="s">
        <v>45</v>
      </c>
      <c r="G67" t="s">
        <v>46</v>
      </c>
      <c r="H67" t="s">
        <v>47</v>
      </c>
      <c r="I67" t="s">
        <v>48</v>
      </c>
      <c r="J67" t="s">
        <v>49</v>
      </c>
      <c r="K67">
        <v>100</v>
      </c>
      <c r="L67">
        <v>4000</v>
      </c>
      <c r="M67">
        <v>400000</v>
      </c>
      <c r="N67" t="s">
        <v>35</v>
      </c>
      <c r="O67">
        <v>0</v>
      </c>
    </row>
    <row r="68" spans="1:15">
      <c r="A68" t="s">
        <v>213</v>
      </c>
      <c r="B68">
        <v>20260820</v>
      </c>
      <c r="C68" t="s">
        <v>202</v>
      </c>
      <c r="D68" t="s">
        <v>203</v>
      </c>
      <c r="E68" t="s">
        <v>43</v>
      </c>
      <c r="F68" t="s">
        <v>45</v>
      </c>
      <c r="G68" t="s">
        <v>46</v>
      </c>
      <c r="H68" t="s">
        <v>47</v>
      </c>
      <c r="I68" t="s">
        <v>51</v>
      </c>
      <c r="J68" t="s">
        <v>52</v>
      </c>
      <c r="K68">
        <v>100</v>
      </c>
      <c r="L68">
        <v>3814.5</v>
      </c>
      <c r="M68">
        <v>381450</v>
      </c>
      <c r="N68" t="s">
        <v>53</v>
      </c>
      <c r="O68">
        <v>0</v>
      </c>
    </row>
    <row r="69" spans="1:15">
      <c r="A69" t="s">
        <v>214</v>
      </c>
      <c r="B69">
        <v>20260820</v>
      </c>
      <c r="C69">
        <v>6613</v>
      </c>
      <c r="D69" t="s">
        <v>140</v>
      </c>
      <c r="E69" t="s">
        <v>43</v>
      </c>
      <c r="F69" t="s">
        <v>45</v>
      </c>
      <c r="G69" t="s">
        <v>46</v>
      </c>
      <c r="H69" t="s">
        <v>47</v>
      </c>
      <c r="I69" t="s">
        <v>48</v>
      </c>
      <c r="J69" t="s">
        <v>49</v>
      </c>
      <c r="K69">
        <v>100</v>
      </c>
      <c r="L69">
        <v>2240.6</v>
      </c>
      <c r="M69">
        <v>224060</v>
      </c>
      <c r="N69" t="s">
        <v>35</v>
      </c>
      <c r="O69">
        <v>0</v>
      </c>
    </row>
    <row r="70" spans="1:15">
      <c r="A70" t="s">
        <v>215</v>
      </c>
      <c r="B70">
        <v>20260820</v>
      </c>
      <c r="C70">
        <v>6613</v>
      </c>
      <c r="D70" t="s">
        <v>140</v>
      </c>
      <c r="E70" t="s">
        <v>43</v>
      </c>
      <c r="F70" t="s">
        <v>45</v>
      </c>
      <c r="G70" t="s">
        <v>46</v>
      </c>
      <c r="H70" t="s">
        <v>47</v>
      </c>
      <c r="I70" t="s">
        <v>48</v>
      </c>
      <c r="J70" t="s">
        <v>49</v>
      </c>
      <c r="K70">
        <v>100</v>
      </c>
      <c r="L70">
        <v>2219.6</v>
      </c>
      <c r="M70">
        <v>221960</v>
      </c>
      <c r="N70" t="s">
        <v>35</v>
      </c>
      <c r="O70">
        <v>0</v>
      </c>
    </row>
    <row r="71" spans="1:15">
      <c r="A71" t="s">
        <v>216</v>
      </c>
      <c r="B71">
        <v>20260820</v>
      </c>
      <c r="C71">
        <v>6613</v>
      </c>
      <c r="D71" t="s">
        <v>140</v>
      </c>
      <c r="E71" t="s">
        <v>43</v>
      </c>
      <c r="F71" t="s">
        <v>45</v>
      </c>
      <c r="G71" t="s">
        <v>46</v>
      </c>
      <c r="H71" t="s">
        <v>47</v>
      </c>
      <c r="I71" t="s">
        <v>48</v>
      </c>
      <c r="J71" t="s">
        <v>49</v>
      </c>
      <c r="K71">
        <v>100</v>
      </c>
      <c r="L71">
        <v>2151.6999999999998</v>
      </c>
      <c r="M71">
        <v>215170</v>
      </c>
      <c r="N71" t="s">
        <v>35</v>
      </c>
      <c r="O71">
        <v>0</v>
      </c>
    </row>
    <row r="72" spans="1:15">
      <c r="A72" t="s">
        <v>217</v>
      </c>
      <c r="B72">
        <v>20260820</v>
      </c>
      <c r="C72">
        <v>6613</v>
      </c>
      <c r="D72" t="s">
        <v>140</v>
      </c>
      <c r="E72" t="s">
        <v>43</v>
      </c>
      <c r="F72" t="s">
        <v>45</v>
      </c>
      <c r="G72" t="s">
        <v>46</v>
      </c>
      <c r="H72" t="s">
        <v>47</v>
      </c>
      <c r="I72" t="s">
        <v>51</v>
      </c>
      <c r="J72" t="s">
        <v>52</v>
      </c>
      <c r="K72">
        <v>200</v>
      </c>
      <c r="L72">
        <v>2137.4</v>
      </c>
      <c r="M72">
        <v>427480</v>
      </c>
      <c r="N72" t="s">
        <v>53</v>
      </c>
      <c r="O72">
        <v>0</v>
      </c>
    </row>
    <row r="73" spans="1:15">
      <c r="A73" t="s">
        <v>217</v>
      </c>
      <c r="B73">
        <v>20260820</v>
      </c>
      <c r="C73">
        <v>6613</v>
      </c>
      <c r="D73" t="s">
        <v>140</v>
      </c>
      <c r="E73" t="s">
        <v>43</v>
      </c>
      <c r="F73" t="s">
        <v>45</v>
      </c>
      <c r="G73" t="s">
        <v>46</v>
      </c>
      <c r="H73" t="s">
        <v>47</v>
      </c>
      <c r="I73" t="s">
        <v>51</v>
      </c>
      <c r="J73" t="s">
        <v>52</v>
      </c>
      <c r="K73">
        <v>100</v>
      </c>
      <c r="L73">
        <v>2137.1</v>
      </c>
      <c r="M73">
        <v>213710</v>
      </c>
      <c r="N73" t="s">
        <v>53</v>
      </c>
      <c r="O73">
        <v>0</v>
      </c>
    </row>
    <row r="74" spans="1:15">
      <c r="A74" t="s">
        <v>218</v>
      </c>
      <c r="B74">
        <v>20260820</v>
      </c>
      <c r="C74">
        <v>6613</v>
      </c>
      <c r="D74" t="s">
        <v>140</v>
      </c>
      <c r="E74" t="s">
        <v>43</v>
      </c>
      <c r="F74" t="s">
        <v>45</v>
      </c>
      <c r="G74" t="s">
        <v>46</v>
      </c>
      <c r="H74" t="s">
        <v>47</v>
      </c>
      <c r="I74" t="s">
        <v>48</v>
      </c>
      <c r="J74" t="s">
        <v>49</v>
      </c>
      <c r="K74">
        <v>100</v>
      </c>
      <c r="L74">
        <v>2129.6</v>
      </c>
      <c r="M74">
        <v>212960</v>
      </c>
      <c r="N74" t="s">
        <v>35</v>
      </c>
      <c r="O74">
        <v>0</v>
      </c>
    </row>
    <row r="75" spans="1:15">
      <c r="A75" t="s">
        <v>219</v>
      </c>
      <c r="B75">
        <v>20260820</v>
      </c>
      <c r="C75">
        <v>6613</v>
      </c>
      <c r="D75" t="s">
        <v>140</v>
      </c>
      <c r="E75" t="s">
        <v>43</v>
      </c>
      <c r="F75" t="s">
        <v>45</v>
      </c>
      <c r="G75" t="s">
        <v>46</v>
      </c>
      <c r="H75" t="s">
        <v>47</v>
      </c>
      <c r="I75" t="s">
        <v>48</v>
      </c>
      <c r="J75" t="s">
        <v>49</v>
      </c>
      <c r="K75">
        <v>100</v>
      </c>
      <c r="L75">
        <v>2132.1999999999998</v>
      </c>
      <c r="M75">
        <v>213220</v>
      </c>
      <c r="N75" t="s">
        <v>35</v>
      </c>
      <c r="O75">
        <v>0</v>
      </c>
    </row>
    <row r="76" spans="1:15">
      <c r="A76" t="s">
        <v>220</v>
      </c>
      <c r="B76">
        <v>20260820</v>
      </c>
      <c r="C76">
        <v>9984</v>
      </c>
      <c r="D76" t="s">
        <v>143</v>
      </c>
      <c r="E76" t="s">
        <v>43</v>
      </c>
      <c r="F76" t="s">
        <v>45</v>
      </c>
      <c r="G76" t="s">
        <v>46</v>
      </c>
      <c r="H76" t="s">
        <v>47</v>
      </c>
      <c r="I76" t="s">
        <v>48</v>
      </c>
      <c r="J76" t="s">
        <v>49</v>
      </c>
      <c r="K76">
        <v>100</v>
      </c>
      <c r="L76">
        <v>6056.9</v>
      </c>
      <c r="M76">
        <v>605690</v>
      </c>
      <c r="N76" t="s">
        <v>35</v>
      </c>
      <c r="O76">
        <v>0</v>
      </c>
    </row>
    <row r="77" spans="1:15">
      <c r="A77" t="s">
        <v>221</v>
      </c>
      <c r="B77">
        <v>20260820</v>
      </c>
      <c r="C77">
        <v>6613</v>
      </c>
      <c r="D77" t="s">
        <v>140</v>
      </c>
      <c r="E77" t="s">
        <v>43</v>
      </c>
      <c r="F77" t="s">
        <v>50</v>
      </c>
      <c r="G77" t="s">
        <v>46</v>
      </c>
      <c r="H77" t="s">
        <v>47</v>
      </c>
      <c r="I77" t="s">
        <v>48</v>
      </c>
      <c r="J77" t="s">
        <v>49</v>
      </c>
      <c r="K77">
        <v>100</v>
      </c>
      <c r="L77">
        <v>2139</v>
      </c>
      <c r="M77">
        <v>213900</v>
      </c>
      <c r="N77" t="s">
        <v>35</v>
      </c>
      <c r="O77">
        <v>0</v>
      </c>
    </row>
    <row r="78" spans="1:15">
      <c r="A78" t="s">
        <v>222</v>
      </c>
      <c r="B78">
        <v>20260820</v>
      </c>
      <c r="C78">
        <v>9984</v>
      </c>
      <c r="D78" t="s">
        <v>143</v>
      </c>
      <c r="E78" t="s">
        <v>43</v>
      </c>
      <c r="F78" t="s">
        <v>45</v>
      </c>
      <c r="G78" t="s">
        <v>46</v>
      </c>
      <c r="H78" t="s">
        <v>47</v>
      </c>
      <c r="I78" t="s">
        <v>51</v>
      </c>
      <c r="J78" t="s">
        <v>52</v>
      </c>
      <c r="K78">
        <v>100</v>
      </c>
      <c r="L78">
        <v>5917.9</v>
      </c>
      <c r="M78">
        <v>591790</v>
      </c>
      <c r="N78" t="s">
        <v>53</v>
      </c>
      <c r="O78">
        <v>0</v>
      </c>
    </row>
    <row r="79" spans="1:15">
      <c r="A79" t="s">
        <v>223</v>
      </c>
      <c r="B79">
        <v>20260820</v>
      </c>
      <c r="C79">
        <v>3436</v>
      </c>
      <c r="D79" t="s">
        <v>139</v>
      </c>
      <c r="E79" t="s">
        <v>43</v>
      </c>
      <c r="F79" t="s">
        <v>45</v>
      </c>
      <c r="G79" t="s">
        <v>46</v>
      </c>
      <c r="H79" t="s">
        <v>47</v>
      </c>
      <c r="I79" t="s">
        <v>51</v>
      </c>
      <c r="J79" t="s">
        <v>52</v>
      </c>
      <c r="K79">
        <v>200</v>
      </c>
      <c r="L79">
        <v>3814.4</v>
      </c>
      <c r="M79">
        <v>762880</v>
      </c>
      <c r="N79" t="s">
        <v>53</v>
      </c>
      <c r="O79">
        <v>0</v>
      </c>
    </row>
    <row r="80" spans="1:15">
      <c r="A80" t="s">
        <v>224</v>
      </c>
      <c r="B80">
        <v>20260820</v>
      </c>
      <c r="C80">
        <v>9984</v>
      </c>
      <c r="D80" t="s">
        <v>143</v>
      </c>
      <c r="E80" t="s">
        <v>43</v>
      </c>
      <c r="F80" t="s">
        <v>45</v>
      </c>
      <c r="G80" t="s">
        <v>46</v>
      </c>
      <c r="H80" t="s">
        <v>47</v>
      </c>
      <c r="I80" t="s">
        <v>48</v>
      </c>
      <c r="J80" t="s">
        <v>49</v>
      </c>
      <c r="K80">
        <v>100</v>
      </c>
      <c r="L80">
        <v>5930.9</v>
      </c>
      <c r="M80">
        <v>593090</v>
      </c>
      <c r="N80" t="s">
        <v>35</v>
      </c>
      <c r="O80">
        <v>0</v>
      </c>
    </row>
    <row r="81" spans="1:15">
      <c r="A81" t="s">
        <v>225</v>
      </c>
      <c r="B81">
        <v>20260820</v>
      </c>
      <c r="C81">
        <v>9984</v>
      </c>
      <c r="D81" t="s">
        <v>143</v>
      </c>
      <c r="E81" t="s">
        <v>43</v>
      </c>
      <c r="F81" t="s">
        <v>50</v>
      </c>
      <c r="G81" t="s">
        <v>46</v>
      </c>
      <c r="H81" t="s">
        <v>47</v>
      </c>
      <c r="I81" t="s">
        <v>51</v>
      </c>
      <c r="J81" t="s">
        <v>52</v>
      </c>
      <c r="K81">
        <v>100</v>
      </c>
      <c r="L81">
        <v>5902</v>
      </c>
      <c r="M81">
        <v>590200</v>
      </c>
      <c r="N81" t="s">
        <v>53</v>
      </c>
      <c r="O81">
        <v>0</v>
      </c>
    </row>
    <row r="82" spans="1:15">
      <c r="A82" t="s">
        <v>226</v>
      </c>
      <c r="B82">
        <v>20260820</v>
      </c>
      <c r="C82" t="s">
        <v>202</v>
      </c>
      <c r="D82" t="s">
        <v>203</v>
      </c>
      <c r="E82" t="s">
        <v>43</v>
      </c>
      <c r="F82" t="s">
        <v>45</v>
      </c>
      <c r="G82" t="s">
        <v>46</v>
      </c>
      <c r="H82" t="s">
        <v>47</v>
      </c>
      <c r="I82" t="s">
        <v>48</v>
      </c>
      <c r="J82" t="s">
        <v>49</v>
      </c>
      <c r="K82">
        <v>100</v>
      </c>
      <c r="L82">
        <v>3765</v>
      </c>
      <c r="M82">
        <v>376500</v>
      </c>
      <c r="N82" t="s">
        <v>35</v>
      </c>
      <c r="O82">
        <v>0</v>
      </c>
    </row>
    <row r="83" spans="1:15">
      <c r="A83" t="s">
        <v>227</v>
      </c>
      <c r="B83">
        <v>20260820</v>
      </c>
      <c r="C83" t="s">
        <v>202</v>
      </c>
      <c r="D83" t="s">
        <v>203</v>
      </c>
      <c r="E83" t="s">
        <v>43</v>
      </c>
      <c r="F83" t="s">
        <v>45</v>
      </c>
      <c r="G83" t="s">
        <v>46</v>
      </c>
      <c r="H83" t="s">
        <v>47</v>
      </c>
      <c r="I83" t="s">
        <v>51</v>
      </c>
      <c r="J83" t="s">
        <v>52</v>
      </c>
      <c r="K83">
        <v>100</v>
      </c>
      <c r="L83">
        <v>3767.5</v>
      </c>
      <c r="M83">
        <v>376750</v>
      </c>
      <c r="N83" t="s">
        <v>53</v>
      </c>
      <c r="O83">
        <v>0</v>
      </c>
    </row>
    <row r="84" spans="1:15">
      <c r="A84" t="s">
        <v>228</v>
      </c>
      <c r="B84">
        <v>20260820</v>
      </c>
      <c r="C84">
        <v>9984</v>
      </c>
      <c r="D84" t="s">
        <v>143</v>
      </c>
      <c r="E84" t="s">
        <v>43</v>
      </c>
      <c r="F84" t="s">
        <v>45</v>
      </c>
      <c r="G84" t="s">
        <v>46</v>
      </c>
      <c r="H84" t="s">
        <v>47</v>
      </c>
      <c r="I84" t="s">
        <v>48</v>
      </c>
      <c r="J84" t="s">
        <v>49</v>
      </c>
      <c r="K84">
        <v>100</v>
      </c>
      <c r="L84">
        <v>5927.8</v>
      </c>
      <c r="M84">
        <v>592780</v>
      </c>
      <c r="N84" t="s">
        <v>35</v>
      </c>
      <c r="O84">
        <v>0</v>
      </c>
    </row>
    <row r="85" spans="1:15">
      <c r="A85" t="s">
        <v>229</v>
      </c>
      <c r="B85">
        <v>20260820</v>
      </c>
      <c r="C85">
        <v>6613</v>
      </c>
      <c r="D85" t="s">
        <v>140</v>
      </c>
      <c r="E85" t="s">
        <v>43</v>
      </c>
      <c r="F85" t="s">
        <v>45</v>
      </c>
      <c r="G85" t="s">
        <v>46</v>
      </c>
      <c r="H85" t="s">
        <v>47</v>
      </c>
      <c r="I85" t="s">
        <v>51</v>
      </c>
      <c r="J85" t="s">
        <v>52</v>
      </c>
      <c r="K85">
        <v>100</v>
      </c>
      <c r="L85">
        <v>2046.8</v>
      </c>
      <c r="M85">
        <v>204680</v>
      </c>
      <c r="N85" t="s">
        <v>53</v>
      </c>
      <c r="O85">
        <v>0</v>
      </c>
    </row>
    <row r="86" spans="1:15">
      <c r="A86" t="s">
        <v>230</v>
      </c>
      <c r="B86">
        <v>20260820</v>
      </c>
      <c r="C86">
        <v>3436</v>
      </c>
      <c r="D86" t="s">
        <v>139</v>
      </c>
      <c r="E86" t="s">
        <v>43</v>
      </c>
      <c r="F86" t="s">
        <v>45</v>
      </c>
      <c r="G86" t="s">
        <v>46</v>
      </c>
      <c r="H86" t="s">
        <v>47</v>
      </c>
      <c r="I86" t="s">
        <v>48</v>
      </c>
      <c r="J86" t="s">
        <v>49</v>
      </c>
      <c r="K86">
        <v>100</v>
      </c>
      <c r="L86">
        <v>3826</v>
      </c>
      <c r="M86">
        <v>382600</v>
      </c>
      <c r="N86" t="s">
        <v>35</v>
      </c>
      <c r="O86">
        <v>0</v>
      </c>
    </row>
    <row r="87" spans="1:15">
      <c r="A87" t="s">
        <v>231</v>
      </c>
      <c r="B87">
        <v>20260820</v>
      </c>
      <c r="C87">
        <v>6613</v>
      </c>
      <c r="D87" t="s">
        <v>140</v>
      </c>
      <c r="E87" t="s">
        <v>43</v>
      </c>
      <c r="F87" t="s">
        <v>45</v>
      </c>
      <c r="G87" t="s">
        <v>46</v>
      </c>
      <c r="H87" t="s">
        <v>47</v>
      </c>
      <c r="I87" t="s">
        <v>51</v>
      </c>
      <c r="J87" t="s">
        <v>52</v>
      </c>
      <c r="K87">
        <v>100</v>
      </c>
      <c r="L87">
        <v>2040.4</v>
      </c>
      <c r="M87">
        <v>204040</v>
      </c>
      <c r="N87" t="s">
        <v>53</v>
      </c>
      <c r="O87">
        <v>0</v>
      </c>
    </row>
    <row r="88" spans="1:15">
      <c r="A88" t="s">
        <v>232</v>
      </c>
      <c r="B88">
        <v>20260820</v>
      </c>
      <c r="C88">
        <v>3436</v>
      </c>
      <c r="D88" t="s">
        <v>139</v>
      </c>
      <c r="E88" t="s">
        <v>43</v>
      </c>
      <c r="F88" t="s">
        <v>45</v>
      </c>
      <c r="G88" t="s">
        <v>46</v>
      </c>
      <c r="H88" t="s">
        <v>47</v>
      </c>
      <c r="I88" t="s">
        <v>48</v>
      </c>
      <c r="J88" t="s">
        <v>49</v>
      </c>
      <c r="K88">
        <v>100</v>
      </c>
      <c r="L88">
        <v>3836.9</v>
      </c>
      <c r="M88">
        <v>383690</v>
      </c>
      <c r="N88" t="s">
        <v>35</v>
      </c>
      <c r="O88">
        <v>0</v>
      </c>
    </row>
    <row r="89" spans="1:15">
      <c r="A89" t="s">
        <v>233</v>
      </c>
      <c r="B89">
        <v>20260820</v>
      </c>
      <c r="C89">
        <v>3436</v>
      </c>
      <c r="D89" t="s">
        <v>139</v>
      </c>
      <c r="E89" t="s">
        <v>43</v>
      </c>
      <c r="F89" t="s">
        <v>45</v>
      </c>
      <c r="G89" t="s">
        <v>46</v>
      </c>
      <c r="H89" t="s">
        <v>47</v>
      </c>
      <c r="I89" t="s">
        <v>51</v>
      </c>
      <c r="J89" t="s">
        <v>52</v>
      </c>
      <c r="K89">
        <v>100</v>
      </c>
      <c r="L89">
        <v>3881</v>
      </c>
      <c r="M89">
        <v>388100</v>
      </c>
      <c r="N89" t="s">
        <v>53</v>
      </c>
      <c r="O89">
        <v>0</v>
      </c>
    </row>
    <row r="90" spans="1:15">
      <c r="A90" t="s">
        <v>233</v>
      </c>
      <c r="B90">
        <v>20260820</v>
      </c>
      <c r="C90">
        <v>3436</v>
      </c>
      <c r="D90" t="s">
        <v>139</v>
      </c>
      <c r="E90" t="s">
        <v>43</v>
      </c>
      <c r="F90" t="s">
        <v>50</v>
      </c>
      <c r="G90" t="s">
        <v>46</v>
      </c>
      <c r="H90" t="s">
        <v>47</v>
      </c>
      <c r="I90" t="s">
        <v>51</v>
      </c>
      <c r="J90" t="s">
        <v>52</v>
      </c>
      <c r="K90">
        <v>100</v>
      </c>
      <c r="L90">
        <v>3881</v>
      </c>
      <c r="M90">
        <v>388100</v>
      </c>
      <c r="N90" t="s">
        <v>53</v>
      </c>
      <c r="O90">
        <v>0</v>
      </c>
    </row>
    <row r="91" spans="1:15">
      <c r="A91" t="s">
        <v>234</v>
      </c>
      <c r="B91">
        <v>20260820</v>
      </c>
      <c r="C91">
        <v>3436</v>
      </c>
      <c r="D91" t="s">
        <v>139</v>
      </c>
      <c r="E91" t="s">
        <v>43</v>
      </c>
      <c r="F91" t="s">
        <v>45</v>
      </c>
      <c r="G91" t="s">
        <v>46</v>
      </c>
      <c r="H91" t="s">
        <v>47</v>
      </c>
      <c r="I91" t="s">
        <v>48</v>
      </c>
      <c r="J91" t="s">
        <v>49</v>
      </c>
      <c r="K91">
        <v>100</v>
      </c>
      <c r="L91">
        <v>3884.9</v>
      </c>
      <c r="M91">
        <v>388490</v>
      </c>
      <c r="N91" t="s">
        <v>35</v>
      </c>
      <c r="O91">
        <v>0</v>
      </c>
    </row>
    <row r="92" spans="1:15">
      <c r="A92" t="s">
        <v>235</v>
      </c>
      <c r="B92">
        <v>20260820</v>
      </c>
      <c r="C92">
        <v>3436</v>
      </c>
      <c r="D92" t="s">
        <v>139</v>
      </c>
      <c r="E92" t="s">
        <v>43</v>
      </c>
      <c r="F92" t="s">
        <v>45</v>
      </c>
      <c r="G92" t="s">
        <v>46</v>
      </c>
      <c r="H92" t="s">
        <v>47</v>
      </c>
      <c r="I92" t="s">
        <v>51</v>
      </c>
      <c r="J92" t="s">
        <v>52</v>
      </c>
      <c r="K92">
        <v>100</v>
      </c>
      <c r="L92">
        <v>3866.7</v>
      </c>
      <c r="M92">
        <v>386670</v>
      </c>
      <c r="N92" t="s">
        <v>53</v>
      </c>
      <c r="O92">
        <v>0</v>
      </c>
    </row>
    <row r="93" spans="1:15">
      <c r="A93" t="s">
        <v>236</v>
      </c>
      <c r="B93">
        <v>20260820</v>
      </c>
      <c r="C93">
        <v>6613</v>
      </c>
      <c r="D93" t="s">
        <v>140</v>
      </c>
      <c r="E93" t="s">
        <v>43</v>
      </c>
      <c r="F93" t="s">
        <v>45</v>
      </c>
      <c r="G93" t="s">
        <v>46</v>
      </c>
      <c r="H93" t="s">
        <v>47</v>
      </c>
      <c r="I93" t="s">
        <v>51</v>
      </c>
      <c r="J93" t="s">
        <v>52</v>
      </c>
      <c r="K93">
        <v>100</v>
      </c>
      <c r="L93">
        <v>2076.1</v>
      </c>
      <c r="M93">
        <v>207610</v>
      </c>
      <c r="N93" t="s">
        <v>53</v>
      </c>
      <c r="O93">
        <v>0</v>
      </c>
    </row>
    <row r="94" spans="1:15">
      <c r="A94" t="s">
        <v>237</v>
      </c>
      <c r="B94">
        <v>20260820</v>
      </c>
      <c r="C94">
        <v>9984</v>
      </c>
      <c r="D94" t="s">
        <v>143</v>
      </c>
      <c r="E94" t="s">
        <v>43</v>
      </c>
      <c r="F94" t="s">
        <v>45</v>
      </c>
      <c r="G94" t="s">
        <v>46</v>
      </c>
      <c r="H94" t="s">
        <v>47</v>
      </c>
      <c r="I94" t="s">
        <v>51</v>
      </c>
      <c r="J94" t="s">
        <v>52</v>
      </c>
      <c r="K94">
        <v>100</v>
      </c>
      <c r="L94">
        <v>5973</v>
      </c>
      <c r="M94">
        <v>597300</v>
      </c>
      <c r="N94" t="s">
        <v>53</v>
      </c>
      <c r="O94">
        <v>0</v>
      </c>
    </row>
    <row r="95" spans="1:15">
      <c r="A95" t="s">
        <v>238</v>
      </c>
      <c r="B95">
        <v>20260820</v>
      </c>
      <c r="C95">
        <v>3436</v>
      </c>
      <c r="D95" t="s">
        <v>139</v>
      </c>
      <c r="E95" t="s">
        <v>43</v>
      </c>
      <c r="F95" t="s">
        <v>45</v>
      </c>
      <c r="G95" t="s">
        <v>46</v>
      </c>
      <c r="H95" t="s">
        <v>47</v>
      </c>
      <c r="I95" t="s">
        <v>48</v>
      </c>
      <c r="J95" t="s">
        <v>49</v>
      </c>
      <c r="K95">
        <v>100</v>
      </c>
      <c r="L95">
        <v>3850.8</v>
      </c>
      <c r="M95">
        <v>385080</v>
      </c>
      <c r="N95" t="s">
        <v>35</v>
      </c>
      <c r="O95">
        <v>0</v>
      </c>
    </row>
    <row r="96" spans="1:15">
      <c r="A96" t="s">
        <v>239</v>
      </c>
      <c r="B96">
        <v>20260820</v>
      </c>
      <c r="C96">
        <v>9984</v>
      </c>
      <c r="D96" t="s">
        <v>143</v>
      </c>
      <c r="E96" t="s">
        <v>43</v>
      </c>
      <c r="F96" t="s">
        <v>45</v>
      </c>
      <c r="G96" t="s">
        <v>46</v>
      </c>
      <c r="H96" t="s">
        <v>47</v>
      </c>
      <c r="I96" t="s">
        <v>48</v>
      </c>
      <c r="J96" t="s">
        <v>49</v>
      </c>
      <c r="K96">
        <v>100</v>
      </c>
      <c r="L96">
        <v>5970</v>
      </c>
      <c r="M96">
        <v>597000</v>
      </c>
      <c r="N96" t="s">
        <v>35</v>
      </c>
      <c r="O96">
        <v>0</v>
      </c>
    </row>
    <row r="97" spans="1:15">
      <c r="A97" t="s">
        <v>240</v>
      </c>
      <c r="B97">
        <v>20260820</v>
      </c>
      <c r="C97">
        <v>6613</v>
      </c>
      <c r="D97" t="s">
        <v>140</v>
      </c>
      <c r="E97" t="s">
        <v>43</v>
      </c>
      <c r="F97" t="s">
        <v>45</v>
      </c>
      <c r="G97" t="s">
        <v>46</v>
      </c>
      <c r="H97" t="s">
        <v>47</v>
      </c>
      <c r="I97" t="s">
        <v>48</v>
      </c>
      <c r="J97" t="s">
        <v>49</v>
      </c>
      <c r="K97">
        <v>100</v>
      </c>
      <c r="L97">
        <v>2074</v>
      </c>
      <c r="M97">
        <v>207400</v>
      </c>
      <c r="N97" t="s">
        <v>35</v>
      </c>
      <c r="O97">
        <v>0</v>
      </c>
    </row>
    <row r="98" spans="1:15">
      <c r="A98" t="s">
        <v>241</v>
      </c>
      <c r="B98">
        <v>20260820</v>
      </c>
      <c r="C98">
        <v>3436</v>
      </c>
      <c r="D98" t="s">
        <v>139</v>
      </c>
      <c r="E98" t="s">
        <v>43</v>
      </c>
      <c r="F98" t="s">
        <v>50</v>
      </c>
      <c r="G98" t="s">
        <v>46</v>
      </c>
      <c r="H98" t="s">
        <v>47</v>
      </c>
      <c r="I98" t="s">
        <v>48</v>
      </c>
      <c r="J98" t="s">
        <v>49</v>
      </c>
      <c r="K98">
        <v>100</v>
      </c>
      <c r="L98">
        <v>3864</v>
      </c>
      <c r="M98">
        <v>386400</v>
      </c>
      <c r="N98" t="s">
        <v>35</v>
      </c>
      <c r="O98">
        <v>0</v>
      </c>
    </row>
    <row r="99" spans="1:15">
      <c r="A99" t="s">
        <v>242</v>
      </c>
      <c r="B99">
        <v>20260820</v>
      </c>
      <c r="C99">
        <v>6613</v>
      </c>
      <c r="D99" t="s">
        <v>140</v>
      </c>
      <c r="E99" t="s">
        <v>43</v>
      </c>
      <c r="F99" t="s">
        <v>45</v>
      </c>
      <c r="G99" t="s">
        <v>46</v>
      </c>
      <c r="H99" t="s">
        <v>47</v>
      </c>
      <c r="I99" t="s">
        <v>51</v>
      </c>
      <c r="J99" t="s">
        <v>52</v>
      </c>
      <c r="K99">
        <v>100</v>
      </c>
      <c r="L99">
        <v>2097.8000000000002</v>
      </c>
      <c r="M99">
        <v>209780</v>
      </c>
      <c r="N99" t="s">
        <v>53</v>
      </c>
      <c r="O99">
        <v>0</v>
      </c>
    </row>
    <row r="100" spans="1:15">
      <c r="A100" t="s">
        <v>243</v>
      </c>
      <c r="B100">
        <v>20260820</v>
      </c>
      <c r="C100">
        <v>6613</v>
      </c>
      <c r="D100" t="s">
        <v>140</v>
      </c>
      <c r="E100" t="s">
        <v>43</v>
      </c>
      <c r="F100" t="s">
        <v>45</v>
      </c>
      <c r="G100" t="s">
        <v>46</v>
      </c>
      <c r="H100" t="s">
        <v>47</v>
      </c>
      <c r="I100" t="s">
        <v>48</v>
      </c>
      <c r="J100" t="s">
        <v>49</v>
      </c>
      <c r="K100">
        <v>100</v>
      </c>
      <c r="L100">
        <v>2101.8000000000002</v>
      </c>
      <c r="M100">
        <v>210180</v>
      </c>
      <c r="N100" t="s">
        <v>35</v>
      </c>
      <c r="O100">
        <v>0</v>
      </c>
    </row>
    <row r="101" spans="1:15">
      <c r="A101" t="s">
        <v>244</v>
      </c>
      <c r="B101">
        <v>20260820</v>
      </c>
      <c r="C101">
        <v>3436</v>
      </c>
      <c r="D101" t="s">
        <v>139</v>
      </c>
      <c r="E101" t="s">
        <v>43</v>
      </c>
      <c r="F101" t="s">
        <v>45</v>
      </c>
      <c r="G101" t="s">
        <v>46</v>
      </c>
      <c r="H101" t="s">
        <v>47</v>
      </c>
      <c r="I101" t="s">
        <v>51</v>
      </c>
      <c r="J101" t="s">
        <v>52</v>
      </c>
      <c r="K101">
        <v>200</v>
      </c>
      <c r="L101">
        <v>3846.3</v>
      </c>
      <c r="M101">
        <v>769260</v>
      </c>
      <c r="N101" t="s">
        <v>53</v>
      </c>
      <c r="O101">
        <v>0</v>
      </c>
    </row>
    <row r="102" spans="1:15">
      <c r="A102" t="s">
        <v>245</v>
      </c>
      <c r="B102">
        <v>20260820</v>
      </c>
      <c r="C102">
        <v>3436</v>
      </c>
      <c r="D102" t="s">
        <v>139</v>
      </c>
      <c r="E102" t="s">
        <v>43</v>
      </c>
      <c r="F102" t="s">
        <v>45</v>
      </c>
      <c r="G102" t="s">
        <v>46</v>
      </c>
      <c r="H102" t="s">
        <v>47</v>
      </c>
      <c r="I102" t="s">
        <v>48</v>
      </c>
      <c r="J102" t="s">
        <v>49</v>
      </c>
      <c r="K102">
        <v>100</v>
      </c>
      <c r="L102">
        <v>3827.6</v>
      </c>
      <c r="M102">
        <v>382760</v>
      </c>
      <c r="N102" t="s">
        <v>35</v>
      </c>
      <c r="O102">
        <v>0</v>
      </c>
    </row>
    <row r="103" spans="1:15">
      <c r="A103" t="s">
        <v>246</v>
      </c>
      <c r="B103">
        <v>20260820</v>
      </c>
      <c r="C103">
        <v>6613</v>
      </c>
      <c r="D103" t="s">
        <v>140</v>
      </c>
      <c r="E103" t="s">
        <v>43</v>
      </c>
      <c r="F103" t="s">
        <v>45</v>
      </c>
      <c r="G103" t="s">
        <v>46</v>
      </c>
      <c r="H103" t="s">
        <v>47</v>
      </c>
      <c r="I103" t="s">
        <v>51</v>
      </c>
      <c r="J103" t="s">
        <v>52</v>
      </c>
      <c r="K103">
        <v>100</v>
      </c>
      <c r="L103">
        <v>2103.8000000000002</v>
      </c>
      <c r="M103">
        <v>210380</v>
      </c>
      <c r="N103" t="s">
        <v>53</v>
      </c>
      <c r="O103">
        <v>0</v>
      </c>
    </row>
    <row r="104" spans="1:15">
      <c r="A104" t="s">
        <v>247</v>
      </c>
      <c r="B104">
        <v>20260820</v>
      </c>
      <c r="C104">
        <v>3436</v>
      </c>
      <c r="D104" t="s">
        <v>139</v>
      </c>
      <c r="E104" t="s">
        <v>43</v>
      </c>
      <c r="F104" t="s">
        <v>45</v>
      </c>
      <c r="G104" t="s">
        <v>46</v>
      </c>
      <c r="H104" t="s">
        <v>47</v>
      </c>
      <c r="I104" t="s">
        <v>51</v>
      </c>
      <c r="J104" t="s">
        <v>52</v>
      </c>
      <c r="K104">
        <v>100</v>
      </c>
      <c r="L104">
        <v>3828.3</v>
      </c>
      <c r="M104">
        <v>382830</v>
      </c>
      <c r="N104" t="s">
        <v>53</v>
      </c>
      <c r="O104">
        <v>0</v>
      </c>
    </row>
    <row r="105" spans="1:15">
      <c r="A105" t="s">
        <v>248</v>
      </c>
      <c r="B105">
        <v>20260820</v>
      </c>
      <c r="C105">
        <v>6613</v>
      </c>
      <c r="D105" t="s">
        <v>140</v>
      </c>
      <c r="E105" t="s">
        <v>43</v>
      </c>
      <c r="F105" t="s">
        <v>50</v>
      </c>
      <c r="G105" t="s">
        <v>46</v>
      </c>
      <c r="H105" t="s">
        <v>47</v>
      </c>
      <c r="I105" t="s">
        <v>48</v>
      </c>
      <c r="J105" t="s">
        <v>49</v>
      </c>
      <c r="K105">
        <v>100</v>
      </c>
      <c r="L105">
        <v>2108</v>
      </c>
      <c r="M105">
        <v>210800</v>
      </c>
      <c r="N105" t="s">
        <v>35</v>
      </c>
      <c r="O105">
        <v>0</v>
      </c>
    </row>
    <row r="106" spans="1:15">
      <c r="A106" t="s">
        <v>249</v>
      </c>
      <c r="B106">
        <v>20260820</v>
      </c>
      <c r="C106">
        <v>3436</v>
      </c>
      <c r="D106" t="s">
        <v>139</v>
      </c>
      <c r="E106" t="s">
        <v>43</v>
      </c>
      <c r="F106" t="s">
        <v>45</v>
      </c>
      <c r="G106" t="s">
        <v>46</v>
      </c>
      <c r="H106" t="s">
        <v>47</v>
      </c>
      <c r="I106" t="s">
        <v>48</v>
      </c>
      <c r="J106" t="s">
        <v>49</v>
      </c>
      <c r="K106">
        <v>100</v>
      </c>
      <c r="L106">
        <v>3831.9</v>
      </c>
      <c r="M106">
        <v>383190</v>
      </c>
      <c r="N106" t="s">
        <v>35</v>
      </c>
      <c r="O106">
        <v>0</v>
      </c>
    </row>
    <row r="107" spans="1:15">
      <c r="A107" t="s">
        <v>250</v>
      </c>
      <c r="B107">
        <v>20260820</v>
      </c>
      <c r="C107">
        <v>3436</v>
      </c>
      <c r="D107" t="s">
        <v>139</v>
      </c>
      <c r="E107" t="s">
        <v>43</v>
      </c>
      <c r="F107" t="s">
        <v>45</v>
      </c>
      <c r="G107" t="s">
        <v>46</v>
      </c>
      <c r="H107" t="s">
        <v>47</v>
      </c>
      <c r="I107" t="s">
        <v>48</v>
      </c>
      <c r="J107" t="s">
        <v>49</v>
      </c>
      <c r="K107">
        <v>100</v>
      </c>
      <c r="L107">
        <v>3836.9</v>
      </c>
      <c r="M107">
        <v>383690</v>
      </c>
      <c r="N107" t="s">
        <v>35</v>
      </c>
      <c r="O107">
        <v>0</v>
      </c>
    </row>
    <row r="108" spans="1:15">
      <c r="A108" t="s">
        <v>251</v>
      </c>
      <c r="B108">
        <v>20260820</v>
      </c>
      <c r="C108">
        <v>6613</v>
      </c>
      <c r="D108" t="s">
        <v>140</v>
      </c>
      <c r="E108" t="s">
        <v>43</v>
      </c>
      <c r="F108" t="s">
        <v>45</v>
      </c>
      <c r="G108" t="s">
        <v>46</v>
      </c>
      <c r="H108" t="s">
        <v>47</v>
      </c>
      <c r="I108" t="s">
        <v>51</v>
      </c>
      <c r="J108" t="s">
        <v>52</v>
      </c>
      <c r="K108">
        <v>100</v>
      </c>
      <c r="L108">
        <v>2119.8000000000002</v>
      </c>
      <c r="M108">
        <v>211980</v>
      </c>
      <c r="N108" t="s">
        <v>53</v>
      </c>
      <c r="O108">
        <v>0</v>
      </c>
    </row>
    <row r="109" spans="1:15">
      <c r="A109" t="s">
        <v>252</v>
      </c>
      <c r="B109">
        <v>20260820</v>
      </c>
      <c r="C109">
        <v>3436</v>
      </c>
      <c r="D109" t="s">
        <v>139</v>
      </c>
      <c r="E109" t="s">
        <v>43</v>
      </c>
      <c r="F109" t="s">
        <v>45</v>
      </c>
      <c r="G109" t="s">
        <v>46</v>
      </c>
      <c r="H109" t="s">
        <v>47</v>
      </c>
      <c r="I109" t="s">
        <v>51</v>
      </c>
      <c r="J109" t="s">
        <v>52</v>
      </c>
      <c r="K109">
        <v>200</v>
      </c>
      <c r="L109">
        <v>3822</v>
      </c>
      <c r="M109">
        <v>764400</v>
      </c>
      <c r="N109" t="s">
        <v>53</v>
      </c>
      <c r="O109">
        <v>0</v>
      </c>
    </row>
    <row r="110" spans="1:15">
      <c r="A110" t="s">
        <v>253</v>
      </c>
      <c r="B110">
        <v>20260820</v>
      </c>
      <c r="C110">
        <v>9984</v>
      </c>
      <c r="D110" t="s">
        <v>143</v>
      </c>
      <c r="E110" t="s">
        <v>43</v>
      </c>
      <c r="F110" t="s">
        <v>45</v>
      </c>
      <c r="G110" t="s">
        <v>46</v>
      </c>
      <c r="H110" t="s">
        <v>47</v>
      </c>
      <c r="I110" t="s">
        <v>51</v>
      </c>
      <c r="J110" t="s">
        <v>52</v>
      </c>
      <c r="K110">
        <v>100</v>
      </c>
      <c r="L110">
        <v>5942.5</v>
      </c>
      <c r="M110">
        <v>594250</v>
      </c>
      <c r="N110" t="s">
        <v>53</v>
      </c>
      <c r="O110">
        <v>0</v>
      </c>
    </row>
    <row r="111" spans="1:15">
      <c r="A111" t="s">
        <v>254</v>
      </c>
      <c r="B111">
        <v>20260820</v>
      </c>
      <c r="C111">
        <v>6613</v>
      </c>
      <c r="D111" t="s">
        <v>140</v>
      </c>
      <c r="E111" t="s">
        <v>43</v>
      </c>
      <c r="F111" t="s">
        <v>50</v>
      </c>
      <c r="G111" t="s">
        <v>46</v>
      </c>
      <c r="H111" t="s">
        <v>47</v>
      </c>
      <c r="I111" t="s">
        <v>48</v>
      </c>
      <c r="J111" t="s">
        <v>49</v>
      </c>
      <c r="K111">
        <v>100</v>
      </c>
      <c r="L111">
        <v>2127</v>
      </c>
      <c r="M111">
        <v>212700</v>
      </c>
      <c r="N111" t="s">
        <v>35</v>
      </c>
      <c r="O111">
        <v>0</v>
      </c>
    </row>
    <row r="112" spans="1:15">
      <c r="A112" t="s">
        <v>255</v>
      </c>
      <c r="B112">
        <v>20260820</v>
      </c>
      <c r="C112">
        <v>9984</v>
      </c>
      <c r="D112" t="s">
        <v>143</v>
      </c>
      <c r="E112" t="s">
        <v>43</v>
      </c>
      <c r="F112" t="s">
        <v>45</v>
      </c>
      <c r="G112" t="s">
        <v>46</v>
      </c>
      <c r="H112" t="s">
        <v>47</v>
      </c>
      <c r="I112" t="s">
        <v>48</v>
      </c>
      <c r="J112" t="s">
        <v>49</v>
      </c>
      <c r="K112">
        <v>100</v>
      </c>
      <c r="L112">
        <v>5958.9</v>
      </c>
      <c r="M112">
        <v>595890</v>
      </c>
      <c r="N112" t="s">
        <v>35</v>
      </c>
      <c r="O112">
        <v>0</v>
      </c>
    </row>
    <row r="113" spans="1:15">
      <c r="A113" t="s">
        <v>256</v>
      </c>
      <c r="B113">
        <v>20260820</v>
      </c>
      <c r="C113">
        <v>3436</v>
      </c>
      <c r="D113" t="s">
        <v>139</v>
      </c>
      <c r="E113" t="s">
        <v>43</v>
      </c>
      <c r="F113" t="s">
        <v>45</v>
      </c>
      <c r="G113" t="s">
        <v>46</v>
      </c>
      <c r="H113" t="s">
        <v>47</v>
      </c>
      <c r="I113" t="s">
        <v>48</v>
      </c>
      <c r="J113" t="s">
        <v>49</v>
      </c>
      <c r="K113">
        <v>100</v>
      </c>
      <c r="L113">
        <v>3825.9</v>
      </c>
      <c r="M113">
        <v>382590</v>
      </c>
      <c r="N113" t="s">
        <v>35</v>
      </c>
      <c r="O113">
        <v>0</v>
      </c>
    </row>
    <row r="114" spans="1:15">
      <c r="A114" t="s">
        <v>257</v>
      </c>
      <c r="B114">
        <v>20260820</v>
      </c>
      <c r="C114">
        <v>6613</v>
      </c>
      <c r="D114" t="s">
        <v>140</v>
      </c>
      <c r="E114" t="s">
        <v>43</v>
      </c>
      <c r="F114" t="s">
        <v>50</v>
      </c>
      <c r="G114" t="s">
        <v>46</v>
      </c>
      <c r="H114" t="s">
        <v>47</v>
      </c>
      <c r="I114" t="s">
        <v>48</v>
      </c>
      <c r="J114" t="s">
        <v>49</v>
      </c>
      <c r="K114">
        <v>100</v>
      </c>
      <c r="L114">
        <v>2147</v>
      </c>
      <c r="M114">
        <v>214700</v>
      </c>
      <c r="N114" t="s">
        <v>35</v>
      </c>
      <c r="O114">
        <v>0</v>
      </c>
    </row>
    <row r="115" spans="1:15">
      <c r="A115" t="s">
        <v>258</v>
      </c>
      <c r="B115">
        <v>20260820</v>
      </c>
      <c r="C115">
        <v>9984</v>
      </c>
      <c r="D115" t="s">
        <v>143</v>
      </c>
      <c r="E115" t="s">
        <v>43</v>
      </c>
      <c r="F115" t="s">
        <v>45</v>
      </c>
      <c r="G115" t="s">
        <v>46</v>
      </c>
      <c r="H115" t="s">
        <v>47</v>
      </c>
      <c r="I115" t="s">
        <v>51</v>
      </c>
      <c r="J115" t="s">
        <v>52</v>
      </c>
      <c r="K115">
        <v>100</v>
      </c>
      <c r="L115">
        <v>5946.1</v>
      </c>
      <c r="M115">
        <v>594610</v>
      </c>
      <c r="N115" t="s">
        <v>53</v>
      </c>
      <c r="O115">
        <v>0</v>
      </c>
    </row>
    <row r="116" spans="1:15">
      <c r="A116" t="s">
        <v>259</v>
      </c>
      <c r="B116">
        <v>20260820</v>
      </c>
      <c r="C116">
        <v>3436</v>
      </c>
      <c r="D116" t="s">
        <v>139</v>
      </c>
      <c r="E116" t="s">
        <v>43</v>
      </c>
      <c r="F116" t="s">
        <v>45</v>
      </c>
      <c r="G116" t="s">
        <v>46</v>
      </c>
      <c r="H116" t="s">
        <v>47</v>
      </c>
      <c r="I116" t="s">
        <v>51</v>
      </c>
      <c r="J116" t="s">
        <v>52</v>
      </c>
      <c r="K116">
        <v>100</v>
      </c>
      <c r="L116">
        <v>3820.6</v>
      </c>
      <c r="M116">
        <v>382060</v>
      </c>
      <c r="N116" t="s">
        <v>53</v>
      </c>
      <c r="O116">
        <v>0</v>
      </c>
    </row>
    <row r="117" spans="1:15">
      <c r="A117" t="s">
        <v>260</v>
      </c>
      <c r="B117">
        <v>20260820</v>
      </c>
      <c r="C117">
        <v>6613</v>
      </c>
      <c r="D117" t="s">
        <v>140</v>
      </c>
      <c r="E117" t="s">
        <v>43</v>
      </c>
      <c r="F117" t="s">
        <v>45</v>
      </c>
      <c r="G117" t="s">
        <v>46</v>
      </c>
      <c r="H117" t="s">
        <v>47</v>
      </c>
      <c r="I117" t="s">
        <v>51</v>
      </c>
      <c r="J117" t="s">
        <v>52</v>
      </c>
      <c r="K117">
        <v>100</v>
      </c>
      <c r="L117">
        <v>2129.6999999999998</v>
      </c>
      <c r="M117">
        <v>212970</v>
      </c>
      <c r="N117" t="s">
        <v>53</v>
      </c>
      <c r="O117">
        <v>0</v>
      </c>
    </row>
    <row r="118" spans="1:15">
      <c r="A118" t="s">
        <v>260</v>
      </c>
      <c r="B118">
        <v>20260820</v>
      </c>
      <c r="C118">
        <v>6613</v>
      </c>
      <c r="D118" t="s">
        <v>140</v>
      </c>
      <c r="E118" t="s">
        <v>43</v>
      </c>
      <c r="F118" t="s">
        <v>45</v>
      </c>
      <c r="G118" t="s">
        <v>46</v>
      </c>
      <c r="H118" t="s">
        <v>47</v>
      </c>
      <c r="I118" t="s">
        <v>51</v>
      </c>
      <c r="J118" t="s">
        <v>52</v>
      </c>
      <c r="K118">
        <v>100</v>
      </c>
      <c r="L118">
        <v>2129.6</v>
      </c>
      <c r="M118">
        <v>212960</v>
      </c>
      <c r="N118" t="s">
        <v>53</v>
      </c>
      <c r="O118">
        <v>0</v>
      </c>
    </row>
    <row r="119" spans="1:15">
      <c r="A119" t="s">
        <v>261</v>
      </c>
      <c r="B119">
        <v>20260820</v>
      </c>
      <c r="C119">
        <v>6613</v>
      </c>
      <c r="D119" t="s">
        <v>140</v>
      </c>
      <c r="E119" t="s">
        <v>43</v>
      </c>
      <c r="F119" t="s">
        <v>45</v>
      </c>
      <c r="G119" t="s">
        <v>46</v>
      </c>
      <c r="H119" t="s">
        <v>47</v>
      </c>
      <c r="I119" t="s">
        <v>48</v>
      </c>
      <c r="J119" t="s">
        <v>49</v>
      </c>
      <c r="K119">
        <v>100</v>
      </c>
      <c r="L119">
        <v>2130</v>
      </c>
      <c r="M119">
        <v>213000</v>
      </c>
      <c r="N119" t="s">
        <v>35</v>
      </c>
      <c r="O119">
        <v>0</v>
      </c>
    </row>
    <row r="120" spans="1:15">
      <c r="A120" t="s">
        <v>261</v>
      </c>
      <c r="B120">
        <v>20260820</v>
      </c>
      <c r="C120">
        <v>6613</v>
      </c>
      <c r="D120" t="s">
        <v>140</v>
      </c>
      <c r="E120" t="s">
        <v>43</v>
      </c>
      <c r="F120" t="s">
        <v>50</v>
      </c>
      <c r="G120" t="s">
        <v>46</v>
      </c>
      <c r="H120" t="s">
        <v>47</v>
      </c>
      <c r="I120" t="s">
        <v>48</v>
      </c>
      <c r="J120" t="s">
        <v>49</v>
      </c>
      <c r="K120">
        <v>100</v>
      </c>
      <c r="L120">
        <v>2130</v>
      </c>
      <c r="M120">
        <v>213000</v>
      </c>
      <c r="N120" t="s">
        <v>35</v>
      </c>
      <c r="O120">
        <v>0</v>
      </c>
    </row>
    <row r="121" spans="1:15">
      <c r="A121" t="s">
        <v>262</v>
      </c>
      <c r="B121">
        <v>20260820</v>
      </c>
      <c r="C121">
        <v>3436</v>
      </c>
      <c r="D121" t="s">
        <v>139</v>
      </c>
      <c r="E121" t="s">
        <v>43</v>
      </c>
      <c r="F121" t="s">
        <v>45</v>
      </c>
      <c r="G121" t="s">
        <v>46</v>
      </c>
      <c r="H121" t="s">
        <v>47</v>
      </c>
      <c r="I121" t="s">
        <v>48</v>
      </c>
      <c r="J121" t="s">
        <v>49</v>
      </c>
      <c r="K121">
        <v>100</v>
      </c>
      <c r="L121">
        <v>3813.3</v>
      </c>
      <c r="M121">
        <v>381330</v>
      </c>
      <c r="N121" t="s">
        <v>35</v>
      </c>
      <c r="O121">
        <v>0</v>
      </c>
    </row>
    <row r="122" spans="1:15">
      <c r="A122" t="s">
        <v>263</v>
      </c>
      <c r="B122">
        <v>20260820</v>
      </c>
      <c r="C122">
        <v>9984</v>
      </c>
      <c r="D122" t="s">
        <v>143</v>
      </c>
      <c r="E122" t="s">
        <v>43</v>
      </c>
      <c r="F122" t="s">
        <v>45</v>
      </c>
      <c r="G122" t="s">
        <v>46</v>
      </c>
      <c r="H122" t="s">
        <v>47</v>
      </c>
      <c r="I122" t="s">
        <v>48</v>
      </c>
      <c r="J122" t="s">
        <v>49</v>
      </c>
      <c r="K122">
        <v>100</v>
      </c>
      <c r="L122">
        <v>5897.8</v>
      </c>
      <c r="M122">
        <v>589780</v>
      </c>
      <c r="N122" t="s">
        <v>35</v>
      </c>
      <c r="O122">
        <v>0</v>
      </c>
    </row>
    <row r="123" spans="1:15">
      <c r="A123" t="s">
        <v>264</v>
      </c>
      <c r="B123">
        <v>20260820</v>
      </c>
      <c r="C123">
        <v>3436</v>
      </c>
      <c r="D123" t="s">
        <v>139</v>
      </c>
      <c r="E123" t="s">
        <v>43</v>
      </c>
      <c r="F123" t="s">
        <v>45</v>
      </c>
      <c r="G123" t="s">
        <v>46</v>
      </c>
      <c r="H123" t="s">
        <v>47</v>
      </c>
      <c r="I123" t="s">
        <v>51</v>
      </c>
      <c r="J123" t="s">
        <v>52</v>
      </c>
      <c r="K123">
        <v>100</v>
      </c>
      <c r="L123">
        <v>3809.2</v>
      </c>
      <c r="M123">
        <v>380920</v>
      </c>
      <c r="N123" t="s">
        <v>53</v>
      </c>
      <c r="O123">
        <v>0</v>
      </c>
    </row>
    <row r="124" spans="1:15">
      <c r="A124" t="s">
        <v>265</v>
      </c>
      <c r="B124">
        <v>20260820</v>
      </c>
      <c r="C124">
        <v>9984</v>
      </c>
      <c r="D124" t="s">
        <v>143</v>
      </c>
      <c r="E124" t="s">
        <v>43</v>
      </c>
      <c r="F124" t="s">
        <v>45</v>
      </c>
      <c r="G124" t="s">
        <v>46</v>
      </c>
      <c r="H124" t="s">
        <v>47</v>
      </c>
      <c r="I124" t="s">
        <v>51</v>
      </c>
      <c r="J124" t="s">
        <v>52</v>
      </c>
      <c r="K124">
        <v>100</v>
      </c>
      <c r="L124">
        <v>5865.3</v>
      </c>
      <c r="M124">
        <v>586530</v>
      </c>
      <c r="N124" t="s">
        <v>53</v>
      </c>
      <c r="O124">
        <v>0</v>
      </c>
    </row>
    <row r="125" spans="1:15">
      <c r="A125" t="s">
        <v>266</v>
      </c>
      <c r="B125">
        <v>20260820</v>
      </c>
      <c r="C125">
        <v>3436</v>
      </c>
      <c r="D125" t="s">
        <v>139</v>
      </c>
      <c r="E125" t="s">
        <v>43</v>
      </c>
      <c r="F125" t="s">
        <v>50</v>
      </c>
      <c r="G125" t="s">
        <v>267</v>
      </c>
      <c r="H125" t="s">
        <v>268</v>
      </c>
      <c r="I125" t="s">
        <v>48</v>
      </c>
      <c r="J125" t="s">
        <v>49</v>
      </c>
      <c r="K125">
        <v>100</v>
      </c>
      <c r="L125">
        <v>3805</v>
      </c>
      <c r="M125">
        <v>380500</v>
      </c>
      <c r="N125" t="s">
        <v>35</v>
      </c>
      <c r="O125">
        <v>0</v>
      </c>
    </row>
    <row r="126" spans="1:15">
      <c r="A126" t="s">
        <v>269</v>
      </c>
      <c r="B126">
        <v>20260820</v>
      </c>
      <c r="C126">
        <v>3436</v>
      </c>
      <c r="D126" t="s">
        <v>139</v>
      </c>
      <c r="E126" t="s">
        <v>43</v>
      </c>
      <c r="F126" t="s">
        <v>45</v>
      </c>
      <c r="G126" t="s">
        <v>267</v>
      </c>
      <c r="H126" t="s">
        <v>268</v>
      </c>
      <c r="I126" t="s">
        <v>51</v>
      </c>
      <c r="J126" t="s">
        <v>52</v>
      </c>
      <c r="K126">
        <v>100</v>
      </c>
      <c r="L126">
        <v>3796</v>
      </c>
      <c r="M126">
        <v>379600</v>
      </c>
      <c r="N126" t="s">
        <v>53</v>
      </c>
      <c r="O126">
        <v>0</v>
      </c>
    </row>
    <row r="127" spans="1:15">
      <c r="A127" t="s">
        <v>270</v>
      </c>
      <c r="B127">
        <v>20260820</v>
      </c>
      <c r="C127">
        <v>3436</v>
      </c>
      <c r="D127" t="s">
        <v>139</v>
      </c>
      <c r="E127" t="s">
        <v>43</v>
      </c>
      <c r="F127" t="s">
        <v>45</v>
      </c>
      <c r="G127" t="s">
        <v>267</v>
      </c>
      <c r="H127" t="s">
        <v>268</v>
      </c>
      <c r="I127" t="s">
        <v>48</v>
      </c>
      <c r="J127" t="s">
        <v>49</v>
      </c>
      <c r="K127">
        <v>100</v>
      </c>
      <c r="L127">
        <v>3793.8</v>
      </c>
      <c r="M127">
        <v>379380</v>
      </c>
      <c r="N127" t="s">
        <v>35</v>
      </c>
      <c r="O127">
        <v>0</v>
      </c>
    </row>
    <row r="128" spans="1:15">
      <c r="A128" t="s">
        <v>271</v>
      </c>
      <c r="B128">
        <v>20260820</v>
      </c>
      <c r="C128">
        <v>9984</v>
      </c>
      <c r="D128" t="s">
        <v>143</v>
      </c>
      <c r="E128" t="s">
        <v>43</v>
      </c>
      <c r="F128" t="s">
        <v>45</v>
      </c>
      <c r="G128" t="s">
        <v>267</v>
      </c>
      <c r="H128" t="s">
        <v>268</v>
      </c>
      <c r="I128" t="s">
        <v>48</v>
      </c>
      <c r="J128" t="s">
        <v>49</v>
      </c>
      <c r="K128">
        <v>100</v>
      </c>
      <c r="L128">
        <v>5863</v>
      </c>
      <c r="M128">
        <v>586300</v>
      </c>
      <c r="N128" t="s">
        <v>35</v>
      </c>
      <c r="O128">
        <v>0</v>
      </c>
    </row>
    <row r="129" spans="1:15">
      <c r="A129" t="s">
        <v>272</v>
      </c>
      <c r="B129">
        <v>20260820</v>
      </c>
      <c r="C129">
        <v>6613</v>
      </c>
      <c r="D129" t="s">
        <v>140</v>
      </c>
      <c r="E129" t="s">
        <v>43</v>
      </c>
      <c r="F129" t="s">
        <v>50</v>
      </c>
      <c r="G129" t="s">
        <v>46</v>
      </c>
      <c r="H129" t="s">
        <v>47</v>
      </c>
      <c r="I129" t="s">
        <v>51</v>
      </c>
      <c r="J129" t="s">
        <v>52</v>
      </c>
      <c r="K129">
        <v>200</v>
      </c>
      <c r="L129">
        <v>2093</v>
      </c>
      <c r="M129">
        <v>418600</v>
      </c>
      <c r="N129" t="s">
        <v>53</v>
      </c>
      <c r="O129">
        <v>0</v>
      </c>
    </row>
    <row r="130" spans="1:15">
      <c r="A130" s="1" t="s">
        <v>131</v>
      </c>
      <c r="B130" s="1" t="s">
        <v>131</v>
      </c>
      <c r="C130" s="1" t="s">
        <v>131</v>
      </c>
      <c r="D130" s="1" t="s">
        <v>131</v>
      </c>
      <c r="E130" s="1" t="s">
        <v>131</v>
      </c>
      <c r="F130" s="1" t="s">
        <v>131</v>
      </c>
      <c r="G130" s="1" t="s">
        <v>131</v>
      </c>
      <c r="H130" s="1" t="s">
        <v>131</v>
      </c>
      <c r="I130" s="1" t="s">
        <v>131</v>
      </c>
      <c r="J130" s="1" t="s">
        <v>131</v>
      </c>
      <c r="K130" s="1" t="s">
        <v>131</v>
      </c>
      <c r="L130" s="1" t="s">
        <v>131</v>
      </c>
      <c r="M130" s="1" t="s">
        <v>131</v>
      </c>
      <c r="N130" s="1" t="s">
        <v>131</v>
      </c>
      <c r="O130" s="1" t="s">
        <v>131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Order_test</vt:lpstr>
      <vt:lpstr>Quotes</vt:lpstr>
      <vt:lpstr>MarketDes</vt:lpstr>
      <vt:lpstr>OrderIDList</vt:lpstr>
      <vt:lpstr>RssOrderStatus</vt:lpstr>
      <vt:lpstr>OrderList</vt:lpstr>
      <vt:lpstr>ExecutionList</vt:lpstr>
      <vt:lpstr>PositionList</vt:lpstr>
      <vt:lpstr>MarginPositionList</vt:lpstr>
      <vt:lpstr>RssMarket</vt:lpstr>
      <vt:lpstr>RssTickList</vt:lpstr>
      <vt:lpstr>ExecutionList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鈴子剛志</dc:creator>
  <cp:lastModifiedBy>剛志 鈴子</cp:lastModifiedBy>
  <dcterms:created xsi:type="dcterms:W3CDTF">2015-06-05T18:19:34Z</dcterms:created>
  <dcterms:modified xsi:type="dcterms:W3CDTF">2026-09-02T17:30:33Z</dcterms:modified>
</cp:coreProperties>
</file>