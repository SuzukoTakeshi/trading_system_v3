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/>
  <mc:AlternateContent xmlns:mc="http://schemas.openxmlformats.org/markup-compatibility/2006">
    <mc:Choice Requires="x15">
      <x15ac:absPath xmlns:x15ac="http://schemas.microsoft.com/office/spreadsheetml/2010/11/ac" url="C:\StockProjects\trading_system_v3_dev\rakuten\excel\"/>
    </mc:Choice>
  </mc:AlternateContent>
  <xr:revisionPtr revIDLastSave="0" documentId="13_ncr:1_{C24438E4-3CE0-4889-8CD5-7CC190B9A5E6}" xr6:coauthVersionLast="47" xr6:coauthVersionMax="47" xr10:uidLastSave="{00000000-0000-0000-0000-000000000000}"/>
  <bookViews>
    <workbookView xWindow="6375" yWindow="-14490" windowWidth="21600" windowHeight="11295" firstSheet="2" activeTab="8" xr2:uid="{00000000-000D-0000-FFFF-FFFF00000000}"/>
  </bookViews>
  <sheets>
    <sheet name="RangeChart (2)" sheetId="43" r:id="rId1"/>
    <sheet name="RangeChartTest" sheetId="41" r:id="rId2"/>
    <sheet name="説明" sheetId="13" r:id="rId3"/>
    <sheet name="LiveFeed" sheetId="37" r:id="rId4"/>
    <sheet name="Chart" sheetId="38" r:id="rId5"/>
    <sheet name="RangeChart" sheetId="40" r:id="rId6"/>
    <sheet name="Test" sheetId="28" r:id="rId7"/>
    <sheet name="TickList1" sheetId="42" r:id="rId8"/>
    <sheet name="Quotes" sheetId="12" r:id="rId9"/>
    <sheet name="SymbolQuotes" sheetId="39" r:id="rId10"/>
    <sheet name="MarketDes" sheetId="19" r:id="rId11"/>
    <sheet name="OrderIDList" sheetId="1" r:id="rId12"/>
    <sheet name="OrderList" sheetId="2" r:id="rId13"/>
    <sheet name="ExecutionList" sheetId="14" r:id="rId14"/>
    <sheet name="MarginPositionList" sheetId="29" r:id="rId15"/>
    <sheet name="MarginPositionList_save" sheetId="30" r:id="rId16"/>
    <sheet name="OrderIDList_save" sheetId="16" r:id="rId17"/>
    <sheet name="OrderList_save" sheetId="15" r:id="rId18"/>
    <sheet name="OrderList0909" sheetId="33" r:id="rId19"/>
    <sheet name="MarketDes (2)" sheetId="20" r:id="rId20"/>
    <sheet name="ExecutionList0909" sheetId="31" r:id="rId21"/>
    <sheet name="ExecutionList (2)" sheetId="17" r:id="rId22"/>
    <sheet name="ExecutionList (3)" sheetId="26" r:id="rId23"/>
    <sheet name="MarginPositionList_0909" sheetId="32" r:id="rId24"/>
    <sheet name="TickList" sheetId="24" r:id="rId25"/>
    <sheet name="PositionList" sheetId="18" r:id="rId26"/>
    <sheet name="Quotes_Data" sheetId="27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9" l="1"/>
  <c r="A1" i="38"/>
  <c r="B2" i="37"/>
  <c r="C1" i="42"/>
  <c r="L9" i="39"/>
  <c r="K9" i="39"/>
  <c r="J9" i="39"/>
  <c r="I9" i="39"/>
  <c r="H9" i="39"/>
  <c r="G9" i="39"/>
  <c r="F9" i="39"/>
  <c r="E9" i="39"/>
  <c r="D9" i="39"/>
  <c r="C9" i="39"/>
  <c r="B9" i="39"/>
  <c r="L8" i="39"/>
  <c r="K8" i="39"/>
  <c r="J8" i="39"/>
  <c r="I8" i="39"/>
  <c r="H8" i="39"/>
  <c r="G8" i="39"/>
  <c r="F8" i="39"/>
  <c r="E8" i="39"/>
  <c r="D8" i="39"/>
  <c r="C8" i="39"/>
  <c r="B8" i="39"/>
  <c r="L7" i="39"/>
  <c r="K7" i="39"/>
  <c r="J7" i="39"/>
  <c r="I7" i="39"/>
  <c r="H7" i="39"/>
  <c r="G7" i="39"/>
  <c r="F7" i="39"/>
  <c r="E7" i="39"/>
  <c r="D7" i="39"/>
  <c r="C7" i="39"/>
  <c r="B7" i="39"/>
  <c r="L6" i="39"/>
  <c r="K6" i="39"/>
  <c r="J6" i="39"/>
  <c r="I6" i="39"/>
  <c r="H6" i="39"/>
  <c r="G6" i="39"/>
  <c r="F6" i="39"/>
  <c r="E6" i="39"/>
  <c r="D6" i="39"/>
  <c r="C6" i="39"/>
  <c r="B6" i="39"/>
  <c r="L5" i="39"/>
  <c r="K5" i="39"/>
  <c r="J5" i="39"/>
  <c r="I5" i="39"/>
  <c r="H5" i="39"/>
  <c r="G5" i="39"/>
  <c r="F5" i="39"/>
  <c r="E5" i="39"/>
  <c r="D5" i="39"/>
  <c r="C5" i="39"/>
  <c r="B5" i="39"/>
  <c r="L4" i="39"/>
  <c r="K4" i="39"/>
  <c r="J4" i="39"/>
  <c r="I4" i="39"/>
  <c r="H4" i="39"/>
  <c r="G4" i="39"/>
  <c r="F4" i="39"/>
  <c r="E4" i="39"/>
  <c r="D4" i="39"/>
  <c r="C4" i="39"/>
  <c r="B4" i="39"/>
  <c r="L3" i="39"/>
  <c r="K3" i="39"/>
  <c r="J3" i="39"/>
  <c r="I3" i="39"/>
  <c r="H3" i="39"/>
  <c r="G3" i="39"/>
  <c r="F3" i="39"/>
  <c r="E3" i="39"/>
  <c r="D3" i="39"/>
  <c r="C3" i="39"/>
  <c r="B3" i="39"/>
  <c r="L2" i="39"/>
  <c r="K2" i="39"/>
  <c r="J2" i="39"/>
  <c r="I2" i="39"/>
  <c r="H2" i="39"/>
  <c r="G2" i="39"/>
  <c r="F2" i="39"/>
  <c r="E2" i="39"/>
  <c r="D2" i="39"/>
  <c r="C2" i="39"/>
  <c r="B2" i="39"/>
  <c r="U7" i="27" a="1"/>
  <c r="ED7" i="27" a="1"/>
  <c r="EA8" i="27" a="1"/>
  <c r="ER7" i="27" a="1"/>
  <c r="CB7" i="27" a="1"/>
  <c r="F15" i="37"/>
  <c r="J7" i="27" a="1"/>
  <c r="CF8" i="27" a="1"/>
  <c r="E8" i="27" a="1"/>
  <c r="CG8" i="27" a="1"/>
  <c r="N5" i="37"/>
  <c r="EF8" i="27" a="1"/>
  <c r="BW8" i="27" a="1"/>
  <c r="BW7" i="27" a="1"/>
  <c r="AV8" i="27" a="1"/>
  <c r="K4" i="37"/>
  <c r="U8" i="27" a="1"/>
  <c r="BJ8" i="27" a="1"/>
  <c r="BV7" i="27" a="1"/>
  <c r="CE8" i="27" a="1"/>
  <c r="DG7" i="27" a="1"/>
  <c r="BZ7" i="27" a="1"/>
  <c r="BD7" i="27" a="1"/>
  <c r="G25" i="37"/>
  <c r="EQ8" i="27" a="1"/>
  <c r="AJ7" i="27" a="1"/>
  <c r="DO7" i="27" a="1"/>
  <c r="BE7" i="27" a="1"/>
  <c r="DA8" i="27" a="1"/>
  <c r="CC7" i="27" a="1"/>
  <c r="AC7" i="27" a="1"/>
  <c r="R8" i="27" a="1"/>
  <c r="CQ8" i="27" a="1"/>
  <c r="AG7" i="27" a="1"/>
  <c r="L8" i="27" a="1"/>
  <c r="Z8" i="27" a="1"/>
  <c r="EN8" i="27" a="1"/>
  <c r="X7" i="27" a="1"/>
  <c r="T7" i="27" a="1"/>
  <c r="P5" i="37"/>
  <c r="DG8" i="27" a="1"/>
  <c r="EB7" i="27" a="1"/>
  <c r="EL7" i="27" a="1"/>
  <c r="AT7" i="27" a="1"/>
  <c r="DW8" i="27" a="1"/>
  <c r="G8" i="27" a="1"/>
  <c r="DD8" i="27" a="1"/>
  <c r="N4" i="37"/>
  <c r="AN7" i="27" a="1"/>
  <c r="B2" i="28" a="1"/>
  <c r="CA7" i="27" a="1"/>
  <c r="Q8" i="27" a="1"/>
  <c r="CN8" i="27" a="1"/>
  <c r="F13" i="37"/>
  <c r="AZ8" i="27" a="1"/>
  <c r="DF7" i="27" a="1"/>
  <c r="CT8" i="27" a="1"/>
  <c r="EA7" i="27" a="1"/>
  <c r="EQ7" i="27" a="1"/>
  <c r="AY8" i="27" a="1"/>
  <c r="P7" i="27" a="1"/>
  <c r="EI7" i="27" a="1"/>
  <c r="DC8" i="27" a="1"/>
  <c r="CQ7" i="27" a="1"/>
  <c r="DV8" i="27" a="1"/>
  <c r="L7" i="37"/>
  <c r="AS8" i="27" a="1"/>
  <c r="EO8" i="27" a="1"/>
  <c r="DY8" i="27" a="1"/>
  <c r="AQ7" i="27" a="1"/>
  <c r="ER8" i="27" a="1"/>
  <c r="AB7" i="27" a="1"/>
  <c r="BF7" i="27" a="1"/>
  <c r="F9" i="37"/>
  <c r="CJ7" i="27" a="1"/>
  <c r="AD8" i="27" a="1"/>
  <c r="H17" i="37"/>
  <c r="AV7" i="27" a="1"/>
  <c r="CJ8" i="27" a="1"/>
  <c r="G15" i="37"/>
  <c r="CS8" i="27" a="1"/>
  <c r="CH7" i="27" a="1"/>
  <c r="AI8" i="27" a="1"/>
  <c r="D8" i="27" a="1"/>
  <c r="DB8" i="27" a="1"/>
  <c r="L7" i="27" a="1"/>
  <c r="CW8" i="27" a="1"/>
  <c r="AX7" i="27" a="1"/>
  <c r="N3" i="37"/>
  <c r="CX7" i="27" a="1"/>
  <c r="CE7" i="27" a="1"/>
  <c r="DD7" i="27" a="1"/>
  <c r="DS7" i="27" a="1"/>
  <c r="AA7" i="27" a="1"/>
  <c r="O7" i="27" a="1"/>
  <c r="DN7" i="27" a="1"/>
  <c r="AH7" i="27" a="1"/>
  <c r="F12" i="37"/>
  <c r="K5" i="37"/>
  <c r="G12" i="37"/>
  <c r="DS8" i="27" a="1"/>
  <c r="G14" i="37"/>
  <c r="BS7" i="27" a="1"/>
  <c r="DR7" i="27" a="1"/>
  <c r="AQ8" i="27" a="1"/>
  <c r="A7" i="27" a="1"/>
  <c r="B7" i="27" s="1" a="1"/>
  <c r="CB8" i="27" a="1"/>
  <c r="AG8" i="27" a="1"/>
  <c r="DP7" i="27" a="1"/>
  <c r="A8" i="27" a="1"/>
  <c r="DI7" i="27" a="1"/>
  <c r="Y8" i="27" a="1"/>
  <c r="DM7" i="27" a="1"/>
  <c r="L4" i="37"/>
  <c r="H19" i="37"/>
  <c r="K6" i="37"/>
  <c r="BH8" i="27" a="1"/>
  <c r="CP7" i="27" a="1"/>
  <c r="G6" i="37"/>
  <c r="DA7" i="27" a="1"/>
  <c r="N8" i="27" a="1"/>
  <c r="G23" i="37"/>
  <c r="H20" i="37"/>
  <c r="EP8" i="27" a="1"/>
  <c r="CI8" i="27" a="1"/>
  <c r="BH7" i="27" a="1"/>
  <c r="AP7" i="27" a="1"/>
  <c r="EI8" i="27" a="1"/>
  <c r="E7" i="27" a="1"/>
  <c r="K7" i="37"/>
  <c r="P4" i="37"/>
  <c r="H25" i="37"/>
  <c r="H16" i="37"/>
  <c r="DE7" i="27" a="1"/>
  <c r="G21" i="37"/>
  <c r="CN7" i="27" a="1"/>
  <c r="CR7" i="27" a="1"/>
  <c r="CK8" i="27" a="1"/>
  <c r="F10" i="37"/>
  <c r="H21" i="37"/>
  <c r="BB8" i="27" a="1"/>
  <c r="CD7" i="27" a="1"/>
  <c r="H22" i="37"/>
  <c r="DZ8" i="27" a="1"/>
  <c r="EH7" i="27" a="1"/>
  <c r="AE8" i="27" a="1"/>
  <c r="BA8" i="27" a="1"/>
  <c r="BC7" i="27" a="1"/>
  <c r="BT8" i="27" a="1"/>
  <c r="L3" i="37"/>
  <c r="DE8" i="27" a="1"/>
  <c r="CY8" i="27" a="1"/>
  <c r="R7" i="27" a="1"/>
  <c r="N7" i="27" a="1"/>
  <c r="L8" i="37"/>
  <c r="V8" i="27" a="1"/>
  <c r="CO8" i="27" a="1"/>
  <c r="AF8" i="27" a="1"/>
  <c r="G11" i="37"/>
  <c r="DB7" i="27" a="1"/>
  <c r="EL8" i="27" a="1"/>
  <c r="DX8" i="27" a="1"/>
  <c r="N7" i="37"/>
  <c r="N6" i="37"/>
  <c r="AC8" i="27" a="1"/>
  <c r="BD8" i="27" a="1"/>
  <c r="DQ7" i="27" a="1"/>
  <c r="AK7" i="27" a="1"/>
  <c r="BE8" i="27" a="1"/>
  <c r="AY7" i="27" a="1"/>
  <c r="AU8" i="27" a="1"/>
  <c r="C8" i="27" a="1"/>
  <c r="DI8" i="27" a="1"/>
  <c r="DT7" i="27" a="1"/>
  <c r="BY8" i="27" a="1"/>
  <c r="AL7" i="27" a="1"/>
  <c r="DR8" i="27" a="1"/>
  <c r="EC7" i="27" a="1"/>
  <c r="AH8" i="27" a="1"/>
  <c r="O8" i="27" a="1"/>
  <c r="EO7" i="27" a="1"/>
  <c r="DN8" i="27" a="1"/>
  <c r="EG8" i="27" a="1"/>
  <c r="EM7" i="27" a="1"/>
  <c r="CP8" i="27" a="1"/>
  <c r="BU8" i="27" a="1"/>
  <c r="BF8" i="27" a="1"/>
  <c r="L5" i="37"/>
  <c r="Y7" i="27" a="1"/>
  <c r="BG8" i="27" a="1"/>
  <c r="EE7" i="27" a="1"/>
  <c r="BR8" i="27" a="1"/>
  <c r="CK7" i="27" a="1"/>
  <c r="AW8" i="27" a="1"/>
  <c r="ED8" i="27" a="1"/>
  <c r="BN8" i="27" a="1"/>
  <c r="G7" i="37"/>
  <c r="AJ8" i="27" a="1"/>
  <c r="V7" i="27" a="1"/>
  <c r="F8" i="27" a="1"/>
  <c r="DL7" i="27" a="1"/>
  <c r="DT8" i="27" a="1"/>
  <c r="X8" i="27" a="1"/>
  <c r="F11" i="37"/>
  <c r="BP8" i="27" a="1"/>
  <c r="DY7" i="27" a="1"/>
  <c r="F6" i="37"/>
  <c r="AA8" i="27" a="1"/>
  <c r="EF7" i="27" a="1"/>
  <c r="CM8" i="27" a="1"/>
  <c r="AO7" i="27" a="1"/>
  <c r="AK8" i="27" a="1"/>
  <c r="DC7" i="27" a="1"/>
  <c r="CC8" i="27" a="1"/>
  <c r="M7" i="27" a="1"/>
  <c r="G20" i="37"/>
  <c r="H7" i="27" a="1"/>
  <c r="DL8" i="27" a="1"/>
  <c r="BK7" i="27" a="1"/>
  <c r="CD8" i="27" a="1"/>
  <c r="BT7" i="27" a="1"/>
  <c r="EN7" i="27" a="1"/>
  <c r="F4" i="37"/>
  <c r="CA8" i="27" a="1"/>
  <c r="AI7" i="27" a="1"/>
  <c r="DH7" i="27" a="1"/>
  <c r="AL8" i="27" a="1"/>
  <c r="EC8" i="27" a="1"/>
  <c r="CX8" i="27" a="1"/>
  <c r="CI7" i="27" a="1"/>
  <c r="EM8" i="27" a="1"/>
  <c r="DJ8" i="27" a="1"/>
  <c r="AF7" i="27" a="1"/>
  <c r="L6" i="37"/>
  <c r="K8" i="37"/>
  <c r="DV7" i="27" a="1"/>
  <c r="BP7" i="27" a="1"/>
  <c r="EK8" i="27" a="1"/>
  <c r="EB8" i="27" a="1"/>
  <c r="DQ8" i="27" a="1"/>
  <c r="DZ7" i="27" a="1"/>
  <c r="AS7" i="27" a="1"/>
  <c r="I7" i="27" a="1"/>
  <c r="AN8" i="27" a="1"/>
  <c r="G7" i="27" a="1"/>
  <c r="G22" i="37"/>
  <c r="P6" i="37"/>
  <c r="J8" i="27" a="1"/>
  <c r="D7" i="27" a="1"/>
  <c r="CZ8" i="27" a="1"/>
  <c r="B8" i="27" a="1"/>
  <c r="CL7" i="27" a="1"/>
  <c r="BO8" i="27" a="1"/>
  <c r="AM8" i="27" a="1"/>
  <c r="G13" i="37"/>
  <c r="G10" i="37"/>
  <c r="CL8" i="27" a="1"/>
  <c r="BI7" i="27" a="1"/>
  <c r="CF7" i="27" a="1"/>
  <c r="P3" i="37"/>
  <c r="EP7" i="27" a="1"/>
  <c r="EJ8" i="27" a="1"/>
  <c r="BM7" i="27" a="1"/>
  <c r="DM8" i="27" a="1"/>
  <c r="BC8" i="27" a="1"/>
  <c r="N8" i="37"/>
  <c r="BL8" i="27" a="1"/>
  <c r="DW7" i="27" a="1"/>
  <c r="BQ8" i="27" a="1"/>
  <c r="EK7" i="27" a="1"/>
  <c r="BM8" i="27" a="1"/>
  <c r="CO7" i="27" a="1"/>
  <c r="T8" i="27" a="1"/>
  <c r="CH8" i="27" a="1"/>
  <c r="DU7" i="27" a="1"/>
  <c r="BQ7" i="27" a="1"/>
  <c r="CU8" i="27" a="1"/>
  <c r="AR7" i="27" a="1"/>
  <c r="DH8" i="27" a="1"/>
  <c r="W7" i="27" a="1"/>
  <c r="BV8" i="27" a="1"/>
  <c r="H24" i="37"/>
  <c r="AO8" i="27" a="1"/>
  <c r="DP8" i="27" a="1"/>
  <c r="Z7" i="27" a="1"/>
  <c r="BU7" i="27" a="1"/>
  <c r="BG7" i="27" a="1"/>
  <c r="BI8" i="27" a="1"/>
  <c r="BA7" i="27" a="1"/>
  <c r="BB7" i="27" a="1"/>
  <c r="CV7" i="27" a="1"/>
  <c r="W8" i="27" a="1"/>
  <c r="BO7" i="27" a="1"/>
  <c r="DO8" i="27" a="1"/>
  <c r="H4" i="37"/>
  <c r="AB8" i="27" a="1"/>
  <c r="AP8" i="27" a="1"/>
  <c r="AM7" i="27" a="1"/>
  <c r="H26" i="37"/>
  <c r="F8" i="37"/>
  <c r="AW7" i="27" a="1"/>
  <c r="AU7" i="27" a="1"/>
  <c r="AT8" i="27" a="1"/>
  <c r="CS7" i="27" a="1"/>
  <c r="CM7" i="27" a="1"/>
  <c r="BL7" i="27" a="1"/>
  <c r="K3" i="37"/>
  <c r="EJ7" i="27" a="1"/>
  <c r="G19" i="37"/>
  <c r="F7" i="27" a="1"/>
  <c r="H18" i="37"/>
  <c r="C7" i="27" a="1"/>
  <c r="CR8" i="27" a="1"/>
  <c r="EG7" i="27" a="1"/>
  <c r="CG7" i="27" a="1"/>
  <c r="H23" i="37"/>
  <c r="F5" i="37"/>
  <c r="M8" i="27" a="1"/>
  <c r="DJ7" i="27" a="1"/>
  <c r="BN7" i="27" a="1"/>
  <c r="CZ7" i="27" a="1"/>
  <c r="S8" i="27" a="1"/>
  <c r="F7" i="37"/>
  <c r="C1" i="37"/>
  <c r="CY7" i="27" a="1"/>
  <c r="AE7" i="27" a="1"/>
  <c r="G8" i="37"/>
  <c r="CT7" i="27" a="1"/>
  <c r="BX8" i="27" a="1"/>
  <c r="EH8" i="27" a="1"/>
  <c r="AZ7" i="27" a="1"/>
  <c r="DF8" i="27" a="1"/>
  <c r="AD7" i="27" a="1"/>
  <c r="I8" i="27" a="1"/>
  <c r="DK7" i="27" a="1"/>
  <c r="P8" i="27" a="1"/>
  <c r="BY7" i="27" a="1"/>
  <c r="Q7" i="27" a="1"/>
  <c r="CW7" i="27" a="1"/>
  <c r="G9" i="37"/>
  <c r="AR8" i="27" a="1"/>
  <c r="BR7" i="27" a="1"/>
  <c r="G18" i="37"/>
  <c r="G24" i="37"/>
  <c r="AX8" i="27" a="1"/>
  <c r="G17" i="37"/>
  <c r="DK8" i="27" a="1"/>
  <c r="K8" i="27" a="1"/>
  <c r="BZ8" i="27" a="1"/>
  <c r="S7" i="27" a="1"/>
  <c r="BJ7" i="27" a="1"/>
  <c r="H8" i="27" a="1"/>
  <c r="DU8" i="27" a="1"/>
  <c r="BK8" i="27" a="1"/>
  <c r="DX7" i="27" a="1"/>
  <c r="F14" i="37"/>
  <c r="CU7" i="27" a="1"/>
  <c r="CV8" i="27" a="1"/>
  <c r="BS8" i="27" a="1"/>
  <c r="G16" i="37"/>
  <c r="BX7" i="27" a="1"/>
  <c r="EE8" i="27" a="1"/>
  <c r="K7" i="27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<sst xmlns="http://schemas.openxmlformats.org/spreadsheetml/2006/main" count="14491" uniqueCount="2072">
  <si>
    <t>発注ID</t>
  </si>
  <si>
    <t>関数名</t>
  </si>
  <si>
    <t>発注日</t>
  </si>
  <si>
    <t>発注時刻</t>
  </si>
  <si>
    <t>注文番号</t>
  </si>
  <si>
    <t>発注結果</t>
  </si>
  <si>
    <t>受付No</t>
  </si>
  <si>
    <t>通常注文状況</t>
  </si>
  <si>
    <t>逆指値注文状況</t>
  </si>
  <si>
    <t>アルゴ注文状況</t>
  </si>
  <si>
    <t>銘柄コード</t>
  </si>
  <si>
    <t>銘柄名称</t>
  </si>
  <si>
    <t>口座区分</t>
  </si>
  <si>
    <t>市場名称</t>
  </si>
  <si>
    <t>信用区分</t>
  </si>
  <si>
    <t>弁済期限</t>
  </si>
  <si>
    <t>売買</t>
  </si>
  <si>
    <t>取引</t>
  </si>
  <si>
    <t>執行条件</t>
  </si>
  <si>
    <t>注文期限</t>
  </si>
  <si>
    <t>注文数量</t>
  </si>
  <si>
    <t>約定数量</t>
  </si>
  <si>
    <t>注文単価</t>
  </si>
  <si>
    <t>注文区分</t>
  </si>
  <si>
    <t>逆指値条件</t>
  </si>
  <si>
    <t>セット注文</t>
  </si>
  <si>
    <t>セット注文条件</t>
  </si>
  <si>
    <t>税区分</t>
  </si>
  <si>
    <t>注文失効日時</t>
  </si>
  <si>
    <t>注文失効理由</t>
  </si>
  <si>
    <t>入力経路</t>
  </si>
  <si>
    <t>アルゴ注文条件</t>
  </si>
  <si>
    <t>価格判定時刻</t>
  </si>
  <si>
    <t>価格判定情報/対象外理由</t>
  </si>
  <si>
    <t>-</t>
  </si>
  <si>
    <t/>
  </si>
  <si>
    <t>特定</t>
  </si>
  <si>
    <t>東証(SOR)</t>
  </si>
  <si>
    <t>一般</t>
  </si>
  <si>
    <t>通常注文</t>
  </si>
  <si>
    <t>Market Speed</t>
  </si>
  <si>
    <t>ＮＴＴ</t>
  </si>
  <si>
    <t>買付</t>
  </si>
  <si>
    <t>現物</t>
  </si>
  <si>
    <t>取消済（出来無）</t>
  </si>
  <si>
    <t>特定</t>
    <phoneticPr fontId="1"/>
  </si>
  <si>
    <t>一般</t>
    <phoneticPr fontId="1"/>
  </si>
  <si>
    <t>-</t>
    <phoneticPr fontId="1"/>
  </si>
  <si>
    <t>東証(SOR)</t>
    <phoneticPr fontId="1"/>
  </si>
  <si>
    <t>通常注文</t>
    <phoneticPr fontId="1"/>
  </si>
  <si>
    <t>Market Speed</t>
    <phoneticPr fontId="1"/>
  </si>
  <si>
    <t>#5466</t>
  </si>
  <si>
    <t>#5466</t>
    <phoneticPr fontId="1"/>
  </si>
  <si>
    <t>執行中</t>
    <phoneticPr fontId="1"/>
  </si>
  <si>
    <t>ＮＴＴ</t>
    <phoneticPr fontId="1"/>
  </si>
  <si>
    <t>2026/07/22 13:56:52</t>
  </si>
  <si>
    <t>2026/07/22 13:56:52</t>
    <phoneticPr fontId="1"/>
  </si>
  <si>
    <t>買付</t>
    <phoneticPr fontId="1"/>
  </si>
  <si>
    <t>現物</t>
    <phoneticPr fontId="1"/>
  </si>
  <si>
    <t>今週中</t>
  </si>
  <si>
    <t>今週中</t>
    <phoneticPr fontId="1"/>
  </si>
  <si>
    <t>売気配(150.8) 買気配(150.7)</t>
  </si>
  <si>
    <t>売気配(150.8) 買気配(150.7)</t>
    <phoneticPr fontId="1"/>
  </si>
  <si>
    <t>↓</t>
    <phoneticPr fontId="1"/>
  </si>
  <si>
    <t>--------</t>
    <phoneticPr fontId="1"/>
  </si>
  <si>
    <t>国内株式 現物注文</t>
  </si>
  <si>
    <t>2026/07/22</t>
  </si>
  <si>
    <t>16:33:23</t>
  </si>
  <si>
    <t>エラー[指値は、値幅制限値以内で指定してください。]</t>
  </si>
  <si>
    <t>16:36:53</t>
  </si>
  <si>
    <t>発注済み</t>
  </si>
  <si>
    <t>#5473</t>
    <phoneticPr fontId="1"/>
  </si>
  <si>
    <t>執行待ち</t>
    <phoneticPr fontId="1"/>
  </si>
  <si>
    <t>2026/07/22 16:36:53</t>
    <phoneticPr fontId="1"/>
  </si>
  <si>
    <t>SOR対象外 (SORサービス時間外)</t>
    <phoneticPr fontId="1"/>
  </si>
  <si>
    <t>#5473</t>
  </si>
  <si>
    <t>2026/07/22 16:36:53</t>
  </si>
  <si>
    <t>SOR対象外 (SORサービス時間外)</t>
  </si>
  <si>
    <t>--------</t>
  </si>
  <si>
    <t>発注/受注日時</t>
    <phoneticPr fontId="1"/>
  </si>
  <si>
    <t>RssOrderList($A$2:$AD$2, 0, 0, "", "A", 0, 0, 0, 0, 0)</t>
    <phoneticPr fontId="1"/>
  </si>
  <si>
    <t>RssOrderIDList($A$2:$F$2)</t>
    <phoneticPr fontId="1"/>
  </si>
  <si>
    <t>銘柄コード</t>
    <phoneticPr fontId="1"/>
  </si>
  <si>
    <t>現在値</t>
    <phoneticPr fontId="1"/>
  </si>
  <si>
    <t>高値</t>
    <phoneticPr fontId="1"/>
  </si>
  <si>
    <t>Config</t>
    <phoneticPr fontId="1"/>
  </si>
  <si>
    <t>Quotes</t>
    <phoneticPr fontId="1"/>
  </si>
  <si>
    <t>価格取得</t>
    <rPh sb="0" eb="2">
      <t>カカク</t>
    </rPh>
    <rPh sb="2" eb="4">
      <t>シュトク</t>
    </rPh>
    <phoneticPr fontId="1"/>
  </si>
  <si>
    <t>Positions</t>
    <phoneticPr fontId="1"/>
  </si>
  <si>
    <t>保有ポジション</t>
    <phoneticPr fontId="1"/>
  </si>
  <si>
    <t>RssPositionList</t>
    <phoneticPr fontId="1"/>
  </si>
  <si>
    <t>Orders</t>
    <phoneticPr fontId="1"/>
  </si>
  <si>
    <t>注文要求</t>
    <phoneticPr fontId="1"/>
  </si>
  <si>
    <t>VBA OrderAllが処理</t>
    <phoneticPr fontId="1"/>
  </si>
  <si>
    <t>OrderList</t>
    <phoneticPr fontId="1"/>
  </si>
  <si>
    <t>注文状態</t>
    <phoneticPr fontId="1"/>
  </si>
  <si>
    <t>RssOrderList</t>
    <phoneticPr fontId="1"/>
  </si>
  <si>
    <t>OrderIds</t>
    <phoneticPr fontId="1"/>
  </si>
  <si>
    <t>発注ID管理</t>
    <phoneticPr fontId="1"/>
  </si>
  <si>
    <t>RssOrderIDList</t>
    <phoneticPr fontId="1"/>
  </si>
  <si>
    <t>Capacity</t>
    <phoneticPr fontId="1"/>
  </si>
  <si>
    <t>買付余力</t>
    <phoneticPr fontId="1"/>
  </si>
  <si>
    <t>https://marketspeed.jp/guide/manual/ms2rss_function.pdf</t>
    <phoneticPr fontId="1"/>
  </si>
  <si>
    <t>https://marketspeed.jp/ms2_rss/onlinehelp/ohm_002/ohm_002_03.html#RssMarketHeader</t>
    <phoneticPr fontId="1"/>
  </si>
  <si>
    <t xml:space="preserve"> オンラインヘルプ</t>
    <phoneticPr fontId="1"/>
  </si>
  <si>
    <t>https://marketspeed.jp/ms2_rss/onlinehelp/</t>
    <phoneticPr fontId="1"/>
  </si>
  <si>
    <t>注文約定</t>
    <phoneticPr fontId="1"/>
  </si>
  <si>
    <t>https://marketspeed.jp/ms2_rss/onlinehelp/ohm_002/ohm_002_05.html#RssExecutionList</t>
    <phoneticPr fontId="1"/>
  </si>
  <si>
    <t>約定日</t>
  </si>
  <si>
    <t>受渡日</t>
  </si>
  <si>
    <t>約定単価</t>
  </si>
  <si>
    <t>約定代金</t>
  </si>
  <si>
    <t>特別空売り料</t>
  </si>
  <si>
    <t>2026/08/12 09:00:48</t>
    <phoneticPr fontId="1"/>
  </si>
  <si>
    <t>三菱重工業</t>
    <phoneticPr fontId="1"/>
  </si>
  <si>
    <t>JAX</t>
    <phoneticPr fontId="1"/>
  </si>
  <si>
    <t>1日</t>
    <phoneticPr fontId="1"/>
  </si>
  <si>
    <t>信用新規</t>
    <phoneticPr fontId="1"/>
  </si>
  <si>
    <t>買建</t>
    <phoneticPr fontId="1"/>
  </si>
  <si>
    <t>2026/08/12 09:02:10</t>
    <phoneticPr fontId="1"/>
  </si>
  <si>
    <t>川崎重工業</t>
    <phoneticPr fontId="1"/>
  </si>
  <si>
    <t>2026/08/12 09:07:36</t>
    <phoneticPr fontId="1"/>
  </si>
  <si>
    <t>2026/08/12 09:13:30</t>
    <phoneticPr fontId="1"/>
  </si>
  <si>
    <t>信用返済</t>
    <phoneticPr fontId="1"/>
  </si>
  <si>
    <t>売埋</t>
    <phoneticPr fontId="1"/>
  </si>
  <si>
    <t>源徴あり</t>
    <phoneticPr fontId="1"/>
  </si>
  <si>
    <t>2026/08/12 09:15:54</t>
    <phoneticPr fontId="1"/>
  </si>
  <si>
    <t>2026/08/12 09:16:51</t>
    <phoneticPr fontId="1"/>
  </si>
  <si>
    <t>2026/08/12 09:18:10</t>
    <phoneticPr fontId="1"/>
  </si>
  <si>
    <t>2026/08/12 09:19:31</t>
    <phoneticPr fontId="1"/>
  </si>
  <si>
    <t>東証</t>
    <phoneticPr fontId="1"/>
  </si>
  <si>
    <t>2026/08/12 09:22:19</t>
    <phoneticPr fontId="1"/>
  </si>
  <si>
    <t>2026/08/12 09:22:51</t>
    <phoneticPr fontId="1"/>
  </si>
  <si>
    <t>2026/08/12 09:37:09</t>
    <phoneticPr fontId="1"/>
  </si>
  <si>
    <t>2026/08/12 09:37:49</t>
    <phoneticPr fontId="1"/>
  </si>
  <si>
    <t>2026/08/12 09:40:13</t>
    <phoneticPr fontId="1"/>
  </si>
  <si>
    <t>2026/08/12 09:40:30</t>
    <phoneticPr fontId="1"/>
  </si>
  <si>
    <t>2026/08/12 09:44:18</t>
    <phoneticPr fontId="1"/>
  </si>
  <si>
    <t>2026/08/12 09:45:24</t>
    <phoneticPr fontId="1"/>
  </si>
  <si>
    <t>ＪＸ金属</t>
    <phoneticPr fontId="1"/>
  </si>
  <si>
    <t>2026/08/12 09:47:15</t>
    <phoneticPr fontId="1"/>
  </si>
  <si>
    <t>2026/08/12 09:47:28</t>
    <phoneticPr fontId="1"/>
  </si>
  <si>
    <t>2026/08/12 09:49:57</t>
    <phoneticPr fontId="1"/>
  </si>
  <si>
    <t>2026/08/12 09:51:15</t>
    <phoneticPr fontId="1"/>
  </si>
  <si>
    <t>2026/08/12 09:53:06</t>
    <phoneticPr fontId="1"/>
  </si>
  <si>
    <t>2026/08/12 09:54:00</t>
    <phoneticPr fontId="1"/>
  </si>
  <si>
    <t>2026/08/12 09:55:35</t>
    <phoneticPr fontId="1"/>
  </si>
  <si>
    <t>2026/08/12 09:55:55</t>
    <phoneticPr fontId="1"/>
  </si>
  <si>
    <t>2026/08/12 10:15:12</t>
    <phoneticPr fontId="1"/>
  </si>
  <si>
    <t>2026/08/12 10:18:17</t>
    <phoneticPr fontId="1"/>
  </si>
  <si>
    <t>2026/08/12 10:18:47</t>
    <phoneticPr fontId="1"/>
  </si>
  <si>
    <t>2026/08/12 10:20:36</t>
    <phoneticPr fontId="1"/>
  </si>
  <si>
    <t>ＳＵＭＣＯ</t>
    <phoneticPr fontId="1"/>
  </si>
  <si>
    <t>2026/08/12 10:23:17</t>
    <phoneticPr fontId="1"/>
  </si>
  <si>
    <t>2026/08/12 10:25:23</t>
    <phoneticPr fontId="1"/>
  </si>
  <si>
    <t>2026/08/12 10:26:03</t>
    <phoneticPr fontId="1"/>
  </si>
  <si>
    <t>2026/08/12 10:26:36</t>
    <phoneticPr fontId="1"/>
  </si>
  <si>
    <t>2026/08/12 10:29:05</t>
    <phoneticPr fontId="1"/>
  </si>
  <si>
    <t>2026/08/12 10:29:20</t>
    <phoneticPr fontId="1"/>
  </si>
  <si>
    <t>2026/08/12 10:30:38</t>
    <phoneticPr fontId="1"/>
  </si>
  <si>
    <t>2026/08/12 10:33:13</t>
    <phoneticPr fontId="1"/>
  </si>
  <si>
    <t>2026/08/12 10:34:03</t>
    <phoneticPr fontId="1"/>
  </si>
  <si>
    <t>2026/08/12 10:35:32</t>
    <phoneticPr fontId="1"/>
  </si>
  <si>
    <t>2026/08/12 10:38:07</t>
    <phoneticPr fontId="1"/>
  </si>
  <si>
    <t>2026/08/12 10:39:10</t>
    <phoneticPr fontId="1"/>
  </si>
  <si>
    <t>ＱＤレーザ</t>
    <phoneticPr fontId="1"/>
  </si>
  <si>
    <t>2026/08/12 10:41:26</t>
    <phoneticPr fontId="1"/>
  </si>
  <si>
    <t>2026/08/12 10:52:05</t>
    <phoneticPr fontId="1"/>
  </si>
  <si>
    <t>2026/08/12 10:58:55</t>
    <phoneticPr fontId="1"/>
  </si>
  <si>
    <t>2026/08/12 10:59:51</t>
    <phoneticPr fontId="1"/>
  </si>
  <si>
    <t>2026/08/12 11:06:37</t>
    <phoneticPr fontId="1"/>
  </si>
  <si>
    <t>2026/08/12 11:14:20</t>
    <phoneticPr fontId="1"/>
  </si>
  <si>
    <t>サンリオ</t>
    <phoneticPr fontId="1"/>
  </si>
  <si>
    <t>2026/08/12 11:23:55</t>
    <phoneticPr fontId="1"/>
  </si>
  <si>
    <t>2026/08/12 12:42:26</t>
    <phoneticPr fontId="1"/>
  </si>
  <si>
    <t>2026/08/12 13:00:19</t>
    <phoneticPr fontId="1"/>
  </si>
  <si>
    <t>フジクラ</t>
    <phoneticPr fontId="1"/>
  </si>
  <si>
    <t>2026/08/12 13:03:18</t>
    <phoneticPr fontId="1"/>
  </si>
  <si>
    <t>2026/08/12 13:06:26</t>
    <phoneticPr fontId="1"/>
  </si>
  <si>
    <t>2026/08/12 13:08:19</t>
    <phoneticPr fontId="1"/>
  </si>
  <si>
    <t>2026/08/12 13:12:57</t>
    <phoneticPr fontId="1"/>
  </si>
  <si>
    <t>信越化学</t>
    <phoneticPr fontId="1"/>
  </si>
  <si>
    <t>2026/08/12 13:17:10</t>
    <phoneticPr fontId="1"/>
  </si>
  <si>
    <t>2026/08/12 13:19:25</t>
    <phoneticPr fontId="1"/>
  </si>
  <si>
    <t>2026/08/12 13:23:08</t>
    <phoneticPr fontId="1"/>
  </si>
  <si>
    <t>2026/08/12 13:39:20</t>
    <phoneticPr fontId="1"/>
  </si>
  <si>
    <t>JNX</t>
    <phoneticPr fontId="1"/>
  </si>
  <si>
    <t>2026/08/12 13:40:12</t>
    <phoneticPr fontId="1"/>
  </si>
  <si>
    <t>2026/08/12 13:49:04</t>
    <phoneticPr fontId="1"/>
  </si>
  <si>
    <t>2026/08/12 14:21:08</t>
    <phoneticPr fontId="1"/>
  </si>
  <si>
    <t>2026/08/12 14:22:38</t>
    <phoneticPr fontId="1"/>
  </si>
  <si>
    <t>ソフトバンクグループ</t>
    <phoneticPr fontId="1"/>
  </si>
  <si>
    <t>2026/08/12 14:41:59</t>
    <phoneticPr fontId="1"/>
  </si>
  <si>
    <t>2026/08/12 14:51:03</t>
    <phoneticPr fontId="1"/>
  </si>
  <si>
    <t>日東電工</t>
    <phoneticPr fontId="1"/>
  </si>
  <si>
    <t>2026/08/12 15:05:21</t>
    <phoneticPr fontId="1"/>
  </si>
  <si>
    <t>RssExecutionList($A$2:$O$2, 0, "", "A", 0, 0)</t>
    <phoneticPr fontId="1"/>
  </si>
  <si>
    <t>国内株式 現物注文(VBA)</t>
  </si>
  <si>
    <t>国内株式 現物注文(VBA)</t>
    <phoneticPr fontId="1"/>
  </si>
  <si>
    <t>2026/08/14</t>
  </si>
  <si>
    <t>2026/08/14</t>
    <phoneticPr fontId="1"/>
  </si>
  <si>
    <t>15:59:16</t>
    <phoneticPr fontId="1"/>
  </si>
  <si>
    <t>エラー[現在の時間帯は、東証銘柄の注文を受付していません。17:15以降に再度注文してください。]</t>
    <phoneticPr fontId="1"/>
  </si>
  <si>
    <t>16:29:16</t>
    <phoneticPr fontId="1"/>
  </si>
  <si>
    <t>エラー[現在、株式取引に関するサービスが利用できません。]</t>
    <phoneticPr fontId="1"/>
  </si>
  <si>
    <t>16:30:48</t>
    <phoneticPr fontId="1"/>
  </si>
  <si>
    <t>エラー[手数料ゼロコースでは、SORを有効にして、再度注文してください。]</t>
    <phoneticPr fontId="1"/>
  </si>
  <si>
    <t>16:56:42</t>
    <phoneticPr fontId="1"/>
  </si>
  <si>
    <t>17:06:49</t>
  </si>
  <si>
    <t>エラー[成行の場合、値幅制限上限までの買付可能額が必要です。
175,103円以内で発注可能な指値を入力してください。]</t>
  </si>
  <si>
    <t>17:11:03</t>
  </si>
  <si>
    <t>#5775</t>
    <phoneticPr fontId="1"/>
  </si>
  <si>
    <t>約定</t>
    <phoneticPr fontId="1"/>
  </si>
  <si>
    <t>2026/08/14 09:04:01</t>
    <phoneticPr fontId="1"/>
  </si>
  <si>
    <t>本日中</t>
  </si>
  <si>
    <t>本日中</t>
    <phoneticPr fontId="1"/>
  </si>
  <si>
    <t>成行</t>
  </si>
  <si>
    <t>成行</t>
    <phoneticPr fontId="1"/>
  </si>
  <si>
    <t>売気配(3,910) 買気配(3,909)</t>
    <phoneticPr fontId="1"/>
  </si>
  <si>
    <t>#5776</t>
    <phoneticPr fontId="1"/>
  </si>
  <si>
    <t>2026/08/14 09:04:52</t>
    <phoneticPr fontId="1"/>
  </si>
  <si>
    <t>売気配(5,774) 買気配(5,772)</t>
    <phoneticPr fontId="1"/>
  </si>
  <si>
    <t>#5777</t>
    <phoneticPr fontId="1"/>
  </si>
  <si>
    <t>制度</t>
    <phoneticPr fontId="1"/>
  </si>
  <si>
    <t>6ヶ月</t>
    <phoneticPr fontId="1"/>
  </si>
  <si>
    <t>2026/08/14 09:11:04</t>
    <phoneticPr fontId="1"/>
  </si>
  <si>
    <t>売気配(5,872) 買気配(5,870)</t>
    <phoneticPr fontId="1"/>
  </si>
  <si>
    <t>#5778</t>
    <phoneticPr fontId="1"/>
  </si>
  <si>
    <t>2026/08/14 09:11:31</t>
    <phoneticPr fontId="1"/>
  </si>
  <si>
    <t>2026/08/14 09:11:32</t>
    <phoneticPr fontId="1"/>
  </si>
  <si>
    <t>売気配(5,895) 買気配(5,894)</t>
    <phoneticPr fontId="1"/>
  </si>
  <si>
    <t>#5779</t>
    <phoneticPr fontId="1"/>
  </si>
  <si>
    <t>市場執行済</t>
    <phoneticPr fontId="1"/>
  </si>
  <si>
    <t>2026/08/14 09:12:26</t>
    <phoneticPr fontId="1"/>
  </si>
  <si>
    <t>売気配(5,907) 買気配(5,905)</t>
    <phoneticPr fontId="1"/>
  </si>
  <si>
    <t>#5780</t>
    <phoneticPr fontId="1"/>
  </si>
  <si>
    <t>2026/08/14 09:12:49</t>
    <phoneticPr fontId="1"/>
  </si>
  <si>
    <t>売気配(5,943) 買気配(5,942)</t>
    <phoneticPr fontId="1"/>
  </si>
  <si>
    <t>#5781</t>
    <phoneticPr fontId="1"/>
  </si>
  <si>
    <t>2026/08/14 09:14:11</t>
    <phoneticPr fontId="1"/>
  </si>
  <si>
    <t>売気配(5,961) 買気配(5,960)</t>
    <phoneticPr fontId="1"/>
  </si>
  <si>
    <t>#5782</t>
    <phoneticPr fontId="1"/>
  </si>
  <si>
    <t>2026/08/14 09:15:26</t>
    <phoneticPr fontId="1"/>
  </si>
  <si>
    <t>売気配(4,205) 買気配(4,203)</t>
    <phoneticPr fontId="1"/>
  </si>
  <si>
    <t>#5783</t>
    <phoneticPr fontId="1"/>
  </si>
  <si>
    <t>2026/08/14 09:16:38</t>
    <phoneticPr fontId="1"/>
  </si>
  <si>
    <t>売気配(4,224) 買気配(4,222)</t>
    <phoneticPr fontId="1"/>
  </si>
  <si>
    <t>#5784</t>
    <phoneticPr fontId="1"/>
  </si>
  <si>
    <t>2026/08/14 09:17:25</t>
    <phoneticPr fontId="1"/>
  </si>
  <si>
    <t>売気配(1,782) 買気配(1,779)</t>
    <phoneticPr fontId="1"/>
  </si>
  <si>
    <t>#5785</t>
    <phoneticPr fontId="1"/>
  </si>
  <si>
    <t>2026/08/14 09:20:14</t>
    <phoneticPr fontId="1"/>
  </si>
  <si>
    <t>売気配(1,792) 買気配(1,790)</t>
    <phoneticPr fontId="1"/>
  </si>
  <si>
    <t>#5786</t>
    <phoneticPr fontId="1"/>
  </si>
  <si>
    <t>2026/08/14 09:20:25</t>
    <phoneticPr fontId="1"/>
  </si>
  <si>
    <t>売気配(5,909) 買気配(5,908)</t>
    <phoneticPr fontId="1"/>
  </si>
  <si>
    <t>#5787</t>
    <phoneticPr fontId="1"/>
  </si>
  <si>
    <t>2026/08/14 09:21:00</t>
    <phoneticPr fontId="1"/>
  </si>
  <si>
    <t>売気配(5,933) 買気配(5,932)</t>
    <phoneticPr fontId="1"/>
  </si>
  <si>
    <t>#5788</t>
    <phoneticPr fontId="1"/>
  </si>
  <si>
    <t>2026/08/14 09:23:15</t>
    <phoneticPr fontId="1"/>
  </si>
  <si>
    <t>売気配(5,689) 買気配(5,688)</t>
    <phoneticPr fontId="1"/>
  </si>
  <si>
    <t>#5789</t>
    <phoneticPr fontId="1"/>
  </si>
  <si>
    <t>2026/08/14 09:28:25</t>
    <phoneticPr fontId="1"/>
  </si>
  <si>
    <t>売気配(5,714) 買気配(5,712)</t>
    <phoneticPr fontId="1"/>
  </si>
  <si>
    <t>#5790</t>
    <phoneticPr fontId="1"/>
  </si>
  <si>
    <t>2026/08/14 09:29:35</t>
    <phoneticPr fontId="1"/>
  </si>
  <si>
    <t>売気配(3,871) 買気配(3,870)</t>
    <phoneticPr fontId="1"/>
  </si>
  <si>
    <t>#5791</t>
    <phoneticPr fontId="1"/>
  </si>
  <si>
    <t>2026/08/14 09:30:54</t>
    <phoneticPr fontId="1"/>
  </si>
  <si>
    <t>#5792</t>
    <phoneticPr fontId="1"/>
  </si>
  <si>
    <t>2026/08/14 09:31:27</t>
    <phoneticPr fontId="1"/>
  </si>
  <si>
    <t>売気配(3,878) 買気配(3,877)</t>
    <phoneticPr fontId="1"/>
  </si>
  <si>
    <t>#5793</t>
    <phoneticPr fontId="1"/>
  </si>
  <si>
    <t>2026/08/14 09:41:12</t>
    <phoneticPr fontId="1"/>
  </si>
  <si>
    <t>売気配(1,816) 買気配(1,814)</t>
    <phoneticPr fontId="1"/>
  </si>
  <si>
    <t>#5794</t>
    <phoneticPr fontId="1"/>
  </si>
  <si>
    <t>2026/08/14 09:42:21</t>
    <phoneticPr fontId="1"/>
  </si>
  <si>
    <t>売気配(5,782) 買気配(5,781)</t>
    <phoneticPr fontId="1"/>
  </si>
  <si>
    <t>#5795</t>
    <phoneticPr fontId="1"/>
  </si>
  <si>
    <t>2026/08/14 09:43:34</t>
    <phoneticPr fontId="1"/>
  </si>
  <si>
    <t>売気配(1,822) 買気配(1,821)</t>
    <phoneticPr fontId="1"/>
  </si>
  <si>
    <t>#5796</t>
    <phoneticPr fontId="1"/>
  </si>
  <si>
    <t>2026/08/14 09:45:03</t>
    <phoneticPr fontId="1"/>
  </si>
  <si>
    <t>売気配(3,857) 買気配(3,855)</t>
    <phoneticPr fontId="1"/>
  </si>
  <si>
    <t>#5797</t>
    <phoneticPr fontId="1"/>
  </si>
  <si>
    <t>2026/08/14 09:47:04</t>
    <phoneticPr fontId="1"/>
  </si>
  <si>
    <t>2026/08/14 09:47:05</t>
    <phoneticPr fontId="1"/>
  </si>
  <si>
    <t>売気配(5,754) 買気配(5,753)</t>
    <phoneticPr fontId="1"/>
  </si>
  <si>
    <t>#5799</t>
    <phoneticPr fontId="1"/>
  </si>
  <si>
    <t>取消済（出来無）</t>
    <phoneticPr fontId="1"/>
  </si>
  <si>
    <t>2026/08/14 10:00:55</t>
    <phoneticPr fontId="1"/>
  </si>
  <si>
    <t>売気配(5,740) 買気配(5,739)</t>
    <phoneticPr fontId="1"/>
  </si>
  <si>
    <t>#5800</t>
    <phoneticPr fontId="1"/>
  </si>
  <si>
    <t>2026/08/14 10:02:31</t>
    <phoneticPr fontId="1"/>
  </si>
  <si>
    <t>売気配(5,713) 買気配(5,712)</t>
    <phoneticPr fontId="1"/>
  </si>
  <si>
    <t>#5801</t>
    <phoneticPr fontId="1"/>
  </si>
  <si>
    <t>2026/08/14 10:04:13</t>
    <phoneticPr fontId="1"/>
  </si>
  <si>
    <t>売気配(3,830) 買気配(3,829)</t>
    <phoneticPr fontId="1"/>
  </si>
  <si>
    <t>#5802</t>
    <phoneticPr fontId="1"/>
  </si>
  <si>
    <t>2026/08/14 10:04:24</t>
    <phoneticPr fontId="1"/>
  </si>
  <si>
    <t>売気配(5,722) 買気配(5,720)</t>
    <phoneticPr fontId="1"/>
  </si>
  <si>
    <t>#5803</t>
    <phoneticPr fontId="1"/>
  </si>
  <si>
    <t>2026/08/14 10:07:12</t>
    <phoneticPr fontId="1"/>
  </si>
  <si>
    <t>#5804</t>
    <phoneticPr fontId="1"/>
  </si>
  <si>
    <t>2026/08/14 10:08:56</t>
    <phoneticPr fontId="1"/>
  </si>
  <si>
    <t>売気配(5,764) 買気配(5,763)</t>
    <phoneticPr fontId="1"/>
  </si>
  <si>
    <t>#5805</t>
    <phoneticPr fontId="1"/>
  </si>
  <si>
    <t>2026/08/14 10:11:06</t>
    <phoneticPr fontId="1"/>
  </si>
  <si>
    <t>売気配(5,756) 買気配(5,755)</t>
    <phoneticPr fontId="1"/>
  </si>
  <si>
    <t>#5806</t>
    <phoneticPr fontId="1"/>
  </si>
  <si>
    <t>2026/08/14 10:11:44</t>
    <phoneticPr fontId="1"/>
  </si>
  <si>
    <t>2026/08/14 10:11:45</t>
    <phoneticPr fontId="1"/>
  </si>
  <si>
    <t>売気配(5,744) 買気配(5,743)</t>
    <phoneticPr fontId="1"/>
  </si>
  <si>
    <t>#5807</t>
    <phoneticPr fontId="1"/>
  </si>
  <si>
    <t>2026/08/14 10:13:23</t>
    <phoneticPr fontId="1"/>
  </si>
  <si>
    <t>売気配(5,717) 買気配(5,715)</t>
    <phoneticPr fontId="1"/>
  </si>
  <si>
    <t>#5808</t>
    <phoneticPr fontId="1"/>
  </si>
  <si>
    <t>2026/08/14 10:14:27</t>
    <phoneticPr fontId="1"/>
  </si>
  <si>
    <t>売気配(3,812) 買気配(3,810)</t>
    <phoneticPr fontId="1"/>
  </si>
  <si>
    <t>#5809</t>
    <phoneticPr fontId="1"/>
  </si>
  <si>
    <t>2026/08/14 10:15:23</t>
    <phoneticPr fontId="1"/>
  </si>
  <si>
    <t>売気配(5,700) 買気配(5,696)</t>
    <phoneticPr fontId="1"/>
  </si>
  <si>
    <t>#5810</t>
    <phoneticPr fontId="1"/>
  </si>
  <si>
    <t>2026/08/14 10:16:55</t>
    <phoneticPr fontId="1"/>
  </si>
  <si>
    <t>売気配(5,692) 買気配(5,690)</t>
    <phoneticPr fontId="1"/>
  </si>
  <si>
    <t>#5811</t>
    <phoneticPr fontId="1"/>
  </si>
  <si>
    <t>2026/08/14 10:19:32</t>
    <phoneticPr fontId="1"/>
  </si>
  <si>
    <t>売気配(3,822) 買気配(3,821)</t>
    <phoneticPr fontId="1"/>
  </si>
  <si>
    <t>#5812</t>
    <phoneticPr fontId="1"/>
  </si>
  <si>
    <t>2026/08/14 10:21:25</t>
    <phoneticPr fontId="1"/>
  </si>
  <si>
    <t>売気配(5,723) 買気配(5,721)</t>
    <phoneticPr fontId="1"/>
  </si>
  <si>
    <t>#5813</t>
    <phoneticPr fontId="1"/>
  </si>
  <si>
    <t>2026/08/14 10:21:39</t>
    <phoneticPr fontId="1"/>
  </si>
  <si>
    <t>売気配(3,840) 買気配(3,839)</t>
    <phoneticPr fontId="1"/>
  </si>
  <si>
    <t>#5814</t>
    <phoneticPr fontId="1"/>
  </si>
  <si>
    <t>2026/08/14 10:29:25</t>
    <phoneticPr fontId="1"/>
  </si>
  <si>
    <t>売気配(1,785) 買気配(1,783)</t>
    <phoneticPr fontId="1"/>
  </si>
  <si>
    <t>#5815</t>
    <phoneticPr fontId="1"/>
  </si>
  <si>
    <t>2026/08/14 10:35:54</t>
    <phoneticPr fontId="1"/>
  </si>
  <si>
    <t>売気配(5,698) 買気配(5,697)</t>
    <phoneticPr fontId="1"/>
  </si>
  <si>
    <t>#5816</t>
    <phoneticPr fontId="1"/>
  </si>
  <si>
    <t>2026/08/14 10:36:59</t>
    <phoneticPr fontId="1"/>
  </si>
  <si>
    <t>売気配(5,688) 買気配(5,687)</t>
    <phoneticPr fontId="1"/>
  </si>
  <si>
    <t>#5817</t>
    <phoneticPr fontId="1"/>
  </si>
  <si>
    <t>2026/08/14 10:43:36</t>
    <phoneticPr fontId="1"/>
  </si>
  <si>
    <t>売気配(5,707) 買気配(5,706)</t>
    <phoneticPr fontId="1"/>
  </si>
  <si>
    <t>#5818</t>
    <phoneticPr fontId="1"/>
  </si>
  <si>
    <t>2026/08/14 10:44:36</t>
    <phoneticPr fontId="1"/>
  </si>
  <si>
    <t>売気配(5,703) 買気配(5,702)</t>
    <phoneticPr fontId="1"/>
  </si>
  <si>
    <t>#5819</t>
    <phoneticPr fontId="1"/>
  </si>
  <si>
    <t>2026/08/14 11:04:45</t>
    <phoneticPr fontId="1"/>
  </si>
  <si>
    <t>売気配(1,788) 買気配(1,785)</t>
    <phoneticPr fontId="1"/>
  </si>
  <si>
    <t>#5820</t>
    <phoneticPr fontId="1"/>
  </si>
  <si>
    <t>2026/08/14 11:05:22</t>
    <phoneticPr fontId="1"/>
  </si>
  <si>
    <t>売気配(5,680) 買気配(5,679)</t>
    <phoneticPr fontId="1"/>
  </si>
  <si>
    <t>#5821</t>
    <phoneticPr fontId="1"/>
  </si>
  <si>
    <t>2026/08/14 11:05:36</t>
    <phoneticPr fontId="1"/>
  </si>
  <si>
    <t>売気配(3,929) 買気配(3,928)</t>
    <phoneticPr fontId="1"/>
  </si>
  <si>
    <t>#5822</t>
    <phoneticPr fontId="1"/>
  </si>
  <si>
    <t>2026/08/14 11:09:20</t>
    <phoneticPr fontId="1"/>
  </si>
  <si>
    <t>売気配(3,858) 買気配(3,857)</t>
    <phoneticPr fontId="1"/>
  </si>
  <si>
    <t>#5823</t>
    <phoneticPr fontId="1"/>
  </si>
  <si>
    <t>2026/08/14 11:09:53</t>
    <phoneticPr fontId="1"/>
  </si>
  <si>
    <t>#5824</t>
    <phoneticPr fontId="1"/>
  </si>
  <si>
    <t>2026/08/14 11:10:57</t>
    <phoneticPr fontId="1"/>
  </si>
  <si>
    <t>売気配(3,857) 買気配(3,856)</t>
    <phoneticPr fontId="1"/>
  </si>
  <si>
    <t>#5825</t>
    <phoneticPr fontId="1"/>
  </si>
  <si>
    <t>2026/08/14 11:13:41</t>
    <phoneticPr fontId="1"/>
  </si>
  <si>
    <t>売気配(3,943) 買気配(3,942)</t>
    <phoneticPr fontId="1"/>
  </si>
  <si>
    <t>#5826</t>
    <phoneticPr fontId="1"/>
  </si>
  <si>
    <t>2026/08/14 11:15:24</t>
    <phoneticPr fontId="1"/>
  </si>
  <si>
    <t>売気配(3,954) 買気配(3,952)</t>
    <phoneticPr fontId="1"/>
  </si>
  <si>
    <t>#5827</t>
    <phoneticPr fontId="1"/>
  </si>
  <si>
    <t>2026/08/14 11:18:59</t>
    <phoneticPr fontId="1"/>
  </si>
  <si>
    <t>売気配(3,844) 買気配(3,843)</t>
    <phoneticPr fontId="1"/>
  </si>
  <si>
    <t>#5828</t>
    <phoneticPr fontId="1"/>
  </si>
  <si>
    <t>2026/08/14 11:20:50</t>
    <phoneticPr fontId="1"/>
  </si>
  <si>
    <t>売気配(3,841) 買気配(3,840)</t>
    <phoneticPr fontId="1"/>
  </si>
  <si>
    <t>#5829</t>
    <phoneticPr fontId="1"/>
  </si>
  <si>
    <t>2026/08/14 12:31:20</t>
    <phoneticPr fontId="1"/>
  </si>
  <si>
    <t>売気配(3,982) 買気配(3,981)</t>
    <phoneticPr fontId="1"/>
  </si>
  <si>
    <t>#5830</t>
    <phoneticPr fontId="1"/>
  </si>
  <si>
    <t>2026/08/14 12:31:44</t>
    <phoneticPr fontId="1"/>
  </si>
  <si>
    <t>売気配(3,836) 買気配(3,835)</t>
    <phoneticPr fontId="1"/>
  </si>
  <si>
    <t>#5831</t>
    <phoneticPr fontId="1"/>
  </si>
  <si>
    <t>2026/08/14 12:32:14</t>
    <phoneticPr fontId="1"/>
  </si>
  <si>
    <t>売気配(3,833) 買気配(3,832)</t>
    <phoneticPr fontId="1"/>
  </si>
  <si>
    <t>#5832</t>
    <phoneticPr fontId="1"/>
  </si>
  <si>
    <t>2026/08/14 12:33:35</t>
    <phoneticPr fontId="1"/>
  </si>
  <si>
    <t>売気配(3,965) 買気配(3,963)</t>
    <phoneticPr fontId="1"/>
  </si>
  <si>
    <t>#5833</t>
    <phoneticPr fontId="1"/>
  </si>
  <si>
    <t>2026/08/14 12:35:40</t>
    <phoneticPr fontId="1"/>
  </si>
  <si>
    <t>売気配(3,832) 買気配(3,831)</t>
    <phoneticPr fontId="1"/>
  </si>
  <si>
    <t>#5834</t>
    <phoneticPr fontId="1"/>
  </si>
  <si>
    <t>2026/08/14 12:36:03</t>
    <phoneticPr fontId="1"/>
  </si>
  <si>
    <t>2026/08/14 12:36:04</t>
    <phoneticPr fontId="1"/>
  </si>
  <si>
    <t>売気配(5,653) 買気配(5,652)</t>
    <phoneticPr fontId="1"/>
  </si>
  <si>
    <t>#5835</t>
    <phoneticPr fontId="1"/>
  </si>
  <si>
    <t>2026/08/14 12:36:21</t>
    <phoneticPr fontId="1"/>
  </si>
  <si>
    <t>#5836</t>
    <phoneticPr fontId="1"/>
  </si>
  <si>
    <t>2026/08/14 12:39:25</t>
    <phoneticPr fontId="1"/>
  </si>
  <si>
    <t>売気配(3,828) 買気配(3,827)</t>
    <phoneticPr fontId="1"/>
  </si>
  <si>
    <t>#5837</t>
    <phoneticPr fontId="1"/>
  </si>
  <si>
    <t>ＩＨＩ</t>
    <phoneticPr fontId="1"/>
  </si>
  <si>
    <t>2026/08/14 12:41:54</t>
    <phoneticPr fontId="1"/>
  </si>
  <si>
    <t>2026/08/14 12:41:55</t>
    <phoneticPr fontId="1"/>
  </si>
  <si>
    <t>売気配(3,038) 買気配(3,036)</t>
    <phoneticPr fontId="1"/>
  </si>
  <si>
    <t>#5838</t>
    <phoneticPr fontId="1"/>
  </si>
  <si>
    <t>2026/08/14 12:43:03</t>
    <phoneticPr fontId="1"/>
  </si>
  <si>
    <t>売気配(3,823) 買気配(3,822)</t>
    <phoneticPr fontId="1"/>
  </si>
  <si>
    <t>#5839</t>
    <phoneticPr fontId="1"/>
  </si>
  <si>
    <t>2026/08/14 12:46:34</t>
    <phoneticPr fontId="1"/>
  </si>
  <si>
    <t>売気配(3,947) 買気配(3,946)</t>
    <phoneticPr fontId="1"/>
  </si>
  <si>
    <t>#5840</t>
    <phoneticPr fontId="1"/>
  </si>
  <si>
    <t>2026/08/14 12:47:09</t>
    <phoneticPr fontId="1"/>
  </si>
  <si>
    <t>売気配(5,655) 買気配(5,654)</t>
    <phoneticPr fontId="1"/>
  </si>
  <si>
    <t>#5841</t>
    <phoneticPr fontId="1"/>
  </si>
  <si>
    <t>2026/08/14 12:49:35</t>
    <phoneticPr fontId="1"/>
  </si>
  <si>
    <t>売気配(5,645) 買気配(5,644)</t>
    <phoneticPr fontId="1"/>
  </si>
  <si>
    <t>#5842</t>
    <phoneticPr fontId="1"/>
  </si>
  <si>
    <t>2026/08/14 12:49:48</t>
    <phoneticPr fontId="1"/>
  </si>
  <si>
    <t>#5843</t>
    <phoneticPr fontId="1"/>
  </si>
  <si>
    <t>2026/08/14 12:52:13</t>
    <phoneticPr fontId="1"/>
  </si>
  <si>
    <t>売気配(3,032) 買気配(3,031)</t>
    <phoneticPr fontId="1"/>
  </si>
  <si>
    <t>#5844</t>
    <phoneticPr fontId="1"/>
  </si>
  <si>
    <t>2026/08/14 14:51:22</t>
    <phoneticPr fontId="1"/>
  </si>
  <si>
    <t>2026/08/14 14:51:23</t>
    <phoneticPr fontId="1"/>
  </si>
  <si>
    <t>売気配(3,798) 買気配(3,797)</t>
    <phoneticPr fontId="1"/>
  </si>
  <si>
    <t>#5845</t>
    <phoneticPr fontId="1"/>
  </si>
  <si>
    <t>2026/08/14 14:54:12</t>
    <phoneticPr fontId="1"/>
  </si>
  <si>
    <t>売気配(3,802) 買気配(3,801)</t>
    <phoneticPr fontId="1"/>
  </si>
  <si>
    <t>#5846</t>
    <phoneticPr fontId="1"/>
  </si>
  <si>
    <t>2026/08/14 14:55:34</t>
    <phoneticPr fontId="1"/>
  </si>
  <si>
    <t>売気配(5,715) 買気配(5,713)</t>
    <phoneticPr fontId="1"/>
  </si>
  <si>
    <t>#5847</t>
    <phoneticPr fontId="1"/>
  </si>
  <si>
    <t>2026/08/14 15:00:08</t>
    <phoneticPr fontId="1"/>
  </si>
  <si>
    <t>売気配(5,722) 買気配(5,721)</t>
    <phoneticPr fontId="1"/>
  </si>
  <si>
    <t>#5848</t>
    <phoneticPr fontId="1"/>
  </si>
  <si>
    <t>2026/08/14 15:00:29</t>
    <phoneticPr fontId="1"/>
  </si>
  <si>
    <t>売気配(5,723) 買気配(5,722)</t>
    <phoneticPr fontId="1"/>
  </si>
  <si>
    <t>#5849</t>
    <phoneticPr fontId="1"/>
  </si>
  <si>
    <t>2026/08/14 15:03:48</t>
    <phoneticPr fontId="1"/>
  </si>
  <si>
    <t>売気配(5,706) 買気配(5,705)</t>
    <phoneticPr fontId="1"/>
  </si>
  <si>
    <t>#5850</t>
    <phoneticPr fontId="1"/>
  </si>
  <si>
    <t>2026/08/14 15:04:07</t>
    <phoneticPr fontId="1"/>
  </si>
  <si>
    <t>売気配(5,701) 買気配(5,700)</t>
    <phoneticPr fontId="1"/>
  </si>
  <si>
    <t>#5851</t>
    <phoneticPr fontId="1"/>
  </si>
  <si>
    <t>2026/08/14 15:08:59</t>
    <phoneticPr fontId="1"/>
  </si>
  <si>
    <t>売気配(1,277) 買気配(1,276.5)</t>
    <phoneticPr fontId="1"/>
  </si>
  <si>
    <t>#5852</t>
    <phoneticPr fontId="1"/>
  </si>
  <si>
    <t>2026/08/14 15:12:44</t>
    <phoneticPr fontId="1"/>
  </si>
  <si>
    <t>2026/08/14 15:12:45</t>
    <phoneticPr fontId="1"/>
  </si>
  <si>
    <t>売気配(3,803) 買気配(3,802)</t>
    <phoneticPr fontId="1"/>
  </si>
  <si>
    <t>#5853</t>
    <phoneticPr fontId="1"/>
  </si>
  <si>
    <t>2026/08/14 15:14:02</t>
    <phoneticPr fontId="1"/>
  </si>
  <si>
    <t>売気配(3,799) 買気配(3,798)</t>
    <phoneticPr fontId="1"/>
  </si>
  <si>
    <t>#5854</t>
    <phoneticPr fontId="1"/>
  </si>
  <si>
    <t>2026/08/14 17:11:03</t>
    <phoneticPr fontId="1"/>
  </si>
  <si>
    <t>17:15:56</t>
  </si>
  <si>
    <t>#5855</t>
  </si>
  <si>
    <t>#5855</t>
    <phoneticPr fontId="1"/>
  </si>
  <si>
    <t>2026/08/14 17:15:56</t>
  </si>
  <si>
    <t>2026/08/14 17:15:56</t>
    <phoneticPr fontId="1"/>
  </si>
  <si>
    <t>17:58:01</t>
  </si>
  <si>
    <t>#5856</t>
  </si>
  <si>
    <t>2026/08/14 17:58:01</t>
  </si>
  <si>
    <t>2026/08/14 09:47:06</t>
    <phoneticPr fontId="1"/>
  </si>
  <si>
    <t>2026/08/14 10:04:34</t>
    <phoneticPr fontId="1"/>
  </si>
  <si>
    <t>2026/08/14 10:46:01</t>
    <phoneticPr fontId="1"/>
  </si>
  <si>
    <t xml:space="preserve">銘柄コード </t>
  </si>
  <si>
    <t>保有数量</t>
  </si>
  <si>
    <t>発注数量</t>
  </si>
  <si>
    <t>平均取得価額</t>
  </si>
  <si>
    <t>時価</t>
  </si>
  <si>
    <t>前日比</t>
  </si>
  <si>
    <t>前日比率</t>
  </si>
  <si>
    <t>時価評価額</t>
  </si>
  <si>
    <t>評価損益額</t>
  </si>
  <si>
    <t>評価損益率</t>
  </si>
  <si>
    <t>銘柄情報等</t>
  </si>
  <si>
    <t>JAX時価</t>
  </si>
  <si>
    <t>JNX時価</t>
  </si>
  <si>
    <t>PER</t>
  </si>
  <si>
    <t>PBR</t>
  </si>
  <si>
    <t>配当利回り</t>
  </si>
  <si>
    <t>ＩＮＰＥＸ</t>
  </si>
  <si>
    <t>CA</t>
  </si>
  <si>
    <t>NISA</t>
  </si>
  <si>
    <t>三井金属</t>
  </si>
  <si>
    <t>フジクラ</t>
  </si>
  <si>
    <t>ジェイ・イー・テ</t>
  </si>
  <si>
    <t>決算</t>
  </si>
  <si>
    <t>富士通</t>
  </si>
  <si>
    <t>アドバンテスト</t>
  </si>
  <si>
    <t>レーザーテック</t>
  </si>
  <si>
    <t>村田製作所</t>
  </si>
  <si>
    <t>任　天　堂</t>
  </si>
  <si>
    <t>イオン</t>
  </si>
  <si>
    <t>285A</t>
    <phoneticPr fontId="1"/>
  </si>
  <si>
    <t>キオクシアホールディングス</t>
    <phoneticPr fontId="1"/>
  </si>
  <si>
    <t>CA</t>
    <phoneticPr fontId="1"/>
  </si>
  <si>
    <t>NISA</t>
    <phoneticPr fontId="1"/>
  </si>
  <si>
    <t>RssPositionList($A$2:$R$2, "", "A")</t>
    <phoneticPr fontId="1"/>
  </si>
  <si>
    <t>現在日付</t>
    <phoneticPr fontId="1"/>
  </si>
  <si>
    <t>現在値時刻</t>
    <phoneticPr fontId="1"/>
  </si>
  <si>
    <t>現在値ティック</t>
    <phoneticPr fontId="1"/>
  </si>
  <si>
    <t>前日比</t>
    <phoneticPr fontId="1"/>
  </si>
  <si>
    <t>前日比率</t>
    <phoneticPr fontId="1"/>
  </si>
  <si>
    <t>始値</t>
    <phoneticPr fontId="1"/>
  </si>
  <si>
    <t>安値</t>
    <phoneticPr fontId="1"/>
  </si>
  <si>
    <t>出来高</t>
    <phoneticPr fontId="1"/>
  </si>
  <si>
    <t>RssMarketDes</t>
    <phoneticPr fontId="1"/>
  </si>
  <si>
    <t>国内株式銘柄情報</t>
    <rPh sb="0" eb="2">
      <t>コクナイ</t>
    </rPh>
    <rPh sb="2" eb="4">
      <t>カブシキ</t>
    </rPh>
    <rPh sb="4" eb="6">
      <t>メイガラ</t>
    </rPh>
    <rPh sb="6" eb="8">
      <t>ジョウホウ</t>
    </rPh>
    <phoneticPr fontId="1"/>
  </si>
  <si>
    <t>指定した国内株式の銘柄情報を表示します</t>
    <rPh sb="9" eb="11">
      <t>メイガラ</t>
    </rPh>
    <rPh sb="11" eb="13">
      <t>ジョウホウ</t>
    </rPh>
    <rPh sb="14" eb="16">
      <t>ヒョウジ</t>
    </rPh>
    <phoneticPr fontId="1"/>
  </si>
  <si>
    <t>売買単位</t>
  </si>
  <si>
    <t>制限値幅下限</t>
  </si>
  <si>
    <t>制限値幅上限</t>
  </si>
  <si>
    <t>制限値幅下限</t>
    <phoneticPr fontId="1"/>
  </si>
  <si>
    <t>約定</t>
  </si>
  <si>
    <t>DEBUG</t>
  </si>
  <si>
    <t>信用新規</t>
  </si>
  <si>
    <t>1日</t>
  </si>
  <si>
    <t>信用返済</t>
  </si>
  <si>
    <t>東証</t>
  </si>
  <si>
    <t>15:30</t>
  </si>
  <si>
    <t>時刻</t>
    <phoneticPr fontId="1"/>
  </si>
  <si>
    <t>約定値</t>
    <phoneticPr fontId="1"/>
  </si>
  <si>
    <t>15:30:00</t>
  </si>
  <si>
    <t>15:24:59</t>
  </si>
  <si>
    <t>15:24:58</t>
  </si>
  <si>
    <t>15:24:56</t>
  </si>
  <si>
    <t>15:24:55</t>
  </si>
  <si>
    <t>15:24:54</t>
  </si>
  <si>
    <t>15:24:53</t>
  </si>
  <si>
    <t>15:24:52</t>
  </si>
  <si>
    <t>15:24:48</t>
  </si>
  <si>
    <t>15:24:43</t>
  </si>
  <si>
    <t>15:24:42</t>
  </si>
  <si>
    <t>15:24:39</t>
  </si>
  <si>
    <t>15:24:38</t>
  </si>
  <si>
    <t>15:24:37</t>
  </si>
  <si>
    <t>15:24:36</t>
  </si>
  <si>
    <t>15:24:35</t>
  </si>
  <si>
    <t>15:24:34</t>
  </si>
  <si>
    <t>15:24:32</t>
  </si>
  <si>
    <t>15:24:31</t>
  </si>
  <si>
    <t>15:24:30</t>
  </si>
  <si>
    <t>15:24:29</t>
  </si>
  <si>
    <t>15:24:28</t>
  </si>
  <si>
    <t>15:24:27</t>
  </si>
  <si>
    <t>15:24:26</t>
  </si>
  <si>
    <t>15:24:25</t>
  </si>
  <si>
    <t>15:24:24</t>
  </si>
  <si>
    <t>15:24:23</t>
  </si>
  <si>
    <t>15:24:17</t>
  </si>
  <si>
    <t>15:24:15</t>
  </si>
  <si>
    <t>15:24:13</t>
  </si>
  <si>
    <t>15:24:12</t>
  </si>
  <si>
    <t>15:24:10</t>
  </si>
  <si>
    <t>15:24:09</t>
  </si>
  <si>
    <t>15:24:07</t>
  </si>
  <si>
    <t>15:24:06</t>
  </si>
  <si>
    <t>15:24:05</t>
  </si>
  <si>
    <t>15:24:04</t>
  </si>
  <si>
    <t>15:24:03</t>
  </si>
  <si>
    <t>15:24:02</t>
  </si>
  <si>
    <t>15:24:01</t>
  </si>
  <si>
    <t>15:24:00</t>
  </si>
  <si>
    <t>15:23:59</t>
  </si>
  <si>
    <t>15:23:57</t>
  </si>
  <si>
    <t>15:23:55</t>
  </si>
  <si>
    <t>15:23:54</t>
  </si>
  <si>
    <t>15:23:52</t>
  </si>
  <si>
    <t>15:23:51</t>
  </si>
  <si>
    <t>15:23:50</t>
  </si>
  <si>
    <t>15:23:49</t>
  </si>
  <si>
    <t>15:23:48</t>
  </si>
  <si>
    <t>15:23:47</t>
  </si>
  <si>
    <t>15:23:45</t>
  </si>
  <si>
    <t>15:23:43</t>
  </si>
  <si>
    <t>15:23:41</t>
  </si>
  <si>
    <t>15:23:39</t>
  </si>
  <si>
    <t>15:23:38</t>
  </si>
  <si>
    <t>15:23:36</t>
  </si>
  <si>
    <t>15:23:35</t>
  </si>
  <si>
    <t>15:23:34</t>
  </si>
  <si>
    <t>15:23:33</t>
  </si>
  <si>
    <t>15:23:32</t>
  </si>
  <si>
    <t>15:23:31</t>
  </si>
  <si>
    <t>15:23:30</t>
  </si>
  <si>
    <t>15:23:29</t>
  </si>
  <si>
    <t>15:23:26</t>
  </si>
  <si>
    <t>15:23:24</t>
  </si>
  <si>
    <t>15:23:23</t>
  </si>
  <si>
    <t>15:23:22</t>
  </si>
  <si>
    <t>15:23:21</t>
  </si>
  <si>
    <t>15:23:19</t>
  </si>
  <si>
    <t>15:23:18</t>
  </si>
  <si>
    <t>15:23:17</t>
  </si>
  <si>
    <t>15:23:16</t>
  </si>
  <si>
    <t>15:23:15</t>
  </si>
  <si>
    <t>15:23:14</t>
  </si>
  <si>
    <t>15:23:12</t>
  </si>
  <si>
    <t>15:23:11</t>
  </si>
  <si>
    <t>15:23:10</t>
  </si>
  <si>
    <t>15:23:06</t>
  </si>
  <si>
    <t>15:23:04</t>
  </si>
  <si>
    <t>15:23:02</t>
  </si>
  <si>
    <t>15:23:01</t>
  </si>
  <si>
    <t>15:23:00</t>
  </si>
  <si>
    <t>15:22:59</t>
  </si>
  <si>
    <t>15:22:57</t>
  </si>
  <si>
    <t>15:22:56</t>
  </si>
  <si>
    <t>15:22:54</t>
  </si>
  <si>
    <t>15:22:53</t>
  </si>
  <si>
    <t>15:22:52</t>
  </si>
  <si>
    <t>15:22:50</t>
  </si>
  <si>
    <t>15:22:48</t>
  </si>
  <si>
    <t>15:22:47</t>
  </si>
  <si>
    <t>15:22:45</t>
  </si>
  <si>
    <t>15:22:43</t>
  </si>
  <si>
    <t>15:22:41</t>
  </si>
  <si>
    <t>15:22:40</t>
  </si>
  <si>
    <t>15:22:39</t>
  </si>
  <si>
    <t>15:22:38</t>
  </si>
  <si>
    <t>15:22:36</t>
  </si>
  <si>
    <t>15:22:35</t>
  </si>
  <si>
    <t>15:22:34</t>
  </si>
  <si>
    <t>15:22:33</t>
  </si>
  <si>
    <t>15:22:32</t>
  </si>
  <si>
    <t>15:22:31</t>
  </si>
  <si>
    <t>15:22:30</t>
  </si>
  <si>
    <t>15:22:29</t>
  </si>
  <si>
    <t>15:22:28</t>
  </si>
  <si>
    <t>15:22:26</t>
  </si>
  <si>
    <t>15:22:25</t>
  </si>
  <si>
    <t>15:22:23</t>
  </si>
  <si>
    <t>15:22:22</t>
  </si>
  <si>
    <t>15:22:19</t>
  </si>
  <si>
    <t>15:22:18</t>
  </si>
  <si>
    <t>15:22:16</t>
  </si>
  <si>
    <t>15:22:15</t>
  </si>
  <si>
    <t>15:22:13</t>
  </si>
  <si>
    <t>15:22:12</t>
  </si>
  <si>
    <t>15:22:11</t>
  </si>
  <si>
    <t>15:22:10</t>
  </si>
  <si>
    <t>15:22:08</t>
  </si>
  <si>
    <t>15:22:07</t>
  </si>
  <si>
    <t>15:22:05</t>
  </si>
  <si>
    <t>15:22:02</t>
  </si>
  <si>
    <t>15:22:00</t>
  </si>
  <si>
    <t>15:21:57</t>
  </si>
  <si>
    <t>15:21:55</t>
  </si>
  <si>
    <t>15:21:54</t>
  </si>
  <si>
    <t>15:21:51</t>
  </si>
  <si>
    <t>15:21:46</t>
  </si>
  <si>
    <t>15:21:45</t>
  </si>
  <si>
    <t>15:21:44</t>
  </si>
  <si>
    <t>15:21:43</t>
  </si>
  <si>
    <t>15:21:42</t>
  </si>
  <si>
    <t>RssTickList($A$2:$C$2, "7203.T", 300)</t>
    <phoneticPr fontId="1"/>
  </si>
  <si>
    <t>売買</t>
    <phoneticPr fontId="1"/>
  </si>
  <si>
    <t>取引</t>
    <phoneticPr fontId="1"/>
  </si>
  <si>
    <t>約定数量</t>
    <phoneticPr fontId="1"/>
  </si>
  <si>
    <t>約定単価</t>
    <phoneticPr fontId="1"/>
  </si>
  <si>
    <t>発注/受注日時</t>
  </si>
  <si>
    <t>#6410</t>
    <phoneticPr fontId="1"/>
  </si>
  <si>
    <t>2026/09/02 09:03:02</t>
    <phoneticPr fontId="1"/>
  </si>
  <si>
    <t>売気配(2,449.5) 買気配(2,448.5)</t>
    <phoneticPr fontId="1"/>
  </si>
  <si>
    <t>#6411</t>
    <phoneticPr fontId="1"/>
  </si>
  <si>
    <t>2026/09/02 09:12:22</t>
    <phoneticPr fontId="1"/>
  </si>
  <si>
    <t>売気配(2,459) 買気配(2,458.5)</t>
    <phoneticPr fontId="1"/>
  </si>
  <si>
    <t>2026/09/02 09:03:14</t>
    <phoneticPr fontId="1"/>
  </si>
  <si>
    <t>買建</t>
  </si>
  <si>
    <t>源泉あり</t>
  </si>
  <si>
    <t>2026/09/04</t>
  </si>
  <si>
    <t>↓</t>
  </si>
  <si>
    <t>現在値詳細時刻</t>
    <phoneticPr fontId="1"/>
  </si>
  <si>
    <t>売埋</t>
  </si>
  <si>
    <t>2026/09/08</t>
  </si>
  <si>
    <t>RssOrderStatus($A2)</t>
    <phoneticPr fontId="1"/>
  </si>
  <si>
    <t>発注ID</t>
    <phoneticPr fontId="1"/>
  </si>
  <si>
    <t>発注ID</t>
    <phoneticPr fontId="1"/>
  </si>
  <si>
    <t>ソフトバンクグループ</t>
  </si>
  <si>
    <t>制度</t>
  </si>
  <si>
    <t>6ヶ月</t>
  </si>
  <si>
    <t>源徴あり</t>
  </si>
  <si>
    <t>01:52:18</t>
  </si>
  <si>
    <t>エラー[売却数量が発注可能数量を超えています。]</t>
  </si>
  <si>
    <t>-</t>
    <phoneticPr fontId="1"/>
  </si>
  <si>
    <t>特定</t>
    <phoneticPr fontId="1"/>
  </si>
  <si>
    <t>東証(SOR)</t>
    <phoneticPr fontId="1"/>
  </si>
  <si>
    <t>本日中</t>
    <phoneticPr fontId="1"/>
  </si>
  <si>
    <t>成行</t>
    <phoneticPr fontId="1"/>
  </si>
  <si>
    <t>通常注文</t>
    <phoneticPr fontId="1"/>
  </si>
  <si>
    <t>Market Speed</t>
    <phoneticPr fontId="1"/>
  </si>
  <si>
    <t>SOR対象外 (SORサービス時間外)</t>
    <phoneticPr fontId="1"/>
  </si>
  <si>
    <t>フジクラ</t>
    <phoneticPr fontId="1"/>
  </si>
  <si>
    <t>売埋</t>
    <phoneticPr fontId="1"/>
  </si>
  <si>
    <t>信用返済</t>
    <phoneticPr fontId="1"/>
  </si>
  <si>
    <t>源徴あり</t>
    <phoneticPr fontId="1"/>
  </si>
  <si>
    <t>制度</t>
    <phoneticPr fontId="1"/>
  </si>
  <si>
    <t>6ヶ月</t>
    <phoneticPr fontId="1"/>
  </si>
  <si>
    <t>円谷フィールズホールディ</t>
    <phoneticPr fontId="1"/>
  </si>
  <si>
    <t>RssOrderList($A$2:$AD$2, 0, 0, "", "A", 0, 0, 0, 0, 0)</t>
    <phoneticPr fontId="1"/>
  </si>
  <si>
    <t>JAX</t>
  </si>
  <si>
    <t>#6586</t>
  </si>
  <si>
    <t>2026/09/08 14:48:58</t>
  </si>
  <si>
    <t>2026/09/08 14:48:58</t>
    <phoneticPr fontId="1"/>
  </si>
  <si>
    <t>売気配(5,163) 買気配(5,162)</t>
  </si>
  <si>
    <t>建市場</t>
  </si>
  <si>
    <t>建玉数量</t>
  </si>
  <si>
    <t>建値</t>
  </si>
  <si>
    <t>建日</t>
  </si>
  <si>
    <t>最終返済日</t>
  </si>
  <si>
    <t>保証金率</t>
  </si>
  <si>
    <t>現金保証金率</t>
  </si>
  <si>
    <t>アステリア</t>
    <phoneticPr fontId="1"/>
  </si>
  <si>
    <t>ＪＸ金属</t>
  </si>
  <si>
    <t>銘柄名称</t>
    <phoneticPr fontId="1"/>
  </si>
  <si>
    <t>#6592</t>
  </si>
  <si>
    <t>#6592</t>
    <phoneticPr fontId="1"/>
  </si>
  <si>
    <t>執行待ち</t>
    <phoneticPr fontId="1"/>
  </si>
  <si>
    <t>2026/09/08 17:50:11</t>
  </si>
  <si>
    <t>2026/09/08 17:50:11</t>
    <phoneticPr fontId="1"/>
  </si>
  <si>
    <t>口座区分</t>
    <phoneticPr fontId="1"/>
  </si>
  <si>
    <t>建市場</t>
    <phoneticPr fontId="1"/>
  </si>
  <si>
    <t>信用区分</t>
    <phoneticPr fontId="1"/>
  </si>
  <si>
    <t>弁済期限</t>
    <phoneticPr fontId="1"/>
  </si>
  <si>
    <t>建玉数量</t>
    <phoneticPr fontId="1"/>
  </si>
  <si>
    <t>発注数量</t>
    <phoneticPr fontId="1"/>
  </si>
  <si>
    <t>建値</t>
    <phoneticPr fontId="1"/>
  </si>
  <si>
    <t>建日</t>
    <phoneticPr fontId="1"/>
  </si>
  <si>
    <t>最終返済日</t>
    <phoneticPr fontId="1"/>
  </si>
  <si>
    <t>時価</t>
    <phoneticPr fontId="1"/>
  </si>
  <si>
    <t>時価評価額</t>
    <phoneticPr fontId="1"/>
  </si>
  <si>
    <t>評価損益額</t>
    <phoneticPr fontId="1"/>
  </si>
  <si>
    <t>評価損益率</t>
    <phoneticPr fontId="1"/>
  </si>
  <si>
    <t>保証金率</t>
    <phoneticPr fontId="1"/>
  </si>
  <si>
    <t>現金保証金率</t>
    <phoneticPr fontId="1"/>
  </si>
  <si>
    <t>RssOrderIDList($A$2:$F$2)</t>
    <phoneticPr fontId="1"/>
  </si>
  <si>
    <t>注文単価</t>
    <phoneticPr fontId="1"/>
  </si>
  <si>
    <t>RssExecutionList($A$2:$O$2, 0, "", "A", 0, 0)</t>
    <phoneticPr fontId="1"/>
  </si>
  <si>
    <t>2026/09/09 09:00:34</t>
    <phoneticPr fontId="1"/>
  </si>
  <si>
    <t>2026/09/09 09:02:42</t>
    <phoneticPr fontId="1"/>
  </si>
  <si>
    <t>2026/09/09 09:03:22</t>
    <phoneticPr fontId="1"/>
  </si>
  <si>
    <t>2026/09/09 09:06:42</t>
    <phoneticPr fontId="1"/>
  </si>
  <si>
    <t>2026/09/09 09:08:33</t>
    <phoneticPr fontId="1"/>
  </si>
  <si>
    <t>2026/09/09 09:09:04</t>
    <phoneticPr fontId="1"/>
  </si>
  <si>
    <t>2026/09/09 09:09:16</t>
    <phoneticPr fontId="1"/>
  </si>
  <si>
    <t>2026/09/09 09:09:32</t>
    <phoneticPr fontId="1"/>
  </si>
  <si>
    <t>古河電工</t>
    <phoneticPr fontId="1"/>
  </si>
  <si>
    <t>2026/09/09 09:11:32</t>
    <phoneticPr fontId="1"/>
  </si>
  <si>
    <t>2026/09/09 09:12:39</t>
    <phoneticPr fontId="1"/>
  </si>
  <si>
    <t>2026/09/09 09:17:32</t>
    <phoneticPr fontId="1"/>
  </si>
  <si>
    <t>2026/09/09 09:18:14</t>
    <phoneticPr fontId="1"/>
  </si>
  <si>
    <t>2026/09/09 09:18:55</t>
    <phoneticPr fontId="1"/>
  </si>
  <si>
    <t>2026/09/09 09:20:31</t>
    <phoneticPr fontId="1"/>
  </si>
  <si>
    <t>2026/09/09 09:20:32</t>
    <phoneticPr fontId="1"/>
  </si>
  <si>
    <t>2026/09/09 09:23:18</t>
    <phoneticPr fontId="1"/>
  </si>
  <si>
    <t>2026/09/09 09:25:44</t>
    <phoneticPr fontId="1"/>
  </si>
  <si>
    <t>2026/09/09 09:26:29</t>
    <phoneticPr fontId="1"/>
  </si>
  <si>
    <t>2026/09/09 09:27:47</t>
    <phoneticPr fontId="1"/>
  </si>
  <si>
    <t>2026/09/09 09:28:59</t>
    <phoneticPr fontId="1"/>
  </si>
  <si>
    <t>2026/09/09 09:29:46</t>
    <phoneticPr fontId="1"/>
  </si>
  <si>
    <t>任天堂</t>
    <phoneticPr fontId="1"/>
  </si>
  <si>
    <t>2026/09/09 09:32:16</t>
    <phoneticPr fontId="1"/>
  </si>
  <si>
    <t>2026/09/09 09:32:36</t>
    <phoneticPr fontId="1"/>
  </si>
  <si>
    <t>2026/09/09 09:34:16</t>
    <phoneticPr fontId="1"/>
  </si>
  <si>
    <t>2026/09/09 09:36:03</t>
    <phoneticPr fontId="1"/>
  </si>
  <si>
    <t>2026/09/09 09:37:38</t>
    <phoneticPr fontId="1"/>
  </si>
  <si>
    <t>2026/09/09 09:40:09</t>
    <phoneticPr fontId="1"/>
  </si>
  <si>
    <t>2026/09/09 09:41:08</t>
    <phoneticPr fontId="1"/>
  </si>
  <si>
    <t>2026/09/09 09:41:48</t>
    <phoneticPr fontId="1"/>
  </si>
  <si>
    <t>2026/09/09 09:44:34</t>
    <phoneticPr fontId="1"/>
  </si>
  <si>
    <t>第一稀元素化学工</t>
    <phoneticPr fontId="1"/>
  </si>
  <si>
    <t>2026/09/09 09:44:56</t>
    <phoneticPr fontId="1"/>
  </si>
  <si>
    <t>2026/09/09 09:46:01</t>
    <phoneticPr fontId="1"/>
  </si>
  <si>
    <t>2026/09/09 09:46:20</t>
    <phoneticPr fontId="1"/>
  </si>
  <si>
    <t>2026/09/09 09:47:12</t>
    <phoneticPr fontId="1"/>
  </si>
  <si>
    <t>2026/09/09 09:47:34</t>
    <phoneticPr fontId="1"/>
  </si>
  <si>
    <t>2026/09/09 09:48:04</t>
    <phoneticPr fontId="1"/>
  </si>
  <si>
    <t>2026/09/09 09:50:03</t>
    <phoneticPr fontId="1"/>
  </si>
  <si>
    <t>2026/09/09 09:51:40</t>
    <phoneticPr fontId="1"/>
  </si>
  <si>
    <t>2026/09/09 09:56:03</t>
    <phoneticPr fontId="1"/>
  </si>
  <si>
    <t>村田製作所</t>
    <phoneticPr fontId="1"/>
  </si>
  <si>
    <t>2026/09/09 09:56:43</t>
    <phoneticPr fontId="1"/>
  </si>
  <si>
    <t>2026/09/09 10:01:09</t>
    <phoneticPr fontId="1"/>
  </si>
  <si>
    <t>2026/09/09 10:14:25</t>
    <phoneticPr fontId="1"/>
  </si>
  <si>
    <t>2026/09/09 10:15:42</t>
    <phoneticPr fontId="1"/>
  </si>
  <si>
    <t>2026/09/09 10:16:41</t>
    <phoneticPr fontId="1"/>
  </si>
  <si>
    <t>2026/09/09 10:16:48</t>
    <phoneticPr fontId="1"/>
  </si>
  <si>
    <t>2026/09/09 10:17:46</t>
    <phoneticPr fontId="1"/>
  </si>
  <si>
    <t>2026/09/09 10:18:34</t>
    <phoneticPr fontId="1"/>
  </si>
  <si>
    <t>2026/09/09 10:19:23</t>
    <phoneticPr fontId="1"/>
  </si>
  <si>
    <t>2026/09/09 10:22:47</t>
    <phoneticPr fontId="1"/>
  </si>
  <si>
    <t>2026/09/09 10:24:27</t>
    <phoneticPr fontId="1"/>
  </si>
  <si>
    <t>明治ホールディングス</t>
    <phoneticPr fontId="1"/>
  </si>
  <si>
    <t>2026/09/09 10:24:50</t>
    <phoneticPr fontId="1"/>
  </si>
  <si>
    <t>2026/09/09 10:25:23</t>
    <phoneticPr fontId="1"/>
  </si>
  <si>
    <t>2026/09/09 10:26:56</t>
    <phoneticPr fontId="1"/>
  </si>
  <si>
    <t>2026/09/09 10:32:37</t>
    <phoneticPr fontId="1"/>
  </si>
  <si>
    <t>2026/09/09 10:33:35</t>
    <phoneticPr fontId="1"/>
  </si>
  <si>
    <t>2026/09/09 10:34:04</t>
    <phoneticPr fontId="1"/>
  </si>
  <si>
    <t>2026/09/09 10:34:46</t>
    <phoneticPr fontId="1"/>
  </si>
  <si>
    <t>2026/09/09 10:35:03</t>
    <phoneticPr fontId="1"/>
  </si>
  <si>
    <t>2026/09/09 10:35:15</t>
    <phoneticPr fontId="1"/>
  </si>
  <si>
    <t>2026/09/09 10:40:08</t>
    <phoneticPr fontId="1"/>
  </si>
  <si>
    <t>2026/09/09 10:42:03</t>
    <phoneticPr fontId="1"/>
  </si>
  <si>
    <t>2026/09/09 10:43:02</t>
    <phoneticPr fontId="1"/>
  </si>
  <si>
    <t>2026/09/09 10:44:40</t>
    <phoneticPr fontId="1"/>
  </si>
  <si>
    <t>2026/09/09 10:44:58</t>
    <phoneticPr fontId="1"/>
  </si>
  <si>
    <t>2026/09/09 10:45:12</t>
    <phoneticPr fontId="1"/>
  </si>
  <si>
    <t>2026/09/09 11:01:32</t>
    <phoneticPr fontId="1"/>
  </si>
  <si>
    <t>2026/09/09 11:01:58</t>
    <phoneticPr fontId="1"/>
  </si>
  <si>
    <t>2026/09/09 11:03:17</t>
    <phoneticPr fontId="1"/>
  </si>
  <si>
    <t>2026/09/09 11:07:51</t>
    <phoneticPr fontId="1"/>
  </si>
  <si>
    <t>2026/09/09 11:07:57</t>
    <phoneticPr fontId="1"/>
  </si>
  <si>
    <t>2026/09/09 11:10:15</t>
    <phoneticPr fontId="1"/>
  </si>
  <si>
    <t>2026/09/09 11:15:47</t>
    <phoneticPr fontId="1"/>
  </si>
  <si>
    <t>2026/09/09 11:18:52</t>
    <phoneticPr fontId="1"/>
  </si>
  <si>
    <t>2026/09/09 11:20:44</t>
    <phoneticPr fontId="1"/>
  </si>
  <si>
    <t>2026/09/09 11:23:51</t>
    <phoneticPr fontId="1"/>
  </si>
  <si>
    <t>2026/09/09 11:26:36</t>
    <phoneticPr fontId="1"/>
  </si>
  <si>
    <t>2026/09/09 11:28:27</t>
    <phoneticPr fontId="1"/>
  </si>
  <si>
    <t>2026/09/09 12:32:36</t>
    <phoneticPr fontId="1"/>
  </si>
  <si>
    <t>一般</t>
    <phoneticPr fontId="1"/>
  </si>
  <si>
    <t>2026/09/09 12:35:53</t>
    <phoneticPr fontId="1"/>
  </si>
  <si>
    <t>141A</t>
    <phoneticPr fontId="1"/>
  </si>
  <si>
    <t>トライアルホールディングス</t>
    <phoneticPr fontId="1"/>
  </si>
  <si>
    <t>2026/09/09 12:55:24</t>
    <phoneticPr fontId="1"/>
  </si>
  <si>
    <t>2026/09/09 13:02:40</t>
    <phoneticPr fontId="1"/>
  </si>
  <si>
    <t>2026/09/09 13:06:18</t>
    <phoneticPr fontId="1"/>
  </si>
  <si>
    <t>2026/09/09 13:17:30</t>
    <phoneticPr fontId="1"/>
  </si>
  <si>
    <t>2026/09/09 13:18:13</t>
    <phoneticPr fontId="1"/>
  </si>
  <si>
    <t>2026/09/09 13:20:00</t>
    <phoneticPr fontId="1"/>
  </si>
  <si>
    <t>2026/09/09 13:22:35</t>
    <phoneticPr fontId="1"/>
  </si>
  <si>
    <t>2026/09/09 13:25:27</t>
    <phoneticPr fontId="1"/>
  </si>
  <si>
    <t>2026/09/09 13:29:58</t>
    <phoneticPr fontId="1"/>
  </si>
  <si>
    <t>2026/09/09 13:32:17</t>
    <phoneticPr fontId="1"/>
  </si>
  <si>
    <t>2026/09/09 13:32:45</t>
    <phoneticPr fontId="1"/>
  </si>
  <si>
    <t>2026/09/09 13:34:09</t>
    <phoneticPr fontId="1"/>
  </si>
  <si>
    <t>2026/09/09 13:37:46</t>
    <phoneticPr fontId="1"/>
  </si>
  <si>
    <t>ＩＮＰＥＸ</t>
    <phoneticPr fontId="1"/>
  </si>
  <si>
    <t>2026/09/09 13:38:13</t>
    <phoneticPr fontId="1"/>
  </si>
  <si>
    <t>2026/09/09 13:39:24</t>
    <phoneticPr fontId="1"/>
  </si>
  <si>
    <t>2026/09/09 14:02:09</t>
    <phoneticPr fontId="1"/>
  </si>
  <si>
    <t>2026/09/09 14:02:51</t>
    <phoneticPr fontId="1"/>
  </si>
  <si>
    <t>2026/09/09 14:03:20</t>
    <phoneticPr fontId="1"/>
  </si>
  <si>
    <t>2026/09/09 14:05:58</t>
    <phoneticPr fontId="1"/>
  </si>
  <si>
    <t>2026/09/09 14:07:05</t>
    <phoneticPr fontId="1"/>
  </si>
  <si>
    <t>2026/09/09 14:07:28</t>
    <phoneticPr fontId="1"/>
  </si>
  <si>
    <t>2026/09/09 14:16:26</t>
    <phoneticPr fontId="1"/>
  </si>
  <si>
    <t>2026/09/09 14:17:54</t>
    <phoneticPr fontId="1"/>
  </si>
  <si>
    <t>2026/09/09 14:18:34</t>
    <phoneticPr fontId="1"/>
  </si>
  <si>
    <t>2026/09/09 14:20:24</t>
    <phoneticPr fontId="1"/>
  </si>
  <si>
    <t>2026/09/09 14:23:05</t>
    <phoneticPr fontId="1"/>
  </si>
  <si>
    <t>2026/09/09 14:26:43</t>
    <phoneticPr fontId="1"/>
  </si>
  <si>
    <t>2026/09/09 14:26:57</t>
    <phoneticPr fontId="1"/>
  </si>
  <si>
    <t>2026/09/09 14:27:28</t>
    <phoneticPr fontId="1"/>
  </si>
  <si>
    <t>2026/09/09 14:29:07</t>
    <phoneticPr fontId="1"/>
  </si>
  <si>
    <t>2026/09/09 14:30:14</t>
    <phoneticPr fontId="1"/>
  </si>
  <si>
    <t>2026/09/09 14:36:15</t>
    <phoneticPr fontId="1"/>
  </si>
  <si>
    <t>2026/09/09 14:38:47</t>
    <phoneticPr fontId="1"/>
  </si>
  <si>
    <t>2026/09/09 14:44:01</t>
    <phoneticPr fontId="1"/>
  </si>
  <si>
    <t>2026/09/09 14:47:02</t>
    <phoneticPr fontId="1"/>
  </si>
  <si>
    <t>2026/09/09 14:49:53</t>
    <phoneticPr fontId="1"/>
  </si>
  <si>
    <t>2026/09/09 14:50:23</t>
    <phoneticPr fontId="1"/>
  </si>
  <si>
    <t>2026/09/09 14:51:32</t>
    <phoneticPr fontId="1"/>
  </si>
  <si>
    <t>2026/09/09 14:54:32</t>
    <phoneticPr fontId="1"/>
  </si>
  <si>
    <t>2026/09/09 14:57:43</t>
    <phoneticPr fontId="1"/>
  </si>
  <si>
    <t>2026/09/09 14:58:28</t>
    <phoneticPr fontId="1"/>
  </si>
  <si>
    <t>2026/09/09 14:59:58</t>
    <phoneticPr fontId="1"/>
  </si>
  <si>
    <t>2026/09/09 15:01:28</t>
    <phoneticPr fontId="1"/>
  </si>
  <si>
    <t>2026/09/09 15:03:35</t>
    <phoneticPr fontId="1"/>
  </si>
  <si>
    <t>2026/09/09 15:04:38</t>
    <phoneticPr fontId="1"/>
  </si>
  <si>
    <t>2026/09/09 15:15:22</t>
    <phoneticPr fontId="1"/>
  </si>
  <si>
    <t>2026/09/09 15:30:00</t>
    <phoneticPr fontId="1"/>
  </si>
  <si>
    <t>RssExecutionList($A$2:$O$2, 0, "", "A", 0, 0)</t>
    <phoneticPr fontId="1"/>
  </si>
  <si>
    <t>RssMarginPositionList($A$2:$T$2,"","A",0,0,0)</t>
    <phoneticPr fontId="1"/>
  </si>
  <si>
    <t>RssMarketDes(C1:E1, B2)</t>
    <phoneticPr fontId="1"/>
  </si>
  <si>
    <t>RssMarketDes(C4:E4, B5)</t>
    <phoneticPr fontId="1"/>
  </si>
  <si>
    <t>RssMarketDes(C7:E7, B8)</t>
    <phoneticPr fontId="1"/>
  </si>
  <si>
    <t>RssMarketDes(C10:E10, B11)</t>
    <phoneticPr fontId="1"/>
  </si>
  <si>
    <t>RssMarginPositionList($A$2:$T$2,"","A",0,0,0)</t>
    <phoneticPr fontId="1"/>
  </si>
  <si>
    <t>#6593</t>
    <phoneticPr fontId="1"/>
  </si>
  <si>
    <t>売気配(1,968) 買気配(1,961)</t>
    <phoneticPr fontId="1"/>
  </si>
  <si>
    <t>#6594</t>
    <phoneticPr fontId="1"/>
  </si>
  <si>
    <t>売気配(1,975) 買気配(1,973)</t>
    <phoneticPr fontId="1"/>
  </si>
  <si>
    <t>#6595</t>
    <phoneticPr fontId="1"/>
  </si>
  <si>
    <t>売気配(1,988) 買気配(1,986)</t>
    <phoneticPr fontId="1"/>
  </si>
  <si>
    <t>#6596</t>
    <phoneticPr fontId="1"/>
  </si>
  <si>
    <t>売気配(5,440) 買気配(5,436)</t>
    <phoneticPr fontId="1"/>
  </si>
  <si>
    <t>#6597</t>
    <phoneticPr fontId="1"/>
  </si>
  <si>
    <t>売気配(3,158) 買気配(3,157)</t>
    <phoneticPr fontId="1"/>
  </si>
  <si>
    <t>#6598</t>
    <phoneticPr fontId="1"/>
  </si>
  <si>
    <t>2026/09/09 09:09:03</t>
    <phoneticPr fontId="1"/>
  </si>
  <si>
    <t>売気配(1,949) 買気配(1,946)</t>
    <phoneticPr fontId="1"/>
  </si>
  <si>
    <t>#6599</t>
    <phoneticPr fontId="1"/>
  </si>
  <si>
    <t>売気配(1,951) 買気配(1,949)</t>
    <phoneticPr fontId="1"/>
  </si>
  <si>
    <t>#6600</t>
    <phoneticPr fontId="1"/>
  </si>
  <si>
    <t>売気配(3,980) 買気配(3,977)</t>
    <phoneticPr fontId="1"/>
  </si>
  <si>
    <t>#6601</t>
    <phoneticPr fontId="1"/>
  </si>
  <si>
    <t>売気配(4,017) 買気配(4,015)</t>
    <phoneticPr fontId="1"/>
  </si>
  <si>
    <t>#6602</t>
    <phoneticPr fontId="1"/>
  </si>
  <si>
    <t>売気配(3,145) 買気配(3,143)</t>
    <phoneticPr fontId="1"/>
  </si>
  <si>
    <t>#6603</t>
    <phoneticPr fontId="1"/>
  </si>
  <si>
    <t>売気配(1,907) 買気配(1,904)</t>
    <phoneticPr fontId="1"/>
  </si>
  <si>
    <t>#6604</t>
    <phoneticPr fontId="1"/>
  </si>
  <si>
    <t>売気配(3,160) 買気配(3,159)</t>
    <phoneticPr fontId="1"/>
  </si>
  <si>
    <t>#6605</t>
    <phoneticPr fontId="1"/>
  </si>
  <si>
    <t>売気配(1,929) 買気配(1,928)</t>
    <phoneticPr fontId="1"/>
  </si>
  <si>
    <t>#6606</t>
    <phoneticPr fontId="1"/>
  </si>
  <si>
    <t>売気配(3,172) 買気配(3,170)</t>
    <phoneticPr fontId="1"/>
  </si>
  <si>
    <t>#6607</t>
    <phoneticPr fontId="1"/>
  </si>
  <si>
    <t>売気配(1,937) 買気配(1,935)</t>
    <phoneticPr fontId="1"/>
  </si>
  <si>
    <t>#6608</t>
    <phoneticPr fontId="1"/>
  </si>
  <si>
    <t>2026/09/09 09:23:17</t>
    <phoneticPr fontId="1"/>
  </si>
  <si>
    <t>売気配(1,944) 買気配(1,942)</t>
    <phoneticPr fontId="1"/>
  </si>
  <si>
    <t>#6609</t>
    <phoneticPr fontId="1"/>
  </si>
  <si>
    <t>売気配(1,947) 買気配(1,945)</t>
    <phoneticPr fontId="1"/>
  </si>
  <si>
    <t>#6610</t>
    <phoneticPr fontId="1"/>
  </si>
  <si>
    <t>2026/09/09 09:26:28</t>
    <phoneticPr fontId="1"/>
  </si>
  <si>
    <t>売気配(1,107) 買気配(1,104)</t>
    <phoneticPr fontId="1"/>
  </si>
  <si>
    <t>#6611</t>
    <phoneticPr fontId="1"/>
  </si>
  <si>
    <t>売気配(3,156) 買気配(3,155)</t>
    <phoneticPr fontId="1"/>
  </si>
  <si>
    <t>#6612</t>
    <phoneticPr fontId="1"/>
  </si>
  <si>
    <t>売気配(3,145) 買気配(3,144)</t>
    <phoneticPr fontId="1"/>
  </si>
  <si>
    <t>#6613</t>
    <phoneticPr fontId="1"/>
  </si>
  <si>
    <t>売気配(8,608) 買気配(8,605)</t>
    <phoneticPr fontId="1"/>
  </si>
  <si>
    <t>#6614</t>
    <phoneticPr fontId="1"/>
  </si>
  <si>
    <t>2026/09/09 09:31:24</t>
    <phoneticPr fontId="1"/>
  </si>
  <si>
    <t>売気配(1,109) 買気配(1,107)</t>
    <phoneticPr fontId="1"/>
  </si>
  <si>
    <t>#6615</t>
    <phoneticPr fontId="1"/>
  </si>
  <si>
    <t>2026/09/09 09:32:15</t>
    <phoneticPr fontId="1"/>
  </si>
  <si>
    <t>売気配(2,512) 買気配(2,509)</t>
    <phoneticPr fontId="1"/>
  </si>
  <si>
    <t>#6616</t>
    <phoneticPr fontId="1"/>
  </si>
  <si>
    <t>売気配(8,634) 買気配(8,631)</t>
    <phoneticPr fontId="1"/>
  </si>
  <si>
    <t>#6617</t>
    <phoneticPr fontId="1"/>
  </si>
  <si>
    <t>売気配(2,514) 買気配(2,511)</t>
    <phoneticPr fontId="1"/>
  </si>
  <si>
    <t>#6618</t>
    <phoneticPr fontId="1"/>
  </si>
  <si>
    <t>売気配(3,114) 買気配(3,112)</t>
    <phoneticPr fontId="1"/>
  </si>
  <si>
    <t>#6619</t>
    <phoneticPr fontId="1"/>
  </si>
  <si>
    <t>売気配(3,124) 買気配(3,123)</t>
    <phoneticPr fontId="1"/>
  </si>
  <si>
    <t>#6620</t>
    <phoneticPr fontId="1"/>
  </si>
  <si>
    <t>売気配(3,116) 買気配(3,114)</t>
    <phoneticPr fontId="1"/>
  </si>
  <si>
    <t>#6621</t>
    <phoneticPr fontId="1"/>
  </si>
  <si>
    <t>売気配(3,131) 買気配(3,130)</t>
    <phoneticPr fontId="1"/>
  </si>
  <si>
    <t>#6622</t>
    <phoneticPr fontId="1"/>
  </si>
  <si>
    <t>2026/09/09 09:44:33</t>
    <phoneticPr fontId="1"/>
  </si>
  <si>
    <t>売気配(2,551) 買気配(2,547)</t>
    <phoneticPr fontId="1"/>
  </si>
  <si>
    <t>#6623</t>
    <phoneticPr fontId="1"/>
  </si>
  <si>
    <t>売気配(1,952) 買気配(1,950)</t>
    <phoneticPr fontId="1"/>
  </si>
  <si>
    <t>#6624</t>
    <phoneticPr fontId="1"/>
  </si>
  <si>
    <t>売気配(3,139) 買気配(3,137)</t>
    <phoneticPr fontId="1"/>
  </si>
  <si>
    <t>#6625</t>
    <phoneticPr fontId="1"/>
  </si>
  <si>
    <t>売気配(3,146) 買気配(3,144)</t>
    <phoneticPr fontId="1"/>
  </si>
  <si>
    <t>#6626</t>
    <phoneticPr fontId="1"/>
  </si>
  <si>
    <t>売気配(2,565) 買気配(2,560)</t>
    <phoneticPr fontId="1"/>
  </si>
  <si>
    <t>#6627</t>
    <phoneticPr fontId="1"/>
  </si>
  <si>
    <t>売気配(1,958) 買気配(1,956)</t>
    <phoneticPr fontId="1"/>
  </si>
  <si>
    <t>#6628</t>
    <phoneticPr fontId="1"/>
  </si>
  <si>
    <t>売気配(1,963) 買気配(1,962)</t>
    <phoneticPr fontId="1"/>
  </si>
  <si>
    <t>#6629</t>
    <phoneticPr fontId="1"/>
  </si>
  <si>
    <t>売気配(3,133) 買気配(3,132)</t>
    <phoneticPr fontId="1"/>
  </si>
  <si>
    <t>#6630</t>
    <phoneticPr fontId="1"/>
  </si>
  <si>
    <t>売気配(3,149) 買気配(3,147)</t>
    <phoneticPr fontId="1"/>
  </si>
  <si>
    <t>#6632</t>
    <phoneticPr fontId="1"/>
  </si>
  <si>
    <t>売気配(7,154) 買気配(7,153)</t>
    <phoneticPr fontId="1"/>
  </si>
  <si>
    <t>#6631</t>
    <phoneticPr fontId="1"/>
  </si>
  <si>
    <t>売気配(3,150) 買気配(3,149)</t>
    <phoneticPr fontId="1"/>
  </si>
  <si>
    <t>#6633</t>
    <phoneticPr fontId="1"/>
  </si>
  <si>
    <t>#6635</t>
    <phoneticPr fontId="1"/>
  </si>
  <si>
    <t>売気配(1,971) 買気配(1,968)</t>
    <phoneticPr fontId="1"/>
  </si>
  <si>
    <t>#6634</t>
    <phoneticPr fontId="1"/>
  </si>
  <si>
    <t>売気配(3,151) 買気配(3,149)</t>
    <phoneticPr fontId="1"/>
  </si>
  <si>
    <t>#6636</t>
    <phoneticPr fontId="1"/>
  </si>
  <si>
    <t>売気配(1,978) 買気配(1,977)</t>
    <phoneticPr fontId="1"/>
  </si>
  <si>
    <t>#6637</t>
    <phoneticPr fontId="1"/>
  </si>
  <si>
    <t>2026/09/09 10:16:47</t>
    <phoneticPr fontId="1"/>
  </si>
  <si>
    <t>#6638</t>
    <phoneticPr fontId="1"/>
  </si>
  <si>
    <t>売気配(7,146) 買気配(7,144)</t>
    <phoneticPr fontId="1"/>
  </si>
  <si>
    <t>#6639</t>
    <phoneticPr fontId="1"/>
  </si>
  <si>
    <t>売気配(7,127) 買気配(7,125)</t>
    <phoneticPr fontId="1"/>
  </si>
  <si>
    <t>#6640</t>
    <phoneticPr fontId="1"/>
  </si>
  <si>
    <t>売気配(7,124) 買気配(7,123)</t>
    <phoneticPr fontId="1"/>
  </si>
  <si>
    <t>#6641</t>
    <phoneticPr fontId="1"/>
  </si>
  <si>
    <t>売気配(3,141) 買気配(3,140)</t>
    <phoneticPr fontId="1"/>
  </si>
  <si>
    <t>#6642</t>
    <phoneticPr fontId="1"/>
  </si>
  <si>
    <t>売気配(4,355) 買気配(4,352)</t>
    <phoneticPr fontId="1"/>
  </si>
  <si>
    <t>#6643</t>
    <phoneticPr fontId="1"/>
  </si>
  <si>
    <t>売気配(3,146) 買気配(3,145)</t>
    <phoneticPr fontId="1"/>
  </si>
  <si>
    <t>#6644</t>
    <phoneticPr fontId="1"/>
  </si>
  <si>
    <t>2026/09/09 10:25:22</t>
    <phoneticPr fontId="1"/>
  </si>
  <si>
    <t>売気配(7,132) 買気配(7,131)</t>
    <phoneticPr fontId="1"/>
  </si>
  <si>
    <t>#6645</t>
    <phoneticPr fontId="1"/>
  </si>
  <si>
    <t>2026/09/09 10:26:55</t>
    <phoneticPr fontId="1"/>
  </si>
  <si>
    <t>売気配(7,142) 買気配(7,140)</t>
    <phoneticPr fontId="1"/>
  </si>
  <si>
    <t>#6646</t>
    <phoneticPr fontId="1"/>
  </si>
  <si>
    <t>売気配(7,130) 買気配(7,128)</t>
    <phoneticPr fontId="1"/>
  </si>
  <si>
    <t>#6647</t>
    <phoneticPr fontId="1"/>
  </si>
  <si>
    <t>売気配(3,137) 買気配(3,136)</t>
    <phoneticPr fontId="1"/>
  </si>
  <si>
    <t>#6648</t>
    <phoneticPr fontId="1"/>
  </si>
  <si>
    <t>売気配(1,974) 買気配(1,972)</t>
    <phoneticPr fontId="1"/>
  </si>
  <si>
    <t>#6649</t>
    <phoneticPr fontId="1"/>
  </si>
  <si>
    <t>売気配(3,157) 買気配(3,156)</t>
    <phoneticPr fontId="1"/>
  </si>
  <si>
    <t>#6650</t>
    <phoneticPr fontId="1"/>
  </si>
  <si>
    <t>売気配(7,138) 買気配(7,136)</t>
    <phoneticPr fontId="1"/>
  </si>
  <si>
    <t>#6651</t>
    <phoneticPr fontId="1"/>
  </si>
  <si>
    <t>売気配(1,982) 買気配(1,980)</t>
    <phoneticPr fontId="1"/>
  </si>
  <si>
    <t>#6652</t>
    <phoneticPr fontId="1"/>
  </si>
  <si>
    <t>売気配(4,341) 買気配(4,339)</t>
    <phoneticPr fontId="1"/>
  </si>
  <si>
    <t>#6653</t>
    <phoneticPr fontId="1"/>
  </si>
  <si>
    <t>売気配(7,136) 買気配(7,135)</t>
    <phoneticPr fontId="1"/>
  </si>
  <si>
    <t>#6654</t>
    <phoneticPr fontId="1"/>
  </si>
  <si>
    <t>2026/09/09 10:43:01</t>
    <phoneticPr fontId="1"/>
  </si>
  <si>
    <t>#6655</t>
    <phoneticPr fontId="1"/>
  </si>
  <si>
    <t>2026/09/09 10:44:39</t>
    <phoneticPr fontId="1"/>
  </si>
  <si>
    <t>売気配(3,143) 買気配(3,141)</t>
    <phoneticPr fontId="1"/>
  </si>
  <si>
    <t>#6656</t>
    <phoneticPr fontId="1"/>
  </si>
  <si>
    <t>売気配(7,120) 買気配(7,118)</t>
    <phoneticPr fontId="1"/>
  </si>
  <si>
    <t>#6657</t>
    <phoneticPr fontId="1"/>
  </si>
  <si>
    <t>2026/09/09 10:45:11</t>
    <phoneticPr fontId="1"/>
  </si>
  <si>
    <t>#6658</t>
    <phoneticPr fontId="1"/>
  </si>
  <si>
    <t>売気配(5,495) 買気配(5,494)</t>
    <phoneticPr fontId="1"/>
  </si>
  <si>
    <t>#6659</t>
    <phoneticPr fontId="1"/>
  </si>
  <si>
    <t>売気配(1,953) 買気配(1,951)</t>
    <phoneticPr fontId="1"/>
  </si>
  <si>
    <t>#6660</t>
    <phoneticPr fontId="1"/>
  </si>
  <si>
    <t>売気配(1,958) 買気配(1,955)</t>
    <phoneticPr fontId="1"/>
  </si>
  <si>
    <t>#6662</t>
    <phoneticPr fontId="1"/>
  </si>
  <si>
    <t>2026/09/09 11:07:50</t>
    <phoneticPr fontId="1"/>
  </si>
  <si>
    <t>売気配(1,942) 買気配(1,940)</t>
    <phoneticPr fontId="1"/>
  </si>
  <si>
    <t>#6661</t>
    <phoneticPr fontId="1"/>
  </si>
  <si>
    <t>売気配(5,521) 買気配(5,520)</t>
    <phoneticPr fontId="1"/>
  </si>
  <si>
    <t>#6663</t>
    <phoneticPr fontId="1"/>
  </si>
  <si>
    <t>売気配(1,938) 買気配(1,936)</t>
    <phoneticPr fontId="1"/>
  </si>
  <si>
    <t>#6664</t>
    <phoneticPr fontId="1"/>
  </si>
  <si>
    <t>2026/09/09 11:15:46</t>
    <phoneticPr fontId="1"/>
  </si>
  <si>
    <t>売気配(3,142) 買気配(3,141)</t>
    <phoneticPr fontId="1"/>
  </si>
  <si>
    <t>#6665</t>
    <phoneticPr fontId="1"/>
  </si>
  <si>
    <t>売気配(1,941) 買気配(1,939)</t>
    <phoneticPr fontId="1"/>
  </si>
  <si>
    <t>#6666</t>
    <phoneticPr fontId="1"/>
  </si>
  <si>
    <t>2026/09/09 11:20:43</t>
    <phoneticPr fontId="1"/>
  </si>
  <si>
    <t>売気配(5,471) 買気配(5,470)</t>
    <phoneticPr fontId="1"/>
  </si>
  <si>
    <t>#6667</t>
    <phoneticPr fontId="1"/>
  </si>
  <si>
    <t>売気配(3,147) 買気配(3,145)</t>
    <phoneticPr fontId="1"/>
  </si>
  <si>
    <t>#6669</t>
    <phoneticPr fontId="1"/>
  </si>
  <si>
    <t>売気配(1,951) 買気配(1,950)</t>
    <phoneticPr fontId="1"/>
  </si>
  <si>
    <t>#6668</t>
    <phoneticPr fontId="1"/>
  </si>
  <si>
    <t>売気配(5,486) 買気配(5,485)</t>
    <phoneticPr fontId="1"/>
  </si>
  <si>
    <t>#6670</t>
    <phoneticPr fontId="1"/>
  </si>
  <si>
    <t>#6671</t>
    <phoneticPr fontId="1"/>
  </si>
  <si>
    <t>2026/09/09 12:34:09</t>
    <phoneticPr fontId="1"/>
  </si>
  <si>
    <t>売気配(4,175) 買気配(4,170)</t>
    <phoneticPr fontId="1"/>
  </si>
  <si>
    <t>#6672</t>
    <phoneticPr fontId="1"/>
  </si>
  <si>
    <t>売気配(4,165) 買気配(4,160)</t>
    <phoneticPr fontId="1"/>
  </si>
  <si>
    <t>#6673</t>
    <phoneticPr fontId="1"/>
  </si>
  <si>
    <t>売気配(1,940) 買気配(1,938)</t>
    <phoneticPr fontId="1"/>
  </si>
  <si>
    <t>#6674</t>
    <phoneticPr fontId="1"/>
  </si>
  <si>
    <t>2026/09/09 13:04:58</t>
    <phoneticPr fontId="1"/>
  </si>
  <si>
    <t>#6675</t>
    <phoneticPr fontId="1"/>
  </si>
  <si>
    <t>売気配(1,945) 買気配(1,943)</t>
    <phoneticPr fontId="1"/>
  </si>
  <si>
    <t>#6676</t>
    <phoneticPr fontId="1"/>
  </si>
  <si>
    <t>2026/09/09 13:10:30</t>
    <phoneticPr fontId="1"/>
  </si>
  <si>
    <t>売気配(1,931) 買気配(1,928)</t>
    <phoneticPr fontId="1"/>
  </si>
  <si>
    <t>#6677</t>
    <phoneticPr fontId="1"/>
  </si>
  <si>
    <t>2026/09/09 13:17:27</t>
    <phoneticPr fontId="1"/>
  </si>
  <si>
    <t>売気配(1,928) 買気配(1,926)</t>
    <phoneticPr fontId="1"/>
  </si>
  <si>
    <t>#6678</t>
    <phoneticPr fontId="1"/>
  </si>
  <si>
    <t>売気配(1,926) 買気配(1,925)</t>
    <phoneticPr fontId="1"/>
  </si>
  <si>
    <t>#6679</t>
    <phoneticPr fontId="1"/>
  </si>
  <si>
    <t>2026/09/09 13:19:18</t>
    <phoneticPr fontId="1"/>
  </si>
  <si>
    <t>#6680</t>
    <phoneticPr fontId="1"/>
  </si>
  <si>
    <t>売気配(1,925) 買気配(1,923)</t>
    <phoneticPr fontId="1"/>
  </si>
  <si>
    <t>#6681</t>
    <phoneticPr fontId="1"/>
  </si>
  <si>
    <t>#6682</t>
    <phoneticPr fontId="1"/>
  </si>
  <si>
    <t>2026/09/09 13:29:37</t>
    <phoneticPr fontId="1"/>
  </si>
  <si>
    <t>#6683</t>
    <phoneticPr fontId="1"/>
  </si>
  <si>
    <t>売気配(1,932) 買気配(1,931)</t>
    <phoneticPr fontId="1"/>
  </si>
  <si>
    <t>#6684</t>
    <phoneticPr fontId="1"/>
  </si>
  <si>
    <t>売気配(5,716) 買気配(5,715)</t>
    <phoneticPr fontId="1"/>
  </si>
  <si>
    <t>#6685</t>
    <phoneticPr fontId="1"/>
  </si>
  <si>
    <t>売気配(1,939) 買気配(1,937)</t>
    <phoneticPr fontId="1"/>
  </si>
  <si>
    <t>#6686</t>
    <phoneticPr fontId="1"/>
  </si>
  <si>
    <t>売気配(3,925) 買気配(3,924)</t>
    <phoneticPr fontId="1"/>
  </si>
  <si>
    <t>#6687</t>
    <phoneticPr fontId="1"/>
  </si>
  <si>
    <t>売気配(1,940) 買気配(1,939)</t>
    <phoneticPr fontId="1"/>
  </si>
  <si>
    <t>#6688</t>
    <phoneticPr fontId="1"/>
  </si>
  <si>
    <t>売気配(7,164) 買気配(7,162)</t>
    <phoneticPr fontId="1"/>
  </si>
  <si>
    <t>#6689</t>
    <phoneticPr fontId="1"/>
  </si>
  <si>
    <t>売気配(7,129) 買気配(7,127)</t>
    <phoneticPr fontId="1"/>
  </si>
  <si>
    <t>#6690</t>
    <phoneticPr fontId="1"/>
  </si>
  <si>
    <t>売気配(5,717) 買気配(5,716)</t>
    <phoneticPr fontId="1"/>
  </si>
  <si>
    <t>#6691</t>
    <phoneticPr fontId="1"/>
  </si>
  <si>
    <t>売気配(7,131) 買気配(7,129)</t>
    <phoneticPr fontId="1"/>
  </si>
  <si>
    <t>#6692</t>
    <phoneticPr fontId="1"/>
  </si>
  <si>
    <t>売気配(5,720) 買気配(5,719)</t>
    <phoneticPr fontId="1"/>
  </si>
  <si>
    <t>#6693</t>
    <phoneticPr fontId="1"/>
  </si>
  <si>
    <t>#6694</t>
    <phoneticPr fontId="1"/>
  </si>
  <si>
    <t>売気配(7,138) 買気配(7,137)</t>
    <phoneticPr fontId="1"/>
  </si>
  <si>
    <t>#6695</t>
    <phoneticPr fontId="1"/>
  </si>
  <si>
    <t>#6696</t>
    <phoneticPr fontId="1"/>
  </si>
  <si>
    <t>売気配(7,124) 買気配(7,122)</t>
    <phoneticPr fontId="1"/>
  </si>
  <si>
    <t>#6697</t>
    <phoneticPr fontId="1"/>
  </si>
  <si>
    <t>売気配(3,921) 買気配(3,919)</t>
    <phoneticPr fontId="1"/>
  </si>
  <si>
    <t>#6698</t>
    <phoneticPr fontId="1"/>
  </si>
  <si>
    <t>売気配(7,121) 買気配(7,120)</t>
    <phoneticPr fontId="1"/>
  </si>
  <si>
    <t>#6699</t>
    <phoneticPr fontId="1"/>
  </si>
  <si>
    <t>#6700</t>
    <phoneticPr fontId="1"/>
  </si>
  <si>
    <t>#6701</t>
    <phoneticPr fontId="1"/>
  </si>
  <si>
    <t>売気配(5,720) 買気配(5,718)</t>
    <phoneticPr fontId="1"/>
  </si>
  <si>
    <t>#6702</t>
    <phoneticPr fontId="1"/>
  </si>
  <si>
    <t>売気配(7,140) 買気配(7,138)</t>
    <phoneticPr fontId="1"/>
  </si>
  <si>
    <t>#6703</t>
    <phoneticPr fontId="1"/>
  </si>
  <si>
    <t>売気配(1,926) 買気配(1,924)</t>
    <phoneticPr fontId="1"/>
  </si>
  <si>
    <t>#6704</t>
    <phoneticPr fontId="1"/>
  </si>
  <si>
    <t>#6705</t>
    <phoneticPr fontId="1"/>
  </si>
  <si>
    <t>#6706</t>
    <phoneticPr fontId="1"/>
  </si>
  <si>
    <t>売気配(5,482) 買気配(5,481)</t>
    <phoneticPr fontId="1"/>
  </si>
  <si>
    <t>#6707</t>
    <phoneticPr fontId="1"/>
  </si>
  <si>
    <t>2026/09/09 14:39:49</t>
    <phoneticPr fontId="1"/>
  </si>
  <si>
    <t>売気配(1,924) 買気配(1,923)</t>
    <phoneticPr fontId="1"/>
  </si>
  <si>
    <t>#6708</t>
    <phoneticPr fontId="1"/>
  </si>
  <si>
    <t>売気配(1,919) 買気配(1,918)</t>
    <phoneticPr fontId="1"/>
  </si>
  <si>
    <t>#6709</t>
    <phoneticPr fontId="1"/>
  </si>
  <si>
    <t>#6710</t>
    <phoneticPr fontId="1"/>
  </si>
  <si>
    <t>売気配(7,143) 買気配(7,142)</t>
    <phoneticPr fontId="1"/>
  </si>
  <si>
    <t>#6711</t>
    <phoneticPr fontId="1"/>
  </si>
  <si>
    <t>売気配(5,491) 買気配(5,490)</t>
    <phoneticPr fontId="1"/>
  </si>
  <si>
    <t>#6712</t>
    <phoneticPr fontId="1"/>
  </si>
  <si>
    <t>売気配(5,721) 買気配(5,720)</t>
    <phoneticPr fontId="1"/>
  </si>
  <si>
    <t>#6713</t>
    <phoneticPr fontId="1"/>
  </si>
  <si>
    <t>#6714</t>
    <phoneticPr fontId="1"/>
  </si>
  <si>
    <t>売気配(1,909) 買気配(1,908)</t>
    <phoneticPr fontId="1"/>
  </si>
  <si>
    <t>#6715</t>
    <phoneticPr fontId="1"/>
  </si>
  <si>
    <t>売気配(3,133) 買気配(3,131)</t>
    <phoneticPr fontId="1"/>
  </si>
  <si>
    <t>#6716</t>
    <phoneticPr fontId="1"/>
  </si>
  <si>
    <t>#6717</t>
    <phoneticPr fontId="1"/>
  </si>
  <si>
    <t>売気配(5,513) 買気配(5,511)</t>
    <phoneticPr fontId="1"/>
  </si>
  <si>
    <t>#6718</t>
    <phoneticPr fontId="1"/>
  </si>
  <si>
    <t>売気配(3,128) 買気配(3,127)</t>
    <phoneticPr fontId="1"/>
  </si>
  <si>
    <t>#6719</t>
    <phoneticPr fontId="1"/>
  </si>
  <si>
    <t>売気配(3,898) 買気配(3,897)</t>
    <phoneticPr fontId="1"/>
  </si>
  <si>
    <t>#6720</t>
    <phoneticPr fontId="1"/>
  </si>
  <si>
    <t>2026/09/09 15:06:00</t>
    <phoneticPr fontId="1"/>
  </si>
  <si>
    <t>引け</t>
    <phoneticPr fontId="1"/>
  </si>
  <si>
    <t>#6721</t>
    <phoneticPr fontId="1"/>
  </si>
  <si>
    <t>2026/09/09 15:06:20</t>
    <phoneticPr fontId="1"/>
  </si>
  <si>
    <t>#6722</t>
    <phoneticPr fontId="1"/>
  </si>
  <si>
    <t>売気配(6,783) 買気配(6,782)</t>
    <phoneticPr fontId="1"/>
  </si>
  <si>
    <t>ExecutionList0909</t>
    <phoneticPr fontId="1"/>
  </si>
  <si>
    <t>調査用</t>
    <rPh sb="0" eb="1">
      <t>チョウサ</t>
    </rPh>
    <rPh sb="1" eb="2">
      <t>ヨウ</t>
    </rPh>
    <phoneticPr fontId="1"/>
  </si>
  <si>
    <t>OrderList0909</t>
    <phoneticPr fontId="1"/>
  </si>
  <si>
    <t>市場名称</t>
    <phoneticPr fontId="1"/>
  </si>
  <si>
    <t>約定日</t>
    <phoneticPr fontId="1"/>
  </si>
  <si>
    <t>MarginPositionList_0909</t>
    <phoneticPr fontId="1"/>
  </si>
  <si>
    <t>時刻</t>
    <rPh sb="0" eb="2">
      <t>ジコク</t>
    </rPh>
    <phoneticPr fontId="1"/>
  </si>
  <si>
    <t>出来高</t>
    <rPh sb="0" eb="3">
      <t>デキダカ</t>
    </rPh>
    <phoneticPr fontId="1"/>
  </si>
  <si>
    <t>約定値</t>
    <rPh sb="0" eb="2">
      <t>ヤクテイ</t>
    </rPh>
    <rPh sb="2" eb="3">
      <t>ネ</t>
    </rPh>
    <phoneticPr fontId="1"/>
  </si>
  <si>
    <t>売数量</t>
    <phoneticPr fontId="1"/>
  </si>
  <si>
    <t>値段</t>
  </si>
  <si>
    <t>買数量</t>
    <phoneticPr fontId="1"/>
  </si>
  <si>
    <t>OVER</t>
    <phoneticPr fontId="1"/>
  </si>
  <si>
    <t>UNDER</t>
  </si>
  <si>
    <t>現在値（時刻）</t>
    <rPh sb="0" eb="3">
      <t>ゲンザイネ</t>
    </rPh>
    <rPh sb="4" eb="6">
      <t>ジコク</t>
    </rPh>
    <phoneticPr fontId="10"/>
  </si>
  <si>
    <t>前日比</t>
    <rPh sb="0" eb="3">
      <t>ゼンジツヒ</t>
    </rPh>
    <phoneticPr fontId="10"/>
  </si>
  <si>
    <t>VWAP</t>
    <phoneticPr fontId="10"/>
  </si>
  <si>
    <t>最良売気配値（時刻）</t>
    <phoneticPr fontId="10"/>
  </si>
  <si>
    <t>前日比率</t>
    <rPh sb="0" eb="3">
      <t>ゼンジツヒ</t>
    </rPh>
    <rPh sb="3" eb="4">
      <t>リツ</t>
    </rPh>
    <phoneticPr fontId="10"/>
  </si>
  <si>
    <t>時価総額(百万円)</t>
    <rPh sb="0" eb="4">
      <t>ジカソウガク</t>
    </rPh>
    <rPh sb="5" eb="7">
      <t>ヒャクマン</t>
    </rPh>
    <rPh sb="7" eb="8">
      <t>エン</t>
    </rPh>
    <phoneticPr fontId="10"/>
  </si>
  <si>
    <t>最良買気配値（時刻）</t>
    <phoneticPr fontId="10"/>
  </si>
  <si>
    <t>前日終値</t>
    <rPh sb="0" eb="4">
      <t>ゼンジツオワリネ</t>
    </rPh>
    <phoneticPr fontId="10"/>
  </si>
  <si>
    <t>PBR</t>
    <phoneticPr fontId="10"/>
  </si>
  <si>
    <t>始値（時刻）</t>
    <rPh sb="0" eb="2">
      <t>ハジメネ</t>
    </rPh>
    <phoneticPr fontId="10"/>
  </si>
  <si>
    <t>前日日付</t>
    <rPh sb="0" eb="2">
      <t>ゼンジツ</t>
    </rPh>
    <rPh sb="2" eb="4">
      <t>ヒヅケ</t>
    </rPh>
    <phoneticPr fontId="10"/>
  </si>
  <si>
    <t>PER</t>
    <phoneticPr fontId="10"/>
  </si>
  <si>
    <t>高値（時刻）</t>
    <rPh sb="0" eb="2">
      <t>タカネ</t>
    </rPh>
    <phoneticPr fontId="10"/>
  </si>
  <si>
    <t>出来高</t>
    <rPh sb="0" eb="3">
      <t>デキダカ</t>
    </rPh>
    <phoneticPr fontId="10"/>
  </si>
  <si>
    <t>安値（時刻）</t>
    <rPh sb="0" eb="2">
      <t>ヤスネ</t>
    </rPh>
    <phoneticPr fontId="10"/>
  </si>
  <si>
    <t>売買代金(千円)</t>
    <rPh sb="0" eb="4">
      <t>バイバイダイキン</t>
    </rPh>
    <rPh sb="5" eb="7">
      <t>センエン</t>
    </rPh>
    <phoneticPr fontId="10"/>
  </si>
  <si>
    <t>#9999</t>
  </si>
  <si>
    <t>売建</t>
  </si>
  <si>
    <t>Order</t>
  </si>
  <si>
    <t>買埋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</si>
  <si>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</si>
  <si>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</si>
  <si>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</si>
  <si>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</si>
  <si>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</si>
  <si>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</si>
  <si>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</si>
  <si>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</si>
  <si>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7203</t>
  </si>
  <si>
    <t>8306</t>
  </si>
  <si>
    <t>6613</t>
  </si>
  <si>
    <t>3909</t>
  </si>
  <si>
    <t>5016</t>
  </si>
  <si>
    <t>285A</t>
  </si>
  <si>
    <t>2222</t>
  </si>
  <si>
    <t>9432</t>
  </si>
  <si>
    <t>15:30:00</t>
    <phoneticPr fontId="1"/>
  </si>
  <si>
    <t>15:24:59</t>
    <phoneticPr fontId="1"/>
  </si>
  <si>
    <t>15:24:58</t>
    <phoneticPr fontId="1"/>
  </si>
  <si>
    <t>15:24:57</t>
    <phoneticPr fontId="1"/>
  </si>
  <si>
    <t>15:24:56</t>
    <phoneticPr fontId="1"/>
  </si>
  <si>
    <t>15:24:55</t>
    <phoneticPr fontId="1"/>
  </si>
  <si>
    <t>トヨタ自動車</t>
    <phoneticPr fontId="1"/>
  </si>
  <si>
    <t>1M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</si>
  <si>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</si>
  <si>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</si>
  <si>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</si>
  <si>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</si>
  <si>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</si>
  <si>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</si>
  <si>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</si>
  <si>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</si>
  <si>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</si>
  <si>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</si>
  <si>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</si>
  <si>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</si>
  <si>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</si>
  <si>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</si>
  <si>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</si>
  <si>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</si>
  <si>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</si>
  <si>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</si>
  <si>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</si>
  <si>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</si>
  <si>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</si>
  <si>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</si>
  <si>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</si>
  <si>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</si>
  <si>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</si>
  <si>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</si>
  <si>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</si>
  <si>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</si>
  <si>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</si>
  <si>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</si>
  <si>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</si>
  <si>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</si>
  <si>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</si>
  <si>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</si>
  <si>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</si>
  <si>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</si>
  <si>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</si>
  <si>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</si>
  <si>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</si>
  <si>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</si>
  <si>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</si>
  <si>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</si>
  <si>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</si>
  <si>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</si>
  <si>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</si>
  <si>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</si>
  <si>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</si>
  <si>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</si>
  <si>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</si>
  <si>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</si>
  <si>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</si>
  <si>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</si>
  <si>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</si>
  <si>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</si>
  <si>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</si>
  <si>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</si>
  <si>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</si>
  <si>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</si>
  <si>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</si>
  <si>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</si>
  <si>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</si>
  <si>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</si>
  <si>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</si>
  <si>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</si>
  <si>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</si>
  <si>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</si>
  <si>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</si>
  <si>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</si>
  <si>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</si>
  <si>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</si>
  <si>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</si>
  <si>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</si>
  <si>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</si>
  <si>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</si>
  <si>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</si>
  <si>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</si>
  <si>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</si>
  <si>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</si>
  <si>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</si>
  <si>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</si>
  <si>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</si>
  <si>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</si>
  <si>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</si>
  <si>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</si>
  <si>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</si>
  <si>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</si>
  <si>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</si>
  <si>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</si>
  <si>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</si>
  <si>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</si>
  <si>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</si>
  <si>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</si>
  <si>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</si>
  <si>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</si>
  <si>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</si>
  <si>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</si>
  <si>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</si>
  <si>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</si>
  <si>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</si>
  <si>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</si>
  <si>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</si>
  <si>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</si>
  <si>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</si>
  <si>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</si>
  <si>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</si>
  <si>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</si>
  <si>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</si>
  <si>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</si>
  <si>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</si>
  <si>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</si>
  <si>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</si>
  <si>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</si>
  <si>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</si>
  <si>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</si>
  <si>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</si>
  <si>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</si>
  <si>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</si>
  <si>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</si>
  <si>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</si>
  <si>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</si>
  <si>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</si>
  <si>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</si>
  <si>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</si>
  <si>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</si>
  <si>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</si>
  <si>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</si>
  <si>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</si>
  <si>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</si>
  <si>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</si>
  <si>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</si>
  <si>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</si>
  <si>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</si>
  <si>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</si>
  <si>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</si>
  <si>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</si>
  <si>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</si>
  <si>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</si>
  <si>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</si>
  <si>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</si>
  <si>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</si>
  <si>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</si>
  <si>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</si>
  <si>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</si>
  <si>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</si>
  <si>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</si>
  <si>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</si>
  <si>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</si>
  <si>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</si>
  <si>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</si>
  <si>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</si>
  <si>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11:30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</si>
  <si>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</si>
  <si>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</si>
  <si>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</si>
  <si>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</si>
  <si>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</si>
  <si>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</si>
  <si>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</si>
  <si>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</si>
  <si>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</si>
  <si>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</si>
  <si>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</si>
  <si>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</si>
  <si>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</si>
  <si>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</si>
  <si>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</si>
  <si>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</si>
  <si>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</si>
  <si>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</si>
  <si>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</si>
  <si>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</si>
  <si>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</si>
  <si>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</si>
  <si>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</si>
  <si>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</si>
  <si>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</si>
  <si>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</si>
  <si>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</si>
  <si>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</si>
  <si>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</si>
  <si>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</si>
  <si>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</si>
  <si>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</si>
  <si>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</si>
  <si>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</si>
  <si>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</si>
  <si>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</si>
  <si>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</si>
  <si>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</si>
  <si>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</si>
  <si>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</si>
  <si>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</si>
  <si>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</si>
  <si>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</si>
  <si>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</si>
  <si>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</si>
  <si>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</si>
  <si>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</si>
  <si>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</si>
  <si>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</si>
  <si>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</si>
  <si>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</si>
  <si>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</si>
  <si>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</si>
  <si>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</si>
  <si>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</si>
  <si>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</si>
  <si>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</si>
  <si>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</si>
  <si>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</si>
  <si>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</si>
  <si>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</si>
  <si>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</si>
  <si>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</si>
  <si>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</si>
  <si>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</si>
  <si>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</si>
  <si>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</si>
  <si>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</si>
  <si>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</si>
  <si>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</si>
  <si>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</si>
  <si>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</si>
  <si>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</si>
  <si>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</si>
  <si>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</si>
  <si>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</si>
  <si>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</si>
  <si>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</si>
  <si>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</si>
  <si>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</si>
  <si>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</si>
  <si>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</si>
  <si>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</si>
  <si>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</si>
  <si>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</si>
  <si>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</si>
  <si>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</si>
  <si>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</si>
  <si>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</si>
  <si>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</si>
  <si>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</si>
  <si>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</si>
  <si>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</si>
  <si>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</si>
  <si>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</si>
  <si>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</si>
  <si>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</si>
  <si>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</si>
  <si>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</si>
  <si>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</si>
  <si>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</si>
  <si>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</si>
  <si>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</si>
  <si>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</si>
  <si>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</si>
  <si>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</si>
  <si>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</si>
  <si>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</si>
  <si>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</si>
  <si>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</si>
  <si>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</si>
  <si>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</si>
  <si>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</si>
  <si>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</si>
  <si>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</si>
  <si>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</si>
  <si>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</si>
  <si>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</si>
  <si>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</si>
  <si>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</si>
  <si>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</si>
  <si>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</si>
  <si>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</si>
  <si>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</si>
  <si>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</si>
  <si>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</si>
  <si>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</si>
  <si>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</si>
  <si>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</si>
  <si>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</si>
  <si>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</si>
  <si>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</si>
  <si>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</si>
  <si>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</si>
  <si>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</si>
  <si>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</si>
  <si>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</si>
  <si>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</si>
  <si>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</si>
  <si>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</si>
  <si>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</si>
  <si>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</si>
  <si>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</si>
  <si>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</si>
  <si>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</si>
  <si>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</si>
  <si>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</si>
  <si>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</si>
  <si>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</si>
  <si>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</si>
  <si>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</si>
  <si>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</si>
  <si>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</si>
  <si>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</si>
  <si>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</si>
  <si>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</si>
  <si>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</si>
  <si>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</si>
  <si>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</si>
  <si>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</si>
  <si>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</si>
  <si>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</si>
  <si>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</si>
  <si>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</si>
  <si>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</si>
  <si>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</si>
  <si>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</si>
  <si>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</si>
  <si>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</si>
  <si>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</si>
  <si>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</si>
  <si>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</si>
  <si>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</si>
  <si>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</si>
  <si>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</si>
  <si>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</si>
  <si>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</si>
  <si>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</si>
  <si>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</si>
  <si>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</si>
  <si>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</si>
  <si>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15:23</t>
  </si>
  <si>
    <t>15:24</t>
  </si>
  <si>
    <t>2026/10/22</t>
    <phoneticPr fontId="1"/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</si>
  <si>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</si>
  <si>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</si>
  <si>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</si>
  <si>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</si>
  <si>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</si>
  <si>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</si>
  <si>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</si>
  <si>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</si>
  <si>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</si>
  <si>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</si>
  <si>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</si>
  <si>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</si>
  <si>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</si>
  <si>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</si>
  <si>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</si>
  <si>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</si>
  <si>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</si>
  <si>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</si>
  <si>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</si>
  <si>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</si>
  <si>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</si>
  <si>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</si>
  <si>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</si>
  <si>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</si>
  <si>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</si>
  <si>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</si>
  <si>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</si>
  <si>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</si>
  <si>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</si>
  <si>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</si>
  <si>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</si>
  <si>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</si>
  <si>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</si>
  <si>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</si>
  <si>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</si>
  <si>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</si>
  <si>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</si>
  <si>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</si>
  <si>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</si>
  <si>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</si>
  <si>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</si>
  <si>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</si>
  <si>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</si>
  <si>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</si>
  <si>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</si>
  <si>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</si>
  <si>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</si>
  <si>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</si>
  <si>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</si>
  <si>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</si>
  <si>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</si>
  <si>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</si>
  <si>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</si>
  <si>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</si>
  <si>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</si>
  <si>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</si>
  <si>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</si>
  <si>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</si>
  <si>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</si>
  <si>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</si>
  <si>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</si>
  <si>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</si>
  <si>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</si>
  <si>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</si>
  <si>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</si>
  <si>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</si>
  <si>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</si>
  <si>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</si>
  <si>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</si>
  <si>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</si>
  <si>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</si>
  <si>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</si>
  <si>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</si>
  <si>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</si>
  <si>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</si>
  <si>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</si>
  <si>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</si>
  <si>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</si>
  <si>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</si>
  <si>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</si>
  <si>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</si>
  <si>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</si>
  <si>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</si>
  <si>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</si>
  <si>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</si>
  <si>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</si>
  <si>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</si>
  <si>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</si>
  <si>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</si>
  <si>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</si>
  <si>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</si>
  <si>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</si>
  <si>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</si>
  <si>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</si>
  <si>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</si>
  <si>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</si>
  <si>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</si>
  <si>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</si>
  <si>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</si>
  <si>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</si>
  <si>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</si>
  <si>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</si>
  <si>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</si>
  <si>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</si>
  <si>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</si>
  <si>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</si>
  <si>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</si>
  <si>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</si>
  <si>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</si>
  <si>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</si>
  <si>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</si>
  <si>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</si>
  <si>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</si>
  <si>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</si>
  <si>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</si>
  <si>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</si>
  <si>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</si>
  <si>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</si>
  <si>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</si>
  <si>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</si>
  <si>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</si>
  <si>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</si>
  <si>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</si>
  <si>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</si>
  <si>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</si>
  <si>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</si>
  <si>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</si>
  <si>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</si>
  <si>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</si>
  <si>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</si>
  <si>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</si>
  <si>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</si>
  <si>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</si>
  <si>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</si>
  <si>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</si>
  <si>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</si>
  <si>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</si>
  <si>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</si>
  <si>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</si>
  <si>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</si>
  <si>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</si>
  <si>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</si>
  <si>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</si>
  <si>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</si>
  <si>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</si>
  <si>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</si>
  <si>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</si>
  <si>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</si>
  <si>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</si>
  <si>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</si>
  <si>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</si>
  <si>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</si>
  <si>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</si>
  <si>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</si>
  <si>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</si>
  <si>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</si>
  <si>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</si>
  <si>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</si>
  <si>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</si>
  <si>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</si>
  <si>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</si>
  <si>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</si>
  <si>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</si>
  <si>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</si>
  <si>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</si>
  <si>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</si>
  <si>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</si>
  <si>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</si>
  <si>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</si>
  <si>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</si>
  <si>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</si>
  <si>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</si>
  <si>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</si>
  <si>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</si>
  <si>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</si>
  <si>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</si>
  <si>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</si>
  <si>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</si>
  <si>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</si>
  <si>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</si>
  <si>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</si>
  <si>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</si>
  <si>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</si>
  <si>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</si>
  <si>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</si>
  <si>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</si>
  <si>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</si>
  <si>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</si>
  <si>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</si>
  <si>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</si>
  <si>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</si>
  <si>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</si>
  <si>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</si>
  <si>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</si>
  <si>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</si>
  <si>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</si>
  <si>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</si>
  <si>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</si>
  <si>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</si>
  <si>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</si>
  <si>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</si>
  <si>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</si>
  <si>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</si>
  <si>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</si>
  <si>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</si>
  <si>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</si>
  <si>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</si>
  <si>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</si>
  <si>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</si>
  <si>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</si>
  <si>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</si>
  <si>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</si>
  <si>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</si>
  <si>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</si>
  <si>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</si>
  <si>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</si>
  <si>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</si>
  <si>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</si>
  <si>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</si>
  <si>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</si>
  <si>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</si>
  <si>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</si>
  <si>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</si>
  <si>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</si>
  <si>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</si>
  <si>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</si>
  <si>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</si>
  <si>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</si>
  <si>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</si>
  <si>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</si>
  <si>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</si>
  <si>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</si>
  <si>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</si>
  <si>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</si>
  <si>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</si>
  <si>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</si>
  <si>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</si>
  <si>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</si>
  <si>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</si>
  <si>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</si>
  <si>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</si>
  <si>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</si>
  <si>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</si>
  <si>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</si>
  <si>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</si>
  <si>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</si>
  <si>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</si>
  <si>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</si>
  <si>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</si>
  <si>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</si>
  <si>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</si>
  <si>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</si>
  <si>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</si>
  <si>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</si>
  <si>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</si>
  <si>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</si>
  <si>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</si>
  <si>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</si>
  <si>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</si>
  <si>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</si>
  <si>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</si>
  <si>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</si>
  <si>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</si>
  <si>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</si>
  <si>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</si>
  <si>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</si>
  <si>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</si>
  <si>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</si>
  <si>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</si>
  <si>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</si>
  <si>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</si>
  <si>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</si>
  <si>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</si>
  <si>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</si>
  <si>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</si>
  <si>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</si>
  <si>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</si>
  <si>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</si>
  <si>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</si>
  <si>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</si>
  <si>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</si>
  <si>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</si>
  <si>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</si>
  <si>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</si>
  <si>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</si>
  <si>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</si>
  <si>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</si>
  <si>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</si>
  <si>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</si>
  <si>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</si>
  <si>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</si>
  <si>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</si>
  <si>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</si>
  <si>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</si>
  <si>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</si>
  <si>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</si>
  <si>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</si>
  <si>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</si>
  <si>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</si>
  <si>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</si>
  <si>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</si>
  <si>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</si>
  <si>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</si>
  <si>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</si>
  <si>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</si>
  <si>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</si>
  <si>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</si>
  <si>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</si>
  <si>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</si>
  <si>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</si>
  <si>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</si>
  <si>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</si>
  <si>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</si>
  <si>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</si>
  <si>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</si>
  <si>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</si>
  <si>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</si>
  <si>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</si>
  <si>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</si>
  <si>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</si>
  <si>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2026/10/23</t>
  </si>
  <si>
    <t>2026/10/23</t>
    <phoneticPr fontId="1"/>
  </si>
  <si>
    <t>15:05:12</t>
    <phoneticPr fontId="1"/>
  </si>
  <si>
    <t>15:05:15</t>
    <phoneticPr fontId="1"/>
  </si>
  <si>
    <t>15:05:14</t>
    <phoneticPr fontId="1"/>
  </si>
  <si>
    <t>15:05:17</t>
    <phoneticPr fontId="1"/>
  </si>
  <si>
    <t>15:05:30</t>
    <phoneticPr fontId="1"/>
  </si>
  <si>
    <t>15:05:46</t>
    <phoneticPr fontId="1"/>
  </si>
  <si>
    <t>15:05:47</t>
    <phoneticPr fontId="1"/>
  </si>
  <si>
    <t>15:05:50</t>
    <phoneticPr fontId="1"/>
  </si>
  <si>
    <t>15:06:00</t>
    <phoneticPr fontId="1"/>
  </si>
  <si>
    <t>15:06:05</t>
    <phoneticPr fontId="1"/>
  </si>
  <si>
    <t>15:06:14</t>
    <phoneticPr fontId="1"/>
  </si>
  <si>
    <t>15:06:16</t>
    <phoneticPr fontId="1"/>
  </si>
  <si>
    <t>15:06:29</t>
    <phoneticPr fontId="1"/>
  </si>
  <si>
    <t>15:06:28</t>
    <phoneticPr fontId="1"/>
  </si>
  <si>
    <t>15:06:39</t>
    <phoneticPr fontId="1"/>
  </si>
  <si>
    <t>15:06:40</t>
    <phoneticPr fontId="1"/>
  </si>
  <si>
    <t>15:06:42</t>
    <phoneticPr fontId="1"/>
  </si>
  <si>
    <t>15:06:44</t>
    <phoneticPr fontId="1"/>
  </si>
  <si>
    <t>15:06:47</t>
    <phoneticPr fontId="1"/>
  </si>
  <si>
    <t>15:06:53</t>
    <phoneticPr fontId="1"/>
  </si>
  <si>
    <t>15:07:16</t>
    <phoneticPr fontId="1"/>
  </si>
  <si>
    <t>15:07:20</t>
    <phoneticPr fontId="1"/>
  </si>
  <si>
    <t>15:07:28</t>
    <phoneticPr fontId="1"/>
  </si>
  <si>
    <t>15:07:29</t>
    <phoneticPr fontId="1"/>
  </si>
  <si>
    <t>15:07:33</t>
    <phoneticPr fontId="1"/>
  </si>
  <si>
    <t>15:07:32</t>
    <phoneticPr fontId="1"/>
  </si>
  <si>
    <t>15:07:45</t>
    <phoneticPr fontId="1"/>
  </si>
  <si>
    <t>15:07:51</t>
    <phoneticPr fontId="1"/>
  </si>
  <si>
    <t>15:07:53</t>
    <phoneticPr fontId="1"/>
  </si>
  <si>
    <t>15:07:54</t>
    <phoneticPr fontId="1"/>
  </si>
  <si>
    <t>15:07:55</t>
    <phoneticPr fontId="1"/>
  </si>
  <si>
    <t>15:07:58</t>
    <phoneticPr fontId="1"/>
  </si>
  <si>
    <t>15:08:02</t>
    <phoneticPr fontId="1"/>
  </si>
  <si>
    <t>15:08:26</t>
    <phoneticPr fontId="1"/>
  </si>
  <si>
    <t>15:08:30</t>
    <phoneticPr fontId="1"/>
  </si>
  <si>
    <t>15:08:41</t>
    <phoneticPr fontId="1"/>
  </si>
  <si>
    <t>15:08:42</t>
    <phoneticPr fontId="1"/>
  </si>
  <si>
    <t>15:08:49</t>
    <phoneticPr fontId="1"/>
  </si>
  <si>
    <t>15:08:52</t>
    <phoneticPr fontId="1"/>
  </si>
  <si>
    <t>15:08:59</t>
    <phoneticPr fontId="1"/>
  </si>
  <si>
    <t>15:09:04</t>
    <phoneticPr fontId="1"/>
  </si>
  <si>
    <t>15:09:10</t>
    <phoneticPr fontId="1"/>
  </si>
  <si>
    <t>15:09:15</t>
    <phoneticPr fontId="1"/>
  </si>
  <si>
    <t>15:09:24</t>
    <phoneticPr fontId="1"/>
  </si>
  <si>
    <t>15:09:23</t>
    <phoneticPr fontId="1"/>
  </si>
  <si>
    <t>15:09:25</t>
    <phoneticPr fontId="1"/>
  </si>
  <si>
    <t>15:09:26</t>
    <phoneticPr fontId="1"/>
  </si>
  <si>
    <t>15:09:29</t>
    <phoneticPr fontId="1"/>
  </si>
  <si>
    <t>15:09:31</t>
    <phoneticPr fontId="1"/>
  </si>
  <si>
    <t>15:09:37</t>
    <phoneticPr fontId="1"/>
  </si>
  <si>
    <t>15:09:39</t>
    <phoneticPr fontId="1"/>
  </si>
  <si>
    <t>15:09:40</t>
    <phoneticPr fontId="1"/>
  </si>
  <si>
    <t>15:09:41</t>
    <phoneticPr fontId="1"/>
  </si>
  <si>
    <t>15:09:43</t>
    <phoneticPr fontId="1"/>
  </si>
  <si>
    <t>15:10:02</t>
    <phoneticPr fontId="1"/>
  </si>
  <si>
    <t>15:10:03</t>
    <phoneticPr fontId="1"/>
  </si>
  <si>
    <t>15:10:30</t>
    <phoneticPr fontId="1"/>
  </si>
  <si>
    <t>15:10:47</t>
    <phoneticPr fontId="1"/>
  </si>
  <si>
    <t>15:10:46</t>
    <phoneticPr fontId="1"/>
  </si>
  <si>
    <t>15:10:51</t>
    <phoneticPr fontId="1"/>
  </si>
  <si>
    <t>15:10:50</t>
    <phoneticPr fontId="1"/>
  </si>
  <si>
    <t>15:10:55</t>
    <phoneticPr fontId="1"/>
  </si>
  <si>
    <t>15:11:07</t>
    <phoneticPr fontId="1"/>
  </si>
  <si>
    <t>15:11:23</t>
    <phoneticPr fontId="1"/>
  </si>
  <si>
    <t>15:11:30</t>
    <phoneticPr fontId="1"/>
  </si>
  <si>
    <t>15:11:31</t>
    <phoneticPr fontId="1"/>
  </si>
  <si>
    <t>15:11:36</t>
    <phoneticPr fontId="1"/>
  </si>
  <si>
    <t>15:11:42</t>
    <phoneticPr fontId="1"/>
  </si>
  <si>
    <t>15:11:44</t>
    <phoneticPr fontId="1"/>
  </si>
  <si>
    <t>15:11:53</t>
    <phoneticPr fontId="1"/>
  </si>
  <si>
    <t>15:11:55</t>
    <phoneticPr fontId="1"/>
  </si>
  <si>
    <t>15:12:03</t>
    <phoneticPr fontId="1"/>
  </si>
  <si>
    <t>15:12:10</t>
    <phoneticPr fontId="1"/>
  </si>
  <si>
    <t>15:12:16</t>
    <phoneticPr fontId="1"/>
  </si>
  <si>
    <t>15:12:25</t>
    <phoneticPr fontId="1"/>
  </si>
  <si>
    <t>15:12:26</t>
    <phoneticPr fontId="1"/>
  </si>
  <si>
    <t>15:12:29</t>
    <phoneticPr fontId="1"/>
  </si>
  <si>
    <t>15:12:30</t>
    <phoneticPr fontId="1"/>
  </si>
  <si>
    <t>15:12:31</t>
    <phoneticPr fontId="1"/>
  </si>
  <si>
    <t>15:12:32</t>
    <phoneticPr fontId="1"/>
  </si>
  <si>
    <t>15:12:34</t>
    <phoneticPr fontId="1"/>
  </si>
  <si>
    <t>15:12:39</t>
    <phoneticPr fontId="1"/>
  </si>
  <si>
    <t>15:12:42</t>
    <phoneticPr fontId="1"/>
  </si>
  <si>
    <t>15:12:47</t>
    <phoneticPr fontId="1"/>
  </si>
  <si>
    <t>15:12:46</t>
    <phoneticPr fontId="1"/>
  </si>
  <si>
    <t>15:12:53</t>
    <phoneticPr fontId="1"/>
  </si>
  <si>
    <t>15:12:52</t>
    <phoneticPr fontId="1"/>
  </si>
  <si>
    <t>RssChart($A$2:$J$2, "7203.T", "1M", 323)</t>
    <phoneticPr fontId="1"/>
  </si>
  <si>
    <t>15:13:14</t>
    <phoneticPr fontId="1"/>
  </si>
  <si>
    <t>15:13:08</t>
    <phoneticPr fontId="1"/>
  </si>
  <si>
    <t>15:13:07</t>
    <phoneticPr fontId="1"/>
  </si>
  <si>
    <t>15:13:06</t>
    <phoneticPr fontId="1"/>
  </si>
  <si>
    <t>15:13:03</t>
    <phoneticPr fontId="1"/>
  </si>
  <si>
    <t>15:13:02</t>
    <phoneticPr fontId="1"/>
  </si>
  <si>
    <t>15:13:01</t>
    <phoneticPr fontId="1"/>
  </si>
  <si>
    <t>15:12:58</t>
    <phoneticPr fontId="1"/>
  </si>
  <si>
    <t>15:13:20</t>
    <phoneticPr fontId="1"/>
  </si>
  <si>
    <t>15:13:35</t>
    <phoneticPr fontId="1"/>
  </si>
  <si>
    <t>15:13:38</t>
    <phoneticPr fontId="1"/>
  </si>
  <si>
    <t>15:13:41</t>
    <phoneticPr fontId="1"/>
  </si>
  <si>
    <t>15:13:42</t>
    <phoneticPr fontId="1"/>
  </si>
  <si>
    <t>15:13:45</t>
    <phoneticPr fontId="1"/>
  </si>
  <si>
    <t>15:13:47</t>
    <phoneticPr fontId="1"/>
  </si>
  <si>
    <t>15:13:53</t>
    <phoneticPr fontId="1"/>
  </si>
  <si>
    <t>15:14:19</t>
    <phoneticPr fontId="1"/>
  </si>
  <si>
    <t>15:14:20</t>
    <phoneticPr fontId="1"/>
  </si>
  <si>
    <t>15:14:22</t>
    <phoneticPr fontId="1"/>
  </si>
  <si>
    <t>15:14:26</t>
    <phoneticPr fontId="1"/>
  </si>
  <si>
    <t>15:14:34</t>
    <phoneticPr fontId="1"/>
  </si>
  <si>
    <t>15:14:41</t>
    <phoneticPr fontId="1"/>
  </si>
  <si>
    <t>15:14:42</t>
    <phoneticPr fontId="1"/>
  </si>
  <si>
    <t>15:14:47</t>
    <phoneticPr fontId="1"/>
  </si>
  <si>
    <t>15:14:52</t>
    <phoneticPr fontId="1"/>
  </si>
  <si>
    <t>15:14:53</t>
    <phoneticPr fontId="1"/>
  </si>
  <si>
    <t>15:14:57</t>
    <phoneticPr fontId="1"/>
  </si>
  <si>
    <t>15:14:58</t>
    <phoneticPr fontId="1"/>
  </si>
  <si>
    <t>15:15:00</t>
    <phoneticPr fontId="1"/>
  </si>
  <si>
    <t>15:15:01</t>
    <phoneticPr fontId="1"/>
  </si>
  <si>
    <t>15:15:05</t>
    <phoneticPr fontId="1"/>
  </si>
  <si>
    <t>15:15:15</t>
    <phoneticPr fontId="1"/>
  </si>
  <si>
    <t>15:15:20</t>
    <phoneticPr fontId="1"/>
  </si>
  <si>
    <t>15:15:32</t>
    <phoneticPr fontId="1"/>
  </si>
  <si>
    <t>15:15:35</t>
    <phoneticPr fontId="1"/>
  </si>
  <si>
    <t>15:15:36</t>
    <phoneticPr fontId="1"/>
  </si>
  <si>
    <t>15:15:38</t>
    <phoneticPr fontId="1"/>
  </si>
  <si>
    <t>15:15:41</t>
    <phoneticPr fontId="1"/>
  </si>
  <si>
    <t>15:15:40</t>
    <phoneticPr fontId="1"/>
  </si>
  <si>
    <t>15:15:45</t>
    <phoneticPr fontId="1"/>
  </si>
  <si>
    <t>15:15:47</t>
    <phoneticPr fontId="1"/>
  </si>
  <si>
    <t>15:15:52</t>
    <phoneticPr fontId="1"/>
  </si>
  <si>
    <t>15:16:01</t>
    <phoneticPr fontId="1"/>
  </si>
  <si>
    <t>15:16:05</t>
    <phoneticPr fontId="1"/>
  </si>
  <si>
    <t>15:16:10</t>
    <phoneticPr fontId="1"/>
  </si>
  <si>
    <t>15:16:11</t>
    <phoneticPr fontId="1"/>
  </si>
  <si>
    <t>15:16:12</t>
    <phoneticPr fontId="1"/>
  </si>
  <si>
    <t>15:16:17</t>
    <phoneticPr fontId="1"/>
  </si>
  <si>
    <t>15:16:25</t>
    <phoneticPr fontId="1"/>
  </si>
  <si>
    <t>15:16:32</t>
    <phoneticPr fontId="1"/>
  </si>
  <si>
    <t>15:16:36</t>
    <phoneticPr fontId="1"/>
  </si>
  <si>
    <t>15:16:37</t>
    <phoneticPr fontId="1"/>
  </si>
  <si>
    <t>15:16:39</t>
    <phoneticPr fontId="1"/>
  </si>
  <si>
    <t>15:16:46</t>
    <phoneticPr fontId="1"/>
  </si>
  <si>
    <t>15:16:48</t>
    <phoneticPr fontId="1"/>
  </si>
  <si>
    <t>15:16:50</t>
    <phoneticPr fontId="1"/>
  </si>
  <si>
    <t>15:16:58</t>
    <phoneticPr fontId="1"/>
  </si>
  <si>
    <t>15:17:02</t>
    <phoneticPr fontId="1"/>
  </si>
  <si>
    <t>15:17:07</t>
    <phoneticPr fontId="1"/>
  </si>
  <si>
    <t>15:17:08</t>
    <phoneticPr fontId="1"/>
  </si>
  <si>
    <t>15:17:09</t>
    <phoneticPr fontId="1"/>
  </si>
  <si>
    <t>15:17:11</t>
    <phoneticPr fontId="1"/>
  </si>
  <si>
    <t>15:17:10</t>
    <phoneticPr fontId="1"/>
  </si>
  <si>
    <t>15:17:20</t>
    <phoneticPr fontId="1"/>
  </si>
  <si>
    <t>15:17:18</t>
    <phoneticPr fontId="1"/>
  </si>
  <si>
    <t>15:17:30</t>
    <phoneticPr fontId="1"/>
  </si>
  <si>
    <t>15:17:45</t>
    <phoneticPr fontId="1"/>
  </si>
  <si>
    <t>15:17:53</t>
    <phoneticPr fontId="1"/>
  </si>
  <si>
    <t>RssTickList(B3:D3,$B$1,300)</t>
    <phoneticPr fontId="1"/>
  </si>
  <si>
    <t>15:24:53</t>
    <phoneticPr fontId="1"/>
  </si>
  <si>
    <t>15:24:54</t>
    <phoneticPr fontId="1"/>
  </si>
  <si>
    <t>RssChart($A$2:$J$2, "7203.T", "1M", 5)</t>
    <phoneticPr fontId="1"/>
  </si>
  <si>
    <t>トヨタ自動車</t>
  </si>
  <si>
    <t>1M</t>
  </si>
  <si>
    <t>01:33</t>
  </si>
  <si>
    <t>01:34</t>
  </si>
  <si>
    <t>01:35</t>
  </si>
  <si>
    <t>01:36</t>
  </si>
  <si>
    <t>01:37</t>
  </si>
  <si>
    <t>01:38</t>
  </si>
  <si>
    <t>01:39</t>
  </si>
  <si>
    <t>01:40</t>
  </si>
  <si>
    <t>01:41</t>
  </si>
  <si>
    <t>01:42</t>
  </si>
  <si>
    <t>01:43</t>
  </si>
  <si>
    <t>01:44</t>
  </si>
  <si>
    <t>01:45</t>
  </si>
  <si>
    <t>01:46</t>
  </si>
  <si>
    <t>01:47</t>
  </si>
  <si>
    <t>01:48</t>
  </si>
  <si>
    <t>01:49</t>
  </si>
  <si>
    <t>01:50</t>
  </si>
  <si>
    <t>01:51</t>
  </si>
  <si>
    <t>01:52</t>
  </si>
  <si>
    <t>01:53</t>
  </si>
  <si>
    <t>01:54</t>
  </si>
  <si>
    <t>01:55</t>
  </si>
  <si>
    <t>01:56</t>
  </si>
  <si>
    <t>01:57</t>
  </si>
  <si>
    <t>01:58</t>
  </si>
  <si>
    <t>01:59</t>
  </si>
  <si>
    <t>02:00</t>
  </si>
  <si>
    <t>02:01</t>
  </si>
  <si>
    <t>02:02</t>
  </si>
  <si>
    <t>02:03</t>
  </si>
  <si>
    <t>02:04</t>
  </si>
  <si>
    <t>02:05</t>
  </si>
  <si>
    <t>02:06</t>
  </si>
  <si>
    <t>02:07</t>
  </si>
  <si>
    <t>02:08</t>
  </si>
  <si>
    <t>02:09</t>
  </si>
  <si>
    <t>02:10</t>
  </si>
  <si>
    <t>02:11</t>
  </si>
  <si>
    <t>02:12</t>
  </si>
  <si>
    <t>02:13</t>
  </si>
  <si>
    <t>02:14</t>
  </si>
  <si>
    <t>02:15</t>
  </si>
  <si>
    <t>02:16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</si>
</sst>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5" tint="-0.249977111117893"/>
      <name val="Yu Gothic"/>
      <family val="2"/>
      <scheme val="minor"/>
    </font>
    <font>
      <sz val="11"/>
      <color rgb="FF00B05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B0F0"/>
      <name val="Yu Gothic"/>
      <family val="2"/>
      <scheme val="minor"/>
    </font>
    <font>
      <sz val="11"/>
      <color theme="1"/>
      <name val="Yu Gothic"/>
      <family val="2"/>
      <scheme val="minor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6"/>
      <name val="Yu Gothic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quotePrefix="1"/>
    <xf numFmtId="0" fontId="2" fillId="0" borderId="0" xfId="1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0" fillId="0" borderId="0" xfId="0" quotePrefix="1" applyAlignment="1">
      <alignment vertical="top" wrapText="1"/>
    </xf>
    <xf numFmtId="22" fontId="0" fillId="0" borderId="0" xfId="0" quotePrefix="1" applyNumberFormat="1"/>
    <xf numFmtId="0" fontId="3" fillId="0" borderId="0" xfId="0" quotePrefix="1" applyFont="1"/>
    <xf numFmtId="0" fontId="3" fillId="0" borderId="0" xfId="0" applyFont="1"/>
    <xf numFmtId="0" fontId="4" fillId="0" borderId="0" xfId="0" applyFont="1"/>
    <xf numFmtId="0" fontId="4" fillId="0" borderId="0" xfId="0" quotePrefix="1" applyFont="1"/>
    <xf numFmtId="0" fontId="0" fillId="2" borderId="0" xfId="0" applyFill="1"/>
    <xf numFmtId="0" fontId="5" fillId="0" borderId="0" xfId="0" quotePrefix="1" applyFont="1"/>
    <xf numFmtId="0" fontId="6" fillId="0" borderId="0" xfId="0" quotePrefix="1" applyFont="1"/>
    <xf numFmtId="0" fontId="8" fillId="0" borderId="0" xfId="0" applyFont="1"/>
    <xf numFmtId="0" fontId="8" fillId="0" borderId="1" xfId="0" applyFont="1" applyBorder="1"/>
    <xf numFmtId="0" fontId="8" fillId="0" borderId="0" xfId="0" quotePrefix="1" applyFont="1"/>
    <xf numFmtId="0" fontId="9" fillId="0" borderId="1" xfId="0" applyFont="1" applyBorder="1" applyAlignment="1">
      <alignment vertical="center"/>
    </xf>
    <xf numFmtId="38" fontId="8" fillId="0" borderId="1" xfId="2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right" vertical="center"/>
    </xf>
    <xf numFmtId="10" fontId="8" fillId="0" borderId="1" xfId="3" applyNumberFormat="1" applyFont="1" applyBorder="1" applyAlignment="1">
      <alignment horizontal="right" vertical="center"/>
    </xf>
    <xf numFmtId="0" fontId="8" fillId="0" borderId="1" xfId="0" applyFont="1" applyBorder="1" applyAlignment="1">
      <alignment vertical="center"/>
    </xf>
    <xf numFmtId="38" fontId="8" fillId="0" borderId="1" xfId="2" applyFont="1" applyBorder="1" applyAlignment="1">
      <alignment horizontal="right" vertical="center"/>
    </xf>
    <xf numFmtId="40" fontId="8" fillId="0" borderId="1" xfId="2" applyNumberFormat="1" applyFont="1" applyBorder="1" applyAlignment="1">
      <alignment horizontal="righ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4" fontId="0" fillId="0" borderId="0" xfId="0" quotePrefix="1" applyNumberFormat="1" applyAlignment="1">
      <alignment vertical="top"/>
    </xf>
    <xf numFmtId="21" fontId="0" fillId="0" borderId="0" xfId="0" quotePrefix="1" applyNumberFormat="1" applyAlignment="1">
      <alignment vertical="top"/>
    </xf>
    <xf numFmtId="49" fontId="0" fillId="0" borderId="0" xfId="0" applyNumberFormat="1"/>
    <xf numFmtId="14" fontId="0" fillId="0" borderId="0" xfId="0" quotePrefix="1" applyNumberFormat="1"/>
    <xf numFmtId="21" fontId="0" fillId="0" borderId="0" xfId="0" quotePrefix="1" applyNumberFormat="1"/>
    <xf numFmtId="14" fontId="0" fillId="0" borderId="0" xfId="0" applyNumberFormat="1"/>
  </cellXfs>
  <cellStyles count="4">
    <cellStyle name="パーセント" xfId="3" builtinId="5"/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6c8798dc13b4577a4c6626df9d5834c">
      <tp t="s">
        <v/>
        <stp/>
        <stp>Market</stp>
        <stp>STOCK</stp>
        <stp>83060</stp>
        <stp>始値</stp>
        <tr r="I8" s="39"/>
      </tp>
    </main>
    <main first="rtdsrv.a6c8798dc13b4577a4c6626df9d5834c">
      <tp t="s">
        <v/>
        <stp/>
        <stp>Market</stp>
        <stp>STOCK</stp>
        <stp>50160</stp>
        <stp>安値</stp>
        <tr r="K5" s="39"/>
      </tp>
      <tp t="s">
        <v/>
        <stp/>
        <stp>Market</stp>
        <stp>STOCK</stp>
        <stp>72030</stp>
        <stp>最良売気配値10</stp>
        <tr r="G6" s="37"/>
        <tr r="CQ7" s="27"/>
      </tp>
      <tp t="s">
        <v/>
        <stp/>
        <stp>Market</stp>
        <stp>STOCK</stp>
        <stp>72030</stp>
        <stp>始値</stp>
        <tr r="AD7" s="27"/>
        <tr r="K6" s="37"/>
        <tr r="I7" s="39"/>
      </tp>
      <tp t="s">
        <v/>
        <stp/>
        <stp>Market</stp>
        <stp>STOCK</stp>
        <stp>22220</stp>
        <stp>始値</stp>
        <tr r="I2" s="39"/>
      </tp>
      <tp t="s">
        <v/>
        <stp/>
        <stp>Market</stp>
        <stp>STOCK</stp>
        <stp>83060</stp>
        <stp>安値</stp>
        <tr r="K8" s="39"/>
      </tp>
      <tp t="s">
        <v/>
        <stp/>
        <stp>Market</stp>
        <stp>STOCK</stp>
        <stp/>
        <stp>信用売残</stp>
        <tr r="BP8" s="27"/>
      </tp>
      <tp t="s">
        <v/>
        <stp/>
        <stp>Market</stp>
        <stp>STOCK</stp>
        <stp>22220</stp>
        <stp>安値</stp>
        <tr r="K2" s="39"/>
      </tp>
      <tp t="s">
        <v/>
        <stp/>
        <stp>Market</stp>
        <stp>STOCK</stp>
        <stp>72030</stp>
        <stp>安値</stp>
        <tr r="AF7" s="27"/>
        <tr r="K8" s="37"/>
        <tr r="K7" s="39"/>
      </tp>
      <tp t="s">
        <v/>
        <stp/>
        <stp>Market</stp>
        <stp>STOCK</stp>
        <stp>50160</stp>
        <stp>始値</stp>
        <tr r="I5" s="39"/>
      </tp>
    </main>
    <main first="rtdsrv.a6c8798dc13b4577a4c6626df9d5834c">
      <tp t="s">
        <v/>
        <stp/>
        <stp>Market</stp>
        <stp>STOCK</stp>
        <stp>94320</stp>
        <stp>安値</stp>
        <tr r="K9" s="39"/>
      </tp>
      <tp t="s">
        <v/>
        <stp/>
        <stp>Market</stp>
        <stp>STOCK</stp>
        <stp>66130</stp>
        <stp>始値</stp>
        <tr r="I6" s="39"/>
      </tp>
    </main>
    <main first="rtdsrv.a6c8798dc13b4577a4c6626df9d5834c">
      <tp t="s">
        <v/>
        <stp/>
        <stp>Market</stp>
        <stp>STOCK</stp>
        <stp/>
        <stp>後場始値時刻</stp>
        <tr r="AZ8" s="27"/>
      </tp>
      <tp t="s">
        <v/>
        <stp/>
        <stp>Market</stp>
        <stp>STOCK</stp>
        <stp/>
        <stp>後場安値時刻</stp>
        <tr r="BB8" s="27"/>
      </tp>
      <tp t="s">
        <v/>
        <stp/>
        <stp>Market</stp>
        <stp>STOCK</stp>
        <stp/>
        <stp>後場高値時刻</stp>
        <tr r="BA8" s="27"/>
      </tp>
    </main>
    <main first="rtdsrv.a6c8798dc13b4577a4c6626df9d5834c">
      <tp t="s">
        <v/>
        <stp/>
        <stp>Market</stp>
        <stp>STOCK</stp>
        <stp>66130</stp>
        <stp>安値</stp>
        <tr r="K6" s="39"/>
      </tp>
      <tp t="s">
        <v/>
        <stp/>
        <stp>Market</stp>
        <stp>STOCK</stp>
        <stp>94320</stp>
        <stp>始値</stp>
        <tr r="I9" s="39"/>
      </tp>
    </main>
    <main first="rtdsrv.a6c8798dc13b4577a4c6626df9d5834c">
      <tp t="s">
        <v/>
        <stp/>
        <stp>Market</stp>
        <stp>STOCK</stp>
        <stp>39090</stp>
        <stp>安値</stp>
        <tr r="K4" s="39"/>
      </tp>
      <tp t="s">
        <v/>
        <stp/>
        <stp>Market</stp>
        <stp>STOCK</stp>
        <stp>285A0</stp>
        <stp>安値</stp>
        <tr r="K3" s="39"/>
      </tp>
      <tp t="s">
        <v/>
        <stp/>
        <stp>Market</stp>
        <stp>STOCK</stp>
        <stp/>
        <stp>信用倍率</stp>
        <tr r="BT8" s="27"/>
      </tp>
    </main>
    <main first="rtdsrv.a6c8798dc13b4577a4c6626df9d5834c">
      <tp t="s">
        <v/>
        <stp/>
        <stp>Market</stp>
        <stp>STOCK</stp>
        <stp>39090</stp>
        <stp>始値</stp>
        <tr r="I4" s="39"/>
      </tp>
    </main>
    <main first="rtdsrv.a6c8798dc13b4577a4c6626df9d5834c">
      <tp t="s">
        <v/>
        <stp/>
        <stp>Market</stp>
        <stp>STOCK</stp>
        <stp>72030</stp>
        <stp>信用売残前週比</stp>
        <tr r="BQ7" s="27"/>
      </tp>
      <tp t="s">
        <v/>
        <stp/>
        <stp>Market</stp>
        <stp>STOCK</stp>
        <stp/>
        <stp>前場終値時刻</stp>
        <tr r="AX8" s="27"/>
      </tp>
      <tp t="s">
        <v/>
        <stp/>
        <stp>Market</stp>
        <stp>STOCK</stp>
        <stp/>
        <stp>前場始値時刻</stp>
        <tr r="AU8" s="27"/>
      </tp>
      <tp t="s">
        <v/>
        <stp/>
        <stp>Market</stp>
        <stp>STOCK</stp>
        <stp/>
        <stp>前場安値時刻</stp>
        <tr r="AW8" s="27"/>
      </tp>
      <tp t="s">
        <v/>
        <stp/>
        <stp>Market</stp>
        <stp>STOCK</stp>
        <stp/>
        <stp>前場高値時刻</stp>
        <tr r="AV8" s="27"/>
      </tp>
      <tp t="s">
        <v/>
        <stp/>
        <stp>Market</stp>
        <stp>STOCK</stp>
        <stp>285A0</stp>
        <stp>始値</stp>
        <tr r="I3" s="39"/>
      </tp>
      <tp t="s">
        <v/>
        <stp/>
        <stp>Market</stp>
        <stp>STOCK</stp>
        <stp>72030</stp>
        <stp>信用買残前週比</stp>
        <tr r="BS7" s="27"/>
      </tp>
      <tp t="s">
        <v/>
        <stp/>
        <stp>Market</stp>
        <stp>STOCK</stp>
        <stp/>
        <stp>逆日歩</stp>
        <tr r="BN8" s="27"/>
      </tp>
      <tp t="s">
        <v/>
        <stp/>
        <stp>Market</stp>
        <stp>STOCK</stp>
        <stp/>
        <stp>OVER気配数量</stp>
        <tr r="DX8" s="27"/>
      </tp>
      <tp t="s">
        <v/>
        <stp/>
        <stp>Market</stp>
        <stp>STOCK</stp>
        <stp/>
        <stp>買成行数量</stp>
        <tr r="DW8" s="27"/>
      </tp>
      <tp t="s">
        <v/>
        <stp/>
        <stp>Market</stp>
        <stp>STOCK</stp>
        <stp/>
        <stp>売成行数量</stp>
        <tr r="DV8" s="27"/>
      </tp>
      <tp t="s">
        <v/>
        <stp/>
        <stp>Market</stp>
        <stp>STOCK</stp>
        <stp>72030</stp>
        <stp>最良買気配数量10</stp>
        <tr r="DU7" s="27"/>
        <tr r="H25" s="37"/>
      </tp>
      <tp t="s">
        <v/>
        <stp/>
        <stp>Market</stp>
        <stp>STOCK</stp>
        <stp/>
        <stp>年初来高値日付</stp>
        <tr r="EK8" s="27"/>
      </tp>
      <tp t="s">
        <v/>
        <stp/>
        <stp>Market</stp>
        <stp>STOCK</stp>
        <stp/>
        <stp>年初来安値日付</stp>
        <tr r="EL8" s="27"/>
      </tp>
    </main>
    <main first="rtdsrv.a6c8798dc13b4577a4c6626df9d5834c">
      <tp t="s">
        <v/>
        <stp/>
        <stp>Market</stp>
        <stp>STOCK</stp>
        <stp>72030</stp>
        <stp>最良買気配数量3</stp>
        <tr r="H18" s="37"/>
        <tr r="DN7" s="27"/>
      </tp>
      <tp t="s">
        <v/>
        <stp/>
        <stp>Market</stp>
        <stp>STOCK</stp>
        <stp>72030</stp>
        <stp>最良買気配数量2</stp>
        <tr r="H17" s="37"/>
        <tr r="DM7" s="27"/>
      </tp>
      <tp t="s">
        <v/>
        <stp/>
        <stp>Market</stp>
        <stp>STOCK</stp>
        <stp>72030</stp>
        <stp>最良買気配数量1</stp>
        <tr r="H16" s="37"/>
        <tr r="DL7" s="27"/>
      </tp>
      <tp t="s">
        <v/>
        <stp/>
        <stp>Market</stp>
        <stp>STOCK</stp>
        <stp>72030</stp>
        <stp>最良買気配数量7</stp>
        <tr r="H22" s="37"/>
        <tr r="DR7" s="27"/>
      </tp>
      <tp t="s">
        <v/>
        <stp/>
        <stp>Market</stp>
        <stp>STOCK</stp>
        <stp>72030</stp>
        <stp>最良買気配数量6</stp>
        <tr r="H21" s="37"/>
        <tr r="DQ7" s="27"/>
      </tp>
      <tp t="s">
        <v/>
        <stp/>
        <stp>Market</stp>
        <stp>STOCK</stp>
        <stp>72030</stp>
        <stp>最良買気配数量5</stp>
        <tr r="H20" s="37"/>
        <tr r="DP7" s="27"/>
      </tp>
      <tp t="s">
        <v/>
        <stp/>
        <stp>Market</stp>
        <stp>STOCK</stp>
        <stp>72030</stp>
        <stp>最良買気配数量4</stp>
        <tr r="H19" s="37"/>
        <tr r="DO7" s="27"/>
      </tp>
      <tp t="s">
        <v/>
        <stp/>
        <stp>Market</stp>
        <stp>STOCK</stp>
        <stp>72030</stp>
        <stp>最良買気配数量9</stp>
        <tr r="H24" s="37"/>
        <tr r="DT7" s="27"/>
      </tp>
      <tp t="s">
        <v/>
        <stp/>
        <stp>Market</stp>
        <stp>STOCK</stp>
        <stp>72030</stp>
        <stp>最良買気配数量8</stp>
        <tr r="H23" s="37"/>
        <tr r="DS7" s="27"/>
      </tp>
      <tp t="s">
        <v/>
        <stp/>
        <stp>Market</stp>
        <stp>STOCK</stp>
        <stp/>
        <stp>証金残更新日付</stp>
        <tr r="BU8" s="27"/>
      </tp>
    </main>
    <main first="rtdsrv.a6c8798dc13b4577a4c6626df9d5834c">
      <tp t="s">
        <v/>
        <stp/>
        <stp>TickList</stp>
        <stp>2583129559552,1,1,1,1</stp>
        <stp>7203</stp>
        <stp>20</stp>
        <tr r="B2" s="37"/>
      </tp>
    </main>
    <main first="rtdsrv.a6c8798dc13b4577a4c6626df9d5834c">
      <tp t="s">
        <v/>
        <stp/>
        <stp>Market</stp>
        <stp>STOCK</stp>
        <stp>72030</stp>
        <stp>新規貸株</stp>
        <tr r="BV7" s="27"/>
      </tp>
    </main>
    <main first="rtdsrv.a6c8798dc13b4577a4c6626df9d5834c">
      <tp t="s">
        <v/>
        <stp/>
        <stp>Market</stp>
        <stp>STOCK</stp>
        <stp>72030</stp>
        <stp>PBR</stp>
        <tr r="EG7" s="27"/>
        <tr r="P5" s="37"/>
      </tp>
      <tp t="s">
        <v/>
        <stp/>
        <stp>Market</stp>
        <stp>STOCK</stp>
        <stp/>
        <stp>市場名称</stp>
        <tr r="D8" s="27"/>
      </tp>
      <tp t="s">
        <v/>
        <stp/>
        <stp>Market</stp>
        <stp>STOCK</stp>
        <stp>72030</stp>
        <stp>PER</stp>
        <tr r="P6" s="37"/>
        <tr r="EF7" s="27"/>
      </tp>
    </main>
    <main first="rtdsrv.a6c8798dc13b4577a4c6626df9d5834c">
      <tp t="s">
        <v/>
        <stp/>
        <stp>MarginPositionList</stp>
        <stp>2583134185936,0,0,0,0</stp>
        <stp/>
        <stp>A</stp>
        <stp>0</stp>
        <stp>0</stp>
        <stp>0</stp>
        <tr r="A1" s="29"/>
      </tp>
    </main>
    <main first="rtdsrv.a6c8798dc13b4577a4c6626df9d5834c">
      <tp t="s">
        <v/>
        <stp/>
        <stp>Market</stp>
        <stp>STOCK</stp>
        <stp/>
        <stp>始値詳細時刻</stp>
        <tr r="AJ8" s="27"/>
      </tp>
    </main>
    <main first="rtdsrv.a6c8798dc13b4577a4c6626df9d5834c">
      <tp t="s">
        <v/>
        <stp/>
        <stp>Market</stp>
        <stp>STOCK</stp>
        <stp/>
        <stp>安値詳細時刻</stp>
        <tr r="AL8" s="27"/>
      </tp>
    </main>
    <main first="rtdsrv.a6c8798dc13b4577a4c6626df9d5834c">
      <tp t="s">
        <v/>
        <stp/>
        <stp>Market</stp>
        <stp>STOCK</stp>
        <stp/>
        <stp>信用貸借区分</stp>
        <tr r="BM8" s="27"/>
      </tp>
    </main>
    <main first="rtdsrv.a6c8798dc13b4577a4c6626df9d5834c">
      <tp t="s">
        <v/>
        <stp/>
        <stp>Market</stp>
        <stp>STOCK</stp>
        <stp>72030</stp>
        <stp>新規融資</stp>
        <tr r="BW7" s="27"/>
      </tp>
      <tp t="s">
        <v/>
        <stp/>
        <stp>Market</stp>
        <stp>STOCK</stp>
        <stp/>
        <stp>上場来安値</stp>
        <tr r="EN8" s="27"/>
      </tp>
    </main>
    <main first="rtdsrv.a6c8798dc13b4577a4c6626df9d5834c">
      <tp t="s">
        <v/>
        <stp/>
        <stp>Market</stp>
        <stp>STOCK</stp>
        <stp/>
        <stp>年初来安値</stp>
        <tr r="EJ8" s="27"/>
      </tp>
    </main>
    <main first="rtdsrv.a6c8798dc13b4577a4c6626df9d5834c">
      <tp t="s">
        <v/>
        <stp/>
        <stp>Market</stp>
        <stp>STOCK</stp>
        <stp>72030</stp>
        <stp>歩み2</stp>
        <tr r="S7" s="27"/>
      </tp>
      <tp t="s">
        <v/>
        <stp/>
        <stp>Market</stp>
        <stp>STOCK</stp>
        <stp>72030</stp>
        <stp>歩み3</stp>
        <tr r="T7" s="27"/>
      </tp>
      <tp t="s">
        <v/>
        <stp/>
        <stp>Market</stp>
        <stp>STOCK</stp>
        <stp>72030</stp>
        <stp>歩み1</stp>
        <tr r="R7" s="27"/>
      </tp>
      <tp t="s">
        <v/>
        <stp/>
        <stp>Market</stp>
        <stp>STOCK</stp>
        <stp>72030</stp>
        <stp>歩み4</stp>
        <tr r="U7" s="27"/>
      </tp>
      <tp t="s">
        <v/>
        <stp/>
        <stp>Market</stp>
        <stp>STOCK</stp>
        <stp/>
        <stp>後場安値</stp>
        <tr r="AT8" s="27"/>
      </tp>
      <tp t="s">
        <v/>
        <stp/>
        <stp>Market</stp>
        <stp>STOCK</stp>
        <stp/>
        <stp>前場安値</stp>
        <tr r="AO8" s="27"/>
      </tp>
    </main>
    <main first="rtdsrv.a6c8798dc13b4577a4c6626df9d5834c">
      <tp t="s">
        <v/>
        <stp/>
        <stp>Market</stp>
        <stp>STOCK</stp>
        <stp/>
        <stp>後場始値</stp>
        <tr r="AR8" s="27"/>
      </tp>
      <tp t="s">
        <v/>
        <stp/>
        <stp>Market</stp>
        <stp>STOCK</stp>
        <stp/>
        <stp>前場始値</stp>
        <tr r="AM8" s="27"/>
      </tp>
      <tp>
        <v>-1</v>
        <stp/>
        <stp>OrderStatus</stp>
        <stp>102</stp>
        <tr r="B2" s="28"/>
      </tp>
    </main>
    <main first="rtdsrv.a6c8798dc13b4577a4c6626df9d5834c">
      <tp t="s">
        <v/>
        <stp/>
        <stp>Market</stp>
        <stp>STOCK</stp>
        <stp/>
        <stp>信用売残前週比</stp>
        <tr r="BQ8" s="27"/>
      </tp>
      <tp t="s">
        <v/>
        <stp/>
        <stp>Market</stp>
        <stp>STOCK</stp>
        <stp/>
        <stp>信用買残前週比</stp>
        <tr r="BS8" s="27"/>
      </tp>
      <tp t="s">
        <v/>
        <stp/>
        <stp>Market</stp>
        <stp>STOCK</stp>
        <stp>72030</stp>
        <stp>逆日歩</stp>
        <tr r="BN7" s="27"/>
      </tp>
      <tp t="s">
        <v/>
        <stp/>
        <stp>Market</stp>
        <stp>STOCK</stp>
        <stp>72030</stp>
        <stp>上場来安値</stp>
        <tr r="EN7" s="27"/>
      </tp>
      <tp t="s">
        <v/>
        <stp/>
        <stp>Market</stp>
        <stp>STOCK</stp>
        <stp>72030</stp>
        <stp>年初来安値</stp>
        <tr r="EJ7" s="27"/>
      </tp>
      <tp t="s">
        <v/>
        <stp/>
        <stp>Market</stp>
        <stp>STOCK</stp>
        <stp>72030</stp>
        <stp>年初来高値日付</stp>
        <tr r="EK7" s="27"/>
      </tp>
      <tp t="s">
        <v/>
        <stp/>
        <stp>Market</stp>
        <stp>STOCK</stp>
        <stp>72030</stp>
        <stp>年初来安値日付</stp>
        <tr r="EL7" s="27"/>
      </tp>
    </main>
    <main first="rtdsrv.a6c8798dc13b4577a4c6626df9d5834c">
      <tp t="s">
        <v/>
        <stp/>
        <stp>Market</stp>
        <stp>STOCK</stp>
        <stp/>
        <stp>残高貸株</stp>
        <tr r="BZ8" s="27"/>
      </tp>
    </main>
    <main first="rtdsrv.a6c8798dc13b4577a4c6626df9d5834c">
      <tp t="s">
        <v/>
        <stp/>
        <stp>Market</stp>
        <stp>STOCK</stp>
        <stp/>
        <stp>残高融資</stp>
        <tr r="CA8" s="27"/>
      </tp>
      <tp t="s">
        <v/>
        <stp/>
        <stp>Market</stp>
        <stp>STOCK</stp>
        <stp>285A0</stp>
        <stp>現在日付</stp>
        <tr r="D3" s="39"/>
      </tp>
    </main>
    <main first="rtdsrv.a6c8798dc13b4577a4c6626df9d5834c">
      <tp t="s">
        <v/>
        <stp/>
        <stp>Market</stp>
        <stp>STOCK</stp>
        <stp/>
        <stp>安値時刻</stp>
        <tr r="AI8" s="27"/>
      </tp>
      <tp t="s">
        <v/>
        <stp/>
        <stp>Market</stp>
        <stp>STOCK</stp>
        <stp/>
        <stp>始値時刻</stp>
        <tr r="AG8" s="27"/>
      </tp>
      <tp t="s">
        <v/>
        <stp/>
        <stp>Market</stp>
        <stp>STOCK</stp>
        <stp/>
        <stp>高値時刻</stp>
        <tr r="AH8" s="27"/>
      </tp>
    </main>
    <main first="rtdsrv.a6c8798dc13b4577a4c6626df9d5834c">
      <tp t="s">
        <v/>
        <stp/>
        <stp>Market</stp>
        <stp>STOCK</stp>
        <stp/>
        <stp>最良買気配数量10</stp>
        <tr r="DU8" s="27"/>
      </tp>
      <tp t="s">
        <v/>
        <stp/>
        <stp>Market</stp>
        <stp>STOCK</stp>
        <stp/>
        <stp>歩み4</stp>
        <tr r="U8" s="27"/>
      </tp>
      <tp t="s">
        <v/>
        <stp/>
        <stp>Market</stp>
        <stp>STOCK</stp>
        <stp/>
        <stp>歩み1</stp>
        <tr r="R8" s="27"/>
      </tp>
      <tp t="s">
        <v/>
        <stp/>
        <stp>Market</stp>
        <stp>STOCK</stp>
        <stp/>
        <stp>歩み2</stp>
        <tr r="S8" s="27"/>
      </tp>
      <tp t="s">
        <v/>
        <stp/>
        <stp>Market</stp>
        <stp>STOCK</stp>
        <stp/>
        <stp>歩み3</stp>
        <tr r="T8" s="27"/>
      </tp>
    </main>
    <main first="rtdsrv.a6c8798dc13b4577a4c6626df9d5834c">
      <tp t="s">
        <v/>
        <stp/>
        <stp>Market</stp>
        <stp>STOCK</stp>
        <stp>72030</stp>
        <stp>買成行数量</stp>
        <tr r="DW7" s="27"/>
        <tr r="H4" s="37"/>
      </tp>
    </main>
    <main first="rtdsrv.a6c8798dc13b4577a4c6626df9d5834c">
      <tp t="s">
        <v/>
        <stp/>
        <stp>Market</stp>
        <stp>STOCK</stp>
        <stp>72030</stp>
        <stp>売成行数量</stp>
        <tr r="DV7" s="27"/>
        <tr r="F4" s="37"/>
      </tp>
    </main>
    <main first="rtdsrv.a6c8798dc13b4577a4c6626df9d5834c">
      <tp t="s">
        <v/>
        <stp/>
        <stp>Market</stp>
        <stp>STOCK</stp>
        <stp>72030</stp>
        <stp>単位株数</stp>
        <tr r="DZ7" s="27"/>
      </tp>
      <tp t="s">
        <v/>
        <stp/>
        <stp>Market</stp>
        <stp>STOCK</stp>
        <stp/>
        <stp>PBR</stp>
        <tr r="EG8" s="27"/>
      </tp>
      <tp t="s">
        <v/>
        <stp/>
        <stp>Market</stp>
        <stp>STOCK</stp>
        <stp/>
        <stp>PER</stp>
        <tr r="EF8" s="27"/>
      </tp>
      <tp t="s">
        <v/>
        <stp/>
        <stp>Chart</stp>
        <stp>2583133561920,0,0,0,0</stp>
        <stp>7203.T</stp>
        <stp>1M</stp>
        <stp>332</stp>
        <tr r="A1" s="38"/>
      </tp>
      <tp t="s">
        <v/>
        <stp/>
        <stp>Market</stp>
        <stp>STOCK</stp>
        <stp>72030</stp>
        <stp>証金残更新日付</stp>
        <tr r="BU7" s="27"/>
      </tp>
      <tp t="s">
        <v/>
        <stp/>
        <stp>Market</stp>
        <stp>STOCK</stp>
        <stp/>
        <stp>前場終値</stp>
        <tr r="AP8" s="27"/>
      </tp>
    </main>
    <main first="rtdsrv.a6c8798dc13b4577a4c6626df9d5834c">
      <tp t="s">
        <v/>
        <stp/>
        <stp>Market</stp>
        <stp>STOCK</stp>
        <stp/>
        <stp>貸借倍率</stp>
        <tr r="CG8" s="27"/>
      </tp>
      <tp t="s">
        <v/>
        <stp/>
        <stp>Market</stp>
        <stp>STOCK</stp>
        <stp/>
        <stp>特別買気配フラグ</stp>
        <tr r="BL8" s="27"/>
      </tp>
      <tp t="s">
        <v/>
        <stp/>
        <stp>Market</stp>
        <stp>STOCK</stp>
        <stp/>
        <stp>現在日付</stp>
        <tr r="G8" s="27"/>
      </tp>
    </main>
    <main first="rtdsrv.a6c8798dc13b4577a4c6626df9d5834c">
      <tp t="s">
        <v/>
        <stp/>
        <stp>Market</stp>
        <stp>STOCK</stp>
        <stp/>
        <stp>前日比</stp>
        <tr r="M8" s="27"/>
      </tp>
      <tp t="s">
        <v/>
        <stp/>
        <stp>Market</stp>
        <stp>STOCK</stp>
        <stp>72030</stp>
        <stp>後場始値時刻</stp>
        <tr r="AZ7" s="27"/>
      </tp>
      <tp t="s">
        <v/>
        <stp/>
        <stp>Market</stp>
        <stp>STOCK</stp>
        <stp>72030</stp>
        <stp>後場安値時刻</stp>
        <tr r="BB7" s="27"/>
      </tp>
      <tp t="s">
        <v/>
        <stp/>
        <stp>Market</stp>
        <stp>STOCK</stp>
        <stp>72030</stp>
        <stp>後場高値時刻</stp>
        <tr r="BA7" s="27"/>
      </tp>
    </main>
    <main first="rtdsrv.a6c8798dc13b4577a4c6626df9d5834c">
      <tp t="s">
        <v/>
        <stp/>
        <stp>Market</stp>
        <stp>STOCK</stp>
        <stp>72030</stp>
        <stp>前日比貸株</stp>
        <tr r="CC7" s="27"/>
      </tp>
    </main>
    <main first="rtdsrv.a6c8798dc13b4577a4c6626df9d5834c">
      <tp t="s">
        <v/>
        <stp/>
        <stp>Market</stp>
        <stp>STOCK</stp>
        <stp/>
        <stp>安値</stp>
        <tr r="AF8" s="27"/>
      </tp>
    </main>
    <main first="rtdsrv.a6c8798dc13b4577a4c6626df9d5834c">
      <tp t="s">
        <v/>
        <stp/>
        <stp>Market</stp>
        <stp>STOCK</stp>
        <stp>72030</stp>
        <stp>残高貸株</stp>
        <tr r="BZ7" s="27"/>
      </tp>
      <tp t="s">
        <v/>
        <stp/>
        <stp>Market</stp>
        <stp>STOCK</stp>
        <stp/>
        <stp>始値</stp>
        <tr r="AD8" s="27"/>
      </tp>
      <tp t="s">
        <v/>
        <stp/>
        <stp>Market</stp>
        <stp>STOCK</stp>
        <stp/>
        <stp>UNDER気配数量</stp>
        <tr r="DY8" s="27"/>
      </tp>
    </main>
    <main first="rtdsrv.a6c8798dc13b4577a4c6626df9d5834c">
      <tp t="s">
        <v/>
        <stp/>
        <stp>Market</stp>
        <stp>STOCK</stp>
        <stp>72030</stp>
        <stp>前日比融資</stp>
        <tr r="CD7" s="27"/>
      </tp>
    </main>
    <main first="rtdsrv.a6c8798dc13b4577a4c6626df9d5834c">
      <tp t="s">
        <v/>
        <stp/>
        <stp>Market</stp>
        <stp>STOCK</stp>
        <stp>72030</stp>
        <stp>最良売気配数量10</stp>
        <tr r="DK7" s="27"/>
        <tr r="F6" s="37"/>
      </tp>
      <tp t="s">
        <v/>
        <stp/>
        <stp>Market</stp>
        <stp>STOCK</stp>
        <stp>72030</stp>
        <stp>前場始値時刻</stp>
        <tr r="AU7" s="27"/>
      </tp>
      <tp t="s">
        <v/>
        <stp/>
        <stp>Market</stp>
        <stp>STOCK</stp>
        <stp>72030</stp>
        <stp>前場安値時刻</stp>
        <tr r="AW7" s="27"/>
      </tp>
      <tp t="s">
        <v/>
        <stp/>
        <stp>Market</stp>
        <stp>STOCK</stp>
        <stp>72030</stp>
        <stp>前場終値時刻</stp>
        <tr r="AX7" s="27"/>
      </tp>
      <tp t="s">
        <v/>
        <stp/>
        <stp>Market</stp>
        <stp>STOCK</stp>
        <stp>72030</stp>
        <stp>前場高値時刻</stp>
        <tr r="AV7" s="27"/>
      </tp>
      <tp t="s">
        <v/>
        <stp/>
        <stp>Market</stp>
        <stp>STOCK</stp>
        <stp>72030</stp>
        <stp>出来高加重平均</stp>
        <tr r="AB7" s="27"/>
        <tr r="P3" s="37"/>
      </tp>
      <tp t="s">
        <v/>
        <stp/>
        <stp>Market</stp>
        <stp>STOCK</stp>
        <stp>72030</stp>
        <stp>残高融資</stp>
        <tr r="CA7" s="27"/>
      </tp>
    </main>
    <main first="rtdsrv.a6c8798dc13b4577a4c6626df9d5834c">
      <tp t="s">
        <v/>
        <stp/>
        <stp>Market</stp>
        <stp>STOCK</stp>
        <stp>72030</stp>
        <stp>歩み3詳細時刻</stp>
        <tr r="X7" s="27"/>
      </tp>
      <tp t="s">
        <v/>
        <stp/>
        <stp>Market</stp>
        <stp>STOCK</stp>
        <stp>72030</stp>
        <stp>歩み2詳細時刻</stp>
        <tr r="W7" s="27"/>
      </tp>
      <tp t="s">
        <v/>
        <stp/>
        <stp>Market</stp>
        <stp>STOCK</stp>
        <stp>72030</stp>
        <stp>歩み1詳細時刻</stp>
        <tr r="V7" s="27"/>
      </tp>
      <tp t="s">
        <v/>
        <stp/>
        <stp>Market</stp>
        <stp>STOCK</stp>
        <stp>72030</stp>
        <stp>歩み4詳細時刻</stp>
        <tr r="Y7" s="27"/>
      </tp>
    </main>
    <main first="rtdsrv.a6c8798dc13b4577a4c6626df9d5834c">
      <tp t="s">
        <v/>
        <stp/>
        <stp>Market</stp>
        <stp>STOCK</stp>
        <stp>72030</stp>
        <stp>始値時刻</stp>
        <tr r="L6" s="37"/>
        <tr r="AG7" s="27"/>
      </tp>
      <tp t="s">
        <v/>
        <stp/>
        <stp>Market</stp>
        <stp>STOCK</stp>
        <stp>72030</stp>
        <stp>安値時刻</stp>
        <tr r="L8" s="37"/>
        <tr r="AI7" s="27"/>
      </tp>
      <tp t="s">
        <v/>
        <stp/>
        <stp>Market</stp>
        <stp>STOCK</stp>
        <stp>72030</stp>
        <stp>高値時刻</stp>
        <tr r="AH7" s="27"/>
        <tr r="L7" s="37"/>
      </tp>
    </main>
    <main first="rtdsrv.a6c8798dc13b4577a4c6626df9d5834c">
      <tp t="s">
        <v/>
        <stp/>
        <stp>Market</stp>
        <stp>STOCK</stp>
        <stp>72030</stp>
        <stp>安値詳細時刻</stp>
        <tr r="AL7" s="27"/>
      </tp>
    </main>
    <main first="rtdsrv.a6c8798dc13b4577a4c6626df9d5834c">
      <tp t="s">
        <v/>
        <stp/>
        <stp>Market</stp>
        <stp>STOCK</stp>
        <stp>72030</stp>
        <stp>上場来高値日付</stp>
        <tr r="EO7" s="27"/>
      </tp>
      <tp t="s">
        <v/>
        <stp/>
        <stp>Market</stp>
        <stp>STOCK</stp>
        <stp>72030</stp>
        <stp>上場来安値日付</stp>
        <tr r="EP7" s="27"/>
      </tp>
    </main>
    <main first="rtdsrv.a6c8798dc13b4577a4c6626df9d5834c">
      <tp t="s">
        <v/>
        <stp/>
        <stp>Market</stp>
        <stp>STOCK</stp>
        <stp/>
        <stp>現在値ティック</stp>
        <tr r="K8" s="27"/>
      </tp>
      <tp t="s">
        <v/>
        <stp/>
        <stp>Market</stp>
        <stp>STOCK</stp>
        <stp>72030</stp>
        <stp>始値詳細時刻</stp>
        <tr r="AJ7" s="27"/>
      </tp>
    </main>
    <main first="rtdsrv.a6c8798dc13b4577a4c6626df9d5834c">
      <tp t="s">
        <v/>
        <stp/>
        <stp>Market</stp>
        <stp>STOCK</stp>
        <stp>39090</stp>
        <stp>現在日付</stp>
        <tr r="D4" s="39"/>
      </tp>
    </main>
    <main first="rtdsrv.a6c8798dc13b4577a4c6626df9d5834c">
      <tp t="s">
        <v/>
        <stp/>
        <stp>Market</stp>
        <stp>STOCK</stp>
        <stp/>
        <stp>単位株数</stp>
        <tr r="DZ8" s="27"/>
      </tp>
    </main>
    <main first="rtdsrv.a6c8798dc13b4577a4c6626df9d5834c">
      <tp t="s">
        <v/>
        <stp/>
        <stp>Market</stp>
        <stp>STOCK</stp>
        <stp>72030</stp>
        <stp>現在値時刻</stp>
        <tr r="L3" s="37"/>
        <tr r="I7" s="27"/>
      </tp>
    </main>
    <main first="rtdsrv.a6c8798dc13b4577a4c6626df9d5834c">
      <tp t="s">
        <v/>
        <stp/>
        <stp>Market</stp>
        <stp>STOCK</stp>
        <stp>50160</stp>
        <stp>現在日付</stp>
        <tr r="D5" s="39"/>
      </tp>
      <tp t="s">
        <v/>
        <stp/>
        <stp>Market</stp>
        <stp>STOCK</stp>
        <stp>83060</stp>
        <stp>現在日付</stp>
        <tr r="D8" s="39"/>
      </tp>
    </main>
    <main first="rtdsrv.a6c8798dc13b4577a4c6626df9d5834c">
      <tp t="s">
        <v/>
        <stp/>
        <stp>Market</stp>
        <stp>STOCK</stp>
        <stp>72030</stp>
        <stp>前場終値</stp>
        <tr r="AP7" s="27"/>
      </tp>
    </main>
    <main first="rtdsrv.a6c8798dc13b4577a4c6626df9d5834c">
      <tp t="s">
        <v/>
        <stp/>
        <stp>Market</stp>
        <stp>STOCK</stp>
        <stp>72030</stp>
        <stp>貸借倍率</stp>
        <tr r="CG7" s="27"/>
      </tp>
    </main>
    <main first="rtdsrv.a6c8798dc13b4577a4c6626df9d5834c">
      <tp t="s">
        <v/>
        <stp/>
        <stp>Market</stp>
        <stp>STOCK</stp>
        <stp>72030</stp>
        <stp>特別買気配フラグ</stp>
        <tr r="BL7" s="27"/>
      </tp>
      <tp t="s">
        <v/>
        <stp/>
        <stp>Market</stp>
        <stp>STOCK</stp>
        <stp>22220</stp>
        <stp>現在日付</stp>
        <tr r="D2" s="39"/>
      </tp>
      <tp t="s">
        <v/>
        <stp/>
        <stp>Market</stp>
        <stp>STOCK</stp>
        <stp>94320</stp>
        <stp>現在日付</stp>
        <tr r="D9" s="39"/>
      </tp>
    </main>
    <main first="rtdsrv.a6c8798dc13b4577a4c6626df9d5834c">
      <tp t="s">
        <v/>
        <stp/>
        <stp>Market</stp>
        <stp>STOCK</stp>
        <stp>66130</stp>
        <stp>現在日付</stp>
        <tr r="D6" s="39"/>
      </tp>
      <tp t="s">
        <v/>
        <stp/>
        <stp>Market</stp>
        <stp>STOCK</stp>
        <stp>72030</stp>
        <stp>現在日付</stp>
        <tr r="G7" s="27"/>
        <tr r="D7" s="39"/>
      </tp>
      <tp t="s">
        <v/>
        <stp/>
        <stp>Market</stp>
        <stp>STOCK</stp>
        <stp>72030</stp>
        <stp>信用貸借区分</stp>
        <tr r="BM7" s="27"/>
      </tp>
    </main>
    <main first="rtdsrv.a6c8798dc13b4577a4c6626df9d5834c">
      <tp t="s">
        <v/>
        <stp/>
        <stp>Market</stp>
        <stp>STOCK</stp>
        <stp/>
        <stp>最良売気配値10</stp>
        <tr r="CQ8" s="27"/>
      </tp>
      <tp t="s">
        <v/>
        <stp/>
        <stp>Market</stp>
        <stp>STOCK</stp>
        <stp>72030</stp>
        <stp>信用売残</stp>
        <tr r="BP7" s="27"/>
      </tp>
    </main>
    <main first="rtdsrv.a6c8798dc13b4577a4c6626df9d5834c">
      <tp t="s">
        <v/>
        <stp/>
        <stp>Market</stp>
        <stp>STOCK</stp>
        <stp/>
        <stp>現在値時刻</stp>
        <tr r="I8" s="27"/>
      </tp>
    </main>
    <main first="rtdsrv.a6c8798dc13b4577a4c6626df9d5834c">
      <tp t="s">
        <v/>
        <stp/>
        <stp>Market</stp>
        <stp>STOCK</stp>
        <stp/>
        <stp>出来高加重平均</stp>
        <tr r="AB8" s="27"/>
      </tp>
      <tp t="s">
        <v/>
        <stp/>
        <stp>Market</stp>
        <stp>STOCK</stp>
        <stp/>
        <stp>歩み4詳細時刻</stp>
        <tr r="Y8" s="27"/>
      </tp>
      <tp t="s">
        <v/>
        <stp/>
        <stp>Market</stp>
        <stp>STOCK</stp>
        <stp/>
        <stp>歩み1詳細時刻</stp>
        <tr r="V8" s="27"/>
      </tp>
      <tp t="s">
        <v/>
        <stp/>
        <stp>Market</stp>
        <stp>STOCK</stp>
        <stp/>
        <stp>歩み3詳細時刻</stp>
        <tr r="X8" s="27"/>
      </tp>
      <tp t="s">
        <v/>
        <stp/>
        <stp>Market</stp>
        <stp>STOCK</stp>
        <stp/>
        <stp>歩み2詳細時刻</stp>
        <tr r="W8" s="27"/>
      </tp>
    </main>
    <main first="rtdsrv.a6c8798dc13b4577a4c6626df9d5834c">
      <tp t="s">
        <v/>
        <stp/>
        <stp>Market</stp>
        <stp>STOCK</stp>
        <stp>22220</stp>
        <stp>前日比</stp>
        <tr r="G2" s="39"/>
      </tp>
    </main>
    <main first="rtdsrv.a6c8798dc13b4577a4c6626df9d5834c">
      <tp t="s">
        <v/>
        <stp/>
        <stp>Market</stp>
        <stp>STOCK</stp>
        <stp>94320</stp>
        <stp>前日比</stp>
        <tr r="G9" s="39"/>
      </tp>
    </main>
    <main first="rtdsrv.a6c8798dc13b4577a4c6626df9d5834c">
      <tp t="s">
        <v/>
        <stp/>
        <stp>Market</stp>
        <stp>STOCK</stp>
        <stp>72030</stp>
        <stp>信用倍率</stp>
        <tr r="BT7" s="27"/>
      </tp>
      <tp t="s">
        <v/>
        <stp/>
        <stp>Market</stp>
        <stp>STOCK</stp>
        <stp>39090</stp>
        <stp>前日比</stp>
        <tr r="G4" s="39"/>
      </tp>
      <tp t="s">
        <v/>
        <stp/>
        <stp>Market</stp>
        <stp>STOCK</stp>
        <stp>83060</stp>
        <stp>前日比</stp>
        <tr r="G8" s="39"/>
      </tp>
      <tp t="s">
        <v/>
        <stp/>
        <stp>Market</stp>
        <stp>STOCK</stp>
        <stp>72030</stp>
        <stp>前日比</stp>
        <tr r="M7" s="27"/>
        <tr r="N3" s="37"/>
        <tr r="G7" s="39"/>
      </tp>
      <tp t="s">
        <v/>
        <stp/>
        <stp>Market</stp>
        <stp>STOCK</stp>
        <stp>50160</stp>
        <stp>前日比</stp>
        <tr r="G5" s="39"/>
      </tp>
      <tp t="s">
        <v/>
        <stp/>
        <stp>Market</stp>
        <stp>STOCK</stp>
        <stp>66130</stp>
        <stp>前日比</stp>
        <tr r="G6" s="39"/>
      </tp>
    </main>
    <main first="rtdsrv.a6c8798dc13b4577a4c6626df9d5834c">
      <tp t="s">
        <v/>
        <stp/>
        <stp>Market</stp>
        <stp>STOCK</stp>
        <stp>72030</stp>
        <stp>OVER気配数量</stp>
        <tr r="F5" s="37"/>
        <tr r="DX7" s="27"/>
      </tp>
    </main>
    <main first="rtdsrv.a6c8798dc13b4577a4c6626df9d5834c">
      <tp t="s">
        <v/>
        <stp/>
        <stp>Market</stp>
        <stp>STOCK</stp>
        <stp>285A0</stp>
        <stp>前日比</stp>
        <tr r="G3" s="39"/>
      </tp>
      <tp t="s">
        <v/>
        <stp/>
        <stp>Market</stp>
        <stp>STOCK</stp>
        <stp/>
        <stp>最良買気配数量4</stp>
        <tr r="DO8" s="27"/>
      </tp>
      <tp t="s">
        <v/>
        <stp/>
        <stp>Market</stp>
        <stp>STOCK</stp>
        <stp/>
        <stp>最良買気配数量5</stp>
        <tr r="DP8" s="27"/>
      </tp>
      <tp t="s">
        <v/>
        <stp/>
        <stp>Market</stp>
        <stp>STOCK</stp>
        <stp/>
        <stp>最良買気配数量6</stp>
        <tr r="DQ8" s="27"/>
      </tp>
      <tp t="s">
        <v/>
        <stp/>
        <stp>Market</stp>
        <stp>STOCK</stp>
        <stp/>
        <stp>最良買気配数量7</stp>
        <tr r="DR8" s="27"/>
      </tp>
      <tp t="s">
        <v/>
        <stp/>
        <stp>Market</stp>
        <stp>STOCK</stp>
        <stp/>
        <stp>最良買気配数量1</stp>
        <tr r="DL8" s="27"/>
      </tp>
      <tp t="s">
        <v/>
        <stp/>
        <stp>Market</stp>
        <stp>STOCK</stp>
        <stp/>
        <stp>最良買気配数量2</stp>
        <tr r="DM8" s="27"/>
      </tp>
      <tp t="s">
        <v/>
        <stp/>
        <stp>Market</stp>
        <stp>STOCK</stp>
        <stp/>
        <stp>最良買気配数量3</stp>
        <tr r="DN8" s="27"/>
      </tp>
      <tp t="s">
        <v/>
        <stp/>
        <stp>Market</stp>
        <stp>STOCK</stp>
        <stp/>
        <stp>最良買気配数量8</stp>
        <tr r="DS8" s="27"/>
      </tp>
      <tp t="s">
        <v/>
        <stp/>
        <stp>Market</stp>
        <stp>STOCK</stp>
        <stp/>
        <stp>最良買気配数量9</stp>
        <tr r="DT8" s="27"/>
      </tp>
    </main>
    <main first="rtdsrv.a6c8798dc13b4577a4c6626df9d5834c">
      <tp t="s">
        <v/>
        <stp/>
        <stp>Market</stp>
        <stp>STOCK</stp>
        <stp/>
        <stp>新規貸株</stp>
        <tr r="BV8" s="27"/>
      </tp>
      <tp t="s">
        <v/>
        <stp/>
        <stp>Market</stp>
        <stp>STOCK</stp>
        <stp>72030</stp>
        <stp>市場名称</stp>
        <tr r="D7" s="27"/>
      </tp>
    </main>
    <main first="rtdsrv.a6c8798dc13b4577a4c6626df9d5834c">
      <tp t="s">
        <v/>
        <stp/>
        <stp>Market</stp>
        <stp>STOCK</stp>
        <stp/>
        <stp>最良売気配数量10</stp>
        <tr r="DK8" s="27"/>
      </tp>
    </main>
    <main first="rtdsrv.a6c8798dc13b4577a4c6626df9d5834c">
      <tp t="s">
        <v/>
        <stp/>
        <stp>Market</stp>
        <stp>STOCK</stp>
        <stp>72030</stp>
        <stp>UNDER気配数量</stp>
        <tr r="H26" s="37"/>
        <tr r="DY7" s="27"/>
      </tp>
    </main>
    <main first="rtdsrv.a6c8798dc13b4577a4c6626df9d5834c">
      <tp t="s">
        <v/>
        <stp/>
        <stp>Market</stp>
        <stp>STOCK</stp>
        <stp/>
        <stp>前日比融資</stp>
        <tr r="CD8" s="27"/>
      </tp>
    </main>
    <main first="rtdsrv.a6c8798dc13b4577a4c6626df9d5834c">
      <tp t="s">
        <v/>
        <stp/>
        <stp>Market</stp>
        <stp>STOCK</stp>
        <stp>39090</stp>
        <stp>現在値ティック</stp>
        <tr r="F4" s="39"/>
      </tp>
      <tp t="s">
        <v/>
        <stp/>
        <stp>Market</stp>
        <stp>STOCK</stp>
        <stp>72030</stp>
        <stp>現在値ティック</stp>
        <tr r="K7" s="27"/>
        <tr r="F7" s="39"/>
      </tp>
      <tp t="s">
        <v/>
        <stp/>
        <stp>Market</stp>
        <stp>STOCK</stp>
        <stp>83060</stp>
        <stp>現在値ティック</stp>
        <tr r="F8" s="39"/>
      </tp>
    </main>
    <main first="rtdsrv.a6c8798dc13b4577a4c6626df9d5834c">
      <tp t="s">
        <v/>
        <stp/>
        <stp>Market</stp>
        <stp>STOCK</stp>
        <stp>66130</stp>
        <stp>現在値ティック</stp>
        <tr r="F6" s="39"/>
      </tp>
      <tp t="s">
        <v/>
        <stp/>
        <stp>Market</stp>
        <stp>STOCK</stp>
        <stp>50160</stp>
        <stp>現在値ティック</stp>
        <tr r="F5" s="39"/>
      </tp>
      <tp t="s">
        <v/>
        <stp/>
        <stp>Market</stp>
        <stp>STOCK</stp>
        <stp/>
        <stp>新規融資</stp>
        <tr r="BW8" s="27"/>
      </tp>
      <tp t="s">
        <v/>
        <stp/>
        <stp>Market</stp>
        <stp>STOCK</stp>
        <stp>22220</stp>
        <stp>現在値ティック</stp>
        <tr r="F2" s="39"/>
      </tp>
      <tp t="s">
        <v/>
        <stp/>
        <stp>Market</stp>
        <stp>STOCK</stp>
        <stp/>
        <stp>上場来高値日付</stp>
        <tr r="EO8" s="27"/>
      </tp>
      <tp t="s">
        <v/>
        <stp/>
        <stp>Market</stp>
        <stp>STOCK</stp>
        <stp/>
        <stp>上場来安値日付</stp>
        <tr r="EP8" s="27"/>
      </tp>
      <tp t="s">
        <v/>
        <stp/>
        <stp>Market</stp>
        <stp>STOCK</stp>
        <stp>94320</stp>
        <stp>現在値ティック</stp>
        <tr r="F9" s="39"/>
      </tp>
    </main>
    <main first="rtdsrv.a6c8798dc13b4577a4c6626df9d5834c">
      <tp t="s">
        <v/>
        <stp/>
        <stp>Market</stp>
        <stp>STOCK</stp>
        <stp/>
        <stp>前日比貸株</stp>
        <tr r="CC8" s="27"/>
      </tp>
    </main>
    <main first="rtdsrv.a6c8798dc13b4577a4c6626df9d5834c">
      <tp t="s">
        <v/>
        <stp/>
        <stp>Market</stp>
        <stp>STOCK</stp>
        <stp>72030</stp>
        <stp>後場安値</stp>
        <tr r="AT7" s="27"/>
      </tp>
      <tp t="s">
        <v/>
        <stp/>
        <stp>Market</stp>
        <stp>STOCK</stp>
        <stp>72030</stp>
        <stp>前場安値</stp>
        <tr r="AO7" s="27"/>
      </tp>
      <tp t="s">
        <v/>
        <stp/>
        <stp>Market</stp>
        <stp>STOCK</stp>
        <stp>285A0</stp>
        <stp>現在値ティック</stp>
        <tr r="F3" s="39"/>
      </tp>
    </main>
    <main first="rtdsrv.a6c8798dc13b4577a4c6626df9d5834c">
      <tp t="s">
        <v/>
        <stp/>
        <stp>Market</stp>
        <stp>STOCK</stp>
        <stp>72030</stp>
        <stp>後場始値</stp>
        <tr r="AR7" s="27"/>
      </tp>
      <tp t="s">
        <v/>
        <stp/>
        <stp>Market</stp>
        <stp>STOCK</stp>
        <stp>72030</stp>
        <stp>前場始値</stp>
        <tr r="AM7" s="27"/>
      </tp>
    </main>
    <main first="rtdsrv.a6c8798dc13b4577a4c6626df9d5834c">
      <tp t="s">
        <v/>
        <stp/>
        <stp>Market</stp>
        <stp>STOCK</stp>
        <stp>72030</stp>
        <stp>銘柄名称</stp>
        <tr r="C1" s="37"/>
        <tr r="C7" s="27"/>
        <tr r="B7" s="39"/>
        <tr r="C1" s="42"/>
      </tp>
      <tp t="s">
        <v/>
        <stp/>
        <stp>Market</stp>
        <stp>STOCK</stp>
        <stp>66130</stp>
        <stp>銘柄名称</stp>
        <tr r="B6" s="39"/>
      </tp>
    </main>
    <main first="rtdsrv.a6c8798dc13b4577a4c6626df9d5834c">
      <tp t="s">
        <v/>
        <stp/>
        <stp>Market</stp>
        <stp>STOCK</stp>
        <stp>94320</stp>
        <stp>銘柄名称</stp>
        <tr r="B9" s="39"/>
      </tp>
      <tp t="s">
        <v/>
        <stp/>
        <stp>Market</stp>
        <stp>STOCK</stp>
        <stp>22220</stp>
        <stp>銘柄名称</stp>
        <tr r="B2" s="39"/>
      </tp>
    </main>
    <main first="rtdsrv.a6c8798dc13b4577a4c6626df9d5834c">
      <tp t="s">
        <v/>
        <stp/>
        <stp>Market</stp>
        <stp>STOCK</stp>
        <stp/>
        <stp>高値</stp>
        <tr r="AE8" s="27"/>
      </tp>
    </main>
    <main first="rtdsrv.a6c8798dc13b4577a4c6626df9d5834c">
      <tp t="s">
        <v/>
        <stp/>
        <stp>Market</stp>
        <stp>STOCK</stp>
        <stp>72030</stp>
        <stp>市場部略称</stp>
        <tr r="F7" s="27"/>
      </tp>
      <tp t="s">
        <v/>
        <stp/>
        <stp>Market</stp>
        <stp>STOCK</stp>
        <stp>83060</stp>
        <stp>銘柄名称</stp>
        <tr r="B8" s="39"/>
      </tp>
      <tp t="s">
        <v/>
        <stp/>
        <stp>Market</stp>
        <stp>STOCK</stp>
        <stp>50160</stp>
        <stp>銘柄名称</stp>
        <tr r="B5" s="39"/>
      </tp>
      <tp t="s">
        <v/>
        <stp/>
        <stp>Market</stp>
        <stp>STOCK</stp>
        <stp>72030</stp>
        <stp>前場出来高</stp>
        <tr r="AQ7" s="27"/>
      </tp>
    </main>
    <main first="rtdsrv.a6c8798dc13b4577a4c6626df9d5834c">
      <tp t="s">
        <v/>
        <stp/>
        <stp>Market</stp>
        <stp>STOCK</stp>
        <stp>39090</stp>
        <stp>銘柄名称</stp>
        <tr r="B4" s="39"/>
      </tp>
    </main>
    <main first="rtdsrv.a6c8798dc13b4577a4c6626df9d5834c">
      <tp t="s">
        <v/>
        <stp/>
        <stp>Market</stp>
        <stp>STOCK</stp>
        <stp>72030</stp>
        <stp>前日終値</stp>
        <tr r="O7" s="27"/>
        <tr r="N5" s="37"/>
      </tp>
      <tp t="s">
        <v/>
        <stp/>
        <stp>Market</stp>
        <stp>STOCK</stp>
        <stp>72030</stp>
        <stp>特別売気配フラグ</stp>
        <tr r="BK7" s="27"/>
      </tp>
      <tp t="s">
        <v/>
        <stp/>
        <stp>Market</stp>
        <stp>STOCK</stp>
        <stp/>
        <stp>売買代金</stp>
        <tr r="AA8" s="27"/>
      </tp>
    </main>
    <main first="rtdsrv.a6c8798dc13b4577a4c6626df9d5834c">
      <tp t="s">
        <v/>
        <stp/>
        <stp>Market</stp>
        <stp>STOCK</stp>
        <stp/>
        <stp>現在値フラグ</stp>
        <tr r="L8" s="27"/>
      </tp>
      <tp t="s">
        <v/>
        <stp/>
        <stp>Market</stp>
        <stp>STOCK</stp>
        <stp/>
        <stp>配当</stp>
        <tr r="EA8" s="27"/>
      </tp>
      <tp t="s">
        <v/>
        <stp/>
        <stp>Market</stp>
        <stp>STOCK</stp>
        <stp>72030</stp>
        <stp>当日基準値</stp>
        <tr r="EH7" s="27"/>
      </tp>
      <tp t="s">
        <v/>
        <stp/>
        <stp>Market</stp>
        <stp>STOCK</stp>
        <stp>72030</stp>
        <stp>貸株金利適用日</stp>
        <tr r="ER7" s="27"/>
      </tp>
    </main>
    <main first="rtdsrv.a6c8798dc13b4577a4c6626df9d5834c">
      <tp t="s">
        <v/>
        <stp/>
        <stp>Market</stp>
        <stp>STOCK</stp>
        <stp>72030</stp>
        <stp>前日終値フラグ</stp>
        <tr r="Q7" s="27"/>
      </tp>
      <tp t="s">
        <v/>
        <stp/>
        <stp>Market</stp>
        <stp>STOCK</stp>
        <stp>72030</stp>
        <stp>高値詳細時刻</stp>
        <tr r="AK7" s="27"/>
      </tp>
    </main>
    <main first="rtdsrv.a6c8798dc13b4577a4c6626df9d5834c">
      <tp t="s">
        <v/>
        <stp/>
        <stp>Market</stp>
        <stp>STOCK</stp>
        <stp>72030</stp>
        <stp>前日日付</stp>
        <tr r="P7" s="27"/>
        <tr r="N6" s="37"/>
      </tp>
    </main>
    <main first="rtdsrv.a6c8798dc13b4577a4c6626df9d5834c">
      <tp t="s">
        <v/>
        <stp/>
        <stp>Market</stp>
        <stp>STOCK</stp>
        <stp>72030</stp>
        <stp>前日比差引</stp>
        <tr r="CE7" s="27"/>
      </tp>
    </main>
    <main first="rtdsrv.a6c8798dc13b4577a4c6626df9d5834c">
      <tp t="s">
        <v/>
        <stp/>
        <stp>Market</stp>
        <stp>STOCK</stp>
        <stp>72030</stp>
        <stp>回転日数</stp>
        <tr r="CF7" s="27"/>
      </tp>
    </main>
    <main first="rtdsrv.a6c8798dc13b4577a4c6626df9d5834c">
      <tp t="s">
        <v/>
        <stp/>
        <stp>Market</stp>
        <stp>STOCK</stp>
        <stp>39090</stp>
        <stp>前日比率</stp>
        <tr r="H4" s="39"/>
      </tp>
    </main>
    <main first="rtdsrv.a6c8798dc13b4577a4c6626df9d5834c">
      <tp t="s">
        <v/>
        <stp/>
        <stp>Market</stp>
        <stp>STOCK</stp>
        <stp>72030</stp>
        <stp>返済貸株</stp>
        <tr r="BX7" s="27"/>
      </tp>
    </main>
    <main first="rtdsrv.a6c8798dc13b4577a4c6626df9d5834c">
      <tp t="s">
        <v/>
        <stp/>
        <stp>Market</stp>
        <stp>STOCK</stp>
        <stp/>
        <stp>現在値詳細時刻</stp>
        <tr r="J8" s="27"/>
      </tp>
    </main>
    <main first="rtdsrv.a6c8798dc13b4577a4c6626df9d5834c">
      <tp t="s">
        <v/>
        <stp/>
        <stp>Market</stp>
        <stp>STOCK</stp>
        <stp>72030</stp>
        <stp>最良買気配詳細時刻</stp>
        <tr r="BJ7" s="27"/>
      </tp>
    </main>
    <main first="rtdsrv.a6c8798dc13b4577a4c6626df9d5834c">
      <tp t="s">
        <v/>
        <stp/>
        <stp>Market</stp>
        <stp>STOCK</stp>
        <stp>72030</stp>
        <stp>残高差引</stp>
        <tr r="CB7" s="27"/>
      </tp>
    </main>
    <main first="rtdsrv.a6c8798dc13b4577a4c6626df9d5834c">
      <tp t="s">
        <v/>
        <stp/>
        <stp>Market</stp>
        <stp>STOCK</stp>
        <stp/>
        <stp>市場部名称</stp>
        <tr r="E8" s="27"/>
      </tp>
      <tp t="s">
        <v/>
        <stp/>
        <stp>Market</stp>
        <stp>STOCK</stp>
        <stp>72030</stp>
        <stp>銘柄コード</stp>
        <tr r="A7" s="27"/>
      </tp>
      <tp t="s">
        <v/>
        <stp/>
        <stp>Market</stp>
        <stp>STOCK</stp>
        <stp>83060</stp>
        <stp>前日比率</stp>
        <tr r="H8" s="39"/>
      </tp>
      <tp t="s">
        <v/>
        <stp/>
        <stp>Market</stp>
        <stp>STOCK</stp>
        <stp>50160</stp>
        <stp>前日比率</stp>
        <tr r="H5" s="39"/>
      </tp>
    </main>
    <main first="rtdsrv.a6c8798dc13b4577a4c6626df9d5834c">
      <tp t="s">
        <v/>
        <stp/>
        <stp>Market</stp>
        <stp>STOCK</stp>
        <stp>66130</stp>
        <stp>前日比率</stp>
        <tr r="H6" s="39"/>
      </tp>
      <tp t="s">
        <v/>
        <stp/>
        <stp>Market</stp>
        <stp>STOCK</stp>
        <stp>72030</stp>
        <stp>前日比率</stp>
        <tr r="N7" s="27"/>
        <tr r="N4" s="37"/>
        <tr r="H7" s="39"/>
      </tp>
    </main>
    <main first="rtdsrv.a6c8798dc13b4577a4c6626df9d5834c">
      <tp t="s">
        <v/>
        <stp/>
        <stp>Market</stp>
        <stp>STOCK</stp>
        <stp>72030</stp>
        <stp>返済融資</stp>
        <tr r="BY7" s="27"/>
      </tp>
    </main>
    <main first="rtdsrv.a6c8798dc13b4577a4c6626df9d5834c">
      <tp t="s">
        <v/>
        <stp/>
        <stp>Market</stp>
        <stp>STOCK</stp>
        <stp>94320</stp>
        <stp>前日比率</stp>
        <tr r="H9" s="39"/>
      </tp>
      <tp t="s">
        <v/>
        <stp/>
        <stp>Market</stp>
        <stp>STOCK</stp>
        <stp>22220</stp>
        <stp>前日比率</stp>
        <tr r="H2" s="39"/>
      </tp>
    </main>
    <main first="rtdsrv.a6c8798dc13b4577a4c6626df9d5834c">
      <tp t="s">
        <v/>
        <stp/>
        <stp>Market</stp>
        <stp>STOCK</stp>
        <stp/>
        <stp>最良売気配数量4</stp>
        <tr r="DE8" s="27"/>
      </tp>
      <tp t="s">
        <v/>
        <stp/>
        <stp>Market</stp>
        <stp>STOCK</stp>
        <stp/>
        <stp>最良売気配数量5</stp>
        <tr r="DF8" s="27"/>
      </tp>
      <tp t="s">
        <v/>
        <stp/>
        <stp>Market</stp>
        <stp>STOCK</stp>
        <stp/>
        <stp>最良売気配数量6</stp>
        <tr r="DG8" s="27"/>
      </tp>
      <tp t="s">
        <v/>
        <stp/>
        <stp>Market</stp>
        <stp>STOCK</stp>
        <stp/>
        <stp>最良売気配数量7</stp>
        <tr r="DH8" s="27"/>
      </tp>
      <tp t="s">
        <v/>
        <stp/>
        <stp>Market</stp>
        <stp>STOCK</stp>
        <stp/>
        <stp>最良売気配数量1</stp>
        <tr r="DB8" s="27"/>
      </tp>
      <tp t="s">
        <v/>
        <stp/>
        <stp>Market</stp>
        <stp>STOCK</stp>
        <stp/>
        <stp>最良売気配数量2</stp>
        <tr r="DC8" s="27"/>
      </tp>
      <tp t="s">
        <v/>
        <stp/>
        <stp>Market</stp>
        <stp>STOCK</stp>
        <stp/>
        <stp>最良売気配数量3</stp>
        <tr r="DD8" s="27"/>
      </tp>
      <tp t="s">
        <v/>
        <stp/>
        <stp>Market</stp>
        <stp>STOCK</stp>
        <stp/>
        <stp>最良売気配数量8</stp>
        <tr r="DI8" s="27"/>
      </tp>
      <tp t="s">
        <v/>
        <stp/>
        <stp>Market</stp>
        <stp>STOCK</stp>
        <stp/>
        <stp>最良売気配数量9</stp>
        <tr r="DJ8" s="27"/>
      </tp>
      <tp t="s">
        <v/>
        <stp/>
        <stp>Market</stp>
        <stp>STOCK</stp>
        <stp/>
        <stp>貸株金利適用日</stp>
        <tr r="ER8" s="27"/>
      </tp>
      <tp t="s">
        <v/>
        <stp/>
        <stp>Market</stp>
        <stp>STOCK</stp>
        <stp/>
        <stp>前日終値フラグ</stp>
        <tr r="Q8" s="27"/>
      </tp>
      <tp t="s">
        <v/>
        <stp/>
        <stp>Market</stp>
        <stp>STOCK</stp>
        <stp/>
        <stp>配当落日</stp>
        <tr r="EB8" s="27"/>
      </tp>
      <tp t="s">
        <v/>
        <stp/>
        <stp>Market</stp>
        <stp>STOCK</stp>
        <stp>72030</stp>
        <stp>市場部名称</stp>
        <tr r="E7" s="27"/>
      </tp>
    </main>
    <main first="rtdsrv.a6c8798dc13b4577a4c6626df9d5834c">
      <tp t="s">
        <v/>
        <stp/>
        <stp>Market</stp>
        <stp>STOCK</stp>
        <stp/>
        <stp>銘柄コード</stp>
        <tr r="A8" s="27"/>
      </tp>
      <tp t="s">
        <v/>
        <stp/>
        <stp>Market</stp>
        <stp>STOCK</stp>
        <stp/>
        <stp>市場コード</stp>
        <tr r="B8" s="27"/>
        <tr r="B7" s="27"/>
      </tp>
    </main>
    <main first="rtdsrv.a6c8798dc13b4577a4c6626df9d5834c">
      <tp t="s">
        <v/>
        <stp/>
        <stp>Market</stp>
        <stp>STOCK</stp>
        <stp>72030</stp>
        <stp>貸株金利</stp>
        <tr r="EQ7" s="27"/>
      </tp>
      <tp t="s">
        <v/>
        <stp/>
        <stp>Market</stp>
        <stp>STOCK</stp>
        <stp/>
        <stp>最良買気配詳細時刻</stp>
        <tr r="BJ8" s="27"/>
      </tp>
    </main>
    <main first="rtdsrv.a6c8798dc13b4577a4c6626df9d5834c">
      <tp t="s">
        <v/>
        <stp/>
        <stp>Market</stp>
        <stp>STOCK</stp>
        <stp/>
        <stp>前日比差引</stp>
        <tr r="CE8" s="27"/>
      </tp>
      <tp t="s">
        <v/>
        <stp/>
        <stp>Market</stp>
        <stp>STOCK</stp>
        <stp/>
        <stp>時価総額</stp>
        <tr r="AC8" s="27"/>
      </tp>
    </main>
    <main first="rtdsrv.a6c8798dc13b4577a4c6626df9d5834c">
      <tp t="s">
        <v/>
        <stp/>
        <stp>Market</stp>
        <stp>STOCK</stp>
        <stp/>
        <stp>当日基準値</stp>
        <tr r="EH8" s="27"/>
      </tp>
    </main>
    <main first="rtdsrv.a6c8798dc13b4577a4c6626df9d5834c">
      <tp t="s">
        <v/>
        <stp/>
        <stp>Market</stp>
        <stp>STOCK</stp>
        <stp/>
        <stp>最良買気配値10</stp>
        <tr r="DA8" s="27"/>
      </tp>
    </main>
    <main first="rtdsrv.a6c8798dc13b4577a4c6626df9d5834c">
      <tp t="s">
        <v/>
        <stp/>
        <stp>Market</stp>
        <stp>STOCK</stp>
        <stp>72030</stp>
        <stp>信用買残</stp>
        <tr r="BR7" s="27"/>
      </tp>
    </main>
    <main first="rtdsrv.a6c8798dc13b4577a4c6626df9d5834c">
      <tp t="s">
        <v/>
        <stp/>
        <stp>Market</stp>
        <stp>STOCK</stp>
        <stp>285A0</stp>
        <stp>現在値詳細時刻</stp>
        <tr r="E3" s="39"/>
      </tp>
    </main>
    <main first="rtdsrv.a6c8798dc13b4577a4c6626df9d5834c">
      <tp t="s">
        <v/>
        <stp/>
        <stp>Market</stp>
        <stp>STOCK</stp>
        <stp/>
        <stp>市場部略称</stp>
        <tr r="F8" s="27"/>
      </tp>
      <tp t="s">
        <v/>
        <stp/>
        <stp>Market</stp>
        <stp>STOCK</stp>
        <stp/>
        <stp>前場出来高</stp>
        <tr r="AQ8" s="27"/>
      </tp>
    </main>
    <main first="rtdsrv.a6c8798dc13b4577a4c6626df9d5834c">
      <tp t="s">
        <v/>
        <stp/>
        <stp>Market</stp>
        <stp>STOCK</stp>
        <stp/>
        <stp>中配落日</stp>
        <tr r="EC8" s="27"/>
      </tp>
    </main>
    <main first="rtdsrv.a6c8798dc13b4577a4c6626df9d5834c">
      <tp t="s">
        <v/>
        <stp/>
        <stp>Market</stp>
        <stp>STOCK</stp>
        <stp>66130</stp>
        <stp>現在値詳細時刻</stp>
        <tr r="E6" s="39"/>
      </tp>
      <tp t="s">
        <v/>
        <stp/>
        <stp>Market</stp>
        <stp>STOCK</stp>
        <stp>50160</stp>
        <stp>現在値詳細時刻</stp>
        <tr r="E5" s="39"/>
      </tp>
      <tp t="s">
        <v/>
        <stp/>
        <stp>Market</stp>
        <stp>STOCK</stp>
        <stp>72030</stp>
        <stp>後場高値</stp>
        <tr r="AS7" s="27"/>
      </tp>
      <tp t="s">
        <v/>
        <stp/>
        <stp>Market</stp>
        <stp>STOCK</stp>
        <stp>72030</stp>
        <stp>前場高値</stp>
        <tr r="AN7" s="27"/>
      </tp>
      <tp t="s">
        <v/>
        <stp/>
        <stp>Market</stp>
        <stp>STOCK</stp>
        <stp>39090</stp>
        <stp>現在値詳細時刻</stp>
        <tr r="E4" s="39"/>
      </tp>
      <tp t="s">
        <v/>
        <stp/>
        <stp>Market</stp>
        <stp>STOCK</stp>
        <stp>72030</stp>
        <stp>現在値詳細時刻</stp>
        <tr r="J7" s="27"/>
        <tr r="E7" s="39"/>
      </tp>
      <tp t="s">
        <v/>
        <stp/>
        <stp>Market</stp>
        <stp>STOCK</stp>
        <stp>83060</stp>
        <stp>現在値詳細時刻</stp>
        <tr r="E8" s="39"/>
      </tp>
    </main>
    <main first="rtdsrv.a6c8798dc13b4577a4c6626df9d5834c">
      <tp t="s">
        <v/>
        <stp/>
        <stp>Market</stp>
        <stp>STOCK</stp>
        <stp>72030</stp>
        <stp>最良売気配値</stp>
        <tr r="BC7" s="27"/>
        <tr r="K4" s="37"/>
      </tp>
      <tp t="s">
        <v/>
        <stp/>
        <stp>Market</stp>
        <stp>STOCK</stp>
        <stp>72030</stp>
        <stp>最良買気配値</stp>
        <tr r="BD7" s="27"/>
        <tr r="K5" s="37"/>
      </tp>
      <tp t="s">
        <v/>
        <stp/>
        <stp>Market</stp>
        <stp>STOCK</stp>
        <stp>94320</stp>
        <stp>現在値詳細時刻</stp>
        <tr r="E9" s="39"/>
      </tp>
      <tp t="s">
        <v/>
        <stp/>
        <stp>Market</stp>
        <stp>STOCK</stp>
        <stp>72030</stp>
        <stp>権利落日</stp>
        <tr r="ED7" s="27"/>
      </tp>
      <tp t="s">
        <v/>
        <stp/>
        <stp>Market</stp>
        <stp>STOCK</stp>
        <stp>22220</stp>
        <stp>現在値詳細時刻</stp>
        <tr r="E2" s="39"/>
      </tp>
      <tp t="s">
        <v/>
        <stp/>
        <stp>Market</stp>
        <stp>STOCK</stp>
        <stp>50160</stp>
        <stp>高値</stp>
        <tr r="J5" s="39"/>
      </tp>
      <tp t="s">
        <v/>
        <stp/>
        <stp>Market</stp>
        <stp>STOCK</stp>
        <stp/>
        <stp>現在値</stp>
        <tr r="H8" s="27"/>
      </tp>
      <tp t="s">
        <v/>
        <stp/>
        <stp>Market</stp>
        <stp>STOCK</stp>
        <stp/>
        <stp>最良売気配時刻</stp>
        <tr r="BG8" s="27"/>
      </tp>
      <tp t="s">
        <v/>
        <stp/>
        <stp>Market</stp>
        <stp>STOCK</stp>
        <stp/>
        <stp>最良買気配時刻</stp>
        <tr r="BH8" s="27"/>
      </tp>
    </main>
    <main first="rtdsrv.a6c8798dc13b4577a4c6626df9d5834c">
      <tp t="s">
        <v/>
        <stp/>
        <stp>Market</stp>
        <stp>STOCK</stp>
        <stp/>
        <stp>最良買気配数量</stp>
        <tr r="BF8" s="27"/>
      </tp>
      <tp t="s">
        <v/>
        <stp/>
        <stp>Market</stp>
        <stp>STOCK</stp>
        <stp/>
        <stp>最良売気配数量</stp>
        <tr r="BE8" s="27"/>
      </tp>
      <tp t="s">
        <v/>
        <stp/>
        <stp>Market</stp>
        <stp>STOCK</stp>
        <stp>22220</stp>
        <stp>高値</stp>
        <tr r="J2" s="39"/>
      </tp>
      <tp t="s">
        <v/>
        <stp/>
        <stp>Market</stp>
        <stp>STOCK</stp>
        <stp>72030</stp>
        <stp>高値</stp>
        <tr r="AE7" s="27"/>
        <tr r="K7" s="37"/>
        <tr r="J7" s="39"/>
      </tp>
      <tp t="s">
        <v/>
        <stp/>
        <stp>Market</stp>
        <stp>STOCK</stp>
        <stp/>
        <stp>前場出来高時刻</stp>
        <tr r="AY8" s="27"/>
      </tp>
      <tp t="s">
        <v/>
        <stp/>
        <stp>Market</stp>
        <stp>STOCK</stp>
        <stp>83060</stp>
        <stp>高値</stp>
        <tr r="J8" s="39"/>
      </tp>
      <tp t="s">
        <v/>
        <stp/>
        <stp>Market</stp>
        <stp>STOCK</stp>
        <stp>72030</stp>
        <stp>最良売気配数量3</stp>
        <tr r="DD7" s="27"/>
        <tr r="F13" s="37"/>
      </tp>
      <tp t="s">
        <v/>
        <stp/>
        <stp>Market</stp>
        <stp>STOCK</stp>
        <stp>72030</stp>
        <stp>最良売気配数量2</stp>
        <tr r="F14" s="37"/>
        <tr r="DC7" s="27"/>
      </tp>
      <tp t="s">
        <v/>
        <stp/>
        <stp>Market</stp>
        <stp>STOCK</stp>
        <stp>72030</stp>
        <stp>最良売気配数量1</stp>
        <tr r="DB7" s="27"/>
        <tr r="F15" s="37"/>
      </tp>
      <tp t="s">
        <v/>
        <stp/>
        <stp>Market</stp>
        <stp>STOCK</stp>
        <stp>72030</stp>
        <stp>最良売気配数量7</stp>
        <tr r="DH7" s="27"/>
        <tr r="F9" s="37"/>
      </tp>
      <tp t="s">
        <v/>
        <stp/>
        <stp>Market</stp>
        <stp>STOCK</stp>
        <stp>72030</stp>
        <stp>最良売気配数量6</stp>
        <tr r="F10" s="37"/>
        <tr r="DG7" s="27"/>
      </tp>
      <tp t="s">
        <v/>
        <stp/>
        <stp>Market</stp>
        <stp>STOCK</stp>
        <stp>72030</stp>
        <stp>最良売気配数量5</stp>
        <tr r="F11" s="37"/>
        <tr r="DF7" s="27"/>
      </tp>
      <tp t="s">
        <v/>
        <stp/>
        <stp>Market</stp>
        <stp>STOCK</stp>
        <stp>72030</stp>
        <stp>最良売気配数量4</stp>
        <tr r="F12" s="37"/>
        <tr r="DE7" s="27"/>
      </tp>
      <tp t="s">
        <v/>
        <stp/>
        <stp>Market</stp>
        <stp>STOCK</stp>
        <stp>72030</stp>
        <stp>最良売気配数量9</stp>
        <tr r="DJ7" s="27"/>
        <tr r="F7" s="37"/>
      </tp>
      <tp t="s">
        <v/>
        <stp/>
        <stp>Market</stp>
        <stp>STOCK</stp>
        <stp>72030</stp>
        <stp>最良売気配数量8</stp>
        <tr r="F8" s="37"/>
        <tr r="DI7" s="27"/>
      </tp>
    </main>
    <main first="rtdsrv.a6c8798dc13b4577a4c6626df9d5834c">
      <tp t="s">
        <v/>
        <stp/>
        <stp>Market</stp>
        <stp>STOCK</stp>
        <stp>94320</stp>
        <stp>高値</stp>
        <tr r="J9" s="39"/>
      </tp>
    </main>
    <main first="rtdsrv.a6c8798dc13b4577a4c6626df9d5834c">
      <tp t="s">
        <v/>
        <stp/>
        <stp>Market</stp>
        <stp>STOCK</stp>
        <stp>72030</stp>
        <stp>配当落日</stp>
        <tr r="EB7" s="27"/>
      </tp>
    </main>
    <main first="rtdsrv.a6c8798dc13b4577a4c6626df9d5834c">
      <tp t="s">
        <v/>
        <stp/>
        <stp>Market</stp>
        <stp>STOCK</stp>
        <stp>66130</stp>
        <stp>高値</stp>
        <tr r="J6" s="39"/>
      </tp>
      <tp t="s">
        <v/>
        <stp/>
        <stp>Market</stp>
        <stp>STOCK</stp>
        <stp>285A0</stp>
        <stp>高値</stp>
        <tr r="J3" s="39"/>
      </tp>
      <tp t="s">
        <v/>
        <stp/>
        <stp>Market</stp>
        <stp>STOCK</stp>
        <stp>72030</stp>
        <stp>配当</stp>
        <tr r="EA7" s="27"/>
      </tp>
      <tp t="s">
        <v/>
        <stp/>
        <stp>Market</stp>
        <stp>STOCK</stp>
        <stp/>
        <stp>貸株金利</stp>
        <tr r="EQ8" s="27"/>
      </tp>
      <tp t="s">
        <v/>
        <stp/>
        <stp>Market</stp>
        <stp>STOCK</stp>
        <stp>39090</stp>
        <stp>高値</stp>
        <tr r="J4" s="39"/>
      </tp>
      <tp t="s">
        <v/>
        <stp/>
        <stp>Market</stp>
        <stp>STOCK</stp>
        <stp>72030</stp>
        <stp>現在値フラグ</stp>
        <tr r="L7" s="27"/>
      </tp>
    </main>
    <main first="rtdsrv.a6c8798dc13b4577a4c6626df9d5834c">
      <tp t="s">
        <v/>
        <stp/>
        <stp>Market</stp>
        <stp>STOCK</stp>
        <stp>72030</stp>
        <stp>時価総額</stp>
        <tr r="P4" s="37"/>
        <tr r="AC7" s="27"/>
      </tp>
    </main>
    <main first="rtdsrv.a6c8798dc13b4577a4c6626df9d5834c">
      <tp t="s">
        <v/>
        <stp/>
        <stp>Market</stp>
        <stp>STOCK</stp>
        <stp>72030</stp>
        <stp>最良売気配詳細時刻</stp>
        <tr r="BI7" s="27"/>
      </tp>
    </main>
    <main first="rtdsrv.a6c8798dc13b4577a4c6626df9d5834c">
      <tp t="s">
        <v/>
        <stp/>
        <stp>Market</stp>
        <stp>STOCK</stp>
        <stp>72030</stp>
        <stp>最良買気配値10</stp>
        <tr r="DA7" s="27"/>
        <tr r="G25" s="37"/>
      </tp>
      <tp t="s">
        <v/>
        <stp/>
        <stp>Market</stp>
        <stp>STOCK</stp>
        <stp/>
        <stp>決算発表日</stp>
        <tr r="EE8" s="27"/>
      </tp>
      <tp t="s">
        <v/>
        <stp/>
        <stp>Market</stp>
        <stp>STOCK</stp>
        <stp/>
        <stp>信用買残</stp>
        <tr r="BR8" s="27"/>
      </tp>
    </main>
    <main first="rtdsrv.a6c8798dc13b4577a4c6626df9d5834c">
      <tp t="s">
        <v/>
        <stp/>
        <stp>Market</stp>
        <stp>STOCK</stp>
        <stp/>
        <stp>高値詳細時刻</stp>
        <tr r="AK8" s="27"/>
      </tp>
    </main>
    <main first="rtdsrv.a6c8798dc13b4577a4c6626df9d5834c">
      <tp t="s">
        <v/>
        <stp/>
        <stp>Market</stp>
        <stp>STOCK</stp>
        <stp>285A0</stp>
        <stp>出来高</stp>
        <tr r="L3" s="39"/>
      </tp>
      <tp t="s">
        <v/>
        <stp/>
        <stp>Market</stp>
        <stp>STOCK</stp>
        <stp>72030</stp>
        <stp>中配落日</stp>
        <tr r="EC7" s="27"/>
      </tp>
    </main>
    <main first="rtdsrv.a6c8798dc13b4577a4c6626df9d5834c">
      <tp t="s">
        <v/>
        <stp/>
        <stp>Market</stp>
        <stp>STOCK</stp>
        <stp/>
        <stp>年初来高値</stp>
        <tr r="EI8" s="27"/>
      </tp>
      <tp t="s">
        <v/>
        <stp/>
        <stp>Market</stp>
        <stp>STOCK</stp>
        <stp/>
        <stp>上場来高値</stp>
        <tr r="EM8" s="27"/>
      </tp>
    </main>
    <main first="rtdsrv.a6c8798dc13b4577a4c6626df9d5834c">
      <tp t="s">
        <v/>
        <stp/>
        <stp>Market</stp>
        <stp>STOCK</stp>
        <stp/>
        <stp>後場高値</stp>
        <tr r="AS8" s="27"/>
      </tp>
      <tp t="s">
        <v/>
        <stp/>
        <stp>Market</stp>
        <stp>STOCK</stp>
        <stp/>
        <stp>前場高値</stp>
        <tr r="AN8" s="27"/>
      </tp>
      <tp t="s">
        <v/>
        <stp/>
        <stp>Market</stp>
        <stp>STOCK</stp>
        <stp>94320</stp>
        <stp>出来高</stp>
        <tr r="L9" s="39"/>
      </tp>
      <tp t="s">
        <v/>
        <stp/>
        <stp>Market</stp>
        <stp>STOCK</stp>
        <stp>72030</stp>
        <stp>最良売気配値4</stp>
        <tr r="CK7" s="27"/>
        <tr r="G12" s="37"/>
      </tp>
      <tp t="s">
        <v/>
        <stp/>
        <stp>Market</stp>
        <stp>STOCK</stp>
        <stp>72030</stp>
        <stp>最良売気配値5</stp>
        <tr r="CL7" s="27"/>
        <tr r="G11" s="37"/>
      </tp>
      <tp t="s">
        <v/>
        <stp/>
        <stp>Market</stp>
        <stp>STOCK</stp>
        <stp>72030</stp>
        <stp>最良売気配値6</stp>
        <tr r="G10" s="37"/>
        <tr r="CM7" s="27"/>
      </tp>
      <tp t="s">
        <v/>
        <stp/>
        <stp>Market</stp>
        <stp>STOCK</stp>
        <stp>72030</stp>
        <stp>最良売気配値7</stp>
        <tr r="G9" s="37"/>
        <tr r="CN7" s="27"/>
      </tp>
      <tp t="s">
        <v/>
        <stp/>
        <stp>Market</stp>
        <stp>STOCK</stp>
        <stp>72030</stp>
        <stp>最良売気配値1</stp>
        <tr r="G15" s="37"/>
        <tr r="CH7" s="27"/>
      </tp>
      <tp t="s">
        <v/>
        <stp/>
        <stp>Market</stp>
        <stp>STOCK</stp>
        <stp>72030</stp>
        <stp>最良売気配値2</stp>
        <tr r="G14" s="37"/>
        <tr r="CI7" s="27"/>
      </tp>
      <tp t="s">
        <v/>
        <stp/>
        <stp>Market</stp>
        <stp>STOCK</stp>
        <stp>72030</stp>
        <stp>最良売気配値3</stp>
        <tr r="G13" s="37"/>
        <tr r="CJ7" s="27"/>
      </tp>
      <tp t="s">
        <v/>
        <stp/>
        <stp>Market</stp>
        <stp>STOCK</stp>
        <stp>72030</stp>
        <stp>最良売気配値8</stp>
        <tr r="G8" s="37"/>
        <tr r="CO7" s="27"/>
      </tp>
      <tp t="s">
        <v/>
        <stp/>
        <stp>Market</stp>
        <stp>STOCK</stp>
        <stp>72030</stp>
        <stp>最良売気配値9</stp>
        <tr r="G7" s="37"/>
        <tr r="CP7" s="27"/>
      </tp>
    </main>
    <main first="rtdsrv.a6c8798dc13b4577a4c6626df9d5834c">
      <tp t="s">
        <v/>
        <stp/>
        <stp>Market</stp>
        <stp>STOCK</stp>
        <stp>72030</stp>
        <stp>最良買気配値1</stp>
        <tr r="G16" s="37"/>
        <tr r="CR7" s="27"/>
      </tp>
      <tp t="s">
        <v/>
        <stp/>
        <stp>Market</stp>
        <stp>STOCK</stp>
        <stp>72030</stp>
        <stp>最良買気配値3</stp>
        <tr r="G18" s="37"/>
        <tr r="CT7" s="27"/>
      </tp>
      <tp t="s">
        <v/>
        <stp/>
        <stp>Market</stp>
        <stp>STOCK</stp>
        <stp>72030</stp>
        <stp>最良買気配値2</stp>
        <tr r="CS7" s="27"/>
        <tr r="G17" s="37"/>
      </tp>
      <tp t="s">
        <v/>
        <stp/>
        <stp>Market</stp>
        <stp>STOCK</stp>
        <stp>72030</stp>
        <stp>最良買気配値5</stp>
        <tr r="G20" s="37"/>
        <tr r="CV7" s="27"/>
      </tp>
      <tp t="s">
        <v/>
        <stp/>
        <stp>Market</stp>
        <stp>STOCK</stp>
        <stp>72030</stp>
        <stp>最良買気配値4</stp>
        <tr r="CU7" s="27"/>
        <tr r="G19" s="37"/>
      </tp>
      <tp t="s">
        <v/>
        <stp/>
        <stp>Market</stp>
        <stp>STOCK</stp>
        <stp>72030</stp>
        <stp>最良買気配値7</stp>
        <tr r="G22" s="37"/>
        <tr r="CX7" s="27"/>
      </tp>
      <tp t="s">
        <v/>
        <stp/>
        <stp>Market</stp>
        <stp>STOCK</stp>
        <stp>72030</stp>
        <stp>最良買気配値6</stp>
        <tr r="G21" s="37"/>
        <tr r="CW7" s="27"/>
      </tp>
      <tp t="s">
        <v/>
        <stp/>
        <stp>Market</stp>
        <stp>STOCK</stp>
        <stp>72030</stp>
        <stp>最良買気配値9</stp>
        <tr r="CZ7" s="27"/>
        <tr r="G24" s="37"/>
      </tp>
      <tp t="s">
        <v/>
        <stp/>
        <stp>Market</stp>
        <stp>STOCK</stp>
        <stp>72030</stp>
        <stp>最良買気配値8</stp>
        <tr r="CY7" s="27"/>
        <tr r="G23" s="37"/>
      </tp>
      <tp t="s">
        <v/>
        <stp/>
        <stp>Market</stp>
        <stp>STOCK</stp>
        <stp>22220</stp>
        <stp>出来高</stp>
        <tr r="L2" s="39"/>
      </tp>
      <tp t="s">
        <v/>
        <stp/>
        <stp>Market</stp>
        <stp>STOCK</stp>
        <stp/>
        <stp>逆日歩更新日付</stp>
        <tr r="BO8" s="27"/>
      </tp>
    </main>
    <main first="rtdsrv.a6c8798dc13b4577a4c6626df9d5834c">
      <tp t="s">
        <v/>
        <stp/>
        <stp>Market</stp>
        <stp>STOCK</stp>
        <stp>50160</stp>
        <stp>出来高</stp>
        <tr r="L5" s="39"/>
      </tp>
      <tp t="s">
        <v/>
        <stp/>
        <stp>Market</stp>
        <stp>STOCK</stp>
        <stp>66130</stp>
        <stp>出来高</stp>
        <tr r="L6" s="39"/>
      </tp>
      <tp t="s">
        <v/>
        <stp/>
        <stp>Market</stp>
        <stp>STOCK</stp>
        <stp/>
        <stp>権利落日</stp>
        <tr r="ED8" s="27"/>
      </tp>
      <tp t="s">
        <v/>
        <stp/>
        <stp>Market</stp>
        <stp>STOCK</stp>
        <stp>39090</stp>
        <stp>出来高</stp>
        <tr r="L4" s="39"/>
      </tp>
      <tp t="s">
        <v/>
        <stp/>
        <stp>Market</stp>
        <stp>STOCK</stp>
        <stp>83060</stp>
        <stp>出来高</stp>
        <tr r="L8" s="39"/>
      </tp>
      <tp t="s">
        <v/>
        <stp/>
        <stp>Market</stp>
        <stp>STOCK</stp>
        <stp>72030</stp>
        <stp>出来高</stp>
        <tr r="N7" s="37"/>
        <tr r="L7" s="39"/>
        <tr r="Z7" s="27"/>
      </tp>
    </main>
    <main first="rtdsrv.a6c8798dc13b4577a4c6626df9d5834c">
      <tp t="s">
        <v/>
        <stp/>
        <stp>Market</stp>
        <stp>STOCK</stp>
        <stp/>
        <stp>銘柄名称</stp>
        <tr r="C8" s="27"/>
      </tp>
    </main>
    <main first="rtdsrv.a6c8798dc13b4577a4c6626df9d5834c">
      <tp t="s">
        <v/>
        <stp/>
        <stp>Market</stp>
        <stp>STOCK</stp>
        <stp>72030</stp>
        <stp>年初来高値</stp>
        <tr r="EI7" s="27"/>
      </tp>
      <tp t="s">
        <v/>
        <stp/>
        <stp>Market</stp>
        <stp>STOCK</stp>
        <stp>72030</stp>
        <stp>上場来高値</stp>
        <tr r="EM7" s="27"/>
      </tp>
    </main>
    <main first="rtdsrv.a6c8798dc13b4577a4c6626df9d5834c">
      <tp t="s">
        <v/>
        <stp/>
        <stp>Market</stp>
        <stp>STOCK</stp>
        <stp>72030</stp>
        <stp>最良買気配数量</stp>
        <tr r="BF7" s="27"/>
      </tp>
      <tp t="s">
        <v/>
        <stp/>
        <stp>Market</stp>
        <stp>STOCK</stp>
        <stp>72030</stp>
        <stp>決算発表日</stp>
        <tr r="EE7" s="27"/>
      </tp>
      <tp t="s">
        <v/>
        <stp/>
        <stp>Market</stp>
        <stp>STOCK</stp>
        <stp>94320</stp>
        <stp>現在値</stp>
        <tr r="C9" s="39"/>
      </tp>
      <tp t="s">
        <v/>
        <stp/>
        <stp>Market</stp>
        <stp>STOCK</stp>
        <stp>72030</stp>
        <stp>最良売気配数量</stp>
        <tr r="BE7" s="27"/>
      </tp>
    </main>
    <main first="rtdsrv.a6c8798dc13b4577a4c6626df9d5834c">
      <tp t="s">
        <v/>
        <stp/>
        <stp>Market</stp>
        <stp>STOCK</stp>
        <stp>72030</stp>
        <stp>前場出来高時刻</stp>
        <tr r="AY7" s="27"/>
      </tp>
      <tp t="s">
        <v/>
        <stp/>
        <stp>Market</stp>
        <stp>STOCK</stp>
        <stp>22220</stp>
        <stp>現在値</stp>
        <tr r="C2" s="39"/>
      </tp>
      <tp t="s">
        <v/>
        <stp/>
        <stp>Market</stp>
        <stp>STOCK</stp>
        <stp/>
        <stp>前日終値</stp>
        <tr r="O8" s="27"/>
      </tp>
      <tp t="s">
        <v/>
        <stp/>
        <stp>Market</stp>
        <stp>STOCK</stp>
        <stp/>
        <stp>特別売気配フラグ</stp>
        <tr r="BK8" s="27"/>
      </tp>
      <tp t="s">
        <v/>
        <stp/>
        <stp>Market</stp>
        <stp>STOCK</stp>
        <stp>66130</stp>
        <stp>現在値</stp>
        <tr r="C6" s="39"/>
      </tp>
      <tp t="s">
        <v/>
        <stp/>
        <stp>Market</stp>
        <stp>STOCK</stp>
        <stp>50160</stp>
        <stp>現在値</stp>
        <tr r="C5" s="39"/>
      </tp>
      <tp t="s">
        <v/>
        <stp/>
        <stp>Market</stp>
        <stp>STOCK</stp>
        <stp>72030</stp>
        <stp>最良売気配時刻</stp>
        <tr r="BG7" s="27"/>
        <tr r="L4" s="37"/>
      </tp>
      <tp t="s">
        <v/>
        <stp/>
        <stp>Market</stp>
        <stp>STOCK</stp>
        <stp>39090</stp>
        <stp>現在値</stp>
        <tr r="C4" s="39"/>
      </tp>
      <tp t="s">
        <v/>
        <stp/>
        <stp>Market</stp>
        <stp>STOCK</stp>
        <stp>72030</stp>
        <stp>売買代金</stp>
        <tr r="AA7" s="27"/>
        <tr r="N8" s="37"/>
      </tp>
      <tp t="s">
        <v/>
        <stp/>
        <stp>Market</stp>
        <stp>STOCK</stp>
        <stp>72030</stp>
        <stp>現在値</stp>
        <tr r="K3" s="37"/>
        <tr r="H7" s="27"/>
        <tr r="C7" s="39"/>
      </tp>
      <tp t="s">
        <v/>
        <stp/>
        <stp>Market</stp>
        <stp>STOCK</stp>
        <stp>83060</stp>
        <stp>現在値</stp>
        <tr r="C8" s="39"/>
      </tp>
      <tp t="s">
        <v/>
        <stp/>
        <stp>Market</stp>
        <stp>STOCK</stp>
        <stp>72030</stp>
        <stp>最良買気配時刻</stp>
        <tr r="L5" s="37"/>
        <tr r="BH7" s="27"/>
      </tp>
      <tp t="s">
        <v/>
        <stp/>
        <stp>Market</stp>
        <stp>STOCK</stp>
        <stp/>
        <stp>最良売気配詳細時刻</stp>
        <tr r="BI8" s="27"/>
      </tp>
      <tp t="s">
        <v/>
        <stp/>
        <stp>Market</stp>
        <stp>STOCK</stp>
        <stp>285A0</stp>
        <stp>現在値</stp>
        <tr r="C3" s="39"/>
      </tp>
      <tp t="s">
        <v/>
        <stp/>
        <stp>Market</stp>
        <stp>STOCK</stp>
        <stp>285A0</stp>
        <stp>前日比率</stp>
        <tr r="H3" s="39"/>
      </tp>
    </main>
    <main first="rtdsrv.a6c8798dc13b4577a4c6626df9d5834c">
      <tp t="s">
        <v/>
        <stp/>
        <stp>Market</stp>
        <stp>STOCK</stp>
        <stp>285A0</stp>
        <stp>銘柄名称</stp>
        <tr r="B3" s="39"/>
      </tp>
    </main>
    <main first="rtdsrv.a6c8798dc13b4577a4c6626df9d5834c">
      <tp t="s">
        <v/>
        <stp/>
        <stp>Market</stp>
        <stp>STOCK</stp>
        <stp/>
        <stp>前日日付</stp>
        <tr r="P8" s="27"/>
      </tp>
      <tp t="s">
        <v/>
        <stp/>
        <stp>Market</stp>
        <stp>STOCK</stp>
        <stp>72030</stp>
        <stp>逆日歩更新日付</stp>
        <tr r="BO7" s="27"/>
      </tp>
      <tp t="s">
        <v/>
        <stp/>
        <stp>Market</stp>
        <stp>STOCK</stp>
        <stp/>
        <stp>出来高</stp>
        <tr r="Z8" s="27"/>
      </tp>
      <tp t="s">
        <v/>
        <stp/>
        <stp>Market</stp>
        <stp>STOCK</stp>
        <stp/>
        <stp>回転日数</stp>
        <tr r="CF8" s="27"/>
      </tp>
      <tp t="s">
        <v/>
        <stp/>
        <stp>Market</stp>
        <stp>STOCK</stp>
        <stp/>
        <stp>返済貸株</stp>
        <tr r="BX8" s="27"/>
      </tp>
      <tp t="s">
        <v/>
        <stp/>
        <stp>Market</stp>
        <stp>STOCK</stp>
        <stp/>
        <stp>最良売気配値8</stp>
        <tr r="CO8" s="27"/>
      </tp>
      <tp t="s">
        <v/>
        <stp/>
        <stp>Market</stp>
        <stp>STOCK</stp>
        <stp/>
        <stp>最良売気配値9</stp>
        <tr r="CP8" s="27"/>
      </tp>
      <tp t="s">
        <v/>
        <stp/>
        <stp>Market</stp>
        <stp>STOCK</stp>
        <stp/>
        <stp>最良売気配値2</stp>
        <tr r="CI8" s="27"/>
      </tp>
      <tp t="s">
        <v/>
        <stp/>
        <stp>Market</stp>
        <stp>STOCK</stp>
        <stp/>
        <stp>最良売気配値3</stp>
        <tr r="CJ8" s="27"/>
      </tp>
      <tp t="s">
        <v/>
        <stp/>
        <stp>Market</stp>
        <stp>STOCK</stp>
        <stp/>
        <stp>最良売気配値1</stp>
        <tr r="CH8" s="27"/>
      </tp>
      <tp t="s">
        <v/>
        <stp/>
        <stp>Market</stp>
        <stp>STOCK</stp>
        <stp/>
        <stp>最良売気配値6</stp>
        <tr r="CM8" s="27"/>
      </tp>
      <tp t="s">
        <v/>
        <stp/>
        <stp>Market</stp>
        <stp>STOCK</stp>
        <stp/>
        <stp>最良売気配値7</stp>
        <tr r="CN8" s="27"/>
      </tp>
      <tp t="s">
        <v/>
        <stp/>
        <stp>Market</stp>
        <stp>STOCK</stp>
        <stp/>
        <stp>最良売気配値4</stp>
        <tr r="CK8" s="27"/>
      </tp>
      <tp t="s">
        <v/>
        <stp/>
        <stp>Market</stp>
        <stp>STOCK</stp>
        <stp/>
        <stp>最良売気配値5</stp>
        <tr r="CL8" s="27"/>
      </tp>
      <tp t="s">
        <v/>
        <stp/>
        <stp>Market</stp>
        <stp>STOCK</stp>
        <stp/>
        <stp>残高差引</stp>
        <tr r="CB8" s="27"/>
      </tp>
      <tp t="s">
        <v/>
        <stp/>
        <stp>Market</stp>
        <stp>STOCK</stp>
        <stp/>
        <stp>最良買気配値9</stp>
        <tr r="CZ8" s="27"/>
      </tp>
      <tp t="s">
        <v/>
        <stp/>
        <stp>Market</stp>
        <stp>STOCK</stp>
        <stp/>
        <stp>最良買気配値8</stp>
        <tr r="CY8" s="27"/>
      </tp>
      <tp t="s">
        <v/>
        <stp/>
        <stp>Market</stp>
        <stp>STOCK</stp>
        <stp/>
        <stp>最良買気配値7</stp>
        <tr r="CX8" s="27"/>
      </tp>
      <tp t="s">
        <v/>
        <stp/>
        <stp>Market</stp>
        <stp>STOCK</stp>
        <stp/>
        <stp>最良買気配値6</stp>
        <tr r="CW8" s="27"/>
      </tp>
      <tp t="s">
        <v/>
        <stp/>
        <stp>Market</stp>
        <stp>STOCK</stp>
        <stp/>
        <stp>最良買気配値5</stp>
        <tr r="CV8" s="27"/>
      </tp>
      <tp t="s">
        <v/>
        <stp/>
        <stp>Market</stp>
        <stp>STOCK</stp>
        <stp/>
        <stp>最良買気配値4</stp>
        <tr r="CU8" s="27"/>
      </tp>
      <tp t="s">
        <v/>
        <stp/>
        <stp>Market</stp>
        <stp>STOCK</stp>
        <stp/>
        <stp>最良買気配値3</stp>
        <tr r="CT8" s="27"/>
      </tp>
      <tp t="s">
        <v/>
        <stp/>
        <stp>Market</stp>
        <stp>STOCK</stp>
        <stp/>
        <stp>最良買気配値2</stp>
        <tr r="CS8" s="27"/>
      </tp>
      <tp t="s">
        <v/>
        <stp/>
        <stp>Market</stp>
        <stp>STOCK</stp>
        <stp/>
        <stp>最良買気配値1</stp>
        <tr r="CR8" s="27"/>
      </tp>
    </main>
    <main first="rtdsrv.a6c8798dc13b4577a4c6626df9d5834c">
      <tp t="s">
        <v/>
        <stp/>
        <stp>Market</stp>
        <stp>STOCK</stp>
        <stp/>
        <stp>最良売気配値</stp>
        <tr r="BC8" s="27"/>
      </tp>
      <tp t="s">
        <v/>
        <stp/>
        <stp>Market</stp>
        <stp>STOCK</stp>
        <stp/>
        <stp>最良買気配値</stp>
        <tr r="BD8" s="27"/>
      </tp>
    </main>
    <main first="rtdsrv.a6c8798dc13b4577a4c6626df9d5834c">
      <tp t="s">
        <v/>
        <stp/>
        <stp>Market</stp>
        <stp>STOCK</stp>
        <stp/>
        <stp>前日比率</stp>
        <tr r="N8" s="27"/>
      </tp>
      <tp t="s">
        <v/>
        <stp/>
        <stp>Market</stp>
        <stp>STOCK</stp>
        <stp/>
        <stp>返済融資</stp>
        <tr r="BY8" s="2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marketspeed.jp/ms2_rss/onlinehelp/" TargetMode="External"/><Relationship Id="rId2" Type="http://schemas.openxmlformats.org/officeDocument/2006/relationships/hyperlink" Target="https://marketspeed.jp/guide/manual/ms2rss_function.pdf" TargetMode="External"/><Relationship Id="rId1" Type="http://schemas.openxmlformats.org/officeDocument/2006/relationships/hyperlink" Target="https://marketspeed.jp/ms2_rss/onlinehelp/ohm_002/ohm_002_03.html" TargetMode="External"/><Relationship Id="rId4" Type="http://schemas.openxmlformats.org/officeDocument/2006/relationships/hyperlink" Target="https://marketspeed.jp/ms2_rss/onlinehelp/ohm_002/ohm_002_05.ht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2B748-F59E-4460-AB42-64C4776866BC}">
  <dimension ref="A1:J647"/>
  <sheetViews>
    <sheetView workbookViewId="0">
      <selection activeCell="M6" sqref="M6"/>
    </sheetView>
  </sheetViews>
  <sheetFormatPr defaultRowHeight="18.75"/>
  <cols>
    <col min="4" max="4" width="11.125" customWidth="1"/>
  </cols>
  <sheetData>
    <row r="1" spans="1:10">
      <c r="A1" t="s">
        <v>2025</v>
      </c>
    </row>
    <row r="2" spans="1:10">
      <c r="A2" t="s">
        <v>11</v>
      </c>
      <c r="B2" t="s">
        <v>13</v>
      </c>
      <c r="C2" t="s">
        <v>1185</v>
      </c>
      <c r="D2" t="s">
        <v>1186</v>
      </c>
      <c r="E2" t="s">
        <v>1187</v>
      </c>
      <c r="F2" t="s">
        <v>1188</v>
      </c>
      <c r="G2" t="s">
        <v>1189</v>
      </c>
      <c r="H2" t="s">
        <v>1190</v>
      </c>
      <c r="I2" t="s">
        <v>1191</v>
      </c>
      <c r="J2" t="s">
        <v>1192</v>
      </c>
    </row>
    <row r="3" spans="1:10">
      <c r="A3" s="1" t="s">
        <v>1207</v>
      </c>
      <c r="B3" s="1" t="s">
        <v>130</v>
      </c>
      <c r="C3" s="1" t="s">
        <v>1208</v>
      </c>
      <c r="D3" s="1" t="s">
        <v>1865</v>
      </c>
      <c r="E3" s="1" t="s">
        <v>1491</v>
      </c>
      <c r="F3" s="1">
        <v>3101</v>
      </c>
      <c r="G3" s="1">
        <v>3103</v>
      </c>
      <c r="H3" s="1">
        <v>3101</v>
      </c>
      <c r="I3" s="1">
        <v>3103</v>
      </c>
      <c r="J3" s="1">
        <v>25400</v>
      </c>
    </row>
    <row r="4" spans="1:10">
      <c r="D4" t="s">
        <v>1865</v>
      </c>
      <c r="E4" t="s">
        <v>1492</v>
      </c>
      <c r="F4">
        <v>3102</v>
      </c>
      <c r="G4">
        <v>3103</v>
      </c>
      <c r="H4">
        <v>3102</v>
      </c>
      <c r="I4">
        <v>3102</v>
      </c>
      <c r="J4">
        <v>5900</v>
      </c>
    </row>
    <row r="5" spans="1:10">
      <c r="D5" t="s">
        <v>1865</v>
      </c>
      <c r="E5" t="s">
        <v>1493</v>
      </c>
      <c r="F5">
        <v>3103</v>
      </c>
      <c r="G5">
        <v>3103</v>
      </c>
      <c r="H5">
        <v>3102</v>
      </c>
      <c r="I5">
        <v>3103</v>
      </c>
      <c r="J5">
        <v>1500</v>
      </c>
    </row>
    <row r="6" spans="1:10">
      <c r="D6" t="s">
        <v>1865</v>
      </c>
      <c r="E6" t="s">
        <v>1494</v>
      </c>
      <c r="F6">
        <v>3103</v>
      </c>
      <c r="G6">
        <v>3103</v>
      </c>
      <c r="H6">
        <v>3102</v>
      </c>
      <c r="I6">
        <v>3103</v>
      </c>
      <c r="J6">
        <v>28100</v>
      </c>
    </row>
    <row r="7" spans="1:10">
      <c r="D7" t="s">
        <v>1865</v>
      </c>
      <c r="E7" t="s">
        <v>1495</v>
      </c>
      <c r="F7">
        <v>3102</v>
      </c>
      <c r="G7">
        <v>3104</v>
      </c>
      <c r="H7">
        <v>3102</v>
      </c>
      <c r="I7">
        <v>3103</v>
      </c>
      <c r="J7">
        <v>70900</v>
      </c>
    </row>
    <row r="8" spans="1:10">
      <c r="A8" s="1"/>
      <c r="B8" s="1"/>
      <c r="C8" s="1"/>
      <c r="D8" s="1" t="s">
        <v>1865</v>
      </c>
      <c r="E8" s="1" t="s">
        <v>1496</v>
      </c>
      <c r="F8" s="1">
        <v>3103</v>
      </c>
      <c r="G8" s="1">
        <v>3104</v>
      </c>
      <c r="H8" s="1">
        <v>3102</v>
      </c>
      <c r="I8" s="1">
        <v>3102</v>
      </c>
      <c r="J8" s="1">
        <v>24300</v>
      </c>
    </row>
    <row r="9" spans="1:10">
      <c r="A9" s="1"/>
      <c r="B9" s="1"/>
      <c r="C9" s="1"/>
      <c r="D9" s="1" t="s">
        <v>1865</v>
      </c>
      <c r="E9" s="1" t="s">
        <v>1497</v>
      </c>
      <c r="F9" s="1">
        <v>3102</v>
      </c>
      <c r="G9" s="1">
        <v>3103</v>
      </c>
      <c r="H9" s="1">
        <v>3101</v>
      </c>
      <c r="I9" s="1">
        <v>3101</v>
      </c>
      <c r="J9" s="1">
        <v>37400</v>
      </c>
    </row>
    <row r="10" spans="1:10">
      <c r="A10" s="1"/>
      <c r="B10" s="1"/>
      <c r="C10" s="1"/>
      <c r="D10" s="1" t="s">
        <v>1865</v>
      </c>
      <c r="E10" s="1" t="s">
        <v>1498</v>
      </c>
      <c r="F10" s="1">
        <v>3101</v>
      </c>
      <c r="G10" s="1">
        <v>3101</v>
      </c>
      <c r="H10" s="1">
        <v>3101</v>
      </c>
      <c r="I10" s="1">
        <v>3101</v>
      </c>
      <c r="J10" s="1">
        <v>22400</v>
      </c>
    </row>
    <row r="11" spans="1:10">
      <c r="A11" s="1"/>
      <c r="B11" s="1"/>
      <c r="C11" s="1"/>
      <c r="D11" s="1" t="s">
        <v>1865</v>
      </c>
      <c r="E11" s="1" t="s">
        <v>1499</v>
      </c>
      <c r="F11" s="1">
        <v>3102</v>
      </c>
      <c r="G11" s="1">
        <v>3102</v>
      </c>
      <c r="H11" s="1">
        <v>3102</v>
      </c>
      <c r="I11" s="1">
        <v>3102</v>
      </c>
      <c r="J11" s="1">
        <v>27300</v>
      </c>
    </row>
    <row r="12" spans="1:10">
      <c r="A12" s="1"/>
      <c r="B12" s="1"/>
      <c r="C12" s="1"/>
      <c r="D12" s="1" t="s">
        <v>1865</v>
      </c>
      <c r="E12" s="1" t="s">
        <v>1500</v>
      </c>
      <c r="F12" s="1">
        <v>3102</v>
      </c>
      <c r="G12" s="1">
        <v>3103</v>
      </c>
      <c r="H12" s="1">
        <v>3101</v>
      </c>
      <c r="I12" s="1">
        <v>3102</v>
      </c>
      <c r="J12" s="1">
        <v>69200</v>
      </c>
    </row>
    <row r="13" spans="1:10">
      <c r="A13" s="1"/>
      <c r="B13" s="1"/>
      <c r="C13" s="1"/>
      <c r="D13" s="1" t="s">
        <v>1865</v>
      </c>
      <c r="E13" s="1" t="s">
        <v>1501</v>
      </c>
      <c r="F13" s="1">
        <v>3103</v>
      </c>
      <c r="G13" s="1">
        <v>3103</v>
      </c>
      <c r="H13" s="1">
        <v>3102</v>
      </c>
      <c r="I13" s="1">
        <v>3102</v>
      </c>
      <c r="J13" s="1">
        <v>35800</v>
      </c>
    </row>
    <row r="14" spans="1:10">
      <c r="A14" s="1"/>
      <c r="B14" s="1"/>
      <c r="C14" s="1"/>
      <c r="D14" s="1" t="s">
        <v>1865</v>
      </c>
      <c r="E14" s="1" t="s">
        <v>1502</v>
      </c>
      <c r="F14" s="1">
        <v>3101</v>
      </c>
      <c r="G14" s="1">
        <v>3101</v>
      </c>
      <c r="H14" s="1">
        <v>3100</v>
      </c>
      <c r="I14" s="1">
        <v>3101</v>
      </c>
      <c r="J14" s="1">
        <v>52200</v>
      </c>
    </row>
    <row r="15" spans="1:10">
      <c r="A15" s="1"/>
      <c r="B15" s="1"/>
      <c r="C15" s="1"/>
      <c r="D15" s="1" t="s">
        <v>1865</v>
      </c>
      <c r="E15" s="1" t="s">
        <v>1503</v>
      </c>
      <c r="F15" s="1">
        <v>3101</v>
      </c>
      <c r="G15" s="1">
        <v>3101</v>
      </c>
      <c r="H15" s="1">
        <v>3100</v>
      </c>
      <c r="I15" s="1">
        <v>3100</v>
      </c>
      <c r="J15" s="1">
        <v>19400</v>
      </c>
    </row>
    <row r="16" spans="1:10">
      <c r="A16" s="1"/>
      <c r="B16" s="1"/>
      <c r="C16" s="1"/>
      <c r="D16" s="1" t="s">
        <v>1865</v>
      </c>
      <c r="E16" s="1" t="s">
        <v>1504</v>
      </c>
      <c r="F16" s="1">
        <v>3100</v>
      </c>
      <c r="G16" s="1">
        <v>3100</v>
      </c>
      <c r="H16" s="1">
        <v>3097</v>
      </c>
      <c r="I16" s="1">
        <v>3098</v>
      </c>
      <c r="J16" s="1">
        <v>77700</v>
      </c>
    </row>
    <row r="17" spans="1:10">
      <c r="A17" s="1"/>
      <c r="B17" s="1"/>
      <c r="C17" s="1"/>
      <c r="D17" s="1" t="s">
        <v>1865</v>
      </c>
      <c r="E17" s="1" t="s">
        <v>1505</v>
      </c>
      <c r="F17" s="1">
        <v>3097</v>
      </c>
      <c r="G17" s="1">
        <v>3099</v>
      </c>
      <c r="H17" s="1">
        <v>3097</v>
      </c>
      <c r="I17" s="1">
        <v>3099</v>
      </c>
      <c r="J17" s="1">
        <v>14900</v>
      </c>
    </row>
    <row r="18" spans="1:10">
      <c r="A18" s="1"/>
      <c r="B18" s="1"/>
      <c r="C18" s="1"/>
      <c r="D18" s="1" t="s">
        <v>1865</v>
      </c>
      <c r="E18" s="1" t="s">
        <v>1506</v>
      </c>
      <c r="F18" s="1">
        <v>3100</v>
      </c>
      <c r="G18" s="1">
        <v>3100</v>
      </c>
      <c r="H18" s="1">
        <v>3099</v>
      </c>
      <c r="I18" s="1">
        <v>3100</v>
      </c>
      <c r="J18" s="1">
        <v>46100</v>
      </c>
    </row>
    <row r="19" spans="1:10">
      <c r="A19" s="1"/>
      <c r="B19" s="1"/>
      <c r="C19" s="1"/>
      <c r="D19" s="1" t="s">
        <v>1865</v>
      </c>
      <c r="E19" s="1" t="s">
        <v>1507</v>
      </c>
      <c r="F19" s="1">
        <v>3101</v>
      </c>
      <c r="G19" s="1">
        <v>3102</v>
      </c>
      <c r="H19" s="1">
        <v>3100</v>
      </c>
      <c r="I19" s="1">
        <v>3100</v>
      </c>
      <c r="J19" s="1">
        <v>104400</v>
      </c>
    </row>
    <row r="20" spans="1:10">
      <c r="A20" s="1"/>
      <c r="B20" s="1"/>
      <c r="C20" s="1"/>
      <c r="D20" s="1" t="s">
        <v>1865</v>
      </c>
      <c r="E20" s="1" t="s">
        <v>1508</v>
      </c>
      <c r="F20" s="1">
        <v>3100</v>
      </c>
      <c r="G20" s="1">
        <v>3101</v>
      </c>
      <c r="H20" s="1">
        <v>3100</v>
      </c>
      <c r="I20" s="1">
        <v>3100</v>
      </c>
      <c r="J20" s="1">
        <v>11700</v>
      </c>
    </row>
    <row r="21" spans="1:10">
      <c r="A21" s="1"/>
      <c r="B21" s="1"/>
      <c r="C21" s="1"/>
      <c r="D21" s="1" t="s">
        <v>1865</v>
      </c>
      <c r="E21" s="1" t="s">
        <v>1509</v>
      </c>
      <c r="F21" s="1">
        <v>3100</v>
      </c>
      <c r="G21" s="1">
        <v>3100</v>
      </c>
      <c r="H21" s="1">
        <v>3099</v>
      </c>
      <c r="I21" s="1">
        <v>3100</v>
      </c>
      <c r="J21" s="1">
        <v>60800</v>
      </c>
    </row>
    <row r="22" spans="1:10">
      <c r="A22" s="1"/>
      <c r="B22" s="1"/>
      <c r="C22" s="1"/>
      <c r="D22" s="1" t="s">
        <v>1865</v>
      </c>
      <c r="E22" s="1" t="s">
        <v>1510</v>
      </c>
      <c r="F22" s="1">
        <v>3100</v>
      </c>
      <c r="G22" s="1">
        <v>3100</v>
      </c>
      <c r="H22" s="1">
        <v>3097</v>
      </c>
      <c r="I22" s="1">
        <v>3097</v>
      </c>
      <c r="J22" s="1">
        <v>45900</v>
      </c>
    </row>
    <row r="23" spans="1:10">
      <c r="A23" s="1"/>
      <c r="B23" s="1"/>
      <c r="C23" s="1"/>
      <c r="D23" s="1" t="s">
        <v>1865</v>
      </c>
      <c r="E23" s="1" t="s">
        <v>1511</v>
      </c>
      <c r="F23" s="1">
        <v>3097</v>
      </c>
      <c r="G23" s="1">
        <v>3098</v>
      </c>
      <c r="H23" s="1">
        <v>3097</v>
      </c>
      <c r="I23" s="1">
        <v>3097</v>
      </c>
      <c r="J23" s="1">
        <v>6300</v>
      </c>
    </row>
    <row r="24" spans="1:10">
      <c r="A24" s="1"/>
      <c r="B24" s="1"/>
      <c r="C24" s="1"/>
      <c r="D24" s="1" t="s">
        <v>1865</v>
      </c>
      <c r="E24" s="1" t="s">
        <v>1512</v>
      </c>
      <c r="F24" s="1">
        <v>3098</v>
      </c>
      <c r="G24" s="1">
        <v>3098</v>
      </c>
      <c r="H24" s="1">
        <v>3097</v>
      </c>
      <c r="I24" s="1">
        <v>3097</v>
      </c>
      <c r="J24" s="1">
        <v>2800</v>
      </c>
    </row>
    <row r="25" spans="1:10">
      <c r="A25" s="1"/>
      <c r="B25" s="1"/>
      <c r="C25" s="1"/>
      <c r="D25" s="1" t="s">
        <v>1865</v>
      </c>
      <c r="E25" s="1" t="s">
        <v>1513</v>
      </c>
      <c r="F25" s="1">
        <v>3098</v>
      </c>
      <c r="G25" s="1">
        <v>3099</v>
      </c>
      <c r="H25" s="1">
        <v>3097</v>
      </c>
      <c r="I25" s="1">
        <v>3098</v>
      </c>
      <c r="J25" s="1">
        <v>111600</v>
      </c>
    </row>
    <row r="26" spans="1:10">
      <c r="A26" s="1"/>
      <c r="B26" s="1"/>
      <c r="C26" s="1"/>
      <c r="D26" s="1" t="s">
        <v>1865</v>
      </c>
      <c r="E26" s="1" t="s">
        <v>1514</v>
      </c>
      <c r="F26" s="1">
        <v>3097</v>
      </c>
      <c r="G26" s="1">
        <v>3098</v>
      </c>
      <c r="H26" s="1">
        <v>3096</v>
      </c>
      <c r="I26" s="1">
        <v>3096</v>
      </c>
      <c r="J26" s="1">
        <v>35000</v>
      </c>
    </row>
    <row r="27" spans="1:10">
      <c r="A27" s="1"/>
      <c r="B27" s="1"/>
      <c r="C27" s="1"/>
      <c r="D27" s="1" t="s">
        <v>1865</v>
      </c>
      <c r="E27" s="1" t="s">
        <v>1515</v>
      </c>
      <c r="F27" s="1">
        <v>3097</v>
      </c>
      <c r="G27" s="1">
        <v>3098</v>
      </c>
      <c r="H27" s="1">
        <v>3096</v>
      </c>
      <c r="I27" s="1">
        <v>3098</v>
      </c>
      <c r="J27" s="1">
        <v>45900</v>
      </c>
    </row>
    <row r="28" spans="1:10">
      <c r="A28" s="1"/>
      <c r="B28" s="1"/>
      <c r="C28" s="1"/>
      <c r="D28" s="1" t="s">
        <v>1865</v>
      </c>
      <c r="E28" s="1" t="s">
        <v>1516</v>
      </c>
      <c r="F28" s="1">
        <v>3098</v>
      </c>
      <c r="G28" s="1">
        <v>3098</v>
      </c>
      <c r="H28" s="1">
        <v>3097</v>
      </c>
      <c r="I28" s="1">
        <v>3097</v>
      </c>
      <c r="J28" s="1">
        <v>43700</v>
      </c>
    </row>
    <row r="29" spans="1:10">
      <c r="A29" s="1"/>
      <c r="B29" s="1"/>
      <c r="C29" s="1"/>
      <c r="D29" s="1" t="s">
        <v>1865</v>
      </c>
      <c r="E29" s="1" t="s">
        <v>1517</v>
      </c>
      <c r="F29" s="1">
        <v>3097</v>
      </c>
      <c r="G29" s="1">
        <v>3098</v>
      </c>
      <c r="H29" s="1">
        <v>3095</v>
      </c>
      <c r="I29" s="1">
        <v>3096</v>
      </c>
      <c r="J29" s="1">
        <v>57300</v>
      </c>
    </row>
    <row r="30" spans="1:10">
      <c r="A30" s="1"/>
      <c r="B30" s="1"/>
      <c r="C30" s="1"/>
      <c r="D30" s="1" t="s">
        <v>1865</v>
      </c>
      <c r="E30" s="1" t="s">
        <v>1518</v>
      </c>
      <c r="F30" s="1">
        <v>3095</v>
      </c>
      <c r="G30" s="1">
        <v>3098</v>
      </c>
      <c r="H30" s="1">
        <v>3095</v>
      </c>
      <c r="I30" s="1">
        <v>3098</v>
      </c>
      <c r="J30" s="1">
        <v>45000</v>
      </c>
    </row>
    <row r="31" spans="1:10">
      <c r="A31" s="1"/>
      <c r="B31" s="1"/>
      <c r="C31" s="1"/>
      <c r="D31" s="1" t="s">
        <v>1865</v>
      </c>
      <c r="E31" s="1" t="s">
        <v>1519</v>
      </c>
      <c r="F31" s="1">
        <v>3098</v>
      </c>
      <c r="G31" s="1">
        <v>3099</v>
      </c>
      <c r="H31" s="1">
        <v>3098</v>
      </c>
      <c r="I31" s="1">
        <v>3099</v>
      </c>
      <c r="J31" s="1">
        <v>58600</v>
      </c>
    </row>
    <row r="32" spans="1:10">
      <c r="A32" s="1"/>
      <c r="B32" s="1"/>
      <c r="C32" s="1"/>
      <c r="D32" s="1" t="s">
        <v>1865</v>
      </c>
      <c r="E32" s="1" t="s">
        <v>1520</v>
      </c>
      <c r="F32" s="1">
        <v>3099</v>
      </c>
      <c r="G32" s="1">
        <v>3100</v>
      </c>
      <c r="H32" s="1">
        <v>3098</v>
      </c>
      <c r="I32" s="1">
        <v>3100</v>
      </c>
      <c r="J32" s="1">
        <v>13100</v>
      </c>
    </row>
    <row r="33" spans="1:10">
      <c r="A33" s="1"/>
      <c r="B33" s="1"/>
      <c r="C33" s="1"/>
      <c r="D33" s="1" t="s">
        <v>1865</v>
      </c>
      <c r="E33" s="1" t="s">
        <v>1521</v>
      </c>
      <c r="F33" s="1">
        <v>3099</v>
      </c>
      <c r="G33" s="1">
        <v>3100</v>
      </c>
      <c r="H33" s="1">
        <v>3099</v>
      </c>
      <c r="I33" s="1">
        <v>3099</v>
      </c>
      <c r="J33" s="1">
        <v>10400</v>
      </c>
    </row>
    <row r="34" spans="1:10">
      <c r="A34" s="1"/>
      <c r="B34" s="1"/>
      <c r="C34" s="1"/>
      <c r="D34" s="1" t="s">
        <v>1865</v>
      </c>
      <c r="E34" s="1" t="s">
        <v>1522</v>
      </c>
      <c r="F34" s="1">
        <v>3099</v>
      </c>
      <c r="G34" s="1">
        <v>3100</v>
      </c>
      <c r="H34" s="1">
        <v>3099</v>
      </c>
      <c r="I34" s="1">
        <v>3099</v>
      </c>
      <c r="J34" s="1">
        <v>23200</v>
      </c>
    </row>
    <row r="35" spans="1:10">
      <c r="A35" s="1"/>
      <c r="B35" s="1"/>
      <c r="C35" s="1"/>
      <c r="D35" s="1" t="s">
        <v>1865</v>
      </c>
      <c r="E35" s="1" t="s">
        <v>1523</v>
      </c>
      <c r="F35" s="1">
        <v>3099</v>
      </c>
      <c r="G35" s="1">
        <v>3100</v>
      </c>
      <c r="H35" s="1">
        <v>3098</v>
      </c>
      <c r="I35" s="1">
        <v>3100</v>
      </c>
      <c r="J35" s="1">
        <v>80600</v>
      </c>
    </row>
    <row r="36" spans="1:10">
      <c r="A36" s="1"/>
      <c r="B36" s="1"/>
      <c r="C36" s="1"/>
      <c r="D36" s="1" t="s">
        <v>1865</v>
      </c>
      <c r="E36" s="1" t="s">
        <v>1524</v>
      </c>
      <c r="F36" s="1">
        <v>3099</v>
      </c>
      <c r="G36" s="1">
        <v>3100</v>
      </c>
      <c r="H36" s="1">
        <v>3099</v>
      </c>
      <c r="I36" s="1">
        <v>3099</v>
      </c>
      <c r="J36" s="1">
        <v>18500</v>
      </c>
    </row>
    <row r="37" spans="1:10">
      <c r="A37" s="1"/>
      <c r="B37" s="1"/>
      <c r="C37" s="1"/>
      <c r="D37" s="1" t="s">
        <v>1865</v>
      </c>
      <c r="E37" s="1" t="s">
        <v>1525</v>
      </c>
      <c r="F37" s="1">
        <v>3100</v>
      </c>
      <c r="G37" s="1">
        <v>3100</v>
      </c>
      <c r="H37" s="1">
        <v>3099</v>
      </c>
      <c r="I37" s="1">
        <v>3100</v>
      </c>
      <c r="J37" s="1">
        <v>13900</v>
      </c>
    </row>
    <row r="38" spans="1:10">
      <c r="A38" s="1"/>
      <c r="B38" s="1"/>
      <c r="C38" s="1"/>
      <c r="D38" s="1" t="s">
        <v>1865</v>
      </c>
      <c r="E38" s="1" t="s">
        <v>1526</v>
      </c>
      <c r="F38" s="1">
        <v>3099</v>
      </c>
      <c r="G38" s="1">
        <v>3100</v>
      </c>
      <c r="H38" s="1">
        <v>3099</v>
      </c>
      <c r="I38" s="1">
        <v>3099</v>
      </c>
      <c r="J38" s="1">
        <v>7400</v>
      </c>
    </row>
    <row r="39" spans="1:10">
      <c r="A39" s="1"/>
      <c r="B39" s="1"/>
      <c r="C39" s="1"/>
      <c r="D39" s="1" t="s">
        <v>1865</v>
      </c>
      <c r="E39" s="1" t="s">
        <v>1527</v>
      </c>
      <c r="F39" s="1">
        <v>3099</v>
      </c>
      <c r="G39" s="1">
        <v>3101</v>
      </c>
      <c r="H39" s="1">
        <v>3099</v>
      </c>
      <c r="I39" s="1">
        <v>3099</v>
      </c>
      <c r="J39" s="1">
        <v>66000</v>
      </c>
    </row>
    <row r="40" spans="1:10">
      <c r="A40" s="1"/>
      <c r="B40" s="1"/>
      <c r="C40" s="1"/>
      <c r="D40" s="1" t="s">
        <v>1865</v>
      </c>
      <c r="E40" s="1" t="s">
        <v>1528</v>
      </c>
      <c r="F40" s="1">
        <v>3099</v>
      </c>
      <c r="G40" s="1">
        <v>3100</v>
      </c>
      <c r="H40" s="1">
        <v>3099</v>
      </c>
      <c r="I40" s="1">
        <v>3100</v>
      </c>
      <c r="J40" s="1">
        <v>65200</v>
      </c>
    </row>
    <row r="41" spans="1:10">
      <c r="A41" s="1"/>
      <c r="B41" s="1"/>
      <c r="C41" s="1"/>
      <c r="D41" s="1" t="s">
        <v>1865</v>
      </c>
      <c r="E41" s="1" t="s">
        <v>1529</v>
      </c>
      <c r="F41" s="1">
        <v>3100</v>
      </c>
      <c r="G41" s="1">
        <v>3101</v>
      </c>
      <c r="H41" s="1">
        <v>3099</v>
      </c>
      <c r="I41" s="1">
        <v>3100</v>
      </c>
      <c r="J41" s="1">
        <v>58000</v>
      </c>
    </row>
    <row r="42" spans="1:10">
      <c r="A42" s="1"/>
      <c r="B42" s="1"/>
      <c r="C42" s="1"/>
      <c r="D42" s="1" t="s">
        <v>1865</v>
      </c>
      <c r="E42" s="1" t="s">
        <v>1530</v>
      </c>
      <c r="F42" s="1">
        <v>3100</v>
      </c>
      <c r="G42" s="1">
        <v>3101</v>
      </c>
      <c r="H42" s="1">
        <v>3096</v>
      </c>
      <c r="I42" s="1">
        <v>3096</v>
      </c>
      <c r="J42" s="1">
        <v>150900</v>
      </c>
    </row>
    <row r="43" spans="1:10">
      <c r="A43" s="1"/>
      <c r="B43" s="1"/>
      <c r="C43" s="1"/>
      <c r="D43" s="1" t="s">
        <v>1865</v>
      </c>
      <c r="E43" s="1" t="s">
        <v>1531</v>
      </c>
      <c r="F43" s="1">
        <v>3096</v>
      </c>
      <c r="G43" s="1">
        <v>3098</v>
      </c>
      <c r="H43" s="1">
        <v>3095</v>
      </c>
      <c r="I43" s="1">
        <v>3095</v>
      </c>
      <c r="J43" s="1">
        <v>84900</v>
      </c>
    </row>
    <row r="44" spans="1:10">
      <c r="A44" s="1"/>
      <c r="B44" s="1"/>
      <c r="C44" s="1"/>
      <c r="D44" s="1" t="s">
        <v>1865</v>
      </c>
      <c r="E44" s="1" t="s">
        <v>1532</v>
      </c>
      <c r="F44" s="1">
        <v>3095</v>
      </c>
      <c r="G44" s="1">
        <v>3096</v>
      </c>
      <c r="H44" s="1">
        <v>3094</v>
      </c>
      <c r="I44" s="1">
        <v>3095</v>
      </c>
      <c r="J44" s="1">
        <v>83200</v>
      </c>
    </row>
    <row r="45" spans="1:10">
      <c r="A45" s="1"/>
      <c r="B45" s="1"/>
      <c r="C45" s="1"/>
      <c r="D45" s="1" t="s">
        <v>1865</v>
      </c>
      <c r="E45" s="1" t="s">
        <v>1533</v>
      </c>
      <c r="F45" s="1">
        <v>3095</v>
      </c>
      <c r="G45" s="1">
        <v>3098</v>
      </c>
      <c r="H45" s="1">
        <v>3095</v>
      </c>
      <c r="I45" s="1">
        <v>3097</v>
      </c>
      <c r="J45" s="1">
        <v>93600</v>
      </c>
    </row>
    <row r="46" spans="1:10">
      <c r="A46" s="1"/>
      <c r="B46" s="1"/>
      <c r="C46" s="1"/>
      <c r="D46" s="1" t="s">
        <v>1865</v>
      </c>
      <c r="E46" s="1" t="s">
        <v>1534</v>
      </c>
      <c r="F46" s="1">
        <v>3097</v>
      </c>
      <c r="G46" s="1">
        <v>3099</v>
      </c>
      <c r="H46" s="1">
        <v>3094</v>
      </c>
      <c r="I46" s="1">
        <v>3096</v>
      </c>
      <c r="J46" s="1">
        <v>172000</v>
      </c>
    </row>
    <row r="47" spans="1:10">
      <c r="A47" s="1" t="s">
        <v>78</v>
      </c>
      <c r="B47" s="1" t="s">
        <v>78</v>
      </c>
      <c r="C47" s="1" t="s">
        <v>78</v>
      </c>
      <c r="D47" s="1" t="s">
        <v>78</v>
      </c>
      <c r="E47" s="1" t="s">
        <v>78</v>
      </c>
      <c r="F47" s="1" t="s">
        <v>78</v>
      </c>
      <c r="G47" s="1" t="s">
        <v>78</v>
      </c>
      <c r="H47" s="1" t="s">
        <v>78</v>
      </c>
      <c r="I47" s="1" t="s">
        <v>78</v>
      </c>
      <c r="J47" s="1" t="s">
        <v>78</v>
      </c>
    </row>
    <row r="48" spans="1:10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>
      <c r="A83" s="1"/>
      <c r="B83" s="1"/>
      <c r="C83" s="1"/>
      <c r="D83" s="1"/>
      <c r="E83" s="1"/>
      <c r="F83" s="1"/>
      <c r="G83" s="1"/>
      <c r="H83" s="1"/>
      <c r="I83" s="1"/>
      <c r="J83" s="1"/>
    </row>
    <row r="101" spans="1:10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308" spans="1:10">
      <c r="A308" s="1"/>
      <c r="B308" s="1"/>
      <c r="C308" s="1"/>
      <c r="D308" s="1"/>
      <c r="E308" s="1"/>
      <c r="F308" s="1"/>
      <c r="G308" s="1"/>
      <c r="H308" s="1"/>
      <c r="I308" s="1"/>
      <c r="J308" s="1"/>
    </row>
    <row r="309" spans="1:10">
      <c r="A309" s="1"/>
      <c r="B309" s="1"/>
      <c r="C309" s="1"/>
      <c r="D309" s="1"/>
      <c r="E309" s="1"/>
      <c r="F309" s="1"/>
      <c r="G309" s="1"/>
      <c r="H309" s="1"/>
      <c r="I309" s="1"/>
      <c r="J309" s="1"/>
    </row>
    <row r="310" spans="1:10">
      <c r="A310" s="1"/>
      <c r="B310" s="1"/>
      <c r="C310" s="1"/>
      <c r="D310" s="1"/>
      <c r="E310" s="1"/>
      <c r="F310" s="1"/>
      <c r="G310" s="1"/>
      <c r="H310" s="1"/>
      <c r="I310" s="1"/>
      <c r="J310" s="1"/>
    </row>
    <row r="311" spans="1:10">
      <c r="A311" s="1"/>
      <c r="B311" s="1"/>
      <c r="C311" s="1"/>
      <c r="D311" s="1"/>
      <c r="E311" s="1"/>
      <c r="F311" s="1"/>
      <c r="G311" s="1"/>
      <c r="H311" s="1"/>
      <c r="I311" s="1"/>
      <c r="J311" s="1"/>
    </row>
    <row r="312" spans="1:10">
      <c r="A312" s="1"/>
      <c r="B312" s="1"/>
      <c r="C312" s="1"/>
      <c r="D312" s="1"/>
      <c r="E312" s="1"/>
      <c r="F312" s="1"/>
      <c r="G312" s="1"/>
      <c r="H312" s="1"/>
      <c r="I312" s="1"/>
      <c r="J312" s="1"/>
    </row>
    <row r="313" spans="1:10">
      <c r="A313" s="1"/>
      <c r="B313" s="1"/>
      <c r="C313" s="1"/>
      <c r="D313" s="1"/>
      <c r="E313" s="1"/>
      <c r="F313" s="1"/>
      <c r="G313" s="1"/>
      <c r="H313" s="1"/>
      <c r="I313" s="1"/>
      <c r="J313" s="1"/>
    </row>
    <row r="314" spans="1:10">
      <c r="A314" s="1"/>
      <c r="B314" s="1"/>
      <c r="C314" s="1"/>
      <c r="D314" s="1"/>
      <c r="E314" s="1"/>
      <c r="F314" s="1"/>
      <c r="G314" s="1"/>
      <c r="H314" s="1"/>
      <c r="I314" s="1"/>
      <c r="J314" s="1"/>
    </row>
    <row r="315" spans="1:10">
      <c r="A315" s="1"/>
      <c r="B315" s="1"/>
      <c r="C315" s="1"/>
      <c r="D315" s="1"/>
      <c r="E315" s="1"/>
      <c r="F315" s="1"/>
      <c r="G315" s="1"/>
      <c r="H315" s="1"/>
      <c r="I315" s="1"/>
      <c r="J315" s="1"/>
    </row>
    <row r="316" spans="1:10">
      <c r="A316" s="1"/>
      <c r="B316" s="1"/>
      <c r="C316" s="1"/>
      <c r="D316" s="1"/>
      <c r="E316" s="1"/>
      <c r="F316" s="1"/>
      <c r="G316" s="1"/>
      <c r="H316" s="1"/>
      <c r="I316" s="1"/>
      <c r="J316" s="1"/>
    </row>
    <row r="317" spans="1:10">
      <c r="A317" s="1"/>
      <c r="B317" s="1"/>
      <c r="C317" s="1"/>
      <c r="D317" s="1"/>
      <c r="E317" s="1"/>
      <c r="F317" s="1"/>
      <c r="G317" s="1"/>
      <c r="H317" s="1"/>
      <c r="I317" s="1"/>
      <c r="J317" s="1"/>
    </row>
    <row r="318" spans="1:10">
      <c r="A318" s="1"/>
      <c r="B318" s="1"/>
      <c r="C318" s="1"/>
      <c r="D318" s="1"/>
      <c r="E318" s="1"/>
      <c r="F318" s="1"/>
      <c r="G318" s="1"/>
      <c r="H318" s="1"/>
      <c r="I318" s="1"/>
      <c r="J318" s="1"/>
    </row>
    <row r="319" spans="1:10">
      <c r="A319" s="1"/>
      <c r="B319" s="1"/>
      <c r="C319" s="1"/>
      <c r="D319" s="1"/>
      <c r="E319" s="1"/>
      <c r="F319" s="1"/>
      <c r="G319" s="1"/>
      <c r="H319" s="1"/>
      <c r="I319" s="1"/>
      <c r="J319" s="1"/>
    </row>
    <row r="320" spans="1:10">
      <c r="A320" s="1"/>
      <c r="B320" s="1"/>
      <c r="C320" s="1"/>
      <c r="D320" s="1"/>
      <c r="E320" s="1"/>
      <c r="F320" s="1"/>
      <c r="G320" s="1"/>
      <c r="H320" s="1"/>
      <c r="I320" s="1"/>
      <c r="J320" s="1"/>
    </row>
    <row r="326" spans="1:10">
      <c r="A326" s="1"/>
      <c r="B326" s="1"/>
      <c r="C326" s="1"/>
      <c r="D326" s="1"/>
      <c r="E326" s="1"/>
      <c r="F326" s="1"/>
      <c r="G326" s="1"/>
      <c r="H326" s="1"/>
      <c r="I326" s="1"/>
      <c r="J326" s="1"/>
    </row>
    <row r="466" spans="1:10">
      <c r="A466" s="1"/>
      <c r="B466" s="1"/>
      <c r="C466" s="1"/>
      <c r="D466" s="1"/>
      <c r="E466" s="1"/>
      <c r="F466" s="1"/>
      <c r="G466" s="1"/>
      <c r="H466" s="1"/>
      <c r="I466" s="1"/>
      <c r="J466" s="1"/>
    </row>
    <row r="467" spans="1:10">
      <c r="A467" s="1"/>
      <c r="B467" s="1"/>
      <c r="C467" s="1"/>
      <c r="D467" s="1"/>
      <c r="E467" s="1"/>
      <c r="F467" s="1"/>
      <c r="G467" s="1"/>
      <c r="H467" s="1"/>
      <c r="I467" s="1"/>
      <c r="J467" s="1"/>
    </row>
    <row r="468" spans="1:10">
      <c r="A468" s="1"/>
      <c r="B468" s="1"/>
      <c r="C468" s="1"/>
      <c r="D468" s="1"/>
      <c r="E468" s="1"/>
      <c r="F468" s="1"/>
      <c r="G468" s="1"/>
      <c r="H468" s="1"/>
      <c r="I468" s="1"/>
      <c r="J468" s="1"/>
    </row>
    <row r="469" spans="1:10">
      <c r="A469" s="1"/>
      <c r="B469" s="1"/>
      <c r="C469" s="1"/>
      <c r="D469" s="1"/>
      <c r="E469" s="1"/>
      <c r="F469" s="1"/>
      <c r="G469" s="1"/>
      <c r="H469" s="1"/>
      <c r="I469" s="1"/>
      <c r="J469" s="1"/>
    </row>
    <row r="470" spans="1:10">
      <c r="A470" s="1"/>
      <c r="B470" s="1"/>
      <c r="C470" s="1"/>
      <c r="D470" s="1"/>
      <c r="E470" s="1"/>
      <c r="F470" s="1"/>
      <c r="G470" s="1"/>
      <c r="H470" s="1"/>
      <c r="I470" s="1"/>
      <c r="J470" s="1"/>
    </row>
    <row r="471" spans="1:10">
      <c r="A471" s="1"/>
      <c r="B471" s="1"/>
      <c r="C471" s="1"/>
      <c r="D471" s="1"/>
      <c r="E471" s="1"/>
      <c r="F471" s="1"/>
      <c r="G471" s="1"/>
      <c r="H471" s="1"/>
      <c r="I471" s="1"/>
      <c r="J471" s="1"/>
    </row>
    <row r="472" spans="1:10">
      <c r="A472" s="1"/>
      <c r="B472" s="1"/>
      <c r="C472" s="1"/>
      <c r="D472" s="1"/>
      <c r="E472" s="1"/>
      <c r="F472" s="1"/>
      <c r="G472" s="1"/>
      <c r="H472" s="1"/>
      <c r="I472" s="1"/>
      <c r="J472" s="1"/>
    </row>
    <row r="473" spans="1:10">
      <c r="A473" s="1"/>
      <c r="B473" s="1"/>
      <c r="C473" s="1"/>
      <c r="D473" s="1"/>
      <c r="E473" s="1"/>
      <c r="F473" s="1"/>
      <c r="G473" s="1"/>
      <c r="H473" s="1"/>
      <c r="I473" s="1"/>
      <c r="J473" s="1"/>
    </row>
    <row r="474" spans="1:10">
      <c r="A474" s="1"/>
      <c r="B474" s="1"/>
      <c r="C474" s="1"/>
      <c r="D474" s="1"/>
      <c r="E474" s="1"/>
      <c r="F474" s="1"/>
      <c r="G474" s="1"/>
      <c r="H474" s="1"/>
      <c r="I474" s="1"/>
      <c r="J474" s="1"/>
    </row>
    <row r="475" spans="1:10">
      <c r="A475" s="1"/>
      <c r="B475" s="1"/>
      <c r="C475" s="1"/>
      <c r="D475" s="1"/>
      <c r="E475" s="1"/>
      <c r="F475" s="1"/>
      <c r="G475" s="1"/>
      <c r="H475" s="1"/>
      <c r="I475" s="1"/>
      <c r="J475" s="1"/>
    </row>
    <row r="476" spans="1:10">
      <c r="A476" s="1"/>
      <c r="B476" s="1"/>
      <c r="C476" s="1"/>
      <c r="D476" s="1"/>
      <c r="E476" s="1"/>
      <c r="F476" s="1"/>
      <c r="G476" s="1"/>
      <c r="H476" s="1"/>
      <c r="I476" s="1"/>
      <c r="J476" s="1"/>
    </row>
    <row r="477" spans="1:10">
      <c r="A477" s="1"/>
      <c r="B477" s="1"/>
      <c r="C477" s="1"/>
      <c r="D477" s="1"/>
      <c r="E477" s="1"/>
      <c r="F477" s="1"/>
      <c r="G477" s="1"/>
      <c r="H477" s="1"/>
      <c r="I477" s="1"/>
      <c r="J477" s="1"/>
    </row>
    <row r="478" spans="1:10">
      <c r="A478" s="1"/>
      <c r="B478" s="1"/>
      <c r="C478" s="1"/>
      <c r="D478" s="1"/>
      <c r="E478" s="1"/>
      <c r="F478" s="1"/>
      <c r="G478" s="1"/>
      <c r="H478" s="1"/>
      <c r="I478" s="1"/>
      <c r="J478" s="1"/>
    </row>
    <row r="479" spans="1:10">
      <c r="A479" s="1"/>
      <c r="B479" s="1"/>
      <c r="C479" s="1"/>
      <c r="D479" s="1"/>
      <c r="E479" s="1"/>
      <c r="F479" s="1"/>
      <c r="G479" s="1"/>
      <c r="H479" s="1"/>
      <c r="I479" s="1"/>
      <c r="J479" s="1"/>
    </row>
    <row r="480" spans="1:10">
      <c r="A480" s="1"/>
      <c r="B480" s="1"/>
      <c r="C480" s="1"/>
      <c r="D480" s="1"/>
      <c r="E480" s="1"/>
      <c r="F480" s="1"/>
      <c r="G480" s="1"/>
      <c r="H480" s="1"/>
      <c r="I480" s="1"/>
      <c r="J480" s="1"/>
    </row>
    <row r="481" spans="1:10">
      <c r="A481" s="1"/>
      <c r="B481" s="1"/>
      <c r="C481" s="1"/>
      <c r="D481" s="1"/>
      <c r="E481" s="1"/>
      <c r="F481" s="1"/>
      <c r="G481" s="1"/>
      <c r="H481" s="1"/>
      <c r="I481" s="1"/>
      <c r="J481" s="1"/>
    </row>
    <row r="482" spans="1:10">
      <c r="A482" s="1"/>
      <c r="B482" s="1"/>
      <c r="C482" s="1"/>
      <c r="D482" s="1"/>
      <c r="E482" s="1"/>
      <c r="F482" s="1"/>
      <c r="G482" s="1"/>
      <c r="H482" s="1"/>
      <c r="I482" s="1"/>
      <c r="J482" s="1"/>
    </row>
    <row r="483" spans="1:10">
      <c r="A483" s="1"/>
      <c r="B483" s="1"/>
      <c r="C483" s="1"/>
      <c r="D483" s="1"/>
      <c r="E483" s="1"/>
      <c r="F483" s="1"/>
      <c r="G483" s="1"/>
      <c r="H483" s="1"/>
      <c r="I483" s="1"/>
      <c r="J483" s="1"/>
    </row>
    <row r="484" spans="1:10">
      <c r="A484" s="1"/>
      <c r="B484" s="1"/>
      <c r="C484" s="1"/>
      <c r="D484" s="1"/>
      <c r="E484" s="1"/>
      <c r="F484" s="1"/>
      <c r="G484" s="1"/>
      <c r="H484" s="1"/>
      <c r="I484" s="1"/>
      <c r="J484" s="1"/>
    </row>
    <row r="485" spans="1:10">
      <c r="A485" s="1"/>
      <c r="B485" s="1"/>
      <c r="C485" s="1"/>
      <c r="D485" s="1"/>
      <c r="E485" s="1"/>
      <c r="F485" s="1"/>
      <c r="G485" s="1"/>
      <c r="H485" s="1"/>
      <c r="I485" s="1"/>
      <c r="J485" s="1"/>
    </row>
    <row r="486" spans="1:10">
      <c r="A486" s="1"/>
      <c r="B486" s="1"/>
      <c r="C486" s="1"/>
      <c r="D486" s="1"/>
      <c r="E486" s="1"/>
      <c r="F486" s="1"/>
      <c r="G486" s="1"/>
      <c r="H486" s="1"/>
      <c r="I486" s="1"/>
      <c r="J486" s="1"/>
    </row>
    <row r="487" spans="1:10">
      <c r="A487" s="1"/>
      <c r="B487" s="1"/>
      <c r="C487" s="1"/>
      <c r="D487" s="1"/>
      <c r="E487" s="1"/>
      <c r="F487" s="1"/>
      <c r="G487" s="1"/>
      <c r="H487" s="1"/>
      <c r="I487" s="1"/>
      <c r="J487" s="1"/>
    </row>
    <row r="488" spans="1:10">
      <c r="A488" s="1"/>
      <c r="B488" s="1"/>
      <c r="C488" s="1"/>
      <c r="D488" s="1"/>
      <c r="E488" s="1"/>
      <c r="F488" s="1"/>
      <c r="G488" s="1"/>
      <c r="H488" s="1"/>
      <c r="I488" s="1"/>
      <c r="J488" s="1"/>
    </row>
    <row r="489" spans="1:10">
      <c r="A489" s="1"/>
      <c r="B489" s="1"/>
      <c r="C489" s="1"/>
      <c r="D489" s="1"/>
      <c r="E489" s="1"/>
      <c r="F489" s="1"/>
      <c r="G489" s="1"/>
      <c r="H489" s="1"/>
      <c r="I489" s="1"/>
      <c r="J489" s="1"/>
    </row>
    <row r="490" spans="1:10">
      <c r="A490" s="1"/>
      <c r="B490" s="1"/>
      <c r="C490" s="1"/>
      <c r="D490" s="1"/>
      <c r="E490" s="1"/>
      <c r="F490" s="1"/>
      <c r="G490" s="1"/>
      <c r="H490" s="1"/>
      <c r="I490" s="1"/>
      <c r="J490" s="1"/>
    </row>
    <row r="491" spans="1:10">
      <c r="A491" s="1"/>
      <c r="B491" s="1"/>
      <c r="C491" s="1"/>
      <c r="D491" s="1"/>
      <c r="E491" s="1"/>
      <c r="F491" s="1"/>
      <c r="G491" s="1"/>
      <c r="H491" s="1"/>
      <c r="I491" s="1"/>
      <c r="J491" s="1"/>
    </row>
    <row r="492" spans="1:10">
      <c r="A492" s="1"/>
      <c r="B492" s="1"/>
      <c r="C492" s="1"/>
      <c r="D492" s="1"/>
      <c r="E492" s="1"/>
      <c r="F492" s="1"/>
      <c r="G492" s="1"/>
      <c r="H492" s="1"/>
      <c r="I492" s="1"/>
      <c r="J492" s="1"/>
    </row>
    <row r="493" spans="1:10">
      <c r="A493" s="1"/>
      <c r="B493" s="1"/>
      <c r="C493" s="1"/>
      <c r="D493" s="1"/>
      <c r="E493" s="1"/>
      <c r="F493" s="1"/>
      <c r="G493" s="1"/>
      <c r="H493" s="1"/>
      <c r="I493" s="1"/>
      <c r="J493" s="1"/>
    </row>
    <row r="494" spans="1:10">
      <c r="A494" s="1"/>
      <c r="B494" s="1"/>
      <c r="C494" s="1"/>
      <c r="D494" s="1"/>
      <c r="E494" s="1"/>
      <c r="F494" s="1"/>
      <c r="G494" s="1"/>
      <c r="H494" s="1"/>
      <c r="I494" s="1"/>
      <c r="J494" s="1"/>
    </row>
    <row r="495" spans="1:10">
      <c r="A495" s="1"/>
      <c r="B495" s="1"/>
      <c r="C495" s="1"/>
      <c r="D495" s="1"/>
      <c r="E495" s="1"/>
      <c r="F495" s="1"/>
      <c r="G495" s="1"/>
      <c r="H495" s="1"/>
      <c r="I495" s="1"/>
      <c r="J495" s="1"/>
    </row>
    <row r="496" spans="1:10">
      <c r="A496" s="1"/>
      <c r="B496" s="1"/>
      <c r="C496" s="1"/>
      <c r="D496" s="1"/>
      <c r="E496" s="1"/>
      <c r="F496" s="1"/>
      <c r="G496" s="1"/>
      <c r="H496" s="1"/>
      <c r="I496" s="1"/>
      <c r="J496" s="1"/>
    </row>
    <row r="497" spans="1:10">
      <c r="A497" s="1"/>
      <c r="B497" s="1"/>
      <c r="C497" s="1"/>
      <c r="D497" s="1"/>
      <c r="E497" s="1"/>
      <c r="F497" s="1"/>
      <c r="G497" s="1"/>
      <c r="H497" s="1"/>
      <c r="I497" s="1"/>
      <c r="J497" s="1"/>
    </row>
    <row r="498" spans="1:10">
      <c r="A498" s="1"/>
      <c r="B498" s="1"/>
      <c r="C498" s="1"/>
      <c r="D498" s="1"/>
      <c r="E498" s="1"/>
      <c r="F498" s="1"/>
      <c r="G498" s="1"/>
      <c r="H498" s="1"/>
      <c r="I498" s="1"/>
      <c r="J498" s="1"/>
    </row>
    <row r="499" spans="1:10">
      <c r="A499" s="1"/>
      <c r="B499" s="1"/>
      <c r="C499" s="1"/>
      <c r="D499" s="1"/>
      <c r="E499" s="1"/>
      <c r="F499" s="1"/>
      <c r="G499" s="1"/>
      <c r="H499" s="1"/>
      <c r="I499" s="1"/>
      <c r="J499" s="1"/>
    </row>
    <row r="500" spans="1:10">
      <c r="A500" s="1"/>
      <c r="B500" s="1"/>
      <c r="C500" s="1"/>
      <c r="D500" s="1"/>
      <c r="E500" s="1"/>
      <c r="F500" s="1"/>
      <c r="G500" s="1"/>
      <c r="H500" s="1"/>
      <c r="I500" s="1"/>
      <c r="J500" s="1"/>
    </row>
    <row r="501" spans="1:10">
      <c r="A501" s="1"/>
      <c r="B501" s="1"/>
      <c r="C501" s="1"/>
      <c r="D501" s="1"/>
      <c r="E501" s="1"/>
      <c r="F501" s="1"/>
      <c r="G501" s="1"/>
      <c r="H501" s="1"/>
      <c r="I501" s="1"/>
      <c r="J501" s="1"/>
    </row>
    <row r="502" spans="1:10">
      <c r="A502" s="1"/>
      <c r="B502" s="1"/>
      <c r="C502" s="1"/>
      <c r="D502" s="1"/>
      <c r="E502" s="1"/>
      <c r="F502" s="1"/>
      <c r="G502" s="1"/>
      <c r="H502" s="1"/>
      <c r="I502" s="1"/>
      <c r="J502" s="1"/>
    </row>
    <row r="503" spans="1:10">
      <c r="A503" s="1"/>
      <c r="B503" s="1"/>
      <c r="C503" s="1"/>
      <c r="D503" s="1"/>
      <c r="E503" s="1"/>
      <c r="F503" s="1"/>
      <c r="G503" s="1"/>
      <c r="H503" s="1"/>
      <c r="I503" s="1"/>
      <c r="J503" s="1"/>
    </row>
    <row r="504" spans="1:10">
      <c r="A504" s="1"/>
      <c r="B504" s="1"/>
      <c r="C504" s="1"/>
      <c r="D504" s="1"/>
      <c r="E504" s="1"/>
      <c r="F504" s="1"/>
      <c r="G504" s="1"/>
      <c r="H504" s="1"/>
      <c r="I504" s="1"/>
      <c r="J504" s="1"/>
    </row>
    <row r="505" spans="1:10">
      <c r="A505" s="1"/>
      <c r="B505" s="1"/>
      <c r="C505" s="1"/>
      <c r="D505" s="1"/>
      <c r="E505" s="1"/>
      <c r="F505" s="1"/>
      <c r="G505" s="1"/>
      <c r="H505" s="1"/>
      <c r="I505" s="1"/>
      <c r="J505" s="1"/>
    </row>
    <row r="506" spans="1:10">
      <c r="A506" s="1"/>
      <c r="B506" s="1"/>
      <c r="C506" s="1"/>
      <c r="D506" s="1"/>
      <c r="E506" s="1"/>
      <c r="F506" s="1"/>
      <c r="G506" s="1"/>
      <c r="H506" s="1"/>
      <c r="I506" s="1"/>
      <c r="J506" s="1"/>
    </row>
    <row r="507" spans="1:10">
      <c r="A507" s="1"/>
      <c r="B507" s="1"/>
      <c r="C507" s="1"/>
      <c r="D507" s="1"/>
      <c r="E507" s="1"/>
      <c r="F507" s="1"/>
      <c r="G507" s="1"/>
      <c r="H507" s="1"/>
      <c r="I507" s="1"/>
      <c r="J507" s="1"/>
    </row>
    <row r="508" spans="1:10">
      <c r="A508" s="1"/>
      <c r="B508" s="1"/>
      <c r="C508" s="1"/>
      <c r="D508" s="1"/>
      <c r="E508" s="1"/>
      <c r="F508" s="1"/>
      <c r="G508" s="1"/>
      <c r="H508" s="1"/>
      <c r="I508" s="1"/>
      <c r="J508" s="1"/>
    </row>
    <row r="509" spans="1:10">
      <c r="A509" s="1"/>
      <c r="B509" s="1"/>
      <c r="C509" s="1"/>
      <c r="D509" s="1"/>
      <c r="E509" s="1"/>
      <c r="F509" s="1"/>
      <c r="G509" s="1"/>
      <c r="H509" s="1"/>
      <c r="I509" s="1"/>
      <c r="J509" s="1"/>
    </row>
    <row r="510" spans="1:10">
      <c r="A510" s="1"/>
      <c r="B510" s="1"/>
      <c r="C510" s="1"/>
      <c r="D510" s="1"/>
      <c r="E510" s="1"/>
      <c r="F510" s="1"/>
      <c r="G510" s="1"/>
      <c r="H510" s="1"/>
      <c r="I510" s="1"/>
      <c r="J510" s="1"/>
    </row>
    <row r="511" spans="1:10">
      <c r="A511" s="1"/>
      <c r="B511" s="1"/>
      <c r="C511" s="1"/>
      <c r="D511" s="1"/>
      <c r="E511" s="1"/>
      <c r="F511" s="1"/>
      <c r="G511" s="1"/>
      <c r="H511" s="1"/>
      <c r="I511" s="1"/>
      <c r="J511" s="1"/>
    </row>
    <row r="512" spans="1:10">
      <c r="A512" s="1"/>
      <c r="B512" s="1"/>
      <c r="C512" s="1"/>
      <c r="D512" s="1"/>
      <c r="E512" s="1"/>
      <c r="F512" s="1"/>
      <c r="G512" s="1"/>
      <c r="H512" s="1"/>
      <c r="I512" s="1"/>
      <c r="J512" s="1"/>
    </row>
    <row r="513" spans="1:10">
      <c r="A513" s="1"/>
      <c r="B513" s="1"/>
      <c r="C513" s="1"/>
      <c r="D513" s="1"/>
      <c r="E513" s="1"/>
      <c r="F513" s="1"/>
      <c r="G513" s="1"/>
      <c r="H513" s="1"/>
      <c r="I513" s="1"/>
      <c r="J513" s="1"/>
    </row>
    <row r="514" spans="1:10">
      <c r="A514" s="1"/>
      <c r="B514" s="1"/>
      <c r="C514" s="1"/>
      <c r="D514" s="1"/>
      <c r="E514" s="1"/>
      <c r="F514" s="1"/>
      <c r="G514" s="1"/>
      <c r="H514" s="1"/>
      <c r="I514" s="1"/>
      <c r="J514" s="1"/>
    </row>
    <row r="515" spans="1:10">
      <c r="A515" s="1"/>
      <c r="B515" s="1"/>
      <c r="C515" s="1"/>
      <c r="D515" s="1"/>
      <c r="E515" s="1"/>
      <c r="F515" s="1"/>
      <c r="G515" s="1"/>
      <c r="H515" s="1"/>
      <c r="I515" s="1"/>
      <c r="J515" s="1"/>
    </row>
    <row r="516" spans="1:10">
      <c r="A516" s="1"/>
      <c r="B516" s="1"/>
      <c r="C516" s="1"/>
      <c r="D516" s="1"/>
      <c r="E516" s="1"/>
      <c r="F516" s="1"/>
      <c r="G516" s="1"/>
      <c r="H516" s="1"/>
      <c r="I516" s="1"/>
      <c r="J516" s="1"/>
    </row>
    <row r="517" spans="1:10">
      <c r="A517" s="1"/>
      <c r="B517" s="1"/>
      <c r="C517" s="1"/>
      <c r="D517" s="1"/>
      <c r="E517" s="1"/>
      <c r="F517" s="1"/>
      <c r="G517" s="1"/>
      <c r="H517" s="1"/>
      <c r="I517" s="1"/>
      <c r="J517" s="1"/>
    </row>
    <row r="518" spans="1:10">
      <c r="A518" s="1"/>
      <c r="B518" s="1"/>
      <c r="C518" s="1"/>
      <c r="D518" s="1"/>
      <c r="E518" s="1"/>
      <c r="F518" s="1"/>
      <c r="G518" s="1"/>
      <c r="H518" s="1"/>
      <c r="I518" s="1"/>
      <c r="J518" s="1"/>
    </row>
    <row r="519" spans="1:10">
      <c r="A519" s="1"/>
      <c r="B519" s="1"/>
      <c r="C519" s="1"/>
      <c r="D519" s="1"/>
      <c r="E519" s="1"/>
      <c r="F519" s="1"/>
      <c r="G519" s="1"/>
      <c r="H519" s="1"/>
      <c r="I519" s="1"/>
      <c r="J519" s="1"/>
    </row>
    <row r="520" spans="1:10">
      <c r="A520" s="1"/>
      <c r="B520" s="1"/>
      <c r="C520" s="1"/>
      <c r="D520" s="1"/>
      <c r="E520" s="1"/>
      <c r="F520" s="1"/>
      <c r="G520" s="1"/>
      <c r="H520" s="1"/>
      <c r="I520" s="1"/>
      <c r="J520" s="1"/>
    </row>
    <row r="521" spans="1:10">
      <c r="A521" s="1"/>
      <c r="B521" s="1"/>
      <c r="C521" s="1"/>
      <c r="D521" s="1"/>
      <c r="E521" s="1"/>
      <c r="F521" s="1"/>
      <c r="G521" s="1"/>
      <c r="H521" s="1"/>
      <c r="I521" s="1"/>
      <c r="J521" s="1"/>
    </row>
    <row r="522" spans="1:10">
      <c r="A522" s="1"/>
      <c r="B522" s="1"/>
      <c r="C522" s="1"/>
      <c r="D522" s="1"/>
      <c r="E522" s="1"/>
      <c r="F522" s="1"/>
      <c r="G522" s="1"/>
      <c r="H522" s="1"/>
      <c r="I522" s="1"/>
      <c r="J522" s="1"/>
    </row>
    <row r="523" spans="1:10">
      <c r="A523" s="1"/>
      <c r="B523" s="1"/>
      <c r="C523" s="1"/>
      <c r="D523" s="1"/>
      <c r="E523" s="1"/>
      <c r="F523" s="1"/>
      <c r="G523" s="1"/>
      <c r="H523" s="1"/>
      <c r="I523" s="1"/>
      <c r="J523" s="1"/>
    </row>
    <row r="524" spans="1:10">
      <c r="A524" s="1"/>
      <c r="B524" s="1"/>
      <c r="C524" s="1"/>
      <c r="D524" s="1"/>
      <c r="E524" s="1"/>
      <c r="F524" s="1"/>
      <c r="G524" s="1"/>
      <c r="H524" s="1"/>
      <c r="I524" s="1"/>
      <c r="J524" s="1"/>
    </row>
    <row r="525" spans="1:10">
      <c r="A525" s="1"/>
      <c r="B525" s="1"/>
      <c r="C525" s="1"/>
      <c r="D525" s="1"/>
      <c r="E525" s="1"/>
      <c r="F525" s="1"/>
      <c r="G525" s="1"/>
      <c r="H525" s="1"/>
      <c r="I525" s="1"/>
      <c r="J525" s="1"/>
    </row>
    <row r="526" spans="1:10">
      <c r="A526" s="1"/>
      <c r="B526" s="1"/>
      <c r="C526" s="1"/>
      <c r="D526" s="1"/>
      <c r="E526" s="1"/>
      <c r="F526" s="1"/>
      <c r="G526" s="1"/>
      <c r="H526" s="1"/>
      <c r="I526" s="1"/>
      <c r="J526" s="1"/>
    </row>
    <row r="527" spans="1:10">
      <c r="A527" s="1"/>
      <c r="B527" s="1"/>
      <c r="C527" s="1"/>
      <c r="D527" s="1"/>
      <c r="E527" s="1"/>
      <c r="F527" s="1"/>
      <c r="G527" s="1"/>
      <c r="H527" s="1"/>
      <c r="I527" s="1"/>
      <c r="J527" s="1"/>
    </row>
    <row r="528" spans="1:10">
      <c r="A528" s="1"/>
      <c r="B528" s="1"/>
      <c r="C528" s="1"/>
      <c r="D528" s="1"/>
      <c r="E528" s="1"/>
      <c r="F528" s="1"/>
      <c r="G528" s="1"/>
      <c r="H528" s="1"/>
      <c r="I528" s="1"/>
      <c r="J528" s="1"/>
    </row>
    <row r="529" spans="1:10">
      <c r="A529" s="1"/>
      <c r="B529" s="1"/>
      <c r="C529" s="1"/>
      <c r="D529" s="1"/>
      <c r="E529" s="1"/>
      <c r="F529" s="1"/>
      <c r="G529" s="1"/>
      <c r="H529" s="1"/>
      <c r="I529" s="1"/>
      <c r="J529" s="1"/>
    </row>
    <row r="530" spans="1:10">
      <c r="A530" s="1"/>
      <c r="B530" s="1"/>
      <c r="C530" s="1"/>
      <c r="D530" s="1"/>
      <c r="E530" s="1"/>
      <c r="F530" s="1"/>
      <c r="G530" s="1"/>
      <c r="H530" s="1"/>
      <c r="I530" s="1"/>
      <c r="J530" s="1"/>
    </row>
    <row r="531" spans="1:10">
      <c r="A531" s="1"/>
      <c r="B531" s="1"/>
      <c r="C531" s="1"/>
      <c r="D531" s="1"/>
      <c r="E531" s="1"/>
      <c r="F531" s="1"/>
      <c r="G531" s="1"/>
      <c r="H531" s="1"/>
      <c r="I531" s="1"/>
      <c r="J531" s="1"/>
    </row>
    <row r="532" spans="1:10">
      <c r="A532" s="1"/>
      <c r="B532" s="1"/>
      <c r="C532" s="1"/>
      <c r="D532" s="1"/>
      <c r="E532" s="1"/>
      <c r="F532" s="1"/>
      <c r="G532" s="1"/>
      <c r="H532" s="1"/>
      <c r="I532" s="1"/>
      <c r="J532" s="1"/>
    </row>
    <row r="533" spans="1:10">
      <c r="A533" s="1"/>
      <c r="B533" s="1"/>
      <c r="C533" s="1"/>
      <c r="D533" s="1"/>
      <c r="E533" s="1"/>
      <c r="F533" s="1"/>
      <c r="G533" s="1"/>
      <c r="H533" s="1"/>
      <c r="I533" s="1"/>
      <c r="J533" s="1"/>
    </row>
    <row r="534" spans="1:10">
      <c r="A534" s="1"/>
      <c r="B534" s="1"/>
      <c r="C534" s="1"/>
      <c r="D534" s="1"/>
      <c r="E534" s="1"/>
      <c r="F534" s="1"/>
      <c r="G534" s="1"/>
      <c r="H534" s="1"/>
      <c r="I534" s="1"/>
      <c r="J534" s="1"/>
    </row>
    <row r="535" spans="1:10">
      <c r="A535" s="1"/>
      <c r="B535" s="1"/>
      <c r="C535" s="1"/>
      <c r="D535" s="1"/>
      <c r="E535" s="1"/>
      <c r="F535" s="1"/>
      <c r="G535" s="1"/>
      <c r="H535" s="1"/>
      <c r="I535" s="1"/>
      <c r="J535" s="1"/>
    </row>
    <row r="536" spans="1:10">
      <c r="A536" s="1"/>
      <c r="B536" s="1"/>
      <c r="C536" s="1"/>
      <c r="D536" s="1"/>
      <c r="E536" s="1"/>
      <c r="F536" s="1"/>
      <c r="G536" s="1"/>
      <c r="H536" s="1"/>
      <c r="I536" s="1"/>
      <c r="J536" s="1"/>
    </row>
    <row r="537" spans="1:10">
      <c r="A537" s="1"/>
      <c r="B537" s="1"/>
      <c r="C537" s="1"/>
      <c r="D537" s="1"/>
      <c r="E537" s="1"/>
      <c r="F537" s="1"/>
      <c r="G537" s="1"/>
      <c r="H537" s="1"/>
      <c r="I537" s="1"/>
      <c r="J537" s="1"/>
    </row>
    <row r="647" spans="1:10">
      <c r="A647" s="1"/>
      <c r="B647" s="1"/>
      <c r="C647" s="1"/>
      <c r="D647" s="1"/>
      <c r="E647" s="1"/>
      <c r="F647" s="1"/>
      <c r="G647" s="1"/>
      <c r="H647" s="1"/>
      <c r="I647" s="1"/>
      <c r="J647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021D0-D320-403C-A2B2-93D1FAF2FAD4}">
  <dimension ref="A1:J555"/>
  <sheetViews>
    <sheetView workbookViewId="0"/>
  </sheetViews>
  <sheetFormatPr defaultRowHeight="18.75"/>
  <cols>
    <col min="4" max="4" width="11.125" customWidth="1"/>
  </cols>
  <sheetData>
    <row r="1" spans="1:10">
      <c r="A1" t="s">
        <v>1953</v>
      </c>
    </row>
    <row r="2" spans="1:10">
      <c r="A2" t="s">
        <v>11</v>
      </c>
      <c r="B2" t="s">
        <v>13</v>
      </c>
      <c r="C2" t="s">
        <v>1185</v>
      </c>
      <c r="D2" t="s">
        <v>1186</v>
      </c>
      <c r="E2" t="s">
        <v>1187</v>
      </c>
      <c r="F2" t="s">
        <v>1188</v>
      </c>
      <c r="G2" t="s">
        <v>1189</v>
      </c>
      <c r="H2" t="s">
        <v>1190</v>
      </c>
      <c r="I2" t="s">
        <v>1191</v>
      </c>
      <c r="J2" t="s">
        <v>1192</v>
      </c>
    </row>
    <row r="3" spans="1:10">
      <c r="A3" s="1" t="s">
        <v>1207</v>
      </c>
      <c r="B3" s="1" t="s">
        <v>130</v>
      </c>
      <c r="C3" s="1" t="s">
        <v>1208</v>
      </c>
      <c r="D3" s="1" t="s">
        <v>1543</v>
      </c>
      <c r="E3" s="1" t="s">
        <v>1532</v>
      </c>
      <c r="F3" s="1">
        <v>3090</v>
      </c>
      <c r="G3" s="1">
        <v>3091</v>
      </c>
      <c r="H3" s="1">
        <v>3088</v>
      </c>
      <c r="I3" s="1">
        <v>3089</v>
      </c>
      <c r="J3" s="1">
        <v>62800</v>
      </c>
    </row>
    <row r="4" spans="1:10">
      <c r="D4" t="s">
        <v>1543</v>
      </c>
      <c r="E4" t="s">
        <v>1533</v>
      </c>
      <c r="F4">
        <v>3089</v>
      </c>
      <c r="G4">
        <v>3090</v>
      </c>
      <c r="H4">
        <v>3087</v>
      </c>
      <c r="I4">
        <v>3088</v>
      </c>
      <c r="J4">
        <v>26400</v>
      </c>
    </row>
    <row r="5" spans="1:10">
      <c r="D5" t="s">
        <v>1543</v>
      </c>
      <c r="E5" t="s">
        <v>1534</v>
      </c>
      <c r="F5">
        <v>3089</v>
      </c>
      <c r="G5">
        <v>3093</v>
      </c>
      <c r="H5">
        <v>3087</v>
      </c>
      <c r="I5">
        <v>3093</v>
      </c>
      <c r="J5">
        <v>98400</v>
      </c>
    </row>
    <row r="6" spans="1:10">
      <c r="D6" t="s">
        <v>1543</v>
      </c>
      <c r="E6" t="s">
        <v>1535</v>
      </c>
      <c r="F6" t="s">
        <v>35</v>
      </c>
      <c r="G6" t="s">
        <v>35</v>
      </c>
      <c r="H6" t="s">
        <v>35</v>
      </c>
      <c r="I6" t="s">
        <v>35</v>
      </c>
      <c r="J6">
        <v>0</v>
      </c>
    </row>
    <row r="7" spans="1:10">
      <c r="D7" t="s">
        <v>1543</v>
      </c>
      <c r="E7" t="s">
        <v>1536</v>
      </c>
      <c r="F7" t="s">
        <v>35</v>
      </c>
      <c r="G7" t="s">
        <v>35</v>
      </c>
      <c r="H7" t="s">
        <v>35</v>
      </c>
      <c r="I7" t="s">
        <v>35</v>
      </c>
      <c r="J7">
        <v>0</v>
      </c>
    </row>
    <row r="8" spans="1:10">
      <c r="A8" s="1"/>
      <c r="B8" s="1"/>
      <c r="C8" s="1"/>
      <c r="D8" s="1" t="s">
        <v>1543</v>
      </c>
      <c r="E8" s="1" t="s">
        <v>1537</v>
      </c>
      <c r="F8" s="1" t="s">
        <v>35</v>
      </c>
      <c r="G8" s="1" t="s">
        <v>35</v>
      </c>
      <c r="H8" s="1" t="s">
        <v>35</v>
      </c>
      <c r="I8" s="1" t="s">
        <v>35</v>
      </c>
      <c r="J8" s="1">
        <v>0</v>
      </c>
    </row>
    <row r="9" spans="1:10">
      <c r="A9" s="1"/>
      <c r="B9" s="1"/>
      <c r="C9" s="1"/>
      <c r="D9" s="1" t="s">
        <v>1543</v>
      </c>
      <c r="E9" s="1" t="s">
        <v>1538</v>
      </c>
      <c r="F9" s="1" t="s">
        <v>35</v>
      </c>
      <c r="G9" s="1" t="s">
        <v>35</v>
      </c>
      <c r="H9" s="1" t="s">
        <v>35</v>
      </c>
      <c r="I9" s="1" t="s">
        <v>35</v>
      </c>
      <c r="J9" s="1">
        <v>0</v>
      </c>
    </row>
    <row r="10" spans="1:10">
      <c r="A10" s="1"/>
      <c r="B10" s="1"/>
      <c r="C10" s="1"/>
      <c r="D10" s="1" t="s">
        <v>1543</v>
      </c>
      <c r="E10" s="1" t="s">
        <v>1539</v>
      </c>
      <c r="F10" s="1" t="s">
        <v>35</v>
      </c>
      <c r="G10" s="1" t="s">
        <v>35</v>
      </c>
      <c r="H10" s="1" t="s">
        <v>35</v>
      </c>
      <c r="I10" s="1" t="s">
        <v>35</v>
      </c>
      <c r="J10" s="1">
        <v>0</v>
      </c>
    </row>
    <row r="11" spans="1:10">
      <c r="A11" s="1"/>
      <c r="B11" s="1"/>
      <c r="C11" s="1"/>
      <c r="D11" s="1" t="s">
        <v>1543</v>
      </c>
      <c r="E11" s="1" t="s">
        <v>1540</v>
      </c>
      <c r="F11" s="1">
        <v>3084</v>
      </c>
      <c r="G11" s="1">
        <v>3084</v>
      </c>
      <c r="H11" s="1">
        <v>3084</v>
      </c>
      <c r="I11" s="1">
        <v>3084</v>
      </c>
      <c r="J11" s="1">
        <v>3728900</v>
      </c>
    </row>
    <row r="12" spans="1:10">
      <c r="A12" s="1"/>
      <c r="B12" s="1"/>
      <c r="C12" s="1"/>
      <c r="D12" s="1" t="s">
        <v>1865</v>
      </c>
      <c r="E12" s="1" t="s">
        <v>1209</v>
      </c>
      <c r="F12" s="1">
        <v>3101</v>
      </c>
      <c r="G12" s="1">
        <v>3114</v>
      </c>
      <c r="H12" s="1">
        <v>3082</v>
      </c>
      <c r="I12" s="1">
        <v>3082</v>
      </c>
      <c r="J12" s="1">
        <v>2230100</v>
      </c>
    </row>
    <row r="13" spans="1:10">
      <c r="A13" s="1"/>
      <c r="B13" s="1"/>
      <c r="C13" s="1"/>
      <c r="D13" s="1" t="s">
        <v>1865</v>
      </c>
      <c r="E13" s="1" t="s">
        <v>1210</v>
      </c>
      <c r="F13" s="1">
        <v>3082</v>
      </c>
      <c r="G13" s="1">
        <v>3103</v>
      </c>
      <c r="H13" s="1">
        <v>3082</v>
      </c>
      <c r="I13" s="1">
        <v>3100</v>
      </c>
      <c r="J13" s="1">
        <v>233400</v>
      </c>
    </row>
    <row r="14" spans="1:10">
      <c r="A14" s="1"/>
      <c r="B14" s="1"/>
      <c r="C14" s="1"/>
      <c r="D14" s="1" t="s">
        <v>1865</v>
      </c>
      <c r="E14" s="1" t="s">
        <v>1211</v>
      </c>
      <c r="F14" s="1">
        <v>3101</v>
      </c>
      <c r="G14" s="1">
        <v>3111</v>
      </c>
      <c r="H14" s="1">
        <v>3100</v>
      </c>
      <c r="I14" s="1">
        <v>3104</v>
      </c>
      <c r="J14" s="1">
        <v>128200</v>
      </c>
    </row>
    <row r="15" spans="1:10">
      <c r="A15" s="1"/>
      <c r="B15" s="1"/>
      <c r="C15" s="1"/>
      <c r="D15" s="1" t="s">
        <v>1865</v>
      </c>
      <c r="E15" s="1" t="s">
        <v>1212</v>
      </c>
      <c r="F15" s="1">
        <v>3105</v>
      </c>
      <c r="G15" s="1">
        <v>3106</v>
      </c>
      <c r="H15" s="1">
        <v>3100</v>
      </c>
      <c r="I15" s="1">
        <v>3103</v>
      </c>
      <c r="J15" s="1">
        <v>150300</v>
      </c>
    </row>
    <row r="16" spans="1:10">
      <c r="A16" s="1"/>
      <c r="B16" s="1"/>
      <c r="C16" s="1"/>
      <c r="D16" s="1" t="s">
        <v>1865</v>
      </c>
      <c r="E16" s="1" t="s">
        <v>1213</v>
      </c>
      <c r="F16" s="1">
        <v>3102</v>
      </c>
      <c r="G16" s="1">
        <v>3104</v>
      </c>
      <c r="H16" s="1">
        <v>3098</v>
      </c>
      <c r="I16" s="1">
        <v>3102</v>
      </c>
      <c r="J16" s="1">
        <v>86000</v>
      </c>
    </row>
    <row r="17" spans="1:10">
      <c r="A17" s="1"/>
      <c r="B17" s="1"/>
      <c r="C17" s="1"/>
      <c r="D17" s="1" t="s">
        <v>1865</v>
      </c>
      <c r="E17" s="1" t="s">
        <v>1214</v>
      </c>
      <c r="F17" s="1">
        <v>3103</v>
      </c>
      <c r="G17" s="1">
        <v>3110</v>
      </c>
      <c r="H17" s="1">
        <v>3102</v>
      </c>
      <c r="I17" s="1">
        <v>3105</v>
      </c>
      <c r="J17" s="1">
        <v>119500</v>
      </c>
    </row>
    <row r="18" spans="1:10">
      <c r="A18" s="1"/>
      <c r="B18" s="1"/>
      <c r="C18" s="1"/>
      <c r="D18" s="1" t="s">
        <v>1865</v>
      </c>
      <c r="E18" s="1" t="s">
        <v>1215</v>
      </c>
      <c r="F18" s="1">
        <v>3106</v>
      </c>
      <c r="G18" s="1">
        <v>3108</v>
      </c>
      <c r="H18" s="1">
        <v>3095</v>
      </c>
      <c r="I18" s="1">
        <v>3101</v>
      </c>
      <c r="J18" s="1">
        <v>118300</v>
      </c>
    </row>
    <row r="19" spans="1:10">
      <c r="A19" s="1"/>
      <c r="B19" s="1"/>
      <c r="C19" s="1"/>
      <c r="D19" s="1" t="s">
        <v>1865</v>
      </c>
      <c r="E19" s="1" t="s">
        <v>1216</v>
      </c>
      <c r="F19" s="1">
        <v>3101</v>
      </c>
      <c r="G19" s="1">
        <v>3103</v>
      </c>
      <c r="H19" s="1">
        <v>3098</v>
      </c>
      <c r="I19" s="1">
        <v>3102</v>
      </c>
      <c r="J19" s="1">
        <v>72200</v>
      </c>
    </row>
    <row r="20" spans="1:10">
      <c r="A20" s="1"/>
      <c r="B20" s="1"/>
      <c r="C20" s="1"/>
      <c r="D20" s="1" t="s">
        <v>1865</v>
      </c>
      <c r="E20" s="1" t="s">
        <v>1217</v>
      </c>
      <c r="F20" s="1">
        <v>3102</v>
      </c>
      <c r="G20" s="1">
        <v>3110</v>
      </c>
      <c r="H20" s="1">
        <v>3101</v>
      </c>
      <c r="I20" s="1">
        <v>3107</v>
      </c>
      <c r="J20" s="1">
        <v>149300</v>
      </c>
    </row>
    <row r="21" spans="1:10">
      <c r="A21" s="1"/>
      <c r="B21" s="1"/>
      <c r="C21" s="1"/>
      <c r="D21" s="1" t="s">
        <v>1865</v>
      </c>
      <c r="E21" s="1" t="s">
        <v>1218</v>
      </c>
      <c r="F21" s="1">
        <v>3107</v>
      </c>
      <c r="G21" s="1">
        <v>3112</v>
      </c>
      <c r="H21" s="1">
        <v>3106</v>
      </c>
      <c r="I21" s="1">
        <v>3111</v>
      </c>
      <c r="J21" s="1">
        <v>138000</v>
      </c>
    </row>
    <row r="22" spans="1:10">
      <c r="A22" s="1"/>
      <c r="B22" s="1"/>
      <c r="C22" s="1"/>
      <c r="D22" s="1" t="s">
        <v>1865</v>
      </c>
      <c r="E22" s="1" t="s">
        <v>1219</v>
      </c>
      <c r="F22" s="1">
        <v>3111</v>
      </c>
      <c r="G22" s="1">
        <v>3114</v>
      </c>
      <c r="H22" s="1">
        <v>3108</v>
      </c>
      <c r="I22" s="1">
        <v>3112</v>
      </c>
      <c r="J22" s="1">
        <v>152600</v>
      </c>
    </row>
    <row r="23" spans="1:10">
      <c r="A23" s="1"/>
      <c r="B23" s="1"/>
      <c r="C23" s="1"/>
      <c r="D23" s="1" t="s">
        <v>1865</v>
      </c>
      <c r="E23" s="1" t="s">
        <v>1220</v>
      </c>
      <c r="F23" s="1">
        <v>3112</v>
      </c>
      <c r="G23" s="1">
        <v>3119</v>
      </c>
      <c r="H23" s="1">
        <v>3108</v>
      </c>
      <c r="I23" s="1">
        <v>3115</v>
      </c>
      <c r="J23" s="1">
        <v>262700</v>
      </c>
    </row>
    <row r="24" spans="1:10">
      <c r="A24" s="1"/>
      <c r="B24" s="1"/>
      <c r="C24" s="1"/>
      <c r="D24" s="1" t="s">
        <v>1865</v>
      </c>
      <c r="E24" s="1" t="s">
        <v>1221</v>
      </c>
      <c r="F24" s="1">
        <v>3116</v>
      </c>
      <c r="G24" s="1">
        <v>3116</v>
      </c>
      <c r="H24" s="1">
        <v>3111</v>
      </c>
      <c r="I24" s="1">
        <v>3114</v>
      </c>
      <c r="J24" s="1">
        <v>115900</v>
      </c>
    </row>
    <row r="25" spans="1:10">
      <c r="A25" s="1"/>
      <c r="B25" s="1"/>
      <c r="C25" s="1"/>
      <c r="D25" s="1" t="s">
        <v>1865</v>
      </c>
      <c r="E25" s="1" t="s">
        <v>1222</v>
      </c>
      <c r="F25" s="1">
        <v>3113</v>
      </c>
      <c r="G25" s="1">
        <v>3114</v>
      </c>
      <c r="H25" s="1">
        <v>3105</v>
      </c>
      <c r="I25" s="1">
        <v>3107</v>
      </c>
      <c r="J25" s="1">
        <v>73300</v>
      </c>
    </row>
    <row r="26" spans="1:10">
      <c r="A26" s="1"/>
      <c r="B26" s="1"/>
      <c r="C26" s="1"/>
      <c r="D26" s="1" t="s">
        <v>1865</v>
      </c>
      <c r="E26" s="1" t="s">
        <v>1223</v>
      </c>
      <c r="F26" s="1">
        <v>3107</v>
      </c>
      <c r="G26" s="1">
        <v>3111</v>
      </c>
      <c r="H26" s="1">
        <v>3104</v>
      </c>
      <c r="I26" s="1">
        <v>3105</v>
      </c>
      <c r="J26" s="1">
        <v>79900</v>
      </c>
    </row>
    <row r="27" spans="1:10">
      <c r="A27" s="1"/>
      <c r="B27" s="1"/>
      <c r="C27" s="1"/>
      <c r="D27" s="1" t="s">
        <v>1865</v>
      </c>
      <c r="E27" s="1" t="s">
        <v>1224</v>
      </c>
      <c r="F27" s="1">
        <v>3105</v>
      </c>
      <c r="G27" s="1">
        <v>3112</v>
      </c>
      <c r="H27" s="1">
        <v>3104</v>
      </c>
      <c r="I27" s="1">
        <v>3108</v>
      </c>
      <c r="J27" s="1">
        <v>108600</v>
      </c>
    </row>
    <row r="28" spans="1:10">
      <c r="A28" s="1"/>
      <c r="B28" s="1"/>
      <c r="C28" s="1"/>
      <c r="D28" s="1" t="s">
        <v>1865</v>
      </c>
      <c r="E28" s="1" t="s">
        <v>1225</v>
      </c>
      <c r="F28" s="1">
        <v>3108</v>
      </c>
      <c r="G28" s="1">
        <v>3112</v>
      </c>
      <c r="H28" s="1">
        <v>3107</v>
      </c>
      <c r="I28" s="1">
        <v>3109</v>
      </c>
      <c r="J28" s="1">
        <v>127000</v>
      </c>
    </row>
    <row r="29" spans="1:10">
      <c r="A29" s="1"/>
      <c r="B29" s="1"/>
      <c r="C29" s="1"/>
      <c r="D29" s="1" t="s">
        <v>1865</v>
      </c>
      <c r="E29" s="1" t="s">
        <v>1226</v>
      </c>
      <c r="F29" s="1">
        <v>3109</v>
      </c>
      <c r="G29" s="1">
        <v>3116</v>
      </c>
      <c r="H29" s="1">
        <v>3108</v>
      </c>
      <c r="I29" s="1">
        <v>3110</v>
      </c>
      <c r="J29" s="1">
        <v>119300</v>
      </c>
    </row>
    <row r="30" spans="1:10">
      <c r="A30" s="1"/>
      <c r="B30" s="1"/>
      <c r="C30" s="1"/>
      <c r="D30" s="1" t="s">
        <v>1865</v>
      </c>
      <c r="E30" s="1" t="s">
        <v>1227</v>
      </c>
      <c r="F30" s="1">
        <v>3112</v>
      </c>
      <c r="G30" s="1">
        <v>3113</v>
      </c>
      <c r="H30" s="1">
        <v>3109</v>
      </c>
      <c r="I30" s="1">
        <v>3111</v>
      </c>
      <c r="J30" s="1">
        <v>57300</v>
      </c>
    </row>
    <row r="31" spans="1:10">
      <c r="A31" s="1"/>
      <c r="B31" s="1"/>
      <c r="C31" s="1"/>
      <c r="D31" s="1" t="s">
        <v>1865</v>
      </c>
      <c r="E31" s="1" t="s">
        <v>1228</v>
      </c>
      <c r="F31" s="1">
        <v>3110</v>
      </c>
      <c r="G31" s="1">
        <v>3114</v>
      </c>
      <c r="H31" s="1">
        <v>3110</v>
      </c>
      <c r="I31" s="1">
        <v>3111</v>
      </c>
      <c r="J31" s="1">
        <v>42900</v>
      </c>
    </row>
    <row r="32" spans="1:10">
      <c r="A32" s="1"/>
      <c r="B32" s="1"/>
      <c r="C32" s="1"/>
      <c r="D32" s="1" t="s">
        <v>1865</v>
      </c>
      <c r="E32" s="1" t="s">
        <v>1229</v>
      </c>
      <c r="F32" s="1">
        <v>3111</v>
      </c>
      <c r="G32" s="1">
        <v>3111</v>
      </c>
      <c r="H32" s="1">
        <v>3103</v>
      </c>
      <c r="I32" s="1">
        <v>3104</v>
      </c>
      <c r="J32" s="1">
        <v>50800</v>
      </c>
    </row>
    <row r="33" spans="1:10">
      <c r="A33" s="1"/>
      <c r="B33" s="1"/>
      <c r="C33" s="1"/>
      <c r="D33" s="1" t="s">
        <v>1865</v>
      </c>
      <c r="E33" s="1" t="s">
        <v>1230</v>
      </c>
      <c r="F33" s="1">
        <v>3104</v>
      </c>
      <c r="G33" s="1">
        <v>3106</v>
      </c>
      <c r="H33" s="1">
        <v>3099</v>
      </c>
      <c r="I33" s="1">
        <v>3106</v>
      </c>
      <c r="J33" s="1">
        <v>37800</v>
      </c>
    </row>
    <row r="34" spans="1:10">
      <c r="A34" s="1"/>
      <c r="B34" s="1"/>
      <c r="C34" s="1"/>
      <c r="D34" s="1" t="s">
        <v>1865</v>
      </c>
      <c r="E34" s="1" t="s">
        <v>1231</v>
      </c>
      <c r="F34" s="1">
        <v>3107</v>
      </c>
      <c r="G34" s="1">
        <v>3109</v>
      </c>
      <c r="H34" s="1">
        <v>3107</v>
      </c>
      <c r="I34" s="1">
        <v>3107</v>
      </c>
      <c r="J34" s="1">
        <v>45400</v>
      </c>
    </row>
    <row r="35" spans="1:10">
      <c r="A35" s="1"/>
      <c r="B35" s="1"/>
      <c r="C35" s="1"/>
      <c r="D35" s="1" t="s">
        <v>1865</v>
      </c>
      <c r="E35" s="1" t="s">
        <v>1232</v>
      </c>
      <c r="F35" s="1">
        <v>3108</v>
      </c>
      <c r="G35" s="1">
        <v>3111</v>
      </c>
      <c r="H35" s="1">
        <v>3107</v>
      </c>
      <c r="I35" s="1">
        <v>3109</v>
      </c>
      <c r="J35" s="1">
        <v>56600</v>
      </c>
    </row>
    <row r="36" spans="1:10">
      <c r="A36" s="1"/>
      <c r="B36" s="1"/>
      <c r="C36" s="1"/>
      <c r="D36" s="1" t="s">
        <v>1865</v>
      </c>
      <c r="E36" s="1" t="s">
        <v>1233</v>
      </c>
      <c r="F36" s="1">
        <v>3109</v>
      </c>
      <c r="G36" s="1">
        <v>3110</v>
      </c>
      <c r="H36" s="1">
        <v>3105</v>
      </c>
      <c r="I36" s="1">
        <v>3108</v>
      </c>
      <c r="J36" s="1">
        <v>42700</v>
      </c>
    </row>
    <row r="37" spans="1:10">
      <c r="A37" s="1"/>
      <c r="B37" s="1"/>
      <c r="C37" s="1"/>
      <c r="D37" s="1" t="s">
        <v>1865</v>
      </c>
      <c r="E37" s="1" t="s">
        <v>1234</v>
      </c>
      <c r="F37" s="1">
        <v>3108</v>
      </c>
      <c r="G37" s="1">
        <v>3111</v>
      </c>
      <c r="H37" s="1">
        <v>3106</v>
      </c>
      <c r="I37" s="1">
        <v>3109</v>
      </c>
      <c r="J37" s="1">
        <v>87700</v>
      </c>
    </row>
    <row r="38" spans="1:10">
      <c r="A38" s="1"/>
      <c r="B38" s="1"/>
      <c r="C38" s="1"/>
      <c r="D38" s="1" t="s">
        <v>1865</v>
      </c>
      <c r="E38" s="1" t="s">
        <v>1235</v>
      </c>
      <c r="F38" s="1">
        <v>3109</v>
      </c>
      <c r="G38" s="1">
        <v>3111</v>
      </c>
      <c r="H38" s="1">
        <v>3107</v>
      </c>
      <c r="I38" s="1">
        <v>3109</v>
      </c>
      <c r="J38" s="1">
        <v>74200</v>
      </c>
    </row>
    <row r="39" spans="1:10">
      <c r="A39" s="1"/>
      <c r="B39" s="1"/>
      <c r="C39" s="1"/>
      <c r="D39" s="1" t="s">
        <v>1865</v>
      </c>
      <c r="E39" s="1" t="s">
        <v>1236</v>
      </c>
      <c r="F39" s="1">
        <v>3108</v>
      </c>
      <c r="G39" s="1">
        <v>3109</v>
      </c>
      <c r="H39" s="1">
        <v>3105</v>
      </c>
      <c r="I39" s="1">
        <v>3109</v>
      </c>
      <c r="J39" s="1">
        <v>61800</v>
      </c>
    </row>
    <row r="40" spans="1:10">
      <c r="A40" s="1"/>
      <c r="B40" s="1"/>
      <c r="C40" s="1"/>
      <c r="D40" s="1" t="s">
        <v>1865</v>
      </c>
      <c r="E40" s="1" t="s">
        <v>1237</v>
      </c>
      <c r="F40" s="1">
        <v>3109</v>
      </c>
      <c r="G40" s="1">
        <v>3114</v>
      </c>
      <c r="H40" s="1">
        <v>3109</v>
      </c>
      <c r="I40" s="1">
        <v>3113</v>
      </c>
      <c r="J40" s="1">
        <v>87200</v>
      </c>
    </row>
    <row r="41" spans="1:10">
      <c r="A41" s="1"/>
      <c r="B41" s="1"/>
      <c r="C41" s="1"/>
      <c r="D41" s="1" t="s">
        <v>1865</v>
      </c>
      <c r="E41" s="1" t="s">
        <v>1238</v>
      </c>
      <c r="F41" s="1">
        <v>3112</v>
      </c>
      <c r="G41" s="1">
        <v>3114</v>
      </c>
      <c r="H41" s="1">
        <v>3110</v>
      </c>
      <c r="I41" s="1">
        <v>3112</v>
      </c>
      <c r="J41" s="1">
        <v>42000</v>
      </c>
    </row>
    <row r="42" spans="1:10">
      <c r="A42" s="1"/>
      <c r="B42" s="1"/>
      <c r="C42" s="1"/>
      <c r="D42" s="1" t="s">
        <v>1865</v>
      </c>
      <c r="E42" s="1" t="s">
        <v>1239</v>
      </c>
      <c r="F42" s="1">
        <v>3111</v>
      </c>
      <c r="G42" s="1">
        <v>3114</v>
      </c>
      <c r="H42" s="1">
        <v>3110</v>
      </c>
      <c r="I42" s="1">
        <v>3111</v>
      </c>
      <c r="J42" s="1">
        <v>55200</v>
      </c>
    </row>
    <row r="43" spans="1:10">
      <c r="A43" s="1"/>
      <c r="B43" s="1"/>
      <c r="C43" s="1"/>
      <c r="D43" s="1" t="s">
        <v>1865</v>
      </c>
      <c r="E43" s="1" t="s">
        <v>1240</v>
      </c>
      <c r="F43" s="1">
        <v>3111</v>
      </c>
      <c r="G43" s="1">
        <v>3111</v>
      </c>
      <c r="H43" s="1">
        <v>3103</v>
      </c>
      <c r="I43" s="1">
        <v>3103</v>
      </c>
      <c r="J43" s="1">
        <v>77100</v>
      </c>
    </row>
    <row r="44" spans="1:10">
      <c r="A44" s="1"/>
      <c r="B44" s="1"/>
      <c r="C44" s="1"/>
      <c r="D44" s="1" t="s">
        <v>1865</v>
      </c>
      <c r="E44" s="1" t="s">
        <v>1241</v>
      </c>
      <c r="F44" s="1">
        <v>3105</v>
      </c>
      <c r="G44" s="1">
        <v>3105</v>
      </c>
      <c r="H44" s="1">
        <v>3102</v>
      </c>
      <c r="I44" s="1">
        <v>3103</v>
      </c>
      <c r="J44" s="1">
        <v>45000</v>
      </c>
    </row>
    <row r="45" spans="1:10">
      <c r="A45" s="1"/>
      <c r="B45" s="1"/>
      <c r="C45" s="1"/>
      <c r="D45" s="1" t="s">
        <v>1865</v>
      </c>
      <c r="E45" s="1" t="s">
        <v>1242</v>
      </c>
      <c r="F45" s="1">
        <v>3104</v>
      </c>
      <c r="G45" s="1">
        <v>3105</v>
      </c>
      <c r="H45" s="1">
        <v>3100</v>
      </c>
      <c r="I45" s="1">
        <v>3101</v>
      </c>
      <c r="J45" s="1">
        <v>45000</v>
      </c>
    </row>
    <row r="46" spans="1:10">
      <c r="A46" s="1"/>
      <c r="B46" s="1"/>
      <c r="C46" s="1"/>
      <c r="D46" s="1" t="s">
        <v>1865</v>
      </c>
      <c r="E46" s="1" t="s">
        <v>1243</v>
      </c>
      <c r="F46" s="1">
        <v>3101</v>
      </c>
      <c r="G46" s="1">
        <v>3102</v>
      </c>
      <c r="H46" s="1">
        <v>3092</v>
      </c>
      <c r="I46" s="1">
        <v>3094</v>
      </c>
      <c r="J46" s="1">
        <v>72900</v>
      </c>
    </row>
    <row r="47" spans="1:10">
      <c r="A47" s="1"/>
      <c r="B47" s="1"/>
      <c r="C47" s="1"/>
      <c r="D47" s="1" t="s">
        <v>1865</v>
      </c>
      <c r="E47" s="1" t="s">
        <v>1244</v>
      </c>
      <c r="F47" s="1">
        <v>3094</v>
      </c>
      <c r="G47" s="1">
        <v>3096</v>
      </c>
      <c r="H47" s="1">
        <v>3089</v>
      </c>
      <c r="I47" s="1">
        <v>3090</v>
      </c>
      <c r="J47" s="1">
        <v>86900</v>
      </c>
    </row>
    <row r="48" spans="1:10">
      <c r="A48" s="1"/>
      <c r="B48" s="1"/>
      <c r="C48" s="1"/>
      <c r="D48" s="1" t="s">
        <v>1865</v>
      </c>
      <c r="E48" s="1" t="s">
        <v>1245</v>
      </c>
      <c r="F48" s="1">
        <v>3090</v>
      </c>
      <c r="G48" s="1">
        <v>3092</v>
      </c>
      <c r="H48" s="1">
        <v>3088</v>
      </c>
      <c r="I48" s="1">
        <v>3091</v>
      </c>
      <c r="J48" s="1">
        <v>58600</v>
      </c>
    </row>
    <row r="49" spans="1:10">
      <c r="A49" s="1"/>
      <c r="B49" s="1"/>
      <c r="C49" s="1"/>
      <c r="D49" s="1" t="s">
        <v>1865</v>
      </c>
      <c r="E49" s="1" t="s">
        <v>1246</v>
      </c>
      <c r="F49" s="1">
        <v>3092</v>
      </c>
      <c r="G49" s="1">
        <v>3094</v>
      </c>
      <c r="H49" s="1">
        <v>3091</v>
      </c>
      <c r="I49" s="1">
        <v>3092</v>
      </c>
      <c r="J49" s="1">
        <v>43000</v>
      </c>
    </row>
    <row r="50" spans="1:10">
      <c r="A50" s="1"/>
      <c r="B50" s="1"/>
      <c r="C50" s="1"/>
      <c r="D50" s="1" t="s">
        <v>1865</v>
      </c>
      <c r="E50" s="1" t="s">
        <v>1247</v>
      </c>
      <c r="F50" s="1">
        <v>3092</v>
      </c>
      <c r="G50" s="1">
        <v>3094</v>
      </c>
      <c r="H50" s="1">
        <v>3089</v>
      </c>
      <c r="I50" s="1">
        <v>3090</v>
      </c>
      <c r="J50" s="1">
        <v>38700</v>
      </c>
    </row>
    <row r="51" spans="1:10">
      <c r="A51" s="1"/>
      <c r="B51" s="1"/>
      <c r="C51" s="1"/>
      <c r="D51" s="1" t="s">
        <v>1865</v>
      </c>
      <c r="E51" s="1" t="s">
        <v>1248</v>
      </c>
      <c r="F51" s="1">
        <v>3090</v>
      </c>
      <c r="G51" s="1">
        <v>3091</v>
      </c>
      <c r="H51" s="1">
        <v>3089</v>
      </c>
      <c r="I51" s="1">
        <v>3090</v>
      </c>
      <c r="J51" s="1">
        <v>24000</v>
      </c>
    </row>
    <row r="52" spans="1:10">
      <c r="A52" s="1"/>
      <c r="B52" s="1"/>
      <c r="C52" s="1"/>
      <c r="D52" s="1" t="s">
        <v>1865</v>
      </c>
      <c r="E52" s="1" t="s">
        <v>1249</v>
      </c>
      <c r="F52" s="1">
        <v>3090</v>
      </c>
      <c r="G52" s="1">
        <v>3090</v>
      </c>
      <c r="H52" s="1">
        <v>3081</v>
      </c>
      <c r="I52" s="1">
        <v>3082</v>
      </c>
      <c r="J52" s="1">
        <v>124900</v>
      </c>
    </row>
    <row r="53" spans="1:10">
      <c r="A53" s="1"/>
      <c r="B53" s="1"/>
      <c r="C53" s="1"/>
      <c r="D53" s="1" t="s">
        <v>1865</v>
      </c>
      <c r="E53" s="1" t="s">
        <v>1250</v>
      </c>
      <c r="F53" s="1">
        <v>3082</v>
      </c>
      <c r="G53" s="1">
        <v>3085</v>
      </c>
      <c r="H53" s="1">
        <v>3081</v>
      </c>
      <c r="I53" s="1">
        <v>3085</v>
      </c>
      <c r="J53" s="1">
        <v>99800</v>
      </c>
    </row>
    <row r="54" spans="1:10">
      <c r="A54" s="1"/>
      <c r="B54" s="1"/>
      <c r="C54" s="1"/>
      <c r="D54" s="1" t="s">
        <v>1865</v>
      </c>
      <c r="E54" s="1" t="s">
        <v>1251</v>
      </c>
      <c r="F54" s="1">
        <v>3085</v>
      </c>
      <c r="G54" s="1">
        <v>3085</v>
      </c>
      <c r="H54" s="1">
        <v>3079</v>
      </c>
      <c r="I54" s="1">
        <v>3079</v>
      </c>
      <c r="J54" s="1">
        <v>71900</v>
      </c>
    </row>
    <row r="55" spans="1:10">
      <c r="A55" s="1"/>
      <c r="B55" s="1"/>
      <c r="C55" s="1"/>
      <c r="D55" s="1" t="s">
        <v>1865</v>
      </c>
      <c r="E55" s="1" t="s">
        <v>1252</v>
      </c>
      <c r="F55" s="1">
        <v>3080</v>
      </c>
      <c r="G55" s="1">
        <v>3081</v>
      </c>
      <c r="H55" s="1">
        <v>3078</v>
      </c>
      <c r="I55" s="1">
        <v>3081</v>
      </c>
      <c r="J55" s="1">
        <v>40800</v>
      </c>
    </row>
    <row r="56" spans="1:10">
      <c r="A56" s="1"/>
      <c r="B56" s="1"/>
      <c r="C56" s="1"/>
      <c r="D56" s="1" t="s">
        <v>1865</v>
      </c>
      <c r="E56" s="1" t="s">
        <v>1253</v>
      </c>
      <c r="F56" s="1">
        <v>3080</v>
      </c>
      <c r="G56" s="1">
        <v>3082</v>
      </c>
      <c r="H56" s="1">
        <v>3078</v>
      </c>
      <c r="I56" s="1">
        <v>3078</v>
      </c>
      <c r="J56" s="1">
        <v>31400</v>
      </c>
    </row>
    <row r="57" spans="1:10">
      <c r="A57" s="1"/>
      <c r="B57" s="1"/>
      <c r="C57" s="1"/>
      <c r="D57" s="1" t="s">
        <v>1865</v>
      </c>
      <c r="E57" s="1" t="s">
        <v>1254</v>
      </c>
      <c r="F57" s="1">
        <v>3078</v>
      </c>
      <c r="G57" s="1">
        <v>3080</v>
      </c>
      <c r="H57" s="1">
        <v>3076</v>
      </c>
      <c r="I57" s="1">
        <v>3076</v>
      </c>
      <c r="J57" s="1">
        <v>68100</v>
      </c>
    </row>
    <row r="58" spans="1:10">
      <c r="A58" s="1"/>
      <c r="B58" s="1"/>
      <c r="C58" s="1"/>
      <c r="D58" s="1" t="s">
        <v>1865</v>
      </c>
      <c r="E58" s="1" t="s">
        <v>1255</v>
      </c>
      <c r="F58" s="1">
        <v>3076</v>
      </c>
      <c r="G58" s="1">
        <v>3080</v>
      </c>
      <c r="H58" s="1">
        <v>3075</v>
      </c>
      <c r="I58" s="1">
        <v>3080</v>
      </c>
      <c r="J58" s="1">
        <v>39000</v>
      </c>
    </row>
    <row r="59" spans="1:10">
      <c r="A59" s="1"/>
      <c r="B59" s="1"/>
      <c r="C59" s="1"/>
      <c r="D59" s="1" t="s">
        <v>1865</v>
      </c>
      <c r="E59" s="1" t="s">
        <v>1256</v>
      </c>
      <c r="F59" s="1">
        <v>3080</v>
      </c>
      <c r="G59" s="1">
        <v>3083</v>
      </c>
      <c r="H59" s="1">
        <v>3077</v>
      </c>
      <c r="I59" s="1">
        <v>3078</v>
      </c>
      <c r="J59" s="1">
        <v>61000</v>
      </c>
    </row>
    <row r="60" spans="1:10">
      <c r="A60" s="1"/>
      <c r="B60" s="1"/>
      <c r="C60" s="1"/>
      <c r="D60" s="1" t="s">
        <v>1865</v>
      </c>
      <c r="E60" s="1" t="s">
        <v>1257</v>
      </c>
      <c r="F60" s="1">
        <v>3079</v>
      </c>
      <c r="G60" s="1">
        <v>3083</v>
      </c>
      <c r="H60" s="1">
        <v>3078</v>
      </c>
      <c r="I60" s="1">
        <v>3082</v>
      </c>
      <c r="J60" s="1">
        <v>48900</v>
      </c>
    </row>
    <row r="61" spans="1:10">
      <c r="A61" s="1"/>
      <c r="B61" s="1"/>
      <c r="C61" s="1"/>
      <c r="D61" s="1" t="s">
        <v>1865</v>
      </c>
      <c r="E61" s="1" t="s">
        <v>1258</v>
      </c>
      <c r="F61" s="1">
        <v>3083</v>
      </c>
      <c r="G61" s="1">
        <v>3085</v>
      </c>
      <c r="H61" s="1">
        <v>3083</v>
      </c>
      <c r="I61" s="1">
        <v>3084</v>
      </c>
      <c r="J61" s="1">
        <v>42800</v>
      </c>
    </row>
    <row r="62" spans="1:10">
      <c r="A62" s="1"/>
      <c r="B62" s="1"/>
      <c r="C62" s="1"/>
      <c r="D62" s="1" t="s">
        <v>1865</v>
      </c>
      <c r="E62" s="1" t="s">
        <v>1259</v>
      </c>
      <c r="F62" s="1">
        <v>3085</v>
      </c>
      <c r="G62" s="1">
        <v>3086</v>
      </c>
      <c r="H62" s="1">
        <v>3083</v>
      </c>
      <c r="I62" s="1">
        <v>3085</v>
      </c>
      <c r="J62" s="1">
        <v>36300</v>
      </c>
    </row>
    <row r="63" spans="1:10">
      <c r="A63" s="1"/>
      <c r="B63" s="1"/>
      <c r="C63" s="1"/>
      <c r="D63" s="1" t="s">
        <v>1865</v>
      </c>
      <c r="E63" s="1" t="s">
        <v>1260</v>
      </c>
      <c r="F63" s="1">
        <v>3084</v>
      </c>
      <c r="G63" s="1">
        <v>3084</v>
      </c>
      <c r="H63" s="1">
        <v>3082</v>
      </c>
      <c r="I63" s="1">
        <v>3084</v>
      </c>
      <c r="J63" s="1">
        <v>26000</v>
      </c>
    </row>
    <row r="64" spans="1:10">
      <c r="A64" s="1"/>
      <c r="B64" s="1"/>
      <c r="C64" s="1"/>
      <c r="D64" s="1" t="s">
        <v>1865</v>
      </c>
      <c r="E64" s="1" t="s">
        <v>1261</v>
      </c>
      <c r="F64" s="1">
        <v>3084</v>
      </c>
      <c r="G64" s="1">
        <v>3088</v>
      </c>
      <c r="H64" s="1">
        <v>3083</v>
      </c>
      <c r="I64" s="1">
        <v>3088</v>
      </c>
      <c r="J64" s="1">
        <v>37900</v>
      </c>
    </row>
    <row r="65" spans="1:10">
      <c r="A65" s="1"/>
      <c r="B65" s="1"/>
      <c r="C65" s="1"/>
      <c r="D65" s="1" t="s">
        <v>1865</v>
      </c>
      <c r="E65" s="1" t="s">
        <v>1262</v>
      </c>
      <c r="F65" s="1">
        <v>3087</v>
      </c>
      <c r="G65" s="1">
        <v>3089</v>
      </c>
      <c r="H65" s="1">
        <v>3086</v>
      </c>
      <c r="I65" s="1">
        <v>3087</v>
      </c>
      <c r="J65" s="1">
        <v>41900</v>
      </c>
    </row>
    <row r="66" spans="1:10">
      <c r="A66" s="1"/>
      <c r="B66" s="1"/>
      <c r="C66" s="1"/>
      <c r="D66" s="1" t="s">
        <v>1865</v>
      </c>
      <c r="E66" s="1" t="s">
        <v>1263</v>
      </c>
      <c r="F66" s="1">
        <v>3087</v>
      </c>
      <c r="G66" s="1">
        <v>3088</v>
      </c>
      <c r="H66" s="1">
        <v>3085</v>
      </c>
      <c r="I66" s="1">
        <v>3086</v>
      </c>
      <c r="J66" s="1">
        <v>27600</v>
      </c>
    </row>
    <row r="67" spans="1:10">
      <c r="A67" s="1"/>
      <c r="B67" s="1"/>
      <c r="C67" s="1"/>
      <c r="D67" s="1" t="s">
        <v>1865</v>
      </c>
      <c r="E67" s="1" t="s">
        <v>1264</v>
      </c>
      <c r="F67" s="1">
        <v>3086</v>
      </c>
      <c r="G67" s="1">
        <v>3087</v>
      </c>
      <c r="H67" s="1">
        <v>3084</v>
      </c>
      <c r="I67" s="1">
        <v>3086</v>
      </c>
      <c r="J67" s="1">
        <v>26400</v>
      </c>
    </row>
    <row r="68" spans="1:10">
      <c r="A68" s="1"/>
      <c r="B68" s="1"/>
      <c r="C68" s="1"/>
      <c r="D68" s="1" t="s">
        <v>1865</v>
      </c>
      <c r="E68" s="1" t="s">
        <v>1265</v>
      </c>
      <c r="F68" s="1">
        <v>3086</v>
      </c>
      <c r="G68" s="1">
        <v>3088</v>
      </c>
      <c r="H68" s="1">
        <v>3086</v>
      </c>
      <c r="I68" s="1">
        <v>3086</v>
      </c>
      <c r="J68" s="1">
        <v>20600</v>
      </c>
    </row>
    <row r="69" spans="1:10">
      <c r="A69" s="1"/>
      <c r="B69" s="1"/>
      <c r="C69" s="1"/>
      <c r="D69" s="1" t="s">
        <v>1865</v>
      </c>
      <c r="E69" s="1" t="s">
        <v>1266</v>
      </c>
      <c r="F69" s="1">
        <v>3087</v>
      </c>
      <c r="G69" s="1">
        <v>3087</v>
      </c>
      <c r="H69" s="1">
        <v>3084</v>
      </c>
      <c r="I69" s="1">
        <v>3085</v>
      </c>
      <c r="J69" s="1">
        <v>13800</v>
      </c>
    </row>
    <row r="70" spans="1:10">
      <c r="A70" s="1"/>
      <c r="B70" s="1"/>
      <c r="C70" s="1"/>
      <c r="D70" s="1" t="s">
        <v>1865</v>
      </c>
      <c r="E70" s="1" t="s">
        <v>1267</v>
      </c>
      <c r="F70" s="1">
        <v>3084</v>
      </c>
      <c r="G70" s="1">
        <v>3087</v>
      </c>
      <c r="H70" s="1">
        <v>3083</v>
      </c>
      <c r="I70" s="1">
        <v>3087</v>
      </c>
      <c r="J70" s="1">
        <v>26200</v>
      </c>
    </row>
    <row r="71" spans="1:10">
      <c r="A71" s="1"/>
      <c r="B71" s="1"/>
      <c r="C71" s="1"/>
      <c r="D71" s="1" t="s">
        <v>1865</v>
      </c>
      <c r="E71" s="1" t="s">
        <v>1268</v>
      </c>
      <c r="F71" s="1">
        <v>3086</v>
      </c>
      <c r="G71" s="1">
        <v>3087</v>
      </c>
      <c r="H71" s="1">
        <v>3085</v>
      </c>
      <c r="I71" s="1">
        <v>3085</v>
      </c>
      <c r="J71" s="1">
        <v>30700</v>
      </c>
    </row>
    <row r="72" spans="1:10">
      <c r="A72" s="1"/>
      <c r="B72" s="1"/>
      <c r="C72" s="1"/>
      <c r="D72" s="1" t="s">
        <v>1865</v>
      </c>
      <c r="E72" s="1" t="s">
        <v>1269</v>
      </c>
      <c r="F72" s="1">
        <v>3086</v>
      </c>
      <c r="G72" s="1">
        <v>3086</v>
      </c>
      <c r="H72" s="1">
        <v>3084</v>
      </c>
      <c r="I72" s="1">
        <v>3085</v>
      </c>
      <c r="J72" s="1">
        <v>23000</v>
      </c>
    </row>
    <row r="73" spans="1:10">
      <c r="A73" s="1"/>
      <c r="B73" s="1"/>
      <c r="C73" s="1"/>
      <c r="D73" s="1" t="s">
        <v>1865</v>
      </c>
      <c r="E73" s="1" t="s">
        <v>1270</v>
      </c>
      <c r="F73" s="1">
        <v>3086</v>
      </c>
      <c r="G73" s="1">
        <v>3087</v>
      </c>
      <c r="H73" s="1">
        <v>3085</v>
      </c>
      <c r="I73" s="1">
        <v>3087</v>
      </c>
      <c r="J73" s="1">
        <v>30300</v>
      </c>
    </row>
    <row r="74" spans="1:10">
      <c r="A74" s="1"/>
      <c r="B74" s="1"/>
      <c r="C74" s="1"/>
      <c r="D74" s="1" t="s">
        <v>1865</v>
      </c>
      <c r="E74" s="1" t="s">
        <v>1271</v>
      </c>
      <c r="F74" s="1">
        <v>3087</v>
      </c>
      <c r="G74" s="1">
        <v>3087</v>
      </c>
      <c r="H74" s="1">
        <v>3082</v>
      </c>
      <c r="I74" s="1">
        <v>3083</v>
      </c>
      <c r="J74" s="1">
        <v>45700</v>
      </c>
    </row>
    <row r="75" spans="1:10">
      <c r="A75" s="1"/>
      <c r="B75" s="1"/>
      <c r="C75" s="1"/>
      <c r="D75" s="1" t="s">
        <v>1865</v>
      </c>
      <c r="E75" s="1" t="s">
        <v>1272</v>
      </c>
      <c r="F75" s="1">
        <v>3083</v>
      </c>
      <c r="G75" s="1">
        <v>3085</v>
      </c>
      <c r="H75" s="1">
        <v>3083</v>
      </c>
      <c r="I75" s="1">
        <v>3083</v>
      </c>
      <c r="J75" s="1">
        <v>22700</v>
      </c>
    </row>
    <row r="76" spans="1:10">
      <c r="A76" s="1"/>
      <c r="B76" s="1"/>
      <c r="C76" s="1"/>
      <c r="D76" s="1" t="s">
        <v>1865</v>
      </c>
      <c r="E76" s="1" t="s">
        <v>1273</v>
      </c>
      <c r="F76" s="1">
        <v>3083</v>
      </c>
      <c r="G76" s="1">
        <v>3084</v>
      </c>
      <c r="H76" s="1">
        <v>3081</v>
      </c>
      <c r="I76" s="1">
        <v>3083</v>
      </c>
      <c r="J76" s="1">
        <v>38400</v>
      </c>
    </row>
    <row r="77" spans="1:10">
      <c r="A77" s="1"/>
      <c r="B77" s="1"/>
      <c r="C77" s="1"/>
      <c r="D77" s="1" t="s">
        <v>1865</v>
      </c>
      <c r="E77" s="1" t="s">
        <v>1274</v>
      </c>
      <c r="F77" s="1">
        <v>3083</v>
      </c>
      <c r="G77" s="1">
        <v>3085</v>
      </c>
      <c r="H77" s="1">
        <v>3083</v>
      </c>
      <c r="I77" s="1">
        <v>3085</v>
      </c>
      <c r="J77" s="1">
        <v>25400</v>
      </c>
    </row>
    <row r="78" spans="1:10">
      <c r="A78" s="1"/>
      <c r="B78" s="1"/>
      <c r="C78" s="1"/>
      <c r="D78" s="1" t="s">
        <v>1865</v>
      </c>
      <c r="E78" s="1" t="s">
        <v>1275</v>
      </c>
      <c r="F78" s="1">
        <v>3086</v>
      </c>
      <c r="G78" s="1">
        <v>3086</v>
      </c>
      <c r="H78" s="1">
        <v>3084</v>
      </c>
      <c r="I78" s="1">
        <v>3085</v>
      </c>
      <c r="J78" s="1">
        <v>23800</v>
      </c>
    </row>
    <row r="79" spans="1:10">
      <c r="A79" s="1"/>
      <c r="B79" s="1"/>
      <c r="C79" s="1"/>
      <c r="D79" s="1" t="s">
        <v>1865</v>
      </c>
      <c r="E79" s="1" t="s">
        <v>1276</v>
      </c>
      <c r="F79" s="1">
        <v>3085</v>
      </c>
      <c r="G79" s="1">
        <v>3085</v>
      </c>
      <c r="H79" s="1">
        <v>3083</v>
      </c>
      <c r="I79" s="1">
        <v>3083</v>
      </c>
      <c r="J79" s="1">
        <v>34600</v>
      </c>
    </row>
    <row r="80" spans="1:10">
      <c r="A80" s="1"/>
      <c r="B80" s="1"/>
      <c r="C80" s="1"/>
      <c r="D80" s="1" t="s">
        <v>1865</v>
      </c>
      <c r="E80" s="1" t="s">
        <v>1277</v>
      </c>
      <c r="F80" s="1">
        <v>3084</v>
      </c>
      <c r="G80" s="1">
        <v>3085</v>
      </c>
      <c r="H80" s="1">
        <v>3082</v>
      </c>
      <c r="I80" s="1">
        <v>3083</v>
      </c>
      <c r="J80" s="1">
        <v>18800</v>
      </c>
    </row>
    <row r="81" spans="1:10">
      <c r="A81" s="1"/>
      <c r="B81" s="1"/>
      <c r="C81" s="1"/>
      <c r="D81" s="1" t="s">
        <v>1865</v>
      </c>
      <c r="E81" s="1" t="s">
        <v>1278</v>
      </c>
      <c r="F81" s="1">
        <v>3082</v>
      </c>
      <c r="G81" s="1">
        <v>3083</v>
      </c>
      <c r="H81" s="1">
        <v>3080</v>
      </c>
      <c r="I81" s="1">
        <v>3081</v>
      </c>
      <c r="J81" s="1">
        <v>33700</v>
      </c>
    </row>
    <row r="82" spans="1:10">
      <c r="A82" s="1"/>
      <c r="B82" s="1"/>
      <c r="C82" s="1"/>
      <c r="D82" s="1" t="s">
        <v>1865</v>
      </c>
      <c r="E82" s="1" t="s">
        <v>1279</v>
      </c>
      <c r="F82" s="1">
        <v>3082</v>
      </c>
      <c r="G82" s="1">
        <v>3082</v>
      </c>
      <c r="H82" s="1">
        <v>3079</v>
      </c>
      <c r="I82" s="1">
        <v>3080</v>
      </c>
      <c r="J82" s="1">
        <v>36100</v>
      </c>
    </row>
    <row r="83" spans="1:10">
      <c r="A83" s="1"/>
      <c r="B83" s="1"/>
      <c r="C83" s="1"/>
      <c r="D83" s="1" t="s">
        <v>1865</v>
      </c>
      <c r="E83" s="1" t="s">
        <v>1280</v>
      </c>
      <c r="F83" s="1">
        <v>3079</v>
      </c>
      <c r="G83" s="1">
        <v>3079</v>
      </c>
      <c r="H83" s="1">
        <v>3074</v>
      </c>
      <c r="I83" s="1">
        <v>3076</v>
      </c>
      <c r="J83" s="1">
        <v>74900</v>
      </c>
    </row>
    <row r="84" spans="1:10">
      <c r="A84" s="1"/>
      <c r="B84" s="1"/>
      <c r="C84" s="1"/>
      <c r="D84" s="1" t="s">
        <v>1865</v>
      </c>
      <c r="E84" s="1" t="s">
        <v>1281</v>
      </c>
      <c r="F84" s="1">
        <v>3076</v>
      </c>
      <c r="G84" s="1">
        <v>3080</v>
      </c>
      <c r="H84" s="1">
        <v>3076</v>
      </c>
      <c r="I84" s="1">
        <v>3078</v>
      </c>
      <c r="J84" s="1">
        <v>24200</v>
      </c>
    </row>
    <row r="85" spans="1:10">
      <c r="A85" s="1"/>
      <c r="B85" s="1"/>
      <c r="C85" s="1"/>
      <c r="D85" s="1" t="s">
        <v>1865</v>
      </c>
      <c r="E85" s="1" t="s">
        <v>1282</v>
      </c>
      <c r="F85" s="1">
        <v>3078</v>
      </c>
      <c r="G85" s="1">
        <v>3079</v>
      </c>
      <c r="H85" s="1">
        <v>3076</v>
      </c>
      <c r="I85" s="1">
        <v>3076</v>
      </c>
      <c r="J85" s="1">
        <v>21000</v>
      </c>
    </row>
    <row r="86" spans="1:10">
      <c r="A86" s="1"/>
      <c r="B86" s="1"/>
      <c r="C86" s="1"/>
      <c r="D86" s="1" t="s">
        <v>1865</v>
      </c>
      <c r="E86" s="1" t="s">
        <v>1283</v>
      </c>
      <c r="F86" s="1">
        <v>3075</v>
      </c>
      <c r="G86" s="1">
        <v>3076</v>
      </c>
      <c r="H86" s="1">
        <v>3074</v>
      </c>
      <c r="I86" s="1">
        <v>3075</v>
      </c>
      <c r="J86" s="1">
        <v>27200</v>
      </c>
    </row>
    <row r="87" spans="1:10">
      <c r="A87" s="1"/>
      <c r="B87" s="1"/>
      <c r="C87" s="1"/>
      <c r="D87" s="1" t="s">
        <v>1865</v>
      </c>
      <c r="E87" s="1" t="s">
        <v>1284</v>
      </c>
      <c r="F87" s="1">
        <v>3076</v>
      </c>
      <c r="G87" s="1">
        <v>3076</v>
      </c>
      <c r="H87" s="1">
        <v>3072</v>
      </c>
      <c r="I87" s="1">
        <v>3072</v>
      </c>
      <c r="J87" s="1">
        <v>50100</v>
      </c>
    </row>
    <row r="88" spans="1:10">
      <c r="A88" s="1"/>
      <c r="B88" s="1"/>
      <c r="C88" s="1"/>
      <c r="D88" s="1" t="s">
        <v>1865</v>
      </c>
      <c r="E88" s="1" t="s">
        <v>1285</v>
      </c>
      <c r="F88" s="1">
        <v>3072</v>
      </c>
      <c r="G88" s="1">
        <v>3074</v>
      </c>
      <c r="H88" s="1">
        <v>3071</v>
      </c>
      <c r="I88" s="1">
        <v>3072</v>
      </c>
      <c r="J88" s="1">
        <v>21800</v>
      </c>
    </row>
    <row r="89" spans="1:10">
      <c r="A89" s="1"/>
      <c r="B89" s="1"/>
      <c r="C89" s="1"/>
      <c r="D89" s="1" t="s">
        <v>1865</v>
      </c>
      <c r="E89" s="1" t="s">
        <v>1286</v>
      </c>
      <c r="F89" s="1">
        <v>3071</v>
      </c>
      <c r="G89" s="1">
        <v>3074</v>
      </c>
      <c r="H89" s="1">
        <v>3070</v>
      </c>
      <c r="I89" s="1">
        <v>3074</v>
      </c>
      <c r="J89" s="1">
        <v>64000</v>
      </c>
    </row>
    <row r="90" spans="1:10">
      <c r="A90" s="1"/>
      <c r="B90" s="1"/>
      <c r="C90" s="1"/>
      <c r="D90" s="1" t="s">
        <v>1865</v>
      </c>
      <c r="E90" s="1" t="s">
        <v>1287</v>
      </c>
      <c r="F90" s="1">
        <v>3074</v>
      </c>
      <c r="G90" s="1">
        <v>3076</v>
      </c>
      <c r="H90" s="1">
        <v>3073</v>
      </c>
      <c r="I90" s="1">
        <v>3073</v>
      </c>
      <c r="J90" s="1">
        <v>45300</v>
      </c>
    </row>
    <row r="91" spans="1:10">
      <c r="A91" s="1"/>
      <c r="B91" s="1"/>
      <c r="C91" s="1"/>
      <c r="D91" s="1" t="s">
        <v>1865</v>
      </c>
      <c r="E91" s="1" t="s">
        <v>1288</v>
      </c>
      <c r="F91" s="1">
        <v>3074</v>
      </c>
      <c r="G91" s="1">
        <v>3080</v>
      </c>
      <c r="H91" s="1">
        <v>3074</v>
      </c>
      <c r="I91" s="1">
        <v>3080</v>
      </c>
      <c r="J91" s="1">
        <v>33500</v>
      </c>
    </row>
    <row r="92" spans="1:10">
      <c r="A92" s="1"/>
      <c r="B92" s="1"/>
      <c r="C92" s="1"/>
      <c r="D92" s="1" t="s">
        <v>1865</v>
      </c>
      <c r="E92" s="1" t="s">
        <v>1289</v>
      </c>
      <c r="F92" s="1">
        <v>3079</v>
      </c>
      <c r="G92" s="1">
        <v>3081</v>
      </c>
      <c r="H92" s="1">
        <v>3076</v>
      </c>
      <c r="I92" s="1">
        <v>3076</v>
      </c>
      <c r="J92" s="1">
        <v>63400</v>
      </c>
    </row>
    <row r="93" spans="1:10">
      <c r="A93" s="1"/>
      <c r="B93" s="1"/>
      <c r="C93" s="1"/>
      <c r="D93" s="1" t="s">
        <v>1865</v>
      </c>
      <c r="E93" s="1" t="s">
        <v>1290</v>
      </c>
      <c r="F93" s="1">
        <v>3077</v>
      </c>
      <c r="G93" s="1">
        <v>3080</v>
      </c>
      <c r="H93" s="1">
        <v>3076</v>
      </c>
      <c r="I93" s="1">
        <v>3079</v>
      </c>
      <c r="J93" s="1">
        <v>25000</v>
      </c>
    </row>
    <row r="94" spans="1:10">
      <c r="A94" s="1"/>
      <c r="B94" s="1"/>
      <c r="C94" s="1"/>
      <c r="D94" s="1" t="s">
        <v>1865</v>
      </c>
      <c r="E94" s="1" t="s">
        <v>1291</v>
      </c>
      <c r="F94" s="1">
        <v>3078</v>
      </c>
      <c r="G94" s="1">
        <v>3078</v>
      </c>
      <c r="H94" s="1">
        <v>3076</v>
      </c>
      <c r="I94" s="1">
        <v>3078</v>
      </c>
      <c r="J94" s="1">
        <v>38400</v>
      </c>
    </row>
    <row r="95" spans="1:10">
      <c r="A95" s="1"/>
      <c r="B95" s="1"/>
      <c r="C95" s="1"/>
      <c r="D95" s="1" t="s">
        <v>1865</v>
      </c>
      <c r="E95" s="1" t="s">
        <v>1292</v>
      </c>
      <c r="F95" s="1">
        <v>3077</v>
      </c>
      <c r="G95" s="1">
        <v>3079</v>
      </c>
      <c r="H95" s="1">
        <v>3074</v>
      </c>
      <c r="I95" s="1">
        <v>3076</v>
      </c>
      <c r="J95" s="1">
        <v>32400</v>
      </c>
    </row>
    <row r="96" spans="1:10">
      <c r="A96" s="1"/>
      <c r="B96" s="1"/>
      <c r="C96" s="1"/>
      <c r="D96" s="1" t="s">
        <v>1865</v>
      </c>
      <c r="E96" s="1" t="s">
        <v>1293</v>
      </c>
      <c r="F96" s="1">
        <v>3076</v>
      </c>
      <c r="G96" s="1">
        <v>3079</v>
      </c>
      <c r="H96" s="1">
        <v>3076</v>
      </c>
      <c r="I96" s="1">
        <v>3078</v>
      </c>
      <c r="J96" s="1">
        <v>35300</v>
      </c>
    </row>
    <row r="97" spans="1:10">
      <c r="A97" s="1"/>
      <c r="B97" s="1"/>
      <c r="C97" s="1"/>
      <c r="D97" s="1" t="s">
        <v>1865</v>
      </c>
      <c r="E97" s="1" t="s">
        <v>1294</v>
      </c>
      <c r="F97" s="1">
        <v>3078</v>
      </c>
      <c r="G97" s="1">
        <v>3079</v>
      </c>
      <c r="H97" s="1">
        <v>3076</v>
      </c>
      <c r="I97" s="1">
        <v>3076</v>
      </c>
      <c r="J97" s="1">
        <v>41100</v>
      </c>
    </row>
    <row r="98" spans="1:10">
      <c r="A98" s="1"/>
      <c r="B98" s="1"/>
      <c r="C98" s="1"/>
      <c r="D98" s="1" t="s">
        <v>1865</v>
      </c>
      <c r="E98" s="1" t="s">
        <v>1295</v>
      </c>
      <c r="F98" s="1">
        <v>3075</v>
      </c>
      <c r="G98" s="1">
        <v>3075</v>
      </c>
      <c r="H98" s="1">
        <v>3074</v>
      </c>
      <c r="I98" s="1">
        <v>3075</v>
      </c>
      <c r="J98" s="1">
        <v>35300</v>
      </c>
    </row>
    <row r="99" spans="1:10">
      <c r="A99" s="1"/>
      <c r="B99" s="1"/>
      <c r="C99" s="1"/>
      <c r="D99" s="1" t="s">
        <v>1865</v>
      </c>
      <c r="E99" s="1" t="s">
        <v>1296</v>
      </c>
      <c r="F99" s="1">
        <v>3075</v>
      </c>
      <c r="G99" s="1">
        <v>3076</v>
      </c>
      <c r="H99" s="1">
        <v>3073</v>
      </c>
      <c r="I99" s="1">
        <v>3075</v>
      </c>
      <c r="J99" s="1">
        <v>26900</v>
      </c>
    </row>
    <row r="100" spans="1:10">
      <c r="A100" s="1"/>
      <c r="B100" s="1"/>
      <c r="C100" s="1"/>
      <c r="D100" s="1" t="s">
        <v>1865</v>
      </c>
      <c r="E100" s="1" t="s">
        <v>1297</v>
      </c>
      <c r="F100" s="1">
        <v>3075</v>
      </c>
      <c r="G100" s="1">
        <v>3076</v>
      </c>
      <c r="H100" s="1">
        <v>3073</v>
      </c>
      <c r="I100" s="1">
        <v>3073</v>
      </c>
      <c r="J100" s="1">
        <v>9700</v>
      </c>
    </row>
    <row r="101" spans="1:10">
      <c r="A101" s="1"/>
      <c r="B101" s="1"/>
      <c r="C101" s="1"/>
      <c r="D101" s="1" t="s">
        <v>1865</v>
      </c>
      <c r="E101" s="1" t="s">
        <v>1298</v>
      </c>
      <c r="F101" s="1">
        <v>3073</v>
      </c>
      <c r="G101" s="1">
        <v>3073</v>
      </c>
      <c r="H101" s="1">
        <v>3071</v>
      </c>
      <c r="I101" s="1">
        <v>3071</v>
      </c>
      <c r="J101" s="1">
        <v>16200</v>
      </c>
    </row>
    <row r="102" spans="1:10">
      <c r="D102" t="s">
        <v>1865</v>
      </c>
      <c r="E102" t="s">
        <v>1299</v>
      </c>
      <c r="F102">
        <v>3071</v>
      </c>
      <c r="G102">
        <v>3071</v>
      </c>
      <c r="H102">
        <v>3067</v>
      </c>
      <c r="I102">
        <v>3067</v>
      </c>
      <c r="J102">
        <v>74200</v>
      </c>
    </row>
    <row r="103" spans="1:10">
      <c r="D103" t="s">
        <v>1865</v>
      </c>
      <c r="E103" t="s">
        <v>1300</v>
      </c>
      <c r="F103">
        <v>3067</v>
      </c>
      <c r="G103">
        <v>3069</v>
      </c>
      <c r="H103">
        <v>3067</v>
      </c>
      <c r="I103">
        <v>3069</v>
      </c>
      <c r="J103">
        <v>19900</v>
      </c>
    </row>
    <row r="104" spans="1:10">
      <c r="D104" t="s">
        <v>1865</v>
      </c>
      <c r="E104" t="s">
        <v>1301</v>
      </c>
      <c r="F104">
        <v>3069</v>
      </c>
      <c r="G104">
        <v>3070</v>
      </c>
      <c r="H104">
        <v>3067</v>
      </c>
      <c r="I104">
        <v>3068</v>
      </c>
      <c r="J104">
        <v>32000</v>
      </c>
    </row>
    <row r="105" spans="1:10">
      <c r="D105" t="s">
        <v>1865</v>
      </c>
      <c r="E105" t="s">
        <v>1302</v>
      </c>
      <c r="F105">
        <v>3068</v>
      </c>
      <c r="G105">
        <v>3069</v>
      </c>
      <c r="H105">
        <v>3066</v>
      </c>
      <c r="I105">
        <v>3066</v>
      </c>
      <c r="J105">
        <v>51100</v>
      </c>
    </row>
    <row r="106" spans="1:10">
      <c r="D106" t="s">
        <v>1865</v>
      </c>
      <c r="E106" t="s">
        <v>1303</v>
      </c>
      <c r="F106">
        <v>3066</v>
      </c>
      <c r="G106">
        <v>3067</v>
      </c>
      <c r="H106">
        <v>3064</v>
      </c>
      <c r="I106">
        <v>3067</v>
      </c>
      <c r="J106">
        <v>29200</v>
      </c>
    </row>
    <row r="107" spans="1:10">
      <c r="D107" t="s">
        <v>1865</v>
      </c>
      <c r="E107" t="s">
        <v>1304</v>
      </c>
      <c r="F107">
        <v>3066</v>
      </c>
      <c r="G107">
        <v>3067</v>
      </c>
      <c r="H107">
        <v>3065</v>
      </c>
      <c r="I107">
        <v>3066</v>
      </c>
      <c r="J107">
        <v>10500</v>
      </c>
    </row>
    <row r="108" spans="1:10">
      <c r="D108" t="s">
        <v>1865</v>
      </c>
      <c r="E108" t="s">
        <v>1305</v>
      </c>
      <c r="F108">
        <v>3067</v>
      </c>
      <c r="G108">
        <v>3070</v>
      </c>
      <c r="H108">
        <v>3066</v>
      </c>
      <c r="I108">
        <v>3069</v>
      </c>
      <c r="J108">
        <v>67000</v>
      </c>
    </row>
    <row r="109" spans="1:10">
      <c r="D109" t="s">
        <v>1865</v>
      </c>
      <c r="E109" t="s">
        <v>1306</v>
      </c>
      <c r="F109">
        <v>3070</v>
      </c>
      <c r="G109">
        <v>3072</v>
      </c>
      <c r="H109">
        <v>3068</v>
      </c>
      <c r="I109">
        <v>3069</v>
      </c>
      <c r="J109">
        <v>40300</v>
      </c>
    </row>
    <row r="110" spans="1:10">
      <c r="D110" t="s">
        <v>1865</v>
      </c>
      <c r="E110" t="s">
        <v>1307</v>
      </c>
      <c r="F110">
        <v>3069</v>
      </c>
      <c r="G110">
        <v>3073</v>
      </c>
      <c r="H110">
        <v>3069</v>
      </c>
      <c r="I110">
        <v>3073</v>
      </c>
      <c r="J110">
        <v>34500</v>
      </c>
    </row>
    <row r="111" spans="1:10">
      <c r="D111" t="s">
        <v>1865</v>
      </c>
      <c r="E111" t="s">
        <v>1308</v>
      </c>
      <c r="F111">
        <v>3073</v>
      </c>
      <c r="G111">
        <v>3075</v>
      </c>
      <c r="H111">
        <v>3071</v>
      </c>
      <c r="I111">
        <v>3074</v>
      </c>
      <c r="J111">
        <v>32400</v>
      </c>
    </row>
    <row r="112" spans="1:10">
      <c r="D112" t="s">
        <v>1865</v>
      </c>
      <c r="E112" t="s">
        <v>1309</v>
      </c>
      <c r="F112">
        <v>3074</v>
      </c>
      <c r="G112">
        <v>3077</v>
      </c>
      <c r="H112">
        <v>3073</v>
      </c>
      <c r="I112">
        <v>3076</v>
      </c>
      <c r="J112">
        <v>40500</v>
      </c>
    </row>
    <row r="113" spans="4:10">
      <c r="D113" t="s">
        <v>1865</v>
      </c>
      <c r="E113" t="s">
        <v>1310</v>
      </c>
      <c r="F113">
        <v>3076</v>
      </c>
      <c r="G113">
        <v>3080</v>
      </c>
      <c r="H113">
        <v>3076</v>
      </c>
      <c r="I113">
        <v>3079</v>
      </c>
      <c r="J113">
        <v>43800</v>
      </c>
    </row>
    <row r="114" spans="4:10">
      <c r="D114" t="s">
        <v>1865</v>
      </c>
      <c r="E114" t="s">
        <v>1311</v>
      </c>
      <c r="F114">
        <v>3078</v>
      </c>
      <c r="G114">
        <v>3081</v>
      </c>
      <c r="H114">
        <v>3078</v>
      </c>
      <c r="I114">
        <v>3081</v>
      </c>
      <c r="J114">
        <v>58600</v>
      </c>
    </row>
    <row r="115" spans="4:10">
      <c r="D115" t="s">
        <v>1865</v>
      </c>
      <c r="E115" t="s">
        <v>1312</v>
      </c>
      <c r="F115">
        <v>3080</v>
      </c>
      <c r="G115">
        <v>3081</v>
      </c>
      <c r="H115">
        <v>3079</v>
      </c>
      <c r="I115">
        <v>3081</v>
      </c>
      <c r="J115">
        <v>25100</v>
      </c>
    </row>
    <row r="116" spans="4:10">
      <c r="D116" t="s">
        <v>1865</v>
      </c>
      <c r="E116" t="s">
        <v>1313</v>
      </c>
      <c r="F116">
        <v>3080</v>
      </c>
      <c r="G116">
        <v>3081</v>
      </c>
      <c r="H116">
        <v>3079</v>
      </c>
      <c r="I116">
        <v>3080</v>
      </c>
      <c r="J116">
        <v>26300</v>
      </c>
    </row>
    <row r="117" spans="4:10">
      <c r="D117" t="s">
        <v>1865</v>
      </c>
      <c r="E117" t="s">
        <v>1314</v>
      </c>
      <c r="F117">
        <v>3080</v>
      </c>
      <c r="G117">
        <v>3081</v>
      </c>
      <c r="H117">
        <v>3078</v>
      </c>
      <c r="I117">
        <v>3078</v>
      </c>
      <c r="J117">
        <v>21200</v>
      </c>
    </row>
    <row r="118" spans="4:10">
      <c r="D118" t="s">
        <v>1865</v>
      </c>
      <c r="E118" t="s">
        <v>1315</v>
      </c>
      <c r="F118">
        <v>3078</v>
      </c>
      <c r="G118">
        <v>3081</v>
      </c>
      <c r="H118">
        <v>3078</v>
      </c>
      <c r="I118">
        <v>3081</v>
      </c>
      <c r="J118">
        <v>29600</v>
      </c>
    </row>
    <row r="119" spans="4:10">
      <c r="D119" t="s">
        <v>1865</v>
      </c>
      <c r="E119" t="s">
        <v>1316</v>
      </c>
      <c r="F119">
        <v>3080</v>
      </c>
      <c r="G119">
        <v>3082</v>
      </c>
      <c r="H119">
        <v>3079</v>
      </c>
      <c r="I119">
        <v>3080</v>
      </c>
      <c r="J119">
        <v>17500</v>
      </c>
    </row>
    <row r="120" spans="4:10">
      <c r="D120" t="s">
        <v>1865</v>
      </c>
      <c r="E120" t="s">
        <v>1317</v>
      </c>
      <c r="F120">
        <v>3080</v>
      </c>
      <c r="G120">
        <v>3080</v>
      </c>
      <c r="H120">
        <v>3077</v>
      </c>
      <c r="I120">
        <v>3079</v>
      </c>
      <c r="J120">
        <v>24100</v>
      </c>
    </row>
    <row r="121" spans="4:10">
      <c r="D121" t="s">
        <v>1865</v>
      </c>
      <c r="E121" t="s">
        <v>1318</v>
      </c>
      <c r="F121">
        <v>3078</v>
      </c>
      <c r="G121">
        <v>3078</v>
      </c>
      <c r="H121">
        <v>3077</v>
      </c>
      <c r="I121">
        <v>3077</v>
      </c>
      <c r="J121">
        <v>12700</v>
      </c>
    </row>
    <row r="122" spans="4:10">
      <c r="D122" t="s">
        <v>1865</v>
      </c>
      <c r="E122" t="s">
        <v>1319</v>
      </c>
      <c r="F122">
        <v>3077</v>
      </c>
      <c r="G122">
        <v>3078</v>
      </c>
      <c r="H122">
        <v>3075</v>
      </c>
      <c r="I122">
        <v>3077</v>
      </c>
      <c r="J122">
        <v>65900</v>
      </c>
    </row>
    <row r="123" spans="4:10">
      <c r="D123" t="s">
        <v>1865</v>
      </c>
      <c r="E123" t="s">
        <v>1320</v>
      </c>
      <c r="F123">
        <v>3078</v>
      </c>
      <c r="G123">
        <v>3080</v>
      </c>
      <c r="H123">
        <v>3077</v>
      </c>
      <c r="I123">
        <v>3079</v>
      </c>
      <c r="J123">
        <v>51500</v>
      </c>
    </row>
    <row r="124" spans="4:10">
      <c r="D124" t="s">
        <v>1865</v>
      </c>
      <c r="E124" t="s">
        <v>1321</v>
      </c>
      <c r="F124">
        <v>3079</v>
      </c>
      <c r="G124">
        <v>3082</v>
      </c>
      <c r="H124">
        <v>3079</v>
      </c>
      <c r="I124">
        <v>3082</v>
      </c>
      <c r="J124">
        <v>51800</v>
      </c>
    </row>
    <row r="125" spans="4:10">
      <c r="D125" t="s">
        <v>1865</v>
      </c>
      <c r="E125" t="s">
        <v>1322</v>
      </c>
      <c r="F125">
        <v>3082</v>
      </c>
      <c r="G125">
        <v>3083</v>
      </c>
      <c r="H125">
        <v>3081</v>
      </c>
      <c r="I125">
        <v>3082</v>
      </c>
      <c r="J125">
        <v>37500</v>
      </c>
    </row>
    <row r="126" spans="4:10">
      <c r="D126" t="s">
        <v>1865</v>
      </c>
      <c r="E126" t="s">
        <v>1323</v>
      </c>
      <c r="F126">
        <v>3082</v>
      </c>
      <c r="G126">
        <v>3083</v>
      </c>
      <c r="H126">
        <v>3081</v>
      </c>
      <c r="I126">
        <v>3082</v>
      </c>
      <c r="J126">
        <v>31000</v>
      </c>
    </row>
    <row r="127" spans="4:10">
      <c r="D127" t="s">
        <v>1865</v>
      </c>
      <c r="E127" t="s">
        <v>1324</v>
      </c>
      <c r="F127">
        <v>3081</v>
      </c>
      <c r="G127">
        <v>3083</v>
      </c>
      <c r="H127">
        <v>3081</v>
      </c>
      <c r="I127">
        <v>3083</v>
      </c>
      <c r="J127">
        <v>17100</v>
      </c>
    </row>
    <row r="128" spans="4:10">
      <c r="D128" t="s">
        <v>1865</v>
      </c>
      <c r="E128" t="s">
        <v>1325</v>
      </c>
      <c r="F128">
        <v>3083</v>
      </c>
      <c r="G128">
        <v>3084</v>
      </c>
      <c r="H128">
        <v>3081</v>
      </c>
      <c r="I128">
        <v>3082</v>
      </c>
      <c r="J128">
        <v>20000</v>
      </c>
    </row>
    <row r="129" spans="4:10">
      <c r="D129" t="s">
        <v>1865</v>
      </c>
      <c r="E129" t="s">
        <v>1326</v>
      </c>
      <c r="F129">
        <v>3081</v>
      </c>
      <c r="G129">
        <v>3081</v>
      </c>
      <c r="H129">
        <v>3078</v>
      </c>
      <c r="I129">
        <v>3079</v>
      </c>
      <c r="J129">
        <v>47800</v>
      </c>
    </row>
    <row r="130" spans="4:10">
      <c r="D130" t="s">
        <v>1865</v>
      </c>
      <c r="E130" t="s">
        <v>1327</v>
      </c>
      <c r="F130">
        <v>3079</v>
      </c>
      <c r="G130">
        <v>3079</v>
      </c>
      <c r="H130">
        <v>3079</v>
      </c>
      <c r="I130">
        <v>3079</v>
      </c>
      <c r="J130">
        <v>4400</v>
      </c>
    </row>
    <row r="131" spans="4:10">
      <c r="D131" t="s">
        <v>1865</v>
      </c>
      <c r="E131" t="s">
        <v>1328</v>
      </c>
      <c r="F131">
        <v>3078</v>
      </c>
      <c r="G131">
        <v>3081</v>
      </c>
      <c r="H131">
        <v>3078</v>
      </c>
      <c r="I131">
        <v>3080</v>
      </c>
      <c r="J131">
        <v>13900</v>
      </c>
    </row>
    <row r="132" spans="4:10">
      <c r="D132" t="s">
        <v>1865</v>
      </c>
      <c r="E132" t="s">
        <v>1329</v>
      </c>
      <c r="F132">
        <v>3080</v>
      </c>
      <c r="G132">
        <v>3080</v>
      </c>
      <c r="H132">
        <v>3078</v>
      </c>
      <c r="I132">
        <v>3079</v>
      </c>
      <c r="J132">
        <v>34800</v>
      </c>
    </row>
    <row r="133" spans="4:10">
      <c r="D133" t="s">
        <v>1865</v>
      </c>
      <c r="E133" t="s">
        <v>1330</v>
      </c>
      <c r="F133">
        <v>3079</v>
      </c>
      <c r="G133">
        <v>3081</v>
      </c>
      <c r="H133">
        <v>3079</v>
      </c>
      <c r="I133">
        <v>3081</v>
      </c>
      <c r="J133">
        <v>6900</v>
      </c>
    </row>
    <row r="134" spans="4:10">
      <c r="D134" t="s">
        <v>1865</v>
      </c>
      <c r="E134" t="s">
        <v>1331</v>
      </c>
      <c r="F134">
        <v>3080</v>
      </c>
      <c r="G134">
        <v>3081</v>
      </c>
      <c r="H134">
        <v>3079</v>
      </c>
      <c r="I134">
        <v>3081</v>
      </c>
      <c r="J134">
        <v>11000</v>
      </c>
    </row>
    <row r="135" spans="4:10">
      <c r="D135" t="s">
        <v>1865</v>
      </c>
      <c r="E135" t="s">
        <v>1332</v>
      </c>
      <c r="F135">
        <v>3082</v>
      </c>
      <c r="G135">
        <v>3085</v>
      </c>
      <c r="H135">
        <v>3082</v>
      </c>
      <c r="I135">
        <v>3083</v>
      </c>
      <c r="J135">
        <v>59700</v>
      </c>
    </row>
    <row r="136" spans="4:10">
      <c r="D136" t="s">
        <v>1865</v>
      </c>
      <c r="E136" t="s">
        <v>1333</v>
      </c>
      <c r="F136">
        <v>3083</v>
      </c>
      <c r="G136">
        <v>3085</v>
      </c>
      <c r="H136">
        <v>3083</v>
      </c>
      <c r="I136">
        <v>3084</v>
      </c>
      <c r="J136">
        <v>19100</v>
      </c>
    </row>
    <row r="137" spans="4:10">
      <c r="D137" t="s">
        <v>1865</v>
      </c>
      <c r="E137" t="s">
        <v>1334</v>
      </c>
      <c r="F137">
        <v>3084</v>
      </c>
      <c r="G137">
        <v>3084</v>
      </c>
      <c r="H137">
        <v>3082</v>
      </c>
      <c r="I137">
        <v>3082</v>
      </c>
      <c r="J137">
        <v>22600</v>
      </c>
    </row>
    <row r="138" spans="4:10">
      <c r="D138" t="s">
        <v>1865</v>
      </c>
      <c r="E138" t="s">
        <v>1335</v>
      </c>
      <c r="F138">
        <v>3083</v>
      </c>
      <c r="G138">
        <v>3084</v>
      </c>
      <c r="H138">
        <v>3082</v>
      </c>
      <c r="I138">
        <v>3084</v>
      </c>
      <c r="J138">
        <v>7900</v>
      </c>
    </row>
    <row r="139" spans="4:10">
      <c r="D139" t="s">
        <v>1865</v>
      </c>
      <c r="E139" t="s">
        <v>1336</v>
      </c>
      <c r="F139">
        <v>3083</v>
      </c>
      <c r="G139">
        <v>3083</v>
      </c>
      <c r="H139">
        <v>3082</v>
      </c>
      <c r="I139">
        <v>3082</v>
      </c>
      <c r="J139">
        <v>13600</v>
      </c>
    </row>
    <row r="140" spans="4:10">
      <c r="D140" t="s">
        <v>1865</v>
      </c>
      <c r="E140" t="s">
        <v>1337</v>
      </c>
      <c r="F140">
        <v>3081</v>
      </c>
      <c r="G140">
        <v>3082</v>
      </c>
      <c r="H140">
        <v>3080</v>
      </c>
      <c r="I140">
        <v>3082</v>
      </c>
      <c r="J140">
        <v>22300</v>
      </c>
    </row>
    <row r="141" spans="4:10">
      <c r="D141" t="s">
        <v>1865</v>
      </c>
      <c r="E141" t="s">
        <v>1338</v>
      </c>
      <c r="F141">
        <v>3082</v>
      </c>
      <c r="G141">
        <v>3082</v>
      </c>
      <c r="H141">
        <v>3080</v>
      </c>
      <c r="I141">
        <v>3082</v>
      </c>
      <c r="J141">
        <v>23700</v>
      </c>
    </row>
    <row r="142" spans="4:10">
      <c r="D142" t="s">
        <v>1865</v>
      </c>
      <c r="E142" t="s">
        <v>1339</v>
      </c>
      <c r="F142">
        <v>3082</v>
      </c>
      <c r="G142">
        <v>3082</v>
      </c>
      <c r="H142">
        <v>3079</v>
      </c>
      <c r="I142">
        <v>3080</v>
      </c>
      <c r="J142">
        <v>24900</v>
      </c>
    </row>
    <row r="143" spans="4:10">
      <c r="D143" t="s">
        <v>1865</v>
      </c>
      <c r="E143" t="s">
        <v>1340</v>
      </c>
      <c r="F143">
        <v>3080</v>
      </c>
      <c r="G143">
        <v>3080</v>
      </c>
      <c r="H143">
        <v>3077</v>
      </c>
      <c r="I143">
        <v>3080</v>
      </c>
      <c r="J143">
        <v>24000</v>
      </c>
    </row>
    <row r="144" spans="4:10">
      <c r="D144" t="s">
        <v>1865</v>
      </c>
      <c r="E144" t="s">
        <v>1341</v>
      </c>
      <c r="F144">
        <v>3079</v>
      </c>
      <c r="G144">
        <v>3082</v>
      </c>
      <c r="H144">
        <v>3078</v>
      </c>
      <c r="I144">
        <v>3081</v>
      </c>
      <c r="J144">
        <v>35400</v>
      </c>
    </row>
    <row r="145" spans="4:10">
      <c r="D145" t="s">
        <v>1865</v>
      </c>
      <c r="E145" t="s">
        <v>1342</v>
      </c>
      <c r="F145">
        <v>3080</v>
      </c>
      <c r="G145">
        <v>3083</v>
      </c>
      <c r="H145">
        <v>3079</v>
      </c>
      <c r="I145">
        <v>3083</v>
      </c>
      <c r="J145">
        <v>28500</v>
      </c>
    </row>
    <row r="146" spans="4:10">
      <c r="D146" t="s">
        <v>1865</v>
      </c>
      <c r="E146" t="s">
        <v>1343</v>
      </c>
      <c r="F146">
        <v>3082</v>
      </c>
      <c r="G146">
        <v>3085</v>
      </c>
      <c r="H146">
        <v>3081</v>
      </c>
      <c r="I146">
        <v>3083</v>
      </c>
      <c r="J146">
        <v>39800</v>
      </c>
    </row>
    <row r="147" spans="4:10">
      <c r="D147" t="s">
        <v>1865</v>
      </c>
      <c r="E147" t="s">
        <v>1344</v>
      </c>
      <c r="F147">
        <v>3084</v>
      </c>
      <c r="G147">
        <v>3085</v>
      </c>
      <c r="H147">
        <v>3082</v>
      </c>
      <c r="I147">
        <v>3084</v>
      </c>
      <c r="J147">
        <v>33800</v>
      </c>
    </row>
    <row r="148" spans="4:10">
      <c r="D148" t="s">
        <v>1865</v>
      </c>
      <c r="E148" t="s">
        <v>1345</v>
      </c>
      <c r="F148">
        <v>3083</v>
      </c>
      <c r="G148">
        <v>3084</v>
      </c>
      <c r="H148">
        <v>3082</v>
      </c>
      <c r="I148">
        <v>3083</v>
      </c>
      <c r="J148">
        <v>16400</v>
      </c>
    </row>
    <row r="149" spans="4:10">
      <c r="D149" t="s">
        <v>1865</v>
      </c>
      <c r="E149" t="s">
        <v>1346</v>
      </c>
      <c r="F149">
        <v>3083</v>
      </c>
      <c r="G149">
        <v>3083</v>
      </c>
      <c r="H149">
        <v>3081</v>
      </c>
      <c r="I149">
        <v>3081</v>
      </c>
      <c r="J149">
        <v>23300</v>
      </c>
    </row>
    <row r="150" spans="4:10">
      <c r="D150" t="s">
        <v>1865</v>
      </c>
      <c r="E150" t="s">
        <v>1347</v>
      </c>
      <c r="F150">
        <v>3082</v>
      </c>
      <c r="G150">
        <v>3084</v>
      </c>
      <c r="H150">
        <v>3081</v>
      </c>
      <c r="I150">
        <v>3084</v>
      </c>
      <c r="J150">
        <v>39900</v>
      </c>
    </row>
    <row r="151" spans="4:10">
      <c r="D151" t="s">
        <v>1865</v>
      </c>
      <c r="E151" t="s">
        <v>1348</v>
      </c>
      <c r="F151">
        <v>3083</v>
      </c>
      <c r="G151">
        <v>3084</v>
      </c>
      <c r="H151">
        <v>3083</v>
      </c>
      <c r="I151">
        <v>3083</v>
      </c>
      <c r="J151">
        <v>16000</v>
      </c>
    </row>
    <row r="152" spans="4:10">
      <c r="D152" t="s">
        <v>1865</v>
      </c>
      <c r="E152" t="s">
        <v>1349</v>
      </c>
      <c r="F152">
        <v>3083</v>
      </c>
      <c r="G152">
        <v>3084</v>
      </c>
      <c r="H152">
        <v>3082</v>
      </c>
      <c r="I152">
        <v>3082</v>
      </c>
      <c r="J152">
        <v>15800</v>
      </c>
    </row>
    <row r="153" spans="4:10">
      <c r="D153" t="s">
        <v>1865</v>
      </c>
      <c r="E153" t="s">
        <v>1350</v>
      </c>
      <c r="F153">
        <v>3082</v>
      </c>
      <c r="G153">
        <v>3083</v>
      </c>
      <c r="H153">
        <v>3082</v>
      </c>
      <c r="I153">
        <v>3082</v>
      </c>
      <c r="J153">
        <v>24800</v>
      </c>
    </row>
    <row r="154" spans="4:10">
      <c r="D154" t="s">
        <v>1865</v>
      </c>
      <c r="E154" t="s">
        <v>1351</v>
      </c>
      <c r="F154">
        <v>3081</v>
      </c>
      <c r="G154">
        <v>3083</v>
      </c>
      <c r="H154">
        <v>3079</v>
      </c>
      <c r="I154">
        <v>3081</v>
      </c>
      <c r="J154">
        <v>34900</v>
      </c>
    </row>
    <row r="155" spans="4:10">
      <c r="D155" t="s">
        <v>1865</v>
      </c>
      <c r="E155" t="s">
        <v>1352</v>
      </c>
      <c r="F155">
        <v>3082</v>
      </c>
      <c r="G155">
        <v>3084</v>
      </c>
      <c r="H155">
        <v>3082</v>
      </c>
      <c r="I155">
        <v>3083</v>
      </c>
      <c r="J155">
        <v>18700</v>
      </c>
    </row>
    <row r="156" spans="4:10">
      <c r="D156" t="s">
        <v>1865</v>
      </c>
      <c r="E156" t="s">
        <v>1353</v>
      </c>
      <c r="F156">
        <v>3082</v>
      </c>
      <c r="G156">
        <v>3085</v>
      </c>
      <c r="H156">
        <v>3082</v>
      </c>
      <c r="I156">
        <v>3084</v>
      </c>
      <c r="J156">
        <v>59200</v>
      </c>
    </row>
    <row r="157" spans="4:10">
      <c r="D157" t="s">
        <v>1865</v>
      </c>
      <c r="E157" t="s">
        <v>1354</v>
      </c>
      <c r="F157">
        <v>3084</v>
      </c>
      <c r="G157">
        <v>3086</v>
      </c>
      <c r="H157">
        <v>3083</v>
      </c>
      <c r="I157">
        <v>3086</v>
      </c>
      <c r="J157">
        <v>43400</v>
      </c>
    </row>
    <row r="158" spans="4:10">
      <c r="D158" t="s">
        <v>1865</v>
      </c>
      <c r="E158" t="s">
        <v>1355</v>
      </c>
      <c r="F158">
        <v>3086</v>
      </c>
      <c r="G158">
        <v>3087</v>
      </c>
      <c r="H158">
        <v>3086</v>
      </c>
      <c r="I158">
        <v>3086</v>
      </c>
      <c r="J158">
        <v>9700</v>
      </c>
    </row>
    <row r="159" spans="4:10">
      <c r="D159" t="s">
        <v>1865</v>
      </c>
      <c r="E159" t="s">
        <v>1356</v>
      </c>
      <c r="F159">
        <v>3086</v>
      </c>
      <c r="G159">
        <v>3089</v>
      </c>
      <c r="H159">
        <v>3086</v>
      </c>
      <c r="I159">
        <v>3089</v>
      </c>
      <c r="J159">
        <v>28600</v>
      </c>
    </row>
    <row r="160" spans="4:10">
      <c r="D160" t="s">
        <v>1865</v>
      </c>
      <c r="E160" t="s">
        <v>1357</v>
      </c>
      <c r="F160">
        <v>3089</v>
      </c>
      <c r="G160">
        <v>3090</v>
      </c>
      <c r="H160">
        <v>3088</v>
      </c>
      <c r="I160">
        <v>3090</v>
      </c>
      <c r="J160">
        <v>32000</v>
      </c>
    </row>
    <row r="161" spans="4:10">
      <c r="D161" t="s">
        <v>1865</v>
      </c>
      <c r="E161" t="s">
        <v>1358</v>
      </c>
      <c r="F161">
        <v>3090</v>
      </c>
      <c r="G161">
        <v>3093</v>
      </c>
      <c r="H161">
        <v>3090</v>
      </c>
      <c r="I161">
        <v>3092</v>
      </c>
      <c r="J161">
        <v>37700</v>
      </c>
    </row>
    <row r="162" spans="4:10">
      <c r="D162" t="s">
        <v>1865</v>
      </c>
      <c r="E162" t="s">
        <v>1359</v>
      </c>
      <c r="F162">
        <v>3095</v>
      </c>
      <c r="G162">
        <v>3095</v>
      </c>
      <c r="H162">
        <v>3095</v>
      </c>
      <c r="I162">
        <v>3095</v>
      </c>
      <c r="J162">
        <v>195800</v>
      </c>
    </row>
    <row r="163" spans="4:10">
      <c r="D163" t="s">
        <v>1865</v>
      </c>
      <c r="E163" t="s">
        <v>1360</v>
      </c>
      <c r="F163">
        <v>3100</v>
      </c>
      <c r="G163">
        <v>3107</v>
      </c>
      <c r="H163">
        <v>3098</v>
      </c>
      <c r="I163">
        <v>3107</v>
      </c>
      <c r="J163">
        <v>482900</v>
      </c>
    </row>
    <row r="164" spans="4:10">
      <c r="D164" t="s">
        <v>1865</v>
      </c>
      <c r="E164" t="s">
        <v>1361</v>
      </c>
      <c r="F164">
        <v>3107</v>
      </c>
      <c r="G164">
        <v>3111</v>
      </c>
      <c r="H164">
        <v>3106</v>
      </c>
      <c r="I164">
        <v>3106</v>
      </c>
      <c r="J164">
        <v>158700</v>
      </c>
    </row>
    <row r="165" spans="4:10">
      <c r="D165" t="s">
        <v>1865</v>
      </c>
      <c r="E165" t="s">
        <v>1362</v>
      </c>
      <c r="F165">
        <v>3107</v>
      </c>
      <c r="G165">
        <v>3111</v>
      </c>
      <c r="H165">
        <v>3106</v>
      </c>
      <c r="I165">
        <v>3110</v>
      </c>
      <c r="J165">
        <v>77500</v>
      </c>
    </row>
    <row r="166" spans="4:10">
      <c r="D166" t="s">
        <v>1865</v>
      </c>
      <c r="E166" t="s">
        <v>1363</v>
      </c>
      <c r="F166">
        <v>3110</v>
      </c>
      <c r="G166">
        <v>3114</v>
      </c>
      <c r="H166">
        <v>3110</v>
      </c>
      <c r="I166">
        <v>3113</v>
      </c>
      <c r="J166">
        <v>82600</v>
      </c>
    </row>
    <row r="167" spans="4:10">
      <c r="D167" t="s">
        <v>1865</v>
      </c>
      <c r="E167" t="s">
        <v>1364</v>
      </c>
      <c r="F167">
        <v>3113</v>
      </c>
      <c r="G167">
        <v>3114</v>
      </c>
      <c r="H167">
        <v>3112</v>
      </c>
      <c r="I167">
        <v>3112</v>
      </c>
      <c r="J167">
        <v>44000</v>
      </c>
    </row>
    <row r="168" spans="4:10">
      <c r="D168" t="s">
        <v>1865</v>
      </c>
      <c r="E168" t="s">
        <v>1365</v>
      </c>
      <c r="F168">
        <v>3112</v>
      </c>
      <c r="G168">
        <v>3114</v>
      </c>
      <c r="H168">
        <v>3111</v>
      </c>
      <c r="I168">
        <v>3111</v>
      </c>
      <c r="J168">
        <v>45600</v>
      </c>
    </row>
    <row r="169" spans="4:10">
      <c r="D169" t="s">
        <v>1865</v>
      </c>
      <c r="E169" t="s">
        <v>1366</v>
      </c>
      <c r="F169">
        <v>3112</v>
      </c>
      <c r="G169">
        <v>3114</v>
      </c>
      <c r="H169">
        <v>3111</v>
      </c>
      <c r="I169">
        <v>3113</v>
      </c>
      <c r="J169">
        <v>45100</v>
      </c>
    </row>
    <row r="170" spans="4:10">
      <c r="D170" t="s">
        <v>1865</v>
      </c>
      <c r="E170" t="s">
        <v>1367</v>
      </c>
      <c r="F170">
        <v>3113</v>
      </c>
      <c r="G170">
        <v>3114</v>
      </c>
      <c r="H170">
        <v>3112</v>
      </c>
      <c r="I170">
        <v>3113</v>
      </c>
      <c r="J170">
        <v>21000</v>
      </c>
    </row>
    <row r="171" spans="4:10">
      <c r="D171" t="s">
        <v>1865</v>
      </c>
      <c r="E171" t="s">
        <v>1368</v>
      </c>
      <c r="F171">
        <v>3114</v>
      </c>
      <c r="G171">
        <v>3114</v>
      </c>
      <c r="H171">
        <v>3109</v>
      </c>
      <c r="I171">
        <v>3110</v>
      </c>
      <c r="J171">
        <v>110400</v>
      </c>
    </row>
    <row r="172" spans="4:10">
      <c r="D172" t="s">
        <v>1865</v>
      </c>
      <c r="E172" t="s">
        <v>1369</v>
      </c>
      <c r="F172">
        <v>3110</v>
      </c>
      <c r="G172">
        <v>3111</v>
      </c>
      <c r="H172">
        <v>3105</v>
      </c>
      <c r="I172">
        <v>3106</v>
      </c>
      <c r="J172">
        <v>45500</v>
      </c>
    </row>
    <row r="173" spans="4:10">
      <c r="D173" t="s">
        <v>1865</v>
      </c>
      <c r="E173" t="s">
        <v>1370</v>
      </c>
      <c r="F173">
        <v>3106</v>
      </c>
      <c r="G173">
        <v>3107</v>
      </c>
      <c r="H173">
        <v>3102</v>
      </c>
      <c r="I173">
        <v>3102</v>
      </c>
      <c r="J173">
        <v>52300</v>
      </c>
    </row>
    <row r="174" spans="4:10">
      <c r="D174" t="s">
        <v>1865</v>
      </c>
      <c r="E174" t="s">
        <v>1371</v>
      </c>
      <c r="F174">
        <v>3103</v>
      </c>
      <c r="G174">
        <v>3103</v>
      </c>
      <c r="H174">
        <v>3100</v>
      </c>
      <c r="I174">
        <v>3101</v>
      </c>
      <c r="J174">
        <v>37100</v>
      </c>
    </row>
    <row r="175" spans="4:10">
      <c r="D175" t="s">
        <v>1865</v>
      </c>
      <c r="E175" t="s">
        <v>1372</v>
      </c>
      <c r="F175">
        <v>3101</v>
      </c>
      <c r="G175">
        <v>3103</v>
      </c>
      <c r="H175">
        <v>3101</v>
      </c>
      <c r="I175">
        <v>3101</v>
      </c>
      <c r="J175">
        <v>16600</v>
      </c>
    </row>
    <row r="176" spans="4:10">
      <c r="D176" t="s">
        <v>1865</v>
      </c>
      <c r="E176" t="s">
        <v>1373</v>
      </c>
      <c r="F176">
        <v>3102</v>
      </c>
      <c r="G176">
        <v>3103</v>
      </c>
      <c r="H176">
        <v>3101</v>
      </c>
      <c r="I176">
        <v>3103</v>
      </c>
      <c r="J176">
        <v>36700</v>
      </c>
    </row>
    <row r="177" spans="4:10">
      <c r="D177" t="s">
        <v>1865</v>
      </c>
      <c r="E177" t="s">
        <v>1374</v>
      </c>
      <c r="F177">
        <v>3103</v>
      </c>
      <c r="G177">
        <v>3104</v>
      </c>
      <c r="H177">
        <v>3101</v>
      </c>
      <c r="I177">
        <v>3101</v>
      </c>
      <c r="J177">
        <v>32500</v>
      </c>
    </row>
    <row r="178" spans="4:10">
      <c r="D178" t="s">
        <v>1865</v>
      </c>
      <c r="E178" t="s">
        <v>1375</v>
      </c>
      <c r="F178">
        <v>3101</v>
      </c>
      <c r="G178">
        <v>3108</v>
      </c>
      <c r="H178">
        <v>3101</v>
      </c>
      <c r="I178">
        <v>3107</v>
      </c>
      <c r="J178">
        <v>89600</v>
      </c>
    </row>
    <row r="179" spans="4:10">
      <c r="D179" t="s">
        <v>1865</v>
      </c>
      <c r="E179" t="s">
        <v>1376</v>
      </c>
      <c r="F179">
        <v>3107</v>
      </c>
      <c r="G179">
        <v>3108</v>
      </c>
      <c r="H179">
        <v>3103</v>
      </c>
      <c r="I179">
        <v>3103</v>
      </c>
      <c r="J179">
        <v>60600</v>
      </c>
    </row>
    <row r="180" spans="4:10">
      <c r="D180" t="s">
        <v>1865</v>
      </c>
      <c r="E180" t="s">
        <v>1377</v>
      </c>
      <c r="F180">
        <v>3104</v>
      </c>
      <c r="G180">
        <v>3106</v>
      </c>
      <c r="H180">
        <v>3103</v>
      </c>
      <c r="I180">
        <v>3104</v>
      </c>
      <c r="J180">
        <v>24700</v>
      </c>
    </row>
    <row r="181" spans="4:10">
      <c r="D181" t="s">
        <v>1865</v>
      </c>
      <c r="E181" t="s">
        <v>1378</v>
      </c>
      <c r="F181">
        <v>3105</v>
      </c>
      <c r="G181">
        <v>3105</v>
      </c>
      <c r="H181">
        <v>3103</v>
      </c>
      <c r="I181">
        <v>3103</v>
      </c>
      <c r="J181">
        <v>41800</v>
      </c>
    </row>
    <row r="182" spans="4:10">
      <c r="D182" t="s">
        <v>1865</v>
      </c>
      <c r="E182" t="s">
        <v>1379</v>
      </c>
      <c r="F182">
        <v>3103</v>
      </c>
      <c r="G182">
        <v>3103</v>
      </c>
      <c r="H182">
        <v>3099</v>
      </c>
      <c r="I182">
        <v>3100</v>
      </c>
      <c r="J182">
        <v>93500</v>
      </c>
    </row>
    <row r="183" spans="4:10">
      <c r="D183" t="s">
        <v>1865</v>
      </c>
      <c r="E183" t="s">
        <v>1380</v>
      </c>
      <c r="F183">
        <v>3100</v>
      </c>
      <c r="G183">
        <v>3101</v>
      </c>
      <c r="H183">
        <v>3098</v>
      </c>
      <c r="I183">
        <v>3098</v>
      </c>
      <c r="J183">
        <v>28900</v>
      </c>
    </row>
    <row r="184" spans="4:10">
      <c r="D184" t="s">
        <v>1865</v>
      </c>
      <c r="E184" t="s">
        <v>1381</v>
      </c>
      <c r="F184">
        <v>3098</v>
      </c>
      <c r="G184">
        <v>3099</v>
      </c>
      <c r="H184">
        <v>3096</v>
      </c>
      <c r="I184">
        <v>3096</v>
      </c>
      <c r="J184">
        <v>27400</v>
      </c>
    </row>
    <row r="185" spans="4:10">
      <c r="D185" t="s">
        <v>1865</v>
      </c>
      <c r="E185" t="s">
        <v>1382</v>
      </c>
      <c r="F185">
        <v>3097</v>
      </c>
      <c r="G185">
        <v>3097</v>
      </c>
      <c r="H185">
        <v>3094</v>
      </c>
      <c r="I185">
        <v>3095</v>
      </c>
      <c r="J185">
        <v>50900</v>
      </c>
    </row>
    <row r="186" spans="4:10">
      <c r="D186" t="s">
        <v>1865</v>
      </c>
      <c r="E186" t="s">
        <v>1383</v>
      </c>
      <c r="F186">
        <v>3096</v>
      </c>
      <c r="G186">
        <v>3097</v>
      </c>
      <c r="H186">
        <v>3093</v>
      </c>
      <c r="I186">
        <v>3094</v>
      </c>
      <c r="J186">
        <v>31700</v>
      </c>
    </row>
    <row r="187" spans="4:10">
      <c r="D187" t="s">
        <v>1865</v>
      </c>
      <c r="E187" t="s">
        <v>1384</v>
      </c>
      <c r="F187">
        <v>3095</v>
      </c>
      <c r="G187">
        <v>3096</v>
      </c>
      <c r="H187">
        <v>3093</v>
      </c>
      <c r="I187">
        <v>3093</v>
      </c>
      <c r="J187">
        <v>24900</v>
      </c>
    </row>
    <row r="188" spans="4:10">
      <c r="D188" t="s">
        <v>1865</v>
      </c>
      <c r="E188" t="s">
        <v>1385</v>
      </c>
      <c r="F188">
        <v>3092</v>
      </c>
      <c r="G188">
        <v>3093</v>
      </c>
      <c r="H188">
        <v>3091</v>
      </c>
      <c r="I188">
        <v>3092</v>
      </c>
      <c r="J188">
        <v>27200</v>
      </c>
    </row>
    <row r="189" spans="4:10">
      <c r="D189" t="s">
        <v>1865</v>
      </c>
      <c r="E189" t="s">
        <v>1386</v>
      </c>
      <c r="F189">
        <v>3093</v>
      </c>
      <c r="G189">
        <v>3094</v>
      </c>
      <c r="H189">
        <v>3091</v>
      </c>
      <c r="I189">
        <v>3092</v>
      </c>
      <c r="J189">
        <v>25500</v>
      </c>
    </row>
    <row r="190" spans="4:10">
      <c r="D190" t="s">
        <v>1865</v>
      </c>
      <c r="E190" t="s">
        <v>1387</v>
      </c>
      <c r="F190">
        <v>3092</v>
      </c>
      <c r="G190">
        <v>3095</v>
      </c>
      <c r="H190">
        <v>3091</v>
      </c>
      <c r="I190">
        <v>3094</v>
      </c>
      <c r="J190">
        <v>77800</v>
      </c>
    </row>
    <row r="191" spans="4:10">
      <c r="D191" t="s">
        <v>1865</v>
      </c>
      <c r="E191" t="s">
        <v>1388</v>
      </c>
      <c r="F191">
        <v>3095</v>
      </c>
      <c r="G191">
        <v>3099</v>
      </c>
      <c r="H191">
        <v>3094</v>
      </c>
      <c r="I191">
        <v>3099</v>
      </c>
      <c r="J191">
        <v>55100</v>
      </c>
    </row>
    <row r="192" spans="4:10">
      <c r="D192" t="s">
        <v>1865</v>
      </c>
      <c r="E192" t="s">
        <v>1389</v>
      </c>
      <c r="F192">
        <v>3098</v>
      </c>
      <c r="G192">
        <v>3099</v>
      </c>
      <c r="H192">
        <v>3097</v>
      </c>
      <c r="I192">
        <v>3097</v>
      </c>
      <c r="J192">
        <v>27700</v>
      </c>
    </row>
    <row r="193" spans="4:10">
      <c r="D193" t="s">
        <v>1865</v>
      </c>
      <c r="E193" t="s">
        <v>1390</v>
      </c>
      <c r="F193">
        <v>3097</v>
      </c>
      <c r="G193">
        <v>3097</v>
      </c>
      <c r="H193">
        <v>3096</v>
      </c>
      <c r="I193">
        <v>3097</v>
      </c>
      <c r="J193">
        <v>16300</v>
      </c>
    </row>
    <row r="194" spans="4:10">
      <c r="D194" t="s">
        <v>1865</v>
      </c>
      <c r="E194" t="s">
        <v>1391</v>
      </c>
      <c r="F194">
        <v>3097</v>
      </c>
      <c r="G194">
        <v>3100</v>
      </c>
      <c r="H194">
        <v>3096</v>
      </c>
      <c r="I194">
        <v>3100</v>
      </c>
      <c r="J194">
        <v>20600</v>
      </c>
    </row>
    <row r="195" spans="4:10">
      <c r="D195" t="s">
        <v>1865</v>
      </c>
      <c r="E195" t="s">
        <v>1392</v>
      </c>
      <c r="F195">
        <v>3099</v>
      </c>
      <c r="G195">
        <v>3099</v>
      </c>
      <c r="H195">
        <v>3098</v>
      </c>
      <c r="I195">
        <v>3098</v>
      </c>
      <c r="J195">
        <v>21600</v>
      </c>
    </row>
    <row r="196" spans="4:10">
      <c r="D196" t="s">
        <v>1865</v>
      </c>
      <c r="E196" t="s">
        <v>1393</v>
      </c>
      <c r="F196">
        <v>3099</v>
      </c>
      <c r="G196">
        <v>3101</v>
      </c>
      <c r="H196">
        <v>3099</v>
      </c>
      <c r="I196">
        <v>3099</v>
      </c>
      <c r="J196">
        <v>38000</v>
      </c>
    </row>
    <row r="197" spans="4:10">
      <c r="D197" t="s">
        <v>1865</v>
      </c>
      <c r="E197" t="s">
        <v>1394</v>
      </c>
      <c r="F197">
        <v>3100</v>
      </c>
      <c r="G197">
        <v>3100</v>
      </c>
      <c r="H197">
        <v>3098</v>
      </c>
      <c r="I197">
        <v>3098</v>
      </c>
      <c r="J197">
        <v>29400</v>
      </c>
    </row>
    <row r="198" spans="4:10">
      <c r="D198" t="s">
        <v>1865</v>
      </c>
      <c r="E198" t="s">
        <v>1395</v>
      </c>
      <c r="F198">
        <v>3099</v>
      </c>
      <c r="G198">
        <v>3099</v>
      </c>
      <c r="H198">
        <v>3096</v>
      </c>
      <c r="I198">
        <v>3096</v>
      </c>
      <c r="J198">
        <v>31200</v>
      </c>
    </row>
    <row r="199" spans="4:10">
      <c r="D199" t="s">
        <v>1865</v>
      </c>
      <c r="E199" t="s">
        <v>1396</v>
      </c>
      <c r="F199">
        <v>3096</v>
      </c>
      <c r="G199">
        <v>3096</v>
      </c>
      <c r="H199">
        <v>3093</v>
      </c>
      <c r="I199">
        <v>3096</v>
      </c>
      <c r="J199">
        <v>42900</v>
      </c>
    </row>
    <row r="200" spans="4:10">
      <c r="D200" t="s">
        <v>1865</v>
      </c>
      <c r="E200" t="s">
        <v>1397</v>
      </c>
      <c r="F200">
        <v>3097</v>
      </c>
      <c r="G200">
        <v>3098</v>
      </c>
      <c r="H200">
        <v>3096</v>
      </c>
      <c r="I200">
        <v>3096</v>
      </c>
      <c r="J200">
        <v>21600</v>
      </c>
    </row>
    <row r="201" spans="4:10">
      <c r="D201" t="s">
        <v>1865</v>
      </c>
      <c r="E201" t="s">
        <v>1398</v>
      </c>
      <c r="F201">
        <v>3097</v>
      </c>
      <c r="G201">
        <v>3098</v>
      </c>
      <c r="H201">
        <v>3096</v>
      </c>
      <c r="I201">
        <v>3097</v>
      </c>
      <c r="J201">
        <v>30000</v>
      </c>
    </row>
    <row r="202" spans="4:10">
      <c r="D202" t="s">
        <v>1865</v>
      </c>
      <c r="E202" t="s">
        <v>1399</v>
      </c>
      <c r="F202">
        <v>3098</v>
      </c>
      <c r="G202">
        <v>3099</v>
      </c>
      <c r="H202">
        <v>3098</v>
      </c>
      <c r="I202">
        <v>3098</v>
      </c>
      <c r="J202">
        <v>8600</v>
      </c>
    </row>
    <row r="203" spans="4:10">
      <c r="D203" t="s">
        <v>1865</v>
      </c>
      <c r="E203" t="s">
        <v>1400</v>
      </c>
      <c r="F203">
        <v>3099</v>
      </c>
      <c r="G203">
        <v>3100</v>
      </c>
      <c r="H203">
        <v>3098</v>
      </c>
      <c r="I203">
        <v>3098</v>
      </c>
      <c r="J203">
        <v>32900</v>
      </c>
    </row>
    <row r="204" spans="4:10">
      <c r="D204" t="s">
        <v>1865</v>
      </c>
      <c r="E204" t="s">
        <v>1401</v>
      </c>
      <c r="F204">
        <v>3098</v>
      </c>
      <c r="G204">
        <v>3099</v>
      </c>
      <c r="H204">
        <v>3097</v>
      </c>
      <c r="I204">
        <v>3097</v>
      </c>
      <c r="J204">
        <v>34800</v>
      </c>
    </row>
    <row r="205" spans="4:10">
      <c r="D205" t="s">
        <v>1865</v>
      </c>
      <c r="E205" t="s">
        <v>1402</v>
      </c>
      <c r="F205">
        <v>3097</v>
      </c>
      <c r="G205">
        <v>3097</v>
      </c>
      <c r="H205">
        <v>3096</v>
      </c>
      <c r="I205">
        <v>3097</v>
      </c>
      <c r="J205">
        <v>19400</v>
      </c>
    </row>
    <row r="206" spans="4:10">
      <c r="D206" t="s">
        <v>1865</v>
      </c>
      <c r="E206" t="s">
        <v>1403</v>
      </c>
      <c r="F206">
        <v>3097</v>
      </c>
      <c r="G206">
        <v>3099</v>
      </c>
      <c r="H206">
        <v>3097</v>
      </c>
      <c r="I206">
        <v>3098</v>
      </c>
      <c r="J206">
        <v>51300</v>
      </c>
    </row>
    <row r="207" spans="4:10">
      <c r="D207" t="s">
        <v>1865</v>
      </c>
      <c r="E207" t="s">
        <v>1404</v>
      </c>
      <c r="F207">
        <v>3099</v>
      </c>
      <c r="G207">
        <v>3100</v>
      </c>
      <c r="H207">
        <v>3097</v>
      </c>
      <c r="I207">
        <v>3098</v>
      </c>
      <c r="J207">
        <v>46000</v>
      </c>
    </row>
    <row r="208" spans="4:10">
      <c r="D208" t="s">
        <v>1865</v>
      </c>
      <c r="E208" t="s">
        <v>1405</v>
      </c>
      <c r="F208">
        <v>3098</v>
      </c>
      <c r="G208">
        <v>3098</v>
      </c>
      <c r="H208">
        <v>3097</v>
      </c>
      <c r="I208">
        <v>3097</v>
      </c>
      <c r="J208">
        <v>3500</v>
      </c>
    </row>
    <row r="209" spans="4:10">
      <c r="D209" t="s">
        <v>1865</v>
      </c>
      <c r="E209" t="s">
        <v>1406</v>
      </c>
      <c r="F209">
        <v>3097</v>
      </c>
      <c r="G209">
        <v>3100</v>
      </c>
      <c r="H209">
        <v>3097</v>
      </c>
      <c r="I209">
        <v>3099</v>
      </c>
      <c r="J209">
        <v>77500</v>
      </c>
    </row>
    <row r="210" spans="4:10">
      <c r="D210" t="s">
        <v>1865</v>
      </c>
      <c r="E210" t="s">
        <v>1407</v>
      </c>
      <c r="F210">
        <v>3100</v>
      </c>
      <c r="G210">
        <v>3100</v>
      </c>
      <c r="H210">
        <v>3098</v>
      </c>
      <c r="I210">
        <v>3098</v>
      </c>
      <c r="J210">
        <v>140500</v>
      </c>
    </row>
    <row r="211" spans="4:10">
      <c r="D211" t="s">
        <v>1865</v>
      </c>
      <c r="E211" t="s">
        <v>1408</v>
      </c>
      <c r="F211">
        <v>3098</v>
      </c>
      <c r="G211">
        <v>3098</v>
      </c>
      <c r="H211">
        <v>3095</v>
      </c>
      <c r="I211">
        <v>3095</v>
      </c>
      <c r="J211">
        <v>47800</v>
      </c>
    </row>
    <row r="212" spans="4:10">
      <c r="D212" t="s">
        <v>1865</v>
      </c>
      <c r="E212" t="s">
        <v>1409</v>
      </c>
      <c r="F212">
        <v>3095</v>
      </c>
      <c r="G212">
        <v>3100</v>
      </c>
      <c r="H212">
        <v>3095</v>
      </c>
      <c r="I212">
        <v>3099</v>
      </c>
      <c r="J212">
        <v>80500</v>
      </c>
    </row>
    <row r="213" spans="4:10">
      <c r="D213" t="s">
        <v>1865</v>
      </c>
      <c r="E213" t="s">
        <v>1410</v>
      </c>
      <c r="F213">
        <v>3099</v>
      </c>
      <c r="G213">
        <v>3100</v>
      </c>
      <c r="H213">
        <v>3097</v>
      </c>
      <c r="I213">
        <v>3099</v>
      </c>
      <c r="J213">
        <v>52200</v>
      </c>
    </row>
    <row r="214" spans="4:10">
      <c r="D214" t="s">
        <v>1865</v>
      </c>
      <c r="E214" t="s">
        <v>1411</v>
      </c>
      <c r="F214">
        <v>3099</v>
      </c>
      <c r="G214">
        <v>3099</v>
      </c>
      <c r="H214">
        <v>3097</v>
      </c>
      <c r="I214">
        <v>3098</v>
      </c>
      <c r="J214">
        <v>27700</v>
      </c>
    </row>
    <row r="215" spans="4:10">
      <c r="D215" t="s">
        <v>1865</v>
      </c>
      <c r="E215" t="s">
        <v>1412</v>
      </c>
      <c r="F215">
        <v>3099</v>
      </c>
      <c r="G215">
        <v>3099</v>
      </c>
      <c r="H215">
        <v>3098</v>
      </c>
      <c r="I215">
        <v>3098</v>
      </c>
      <c r="J215">
        <v>14600</v>
      </c>
    </row>
    <row r="216" spans="4:10">
      <c r="D216" t="s">
        <v>1865</v>
      </c>
      <c r="E216" t="s">
        <v>1413</v>
      </c>
      <c r="F216">
        <v>3098</v>
      </c>
      <c r="G216">
        <v>3099</v>
      </c>
      <c r="H216">
        <v>3098</v>
      </c>
      <c r="I216">
        <v>3099</v>
      </c>
      <c r="J216">
        <v>20500</v>
      </c>
    </row>
    <row r="217" spans="4:10">
      <c r="D217" t="s">
        <v>1865</v>
      </c>
      <c r="E217" t="s">
        <v>1414</v>
      </c>
      <c r="F217">
        <v>3099</v>
      </c>
      <c r="G217">
        <v>3099</v>
      </c>
      <c r="H217">
        <v>3097</v>
      </c>
      <c r="I217">
        <v>3097</v>
      </c>
      <c r="J217">
        <v>33500</v>
      </c>
    </row>
    <row r="218" spans="4:10">
      <c r="D218" t="s">
        <v>1865</v>
      </c>
      <c r="E218" t="s">
        <v>1415</v>
      </c>
      <c r="F218">
        <v>3097</v>
      </c>
      <c r="G218">
        <v>3097</v>
      </c>
      <c r="H218">
        <v>3096</v>
      </c>
      <c r="I218">
        <v>3097</v>
      </c>
      <c r="J218">
        <v>25500</v>
      </c>
    </row>
    <row r="219" spans="4:10">
      <c r="D219" t="s">
        <v>1865</v>
      </c>
      <c r="E219" t="s">
        <v>1416</v>
      </c>
      <c r="F219">
        <v>3097</v>
      </c>
      <c r="G219">
        <v>3097</v>
      </c>
      <c r="H219">
        <v>3095</v>
      </c>
      <c r="I219">
        <v>3097</v>
      </c>
      <c r="J219">
        <v>27300</v>
      </c>
    </row>
    <row r="220" spans="4:10">
      <c r="D220" t="s">
        <v>1865</v>
      </c>
      <c r="E220" t="s">
        <v>1417</v>
      </c>
      <c r="F220">
        <v>3096</v>
      </c>
      <c r="G220">
        <v>3096</v>
      </c>
      <c r="H220">
        <v>3095</v>
      </c>
      <c r="I220">
        <v>3096</v>
      </c>
      <c r="J220">
        <v>12500</v>
      </c>
    </row>
    <row r="221" spans="4:10">
      <c r="D221" t="s">
        <v>1865</v>
      </c>
      <c r="E221" t="s">
        <v>1418</v>
      </c>
      <c r="F221">
        <v>3096</v>
      </c>
      <c r="G221">
        <v>3097</v>
      </c>
      <c r="H221">
        <v>3096</v>
      </c>
      <c r="I221">
        <v>3097</v>
      </c>
      <c r="J221">
        <v>20400</v>
      </c>
    </row>
    <row r="222" spans="4:10">
      <c r="D222" t="s">
        <v>1865</v>
      </c>
      <c r="E222" t="s">
        <v>1419</v>
      </c>
      <c r="F222">
        <v>3097</v>
      </c>
      <c r="G222">
        <v>3097</v>
      </c>
      <c r="H222">
        <v>3096</v>
      </c>
      <c r="I222">
        <v>3096</v>
      </c>
      <c r="J222">
        <v>1100</v>
      </c>
    </row>
    <row r="223" spans="4:10">
      <c r="D223" t="s">
        <v>1865</v>
      </c>
      <c r="E223" t="s">
        <v>1420</v>
      </c>
      <c r="F223">
        <v>3097</v>
      </c>
      <c r="G223">
        <v>3098</v>
      </c>
      <c r="H223">
        <v>3096</v>
      </c>
      <c r="I223">
        <v>3098</v>
      </c>
      <c r="J223">
        <v>23900</v>
      </c>
    </row>
    <row r="224" spans="4:10">
      <c r="D224" t="s">
        <v>1865</v>
      </c>
      <c r="E224" t="s">
        <v>1421</v>
      </c>
      <c r="F224">
        <v>3098</v>
      </c>
      <c r="G224">
        <v>3099</v>
      </c>
      <c r="H224">
        <v>3098</v>
      </c>
      <c r="I224">
        <v>3099</v>
      </c>
      <c r="J224">
        <v>23300</v>
      </c>
    </row>
    <row r="225" spans="4:10">
      <c r="D225" t="s">
        <v>1865</v>
      </c>
      <c r="E225" t="s">
        <v>1422</v>
      </c>
      <c r="F225">
        <v>3098</v>
      </c>
      <c r="G225">
        <v>3098</v>
      </c>
      <c r="H225">
        <v>3097</v>
      </c>
      <c r="I225">
        <v>3098</v>
      </c>
      <c r="J225">
        <v>20700</v>
      </c>
    </row>
    <row r="226" spans="4:10">
      <c r="D226" t="s">
        <v>1865</v>
      </c>
      <c r="E226" t="s">
        <v>1423</v>
      </c>
      <c r="F226">
        <v>3098</v>
      </c>
      <c r="G226">
        <v>3098</v>
      </c>
      <c r="H226">
        <v>3097</v>
      </c>
      <c r="I226">
        <v>3098</v>
      </c>
      <c r="J226">
        <v>22900</v>
      </c>
    </row>
    <row r="227" spans="4:10">
      <c r="D227" t="s">
        <v>1865</v>
      </c>
      <c r="E227" t="s">
        <v>1424</v>
      </c>
      <c r="F227">
        <v>3098</v>
      </c>
      <c r="G227">
        <v>3098</v>
      </c>
      <c r="H227">
        <v>3097</v>
      </c>
      <c r="I227">
        <v>3097</v>
      </c>
      <c r="J227">
        <v>10700</v>
      </c>
    </row>
    <row r="228" spans="4:10">
      <c r="D228" t="s">
        <v>1865</v>
      </c>
      <c r="E228" t="s">
        <v>1425</v>
      </c>
      <c r="F228">
        <v>3098</v>
      </c>
      <c r="G228">
        <v>3098</v>
      </c>
      <c r="H228">
        <v>3098</v>
      </c>
      <c r="I228">
        <v>3098</v>
      </c>
      <c r="J228">
        <v>18300</v>
      </c>
    </row>
    <row r="229" spans="4:10">
      <c r="D229" t="s">
        <v>1865</v>
      </c>
      <c r="E229" t="s">
        <v>1426</v>
      </c>
      <c r="F229">
        <v>3098</v>
      </c>
      <c r="G229">
        <v>3098</v>
      </c>
      <c r="H229">
        <v>3096</v>
      </c>
      <c r="I229">
        <v>3097</v>
      </c>
      <c r="J229">
        <v>31000</v>
      </c>
    </row>
    <row r="230" spans="4:10">
      <c r="D230" t="s">
        <v>1865</v>
      </c>
      <c r="E230" t="s">
        <v>1427</v>
      </c>
      <c r="F230">
        <v>3097</v>
      </c>
      <c r="G230">
        <v>3098</v>
      </c>
      <c r="H230">
        <v>3096</v>
      </c>
      <c r="I230">
        <v>3097</v>
      </c>
      <c r="J230">
        <v>19100</v>
      </c>
    </row>
    <row r="231" spans="4:10">
      <c r="D231" t="s">
        <v>1865</v>
      </c>
      <c r="E231" t="s">
        <v>1428</v>
      </c>
      <c r="F231">
        <v>3097</v>
      </c>
      <c r="G231">
        <v>3098</v>
      </c>
      <c r="H231">
        <v>3097</v>
      </c>
      <c r="I231">
        <v>3098</v>
      </c>
      <c r="J231">
        <v>7300</v>
      </c>
    </row>
    <row r="232" spans="4:10">
      <c r="D232" t="s">
        <v>1865</v>
      </c>
      <c r="E232" t="s">
        <v>1429</v>
      </c>
      <c r="F232">
        <v>3098</v>
      </c>
      <c r="G232">
        <v>3098</v>
      </c>
      <c r="H232">
        <v>3097</v>
      </c>
      <c r="I232">
        <v>3097</v>
      </c>
      <c r="J232">
        <v>40300</v>
      </c>
    </row>
    <row r="233" spans="4:10">
      <c r="D233" t="s">
        <v>1865</v>
      </c>
      <c r="E233" t="s">
        <v>1430</v>
      </c>
      <c r="F233">
        <v>3097</v>
      </c>
      <c r="G233">
        <v>3097</v>
      </c>
      <c r="H233">
        <v>3096</v>
      </c>
      <c r="I233">
        <v>3096</v>
      </c>
      <c r="J233">
        <v>2800</v>
      </c>
    </row>
    <row r="234" spans="4:10">
      <c r="D234" t="s">
        <v>1865</v>
      </c>
      <c r="E234" t="s">
        <v>1431</v>
      </c>
      <c r="F234">
        <v>3096</v>
      </c>
      <c r="G234">
        <v>3098</v>
      </c>
      <c r="H234">
        <v>3096</v>
      </c>
      <c r="I234">
        <v>3098</v>
      </c>
      <c r="J234">
        <v>32100</v>
      </c>
    </row>
    <row r="235" spans="4:10">
      <c r="D235" t="s">
        <v>1865</v>
      </c>
      <c r="E235" t="s">
        <v>1432</v>
      </c>
      <c r="F235">
        <v>3097</v>
      </c>
      <c r="G235">
        <v>3097</v>
      </c>
      <c r="H235">
        <v>3097</v>
      </c>
      <c r="I235">
        <v>3097</v>
      </c>
      <c r="J235">
        <v>13500</v>
      </c>
    </row>
    <row r="236" spans="4:10">
      <c r="D236" t="s">
        <v>1865</v>
      </c>
      <c r="E236" t="s">
        <v>1433</v>
      </c>
      <c r="F236">
        <v>3097</v>
      </c>
      <c r="G236">
        <v>3098</v>
      </c>
      <c r="H236">
        <v>3097</v>
      </c>
      <c r="I236">
        <v>3098</v>
      </c>
      <c r="J236">
        <v>35400</v>
      </c>
    </row>
    <row r="237" spans="4:10">
      <c r="D237" t="s">
        <v>1865</v>
      </c>
      <c r="E237" t="s">
        <v>1434</v>
      </c>
      <c r="F237">
        <v>3098</v>
      </c>
      <c r="G237">
        <v>3098</v>
      </c>
      <c r="H237">
        <v>3097</v>
      </c>
      <c r="I237">
        <v>3097</v>
      </c>
      <c r="J237">
        <v>11200</v>
      </c>
    </row>
    <row r="238" spans="4:10">
      <c r="D238" t="s">
        <v>1865</v>
      </c>
      <c r="E238" t="s">
        <v>1435</v>
      </c>
      <c r="F238">
        <v>3097</v>
      </c>
      <c r="G238">
        <v>3098</v>
      </c>
      <c r="H238">
        <v>3097</v>
      </c>
      <c r="I238">
        <v>3098</v>
      </c>
      <c r="J238">
        <v>24000</v>
      </c>
    </row>
    <row r="239" spans="4:10">
      <c r="D239" t="s">
        <v>1865</v>
      </c>
      <c r="E239" t="s">
        <v>1436</v>
      </c>
      <c r="F239">
        <v>3098</v>
      </c>
      <c r="G239">
        <v>3099</v>
      </c>
      <c r="H239">
        <v>3096</v>
      </c>
      <c r="I239">
        <v>3096</v>
      </c>
      <c r="J239">
        <v>32700</v>
      </c>
    </row>
    <row r="240" spans="4:10">
      <c r="D240" t="s">
        <v>1865</v>
      </c>
      <c r="E240" t="s">
        <v>1437</v>
      </c>
      <c r="F240">
        <v>3096</v>
      </c>
      <c r="G240">
        <v>3096</v>
      </c>
      <c r="H240">
        <v>3096</v>
      </c>
      <c r="I240">
        <v>3096</v>
      </c>
      <c r="J240">
        <v>67400</v>
      </c>
    </row>
    <row r="241" spans="4:10">
      <c r="D241" t="s">
        <v>1865</v>
      </c>
      <c r="E241" t="s">
        <v>1438</v>
      </c>
      <c r="F241">
        <v>3096</v>
      </c>
      <c r="G241">
        <v>3097</v>
      </c>
      <c r="H241">
        <v>3096</v>
      </c>
      <c r="I241">
        <v>3096</v>
      </c>
      <c r="J241">
        <v>21100</v>
      </c>
    </row>
    <row r="242" spans="4:10">
      <c r="D242" t="s">
        <v>1865</v>
      </c>
      <c r="E242" t="s">
        <v>1439</v>
      </c>
      <c r="F242">
        <v>3096</v>
      </c>
      <c r="G242">
        <v>3096</v>
      </c>
      <c r="H242">
        <v>3096</v>
      </c>
      <c r="I242">
        <v>3096</v>
      </c>
      <c r="J242">
        <v>3900</v>
      </c>
    </row>
    <row r="243" spans="4:10">
      <c r="D243" t="s">
        <v>1865</v>
      </c>
      <c r="E243" t="s">
        <v>1440</v>
      </c>
      <c r="F243">
        <v>3096</v>
      </c>
      <c r="G243">
        <v>3096</v>
      </c>
      <c r="H243">
        <v>3095</v>
      </c>
      <c r="I243">
        <v>3096</v>
      </c>
      <c r="J243">
        <v>28100</v>
      </c>
    </row>
    <row r="244" spans="4:10">
      <c r="D244" t="s">
        <v>1865</v>
      </c>
      <c r="E244" t="s">
        <v>1441</v>
      </c>
      <c r="F244">
        <v>3095</v>
      </c>
      <c r="G244">
        <v>3095</v>
      </c>
      <c r="H244">
        <v>3094</v>
      </c>
      <c r="I244">
        <v>3095</v>
      </c>
      <c r="J244">
        <v>22100</v>
      </c>
    </row>
    <row r="245" spans="4:10">
      <c r="D245" t="s">
        <v>1865</v>
      </c>
      <c r="E245" t="s">
        <v>1442</v>
      </c>
      <c r="F245">
        <v>3095</v>
      </c>
      <c r="G245">
        <v>3095</v>
      </c>
      <c r="H245">
        <v>3094</v>
      </c>
      <c r="I245">
        <v>3095</v>
      </c>
      <c r="J245">
        <v>9300</v>
      </c>
    </row>
    <row r="246" spans="4:10">
      <c r="D246" t="s">
        <v>1865</v>
      </c>
      <c r="E246" t="s">
        <v>1443</v>
      </c>
      <c r="F246">
        <v>3094</v>
      </c>
      <c r="G246">
        <v>3095</v>
      </c>
      <c r="H246">
        <v>3094</v>
      </c>
      <c r="I246">
        <v>3095</v>
      </c>
      <c r="J246">
        <v>1000</v>
      </c>
    </row>
    <row r="247" spans="4:10">
      <c r="D247" t="s">
        <v>1865</v>
      </c>
      <c r="E247" t="s">
        <v>1444</v>
      </c>
      <c r="F247">
        <v>3095</v>
      </c>
      <c r="G247">
        <v>3096</v>
      </c>
      <c r="H247">
        <v>3095</v>
      </c>
      <c r="I247">
        <v>3095</v>
      </c>
      <c r="J247">
        <v>38200</v>
      </c>
    </row>
    <row r="248" spans="4:10">
      <c r="D248" t="s">
        <v>1865</v>
      </c>
      <c r="E248" t="s">
        <v>1445</v>
      </c>
      <c r="F248">
        <v>3095</v>
      </c>
      <c r="G248">
        <v>3097</v>
      </c>
      <c r="H248">
        <v>3095</v>
      </c>
      <c r="I248">
        <v>3097</v>
      </c>
      <c r="J248">
        <v>33400</v>
      </c>
    </row>
    <row r="249" spans="4:10">
      <c r="D249" t="s">
        <v>1865</v>
      </c>
      <c r="E249" t="s">
        <v>1446</v>
      </c>
      <c r="F249">
        <v>3096</v>
      </c>
      <c r="G249">
        <v>3099</v>
      </c>
      <c r="H249">
        <v>3096</v>
      </c>
      <c r="I249">
        <v>3099</v>
      </c>
      <c r="J249">
        <v>17900</v>
      </c>
    </row>
    <row r="250" spans="4:10">
      <c r="D250" t="s">
        <v>1865</v>
      </c>
      <c r="E250" t="s">
        <v>1447</v>
      </c>
      <c r="F250">
        <v>3099</v>
      </c>
      <c r="G250">
        <v>3100</v>
      </c>
      <c r="H250">
        <v>3099</v>
      </c>
      <c r="I250">
        <v>3099</v>
      </c>
      <c r="J250">
        <v>44500</v>
      </c>
    </row>
    <row r="251" spans="4:10">
      <c r="D251" t="s">
        <v>1865</v>
      </c>
      <c r="E251" t="s">
        <v>1448</v>
      </c>
      <c r="F251">
        <v>3099</v>
      </c>
      <c r="G251">
        <v>3099</v>
      </c>
      <c r="H251">
        <v>3098</v>
      </c>
      <c r="I251">
        <v>3098</v>
      </c>
      <c r="J251">
        <v>25900</v>
      </c>
    </row>
    <row r="252" spans="4:10">
      <c r="D252" t="s">
        <v>1865</v>
      </c>
      <c r="E252" t="s">
        <v>1449</v>
      </c>
      <c r="F252">
        <v>3099</v>
      </c>
      <c r="G252">
        <v>3099</v>
      </c>
      <c r="H252">
        <v>3098</v>
      </c>
      <c r="I252">
        <v>3099</v>
      </c>
      <c r="J252">
        <v>800</v>
      </c>
    </row>
    <row r="253" spans="4:10">
      <c r="D253" t="s">
        <v>1865</v>
      </c>
      <c r="E253" t="s">
        <v>1450</v>
      </c>
      <c r="F253">
        <v>3099</v>
      </c>
      <c r="G253">
        <v>3102</v>
      </c>
      <c r="H253">
        <v>3099</v>
      </c>
      <c r="I253">
        <v>3100</v>
      </c>
      <c r="J253">
        <v>110900</v>
      </c>
    </row>
    <row r="254" spans="4:10">
      <c r="D254" t="s">
        <v>1865</v>
      </c>
      <c r="E254" t="s">
        <v>1451</v>
      </c>
      <c r="F254">
        <v>3100</v>
      </c>
      <c r="G254">
        <v>3101</v>
      </c>
      <c r="H254">
        <v>3100</v>
      </c>
      <c r="I254">
        <v>3101</v>
      </c>
      <c r="J254">
        <v>23400</v>
      </c>
    </row>
    <row r="255" spans="4:10">
      <c r="D255" t="s">
        <v>1865</v>
      </c>
      <c r="E255" t="s">
        <v>1452</v>
      </c>
      <c r="F255">
        <v>3101</v>
      </c>
      <c r="G255">
        <v>3101</v>
      </c>
      <c r="H255">
        <v>3099</v>
      </c>
      <c r="I255">
        <v>3100</v>
      </c>
      <c r="J255">
        <v>27600</v>
      </c>
    </row>
    <row r="256" spans="4:10">
      <c r="D256" t="s">
        <v>1865</v>
      </c>
      <c r="E256" t="s">
        <v>1453</v>
      </c>
      <c r="F256">
        <v>3100</v>
      </c>
      <c r="G256">
        <v>3101</v>
      </c>
      <c r="H256">
        <v>3100</v>
      </c>
      <c r="I256">
        <v>3101</v>
      </c>
      <c r="J256">
        <v>12100</v>
      </c>
    </row>
    <row r="257" spans="4:10">
      <c r="D257" t="s">
        <v>1865</v>
      </c>
      <c r="E257" t="s">
        <v>1454</v>
      </c>
      <c r="F257">
        <v>3101</v>
      </c>
      <c r="G257">
        <v>3102</v>
      </c>
      <c r="H257">
        <v>3101</v>
      </c>
      <c r="I257">
        <v>3102</v>
      </c>
      <c r="J257">
        <v>6200</v>
      </c>
    </row>
    <row r="258" spans="4:10">
      <c r="D258" t="s">
        <v>1865</v>
      </c>
      <c r="E258" t="s">
        <v>1455</v>
      </c>
      <c r="F258">
        <v>3102</v>
      </c>
      <c r="G258">
        <v>3102</v>
      </c>
      <c r="H258">
        <v>3101</v>
      </c>
      <c r="I258">
        <v>3101</v>
      </c>
      <c r="J258">
        <v>49100</v>
      </c>
    </row>
    <row r="259" spans="4:10">
      <c r="D259" t="s">
        <v>1865</v>
      </c>
      <c r="E259" t="s">
        <v>1456</v>
      </c>
      <c r="F259">
        <v>3101</v>
      </c>
      <c r="G259">
        <v>3101</v>
      </c>
      <c r="H259">
        <v>3101</v>
      </c>
      <c r="I259">
        <v>3101</v>
      </c>
      <c r="J259">
        <v>8900</v>
      </c>
    </row>
    <row r="260" spans="4:10">
      <c r="D260" t="s">
        <v>1865</v>
      </c>
      <c r="E260" t="s">
        <v>1457</v>
      </c>
      <c r="F260">
        <v>3101</v>
      </c>
      <c r="G260">
        <v>3102</v>
      </c>
      <c r="H260">
        <v>3100</v>
      </c>
      <c r="I260">
        <v>3102</v>
      </c>
      <c r="J260">
        <v>40200</v>
      </c>
    </row>
    <row r="261" spans="4:10">
      <c r="D261" t="s">
        <v>1865</v>
      </c>
      <c r="E261" t="s">
        <v>1458</v>
      </c>
      <c r="F261">
        <v>3101</v>
      </c>
      <c r="G261">
        <v>3101</v>
      </c>
      <c r="H261">
        <v>3100</v>
      </c>
      <c r="I261">
        <v>3100</v>
      </c>
      <c r="J261">
        <v>30000</v>
      </c>
    </row>
    <row r="262" spans="4:10">
      <c r="D262" t="s">
        <v>1865</v>
      </c>
      <c r="E262" t="s">
        <v>1459</v>
      </c>
      <c r="F262">
        <v>3100</v>
      </c>
      <c r="G262">
        <v>3101</v>
      </c>
      <c r="H262">
        <v>3099</v>
      </c>
      <c r="I262">
        <v>3099</v>
      </c>
      <c r="J262">
        <v>21100</v>
      </c>
    </row>
    <row r="263" spans="4:10">
      <c r="D263" t="s">
        <v>1865</v>
      </c>
      <c r="E263" t="s">
        <v>1460</v>
      </c>
      <c r="F263">
        <v>3099</v>
      </c>
      <c r="G263">
        <v>3100</v>
      </c>
      <c r="H263">
        <v>3099</v>
      </c>
      <c r="I263">
        <v>3099</v>
      </c>
      <c r="J263">
        <v>2800</v>
      </c>
    </row>
    <row r="264" spans="4:10">
      <c r="D264" t="s">
        <v>1865</v>
      </c>
      <c r="E264" t="s">
        <v>1461</v>
      </c>
      <c r="F264">
        <v>3099</v>
      </c>
      <c r="G264">
        <v>3099</v>
      </c>
      <c r="H264">
        <v>3098</v>
      </c>
      <c r="I264">
        <v>3098</v>
      </c>
      <c r="J264">
        <v>40900</v>
      </c>
    </row>
    <row r="265" spans="4:10">
      <c r="D265" t="s">
        <v>1865</v>
      </c>
      <c r="E265" t="s">
        <v>1462</v>
      </c>
      <c r="F265">
        <v>3097</v>
      </c>
      <c r="G265">
        <v>3097</v>
      </c>
      <c r="H265">
        <v>3095</v>
      </c>
      <c r="I265">
        <v>3095</v>
      </c>
      <c r="J265">
        <v>16700</v>
      </c>
    </row>
    <row r="266" spans="4:10">
      <c r="D266" t="s">
        <v>1865</v>
      </c>
      <c r="E266" t="s">
        <v>1463</v>
      </c>
      <c r="F266">
        <v>3096</v>
      </c>
      <c r="G266">
        <v>3097</v>
      </c>
      <c r="H266">
        <v>3096</v>
      </c>
      <c r="I266">
        <v>3096</v>
      </c>
      <c r="J266">
        <v>20200</v>
      </c>
    </row>
    <row r="267" spans="4:10">
      <c r="D267" t="s">
        <v>1865</v>
      </c>
      <c r="E267" t="s">
        <v>1464</v>
      </c>
      <c r="F267">
        <v>3097</v>
      </c>
      <c r="G267">
        <v>3097</v>
      </c>
      <c r="H267">
        <v>3096</v>
      </c>
      <c r="I267">
        <v>3097</v>
      </c>
      <c r="J267">
        <v>11900</v>
      </c>
    </row>
    <row r="268" spans="4:10">
      <c r="D268" t="s">
        <v>1865</v>
      </c>
      <c r="E268" t="s">
        <v>1465</v>
      </c>
      <c r="F268">
        <v>3098</v>
      </c>
      <c r="G268">
        <v>3098</v>
      </c>
      <c r="H268">
        <v>3097</v>
      </c>
      <c r="I268">
        <v>3098</v>
      </c>
      <c r="J268">
        <v>4300</v>
      </c>
    </row>
    <row r="269" spans="4:10">
      <c r="D269" t="s">
        <v>1865</v>
      </c>
      <c r="E269" t="s">
        <v>1466</v>
      </c>
      <c r="F269">
        <v>3097</v>
      </c>
      <c r="G269">
        <v>3097</v>
      </c>
      <c r="H269">
        <v>3096</v>
      </c>
      <c r="I269">
        <v>3096</v>
      </c>
      <c r="J269">
        <v>24500</v>
      </c>
    </row>
    <row r="270" spans="4:10">
      <c r="D270" t="s">
        <v>1865</v>
      </c>
      <c r="E270" t="s">
        <v>1467</v>
      </c>
      <c r="F270">
        <v>3097</v>
      </c>
      <c r="G270">
        <v>3097</v>
      </c>
      <c r="H270">
        <v>3096</v>
      </c>
      <c r="I270">
        <v>3096</v>
      </c>
      <c r="J270">
        <v>3300</v>
      </c>
    </row>
    <row r="271" spans="4:10">
      <c r="D271" t="s">
        <v>1865</v>
      </c>
      <c r="E271" t="s">
        <v>1468</v>
      </c>
      <c r="F271">
        <v>3096</v>
      </c>
      <c r="G271">
        <v>3096</v>
      </c>
      <c r="H271">
        <v>3093</v>
      </c>
      <c r="I271">
        <v>3094</v>
      </c>
      <c r="J271">
        <v>84400</v>
      </c>
    </row>
    <row r="272" spans="4:10">
      <c r="D272" t="s">
        <v>1865</v>
      </c>
      <c r="E272" t="s">
        <v>1469</v>
      </c>
      <c r="F272">
        <v>3094</v>
      </c>
      <c r="G272">
        <v>3096</v>
      </c>
      <c r="H272">
        <v>3094</v>
      </c>
      <c r="I272">
        <v>3096</v>
      </c>
      <c r="J272">
        <v>6400</v>
      </c>
    </row>
    <row r="273" spans="4:10">
      <c r="D273" t="s">
        <v>1865</v>
      </c>
      <c r="E273" t="s">
        <v>1470</v>
      </c>
      <c r="F273">
        <v>3095</v>
      </c>
      <c r="G273">
        <v>3098</v>
      </c>
      <c r="H273">
        <v>3094</v>
      </c>
      <c r="I273">
        <v>3096</v>
      </c>
      <c r="J273">
        <v>96700</v>
      </c>
    </row>
    <row r="274" spans="4:10">
      <c r="D274" t="s">
        <v>1865</v>
      </c>
      <c r="E274" t="s">
        <v>1471</v>
      </c>
      <c r="F274">
        <v>3096</v>
      </c>
      <c r="G274">
        <v>3098</v>
      </c>
      <c r="H274">
        <v>3096</v>
      </c>
      <c r="I274">
        <v>3098</v>
      </c>
      <c r="J274">
        <v>22300</v>
      </c>
    </row>
    <row r="275" spans="4:10">
      <c r="D275" t="s">
        <v>1865</v>
      </c>
      <c r="E275" t="s">
        <v>1472</v>
      </c>
      <c r="F275">
        <v>3098</v>
      </c>
      <c r="G275">
        <v>3099</v>
      </c>
      <c r="H275">
        <v>3097</v>
      </c>
      <c r="I275">
        <v>3099</v>
      </c>
      <c r="J275">
        <v>20100</v>
      </c>
    </row>
    <row r="276" spans="4:10">
      <c r="D276" t="s">
        <v>1865</v>
      </c>
      <c r="E276" t="s">
        <v>1473</v>
      </c>
      <c r="F276">
        <v>3099</v>
      </c>
      <c r="G276">
        <v>3099</v>
      </c>
      <c r="H276">
        <v>3098</v>
      </c>
      <c r="I276">
        <v>3099</v>
      </c>
      <c r="J276">
        <v>30800</v>
      </c>
    </row>
    <row r="277" spans="4:10">
      <c r="D277" t="s">
        <v>1865</v>
      </c>
      <c r="E277" t="s">
        <v>1474</v>
      </c>
      <c r="F277">
        <v>3100</v>
      </c>
      <c r="G277">
        <v>3100</v>
      </c>
      <c r="H277">
        <v>3099</v>
      </c>
      <c r="I277">
        <v>3100</v>
      </c>
      <c r="J277">
        <v>3000</v>
      </c>
    </row>
    <row r="278" spans="4:10">
      <c r="D278" t="s">
        <v>1865</v>
      </c>
      <c r="E278" t="s">
        <v>1475</v>
      </c>
      <c r="F278">
        <v>3099</v>
      </c>
      <c r="G278">
        <v>3101</v>
      </c>
      <c r="H278">
        <v>3099</v>
      </c>
      <c r="I278">
        <v>3100</v>
      </c>
      <c r="J278">
        <v>49500</v>
      </c>
    </row>
    <row r="279" spans="4:10">
      <c r="D279" t="s">
        <v>1865</v>
      </c>
      <c r="E279" t="s">
        <v>1476</v>
      </c>
      <c r="F279">
        <v>3100</v>
      </c>
      <c r="G279">
        <v>3100</v>
      </c>
      <c r="H279">
        <v>3099</v>
      </c>
      <c r="I279">
        <v>3099</v>
      </c>
      <c r="J279">
        <v>95700</v>
      </c>
    </row>
    <row r="280" spans="4:10">
      <c r="D280" t="s">
        <v>1865</v>
      </c>
      <c r="E280" t="s">
        <v>1477</v>
      </c>
      <c r="F280">
        <v>3099</v>
      </c>
      <c r="G280">
        <v>3099</v>
      </c>
      <c r="H280">
        <v>3099</v>
      </c>
      <c r="I280">
        <v>3099</v>
      </c>
      <c r="J280">
        <v>25400</v>
      </c>
    </row>
    <row r="281" spans="4:10">
      <c r="D281" t="s">
        <v>1865</v>
      </c>
      <c r="E281" t="s">
        <v>1478</v>
      </c>
      <c r="F281">
        <v>3100</v>
      </c>
      <c r="G281">
        <v>3100</v>
      </c>
      <c r="H281">
        <v>3099</v>
      </c>
      <c r="I281">
        <v>3099</v>
      </c>
      <c r="J281">
        <v>700</v>
      </c>
    </row>
    <row r="282" spans="4:10">
      <c r="D282" t="s">
        <v>1865</v>
      </c>
      <c r="E282" t="s">
        <v>1479</v>
      </c>
      <c r="F282">
        <v>3100</v>
      </c>
      <c r="G282">
        <v>3102</v>
      </c>
      <c r="H282">
        <v>3100</v>
      </c>
      <c r="I282">
        <v>3102</v>
      </c>
      <c r="J282">
        <v>116900</v>
      </c>
    </row>
    <row r="283" spans="4:10">
      <c r="D283" t="s">
        <v>1865</v>
      </c>
      <c r="E283" t="s">
        <v>1480</v>
      </c>
      <c r="F283">
        <v>3102</v>
      </c>
      <c r="G283">
        <v>3103</v>
      </c>
      <c r="H283">
        <v>3101</v>
      </c>
      <c r="I283">
        <v>3101</v>
      </c>
      <c r="J283">
        <v>22800</v>
      </c>
    </row>
    <row r="284" spans="4:10">
      <c r="D284" t="s">
        <v>1865</v>
      </c>
      <c r="E284" t="s">
        <v>1481</v>
      </c>
      <c r="F284">
        <v>3101</v>
      </c>
      <c r="G284">
        <v>3102</v>
      </c>
      <c r="H284">
        <v>3100</v>
      </c>
      <c r="I284">
        <v>3101</v>
      </c>
      <c r="J284">
        <v>22800</v>
      </c>
    </row>
    <row r="285" spans="4:10">
      <c r="D285" t="s">
        <v>1865</v>
      </c>
      <c r="E285" t="s">
        <v>1482</v>
      </c>
      <c r="F285">
        <v>3100</v>
      </c>
      <c r="G285">
        <v>3101</v>
      </c>
      <c r="H285">
        <v>3100</v>
      </c>
      <c r="I285">
        <v>3100</v>
      </c>
      <c r="J285">
        <v>600</v>
      </c>
    </row>
    <row r="286" spans="4:10">
      <c r="D286" t="s">
        <v>1865</v>
      </c>
      <c r="E286" t="s">
        <v>1483</v>
      </c>
      <c r="F286">
        <v>3101</v>
      </c>
      <c r="G286">
        <v>3101</v>
      </c>
      <c r="H286">
        <v>3100</v>
      </c>
      <c r="I286">
        <v>3101</v>
      </c>
      <c r="J286">
        <v>20900</v>
      </c>
    </row>
    <row r="287" spans="4:10">
      <c r="D287" t="s">
        <v>1865</v>
      </c>
      <c r="E287" t="s">
        <v>1484</v>
      </c>
      <c r="F287">
        <v>3100</v>
      </c>
      <c r="G287">
        <v>3101</v>
      </c>
      <c r="H287">
        <v>3100</v>
      </c>
      <c r="I287">
        <v>3100</v>
      </c>
      <c r="J287">
        <v>32000</v>
      </c>
    </row>
    <row r="288" spans="4:10">
      <c r="D288" t="s">
        <v>1865</v>
      </c>
      <c r="E288" t="s">
        <v>1485</v>
      </c>
      <c r="F288">
        <v>3100</v>
      </c>
      <c r="G288">
        <v>3100</v>
      </c>
      <c r="H288">
        <v>3097</v>
      </c>
      <c r="I288">
        <v>3098</v>
      </c>
      <c r="J288">
        <v>82100</v>
      </c>
    </row>
    <row r="289" spans="4:10">
      <c r="D289" t="s">
        <v>1865</v>
      </c>
      <c r="E289" t="s">
        <v>1486</v>
      </c>
      <c r="F289">
        <v>3098</v>
      </c>
      <c r="G289">
        <v>3099</v>
      </c>
      <c r="H289">
        <v>3098</v>
      </c>
      <c r="I289">
        <v>3099</v>
      </c>
      <c r="J289">
        <v>47400</v>
      </c>
    </row>
    <row r="290" spans="4:10">
      <c r="D290" t="s">
        <v>1865</v>
      </c>
      <c r="E290" t="s">
        <v>1487</v>
      </c>
      <c r="F290">
        <v>3099</v>
      </c>
      <c r="G290">
        <v>3099</v>
      </c>
      <c r="H290">
        <v>3097</v>
      </c>
      <c r="I290">
        <v>3098</v>
      </c>
      <c r="J290">
        <v>20700</v>
      </c>
    </row>
    <row r="291" spans="4:10">
      <c r="D291" t="s">
        <v>1865</v>
      </c>
      <c r="E291" t="s">
        <v>1488</v>
      </c>
      <c r="F291">
        <v>3098</v>
      </c>
      <c r="G291">
        <v>3100</v>
      </c>
      <c r="H291">
        <v>3098</v>
      </c>
      <c r="I291">
        <v>3099</v>
      </c>
      <c r="J291">
        <v>21900</v>
      </c>
    </row>
    <row r="292" spans="4:10">
      <c r="D292" t="s">
        <v>1865</v>
      </c>
      <c r="E292" t="s">
        <v>1489</v>
      </c>
      <c r="F292">
        <v>3099</v>
      </c>
      <c r="G292">
        <v>3099</v>
      </c>
      <c r="H292">
        <v>3098</v>
      </c>
      <c r="I292">
        <v>3099</v>
      </c>
      <c r="J292">
        <v>17200</v>
      </c>
    </row>
    <row r="293" spans="4:10">
      <c r="D293" t="s">
        <v>1865</v>
      </c>
      <c r="E293" t="s">
        <v>1490</v>
      </c>
      <c r="F293">
        <v>3100</v>
      </c>
      <c r="G293">
        <v>3101</v>
      </c>
      <c r="H293">
        <v>3100</v>
      </c>
      <c r="I293">
        <v>3101</v>
      </c>
      <c r="J293">
        <v>38300</v>
      </c>
    </row>
    <row r="294" spans="4:10">
      <c r="D294" t="s">
        <v>1865</v>
      </c>
      <c r="E294" t="s">
        <v>1491</v>
      </c>
      <c r="F294">
        <v>3101</v>
      </c>
      <c r="G294">
        <v>3103</v>
      </c>
      <c r="H294">
        <v>3101</v>
      </c>
      <c r="I294">
        <v>3103</v>
      </c>
      <c r="J294">
        <v>25400</v>
      </c>
    </row>
    <row r="295" spans="4:10">
      <c r="D295" t="s">
        <v>1865</v>
      </c>
      <c r="E295" t="s">
        <v>1492</v>
      </c>
      <c r="F295">
        <v>3102</v>
      </c>
      <c r="G295">
        <v>3103</v>
      </c>
      <c r="H295">
        <v>3102</v>
      </c>
      <c r="I295">
        <v>3102</v>
      </c>
      <c r="J295">
        <v>5900</v>
      </c>
    </row>
    <row r="296" spans="4:10">
      <c r="D296" t="s">
        <v>1865</v>
      </c>
      <c r="E296" t="s">
        <v>1493</v>
      </c>
      <c r="F296">
        <v>3103</v>
      </c>
      <c r="G296">
        <v>3103</v>
      </c>
      <c r="H296">
        <v>3102</v>
      </c>
      <c r="I296">
        <v>3103</v>
      </c>
      <c r="J296">
        <v>1500</v>
      </c>
    </row>
    <row r="297" spans="4:10">
      <c r="D297" t="s">
        <v>1865</v>
      </c>
      <c r="E297" t="s">
        <v>1494</v>
      </c>
      <c r="F297">
        <v>3103</v>
      </c>
      <c r="G297">
        <v>3103</v>
      </c>
      <c r="H297">
        <v>3102</v>
      </c>
      <c r="I297">
        <v>3103</v>
      </c>
      <c r="J297">
        <v>28100</v>
      </c>
    </row>
    <row r="298" spans="4:10">
      <c r="D298" t="s">
        <v>1865</v>
      </c>
      <c r="E298" t="s">
        <v>1495</v>
      </c>
      <c r="F298">
        <v>3102</v>
      </c>
      <c r="G298">
        <v>3104</v>
      </c>
      <c r="H298">
        <v>3102</v>
      </c>
      <c r="I298">
        <v>3103</v>
      </c>
      <c r="J298">
        <v>70900</v>
      </c>
    </row>
    <row r="299" spans="4:10">
      <c r="D299" t="s">
        <v>1865</v>
      </c>
      <c r="E299" t="s">
        <v>1496</v>
      </c>
      <c r="F299">
        <v>3103</v>
      </c>
      <c r="G299">
        <v>3104</v>
      </c>
      <c r="H299">
        <v>3102</v>
      </c>
      <c r="I299">
        <v>3102</v>
      </c>
      <c r="J299">
        <v>24300</v>
      </c>
    </row>
    <row r="300" spans="4:10">
      <c r="D300" t="s">
        <v>1865</v>
      </c>
      <c r="E300" t="s">
        <v>1497</v>
      </c>
      <c r="F300">
        <v>3102</v>
      </c>
      <c r="G300">
        <v>3103</v>
      </c>
      <c r="H300">
        <v>3101</v>
      </c>
      <c r="I300">
        <v>3101</v>
      </c>
      <c r="J300">
        <v>37400</v>
      </c>
    </row>
    <row r="301" spans="4:10">
      <c r="D301" t="s">
        <v>1865</v>
      </c>
      <c r="E301" t="s">
        <v>1498</v>
      </c>
      <c r="F301">
        <v>3101</v>
      </c>
      <c r="G301">
        <v>3101</v>
      </c>
      <c r="H301">
        <v>3101</v>
      </c>
      <c r="I301">
        <v>3101</v>
      </c>
      <c r="J301">
        <v>22400</v>
      </c>
    </row>
    <row r="302" spans="4:10">
      <c r="D302" t="s">
        <v>1865</v>
      </c>
      <c r="E302" t="s">
        <v>1499</v>
      </c>
      <c r="F302">
        <v>3102</v>
      </c>
      <c r="G302">
        <v>3102</v>
      </c>
      <c r="H302">
        <v>3102</v>
      </c>
      <c r="I302">
        <v>3102</v>
      </c>
      <c r="J302">
        <v>27300</v>
      </c>
    </row>
    <row r="303" spans="4:10">
      <c r="D303" t="s">
        <v>1865</v>
      </c>
      <c r="E303" t="s">
        <v>1500</v>
      </c>
      <c r="F303">
        <v>3102</v>
      </c>
      <c r="G303">
        <v>3103</v>
      </c>
      <c r="H303">
        <v>3101</v>
      </c>
      <c r="I303">
        <v>3102</v>
      </c>
      <c r="J303">
        <v>69200</v>
      </c>
    </row>
    <row r="304" spans="4:10">
      <c r="D304" t="s">
        <v>1865</v>
      </c>
      <c r="E304" t="s">
        <v>1501</v>
      </c>
      <c r="F304">
        <v>3103</v>
      </c>
      <c r="G304">
        <v>3103</v>
      </c>
      <c r="H304">
        <v>3102</v>
      </c>
      <c r="I304">
        <v>3102</v>
      </c>
      <c r="J304">
        <v>35800</v>
      </c>
    </row>
    <row r="305" spans="4:10">
      <c r="D305" t="s">
        <v>1865</v>
      </c>
      <c r="E305" t="s">
        <v>1502</v>
      </c>
      <c r="F305">
        <v>3101</v>
      </c>
      <c r="G305">
        <v>3101</v>
      </c>
      <c r="H305">
        <v>3100</v>
      </c>
      <c r="I305">
        <v>3101</v>
      </c>
      <c r="J305">
        <v>52200</v>
      </c>
    </row>
    <row r="306" spans="4:10">
      <c r="D306" t="s">
        <v>1865</v>
      </c>
      <c r="E306" t="s">
        <v>1503</v>
      </c>
      <c r="F306">
        <v>3101</v>
      </c>
      <c r="G306">
        <v>3101</v>
      </c>
      <c r="H306">
        <v>3100</v>
      </c>
      <c r="I306">
        <v>3100</v>
      </c>
      <c r="J306">
        <v>19400</v>
      </c>
    </row>
    <row r="307" spans="4:10">
      <c r="D307" t="s">
        <v>1865</v>
      </c>
      <c r="E307" t="s">
        <v>1504</v>
      </c>
      <c r="F307">
        <v>3100</v>
      </c>
      <c r="G307">
        <v>3100</v>
      </c>
      <c r="H307">
        <v>3097</v>
      </c>
      <c r="I307">
        <v>3098</v>
      </c>
      <c r="J307">
        <v>77700</v>
      </c>
    </row>
    <row r="308" spans="4:10">
      <c r="D308" t="s">
        <v>1865</v>
      </c>
      <c r="E308" t="s">
        <v>1505</v>
      </c>
      <c r="F308">
        <v>3097</v>
      </c>
      <c r="G308">
        <v>3099</v>
      </c>
      <c r="H308">
        <v>3097</v>
      </c>
      <c r="I308">
        <v>3099</v>
      </c>
      <c r="J308">
        <v>14900</v>
      </c>
    </row>
    <row r="309" spans="4:10">
      <c r="D309" t="s">
        <v>1865</v>
      </c>
      <c r="E309" t="s">
        <v>1506</v>
      </c>
      <c r="F309">
        <v>3100</v>
      </c>
      <c r="G309">
        <v>3100</v>
      </c>
      <c r="H309">
        <v>3099</v>
      </c>
      <c r="I309">
        <v>3100</v>
      </c>
      <c r="J309">
        <v>46100</v>
      </c>
    </row>
    <row r="310" spans="4:10">
      <c r="D310" t="s">
        <v>1865</v>
      </c>
      <c r="E310" t="s">
        <v>1507</v>
      </c>
      <c r="F310">
        <v>3101</v>
      </c>
      <c r="G310">
        <v>3102</v>
      </c>
      <c r="H310">
        <v>3100</v>
      </c>
      <c r="I310">
        <v>3100</v>
      </c>
      <c r="J310">
        <v>104400</v>
      </c>
    </row>
    <row r="311" spans="4:10">
      <c r="D311" t="s">
        <v>1865</v>
      </c>
      <c r="E311" t="s">
        <v>1508</v>
      </c>
      <c r="F311">
        <v>3100</v>
      </c>
      <c r="G311">
        <v>3101</v>
      </c>
      <c r="H311">
        <v>3100</v>
      </c>
      <c r="I311">
        <v>3100</v>
      </c>
      <c r="J311">
        <v>11700</v>
      </c>
    </row>
    <row r="312" spans="4:10">
      <c r="D312" t="s">
        <v>1865</v>
      </c>
      <c r="E312" t="s">
        <v>1509</v>
      </c>
      <c r="F312">
        <v>3100</v>
      </c>
      <c r="G312">
        <v>3100</v>
      </c>
      <c r="H312">
        <v>3099</v>
      </c>
      <c r="I312">
        <v>3100</v>
      </c>
      <c r="J312">
        <v>60800</v>
      </c>
    </row>
    <row r="313" spans="4:10">
      <c r="D313" t="s">
        <v>1865</v>
      </c>
      <c r="E313" t="s">
        <v>1510</v>
      </c>
      <c r="F313">
        <v>3100</v>
      </c>
      <c r="G313">
        <v>3100</v>
      </c>
      <c r="H313">
        <v>3097</v>
      </c>
      <c r="I313">
        <v>3097</v>
      </c>
      <c r="J313">
        <v>45900</v>
      </c>
    </row>
    <row r="314" spans="4:10">
      <c r="D314" t="s">
        <v>1865</v>
      </c>
      <c r="E314" t="s">
        <v>1511</v>
      </c>
      <c r="F314">
        <v>3097</v>
      </c>
      <c r="G314">
        <v>3098</v>
      </c>
      <c r="H314">
        <v>3097</v>
      </c>
      <c r="I314">
        <v>3097</v>
      </c>
      <c r="J314">
        <v>6300</v>
      </c>
    </row>
    <row r="315" spans="4:10">
      <c r="D315" t="s">
        <v>1865</v>
      </c>
      <c r="E315" t="s">
        <v>1512</v>
      </c>
      <c r="F315">
        <v>3098</v>
      </c>
      <c r="G315">
        <v>3098</v>
      </c>
      <c r="H315">
        <v>3097</v>
      </c>
      <c r="I315">
        <v>3097</v>
      </c>
      <c r="J315">
        <v>2800</v>
      </c>
    </row>
    <row r="316" spans="4:10">
      <c r="D316" t="s">
        <v>1865</v>
      </c>
      <c r="E316" t="s">
        <v>1513</v>
      </c>
      <c r="F316">
        <v>3098</v>
      </c>
      <c r="G316">
        <v>3099</v>
      </c>
      <c r="H316">
        <v>3097</v>
      </c>
      <c r="I316">
        <v>3098</v>
      </c>
      <c r="J316">
        <v>111600</v>
      </c>
    </row>
    <row r="317" spans="4:10">
      <c r="D317" t="s">
        <v>1865</v>
      </c>
      <c r="E317" t="s">
        <v>1514</v>
      </c>
      <c r="F317">
        <v>3097</v>
      </c>
      <c r="G317">
        <v>3098</v>
      </c>
      <c r="H317">
        <v>3096</v>
      </c>
      <c r="I317">
        <v>3096</v>
      </c>
      <c r="J317">
        <v>35000</v>
      </c>
    </row>
    <row r="318" spans="4:10">
      <c r="D318" t="s">
        <v>1865</v>
      </c>
      <c r="E318" t="s">
        <v>1515</v>
      </c>
      <c r="F318">
        <v>3097</v>
      </c>
      <c r="G318">
        <v>3098</v>
      </c>
      <c r="H318">
        <v>3096</v>
      </c>
      <c r="I318">
        <v>3098</v>
      </c>
      <c r="J318">
        <v>45900</v>
      </c>
    </row>
    <row r="319" spans="4:10">
      <c r="D319" t="s">
        <v>1865</v>
      </c>
      <c r="E319" t="s">
        <v>1516</v>
      </c>
      <c r="F319">
        <v>3098</v>
      </c>
      <c r="G319">
        <v>3098</v>
      </c>
      <c r="H319">
        <v>3097</v>
      </c>
      <c r="I319">
        <v>3097</v>
      </c>
      <c r="J319">
        <v>43700</v>
      </c>
    </row>
    <row r="320" spans="4:10">
      <c r="D320" t="s">
        <v>1865</v>
      </c>
      <c r="E320" t="s">
        <v>1517</v>
      </c>
      <c r="F320">
        <v>3097</v>
      </c>
      <c r="G320">
        <v>3098</v>
      </c>
      <c r="H320">
        <v>3095</v>
      </c>
      <c r="I320">
        <v>3096</v>
      </c>
      <c r="J320">
        <v>57300</v>
      </c>
    </row>
    <row r="321" spans="1:10">
      <c r="D321" t="s">
        <v>1865</v>
      </c>
      <c r="E321" t="s">
        <v>1518</v>
      </c>
      <c r="F321">
        <v>3095</v>
      </c>
      <c r="G321">
        <v>3098</v>
      </c>
      <c r="H321">
        <v>3095</v>
      </c>
      <c r="I321">
        <v>3098</v>
      </c>
      <c r="J321">
        <v>45000</v>
      </c>
    </row>
    <row r="322" spans="1:10">
      <c r="D322" t="s">
        <v>1865</v>
      </c>
      <c r="E322" t="s">
        <v>1519</v>
      </c>
      <c r="F322">
        <v>3098</v>
      </c>
      <c r="G322">
        <v>3099</v>
      </c>
      <c r="H322">
        <v>3098</v>
      </c>
      <c r="I322">
        <v>3099</v>
      </c>
      <c r="J322">
        <v>58600</v>
      </c>
    </row>
    <row r="323" spans="1:10">
      <c r="D323" t="s">
        <v>1865</v>
      </c>
      <c r="E323" t="s">
        <v>1520</v>
      </c>
      <c r="F323">
        <v>3099</v>
      </c>
      <c r="G323">
        <v>3100</v>
      </c>
      <c r="H323">
        <v>3098</v>
      </c>
      <c r="I323">
        <v>3100</v>
      </c>
      <c r="J323">
        <v>13100</v>
      </c>
    </row>
    <row r="324" spans="1:10">
      <c r="D324" t="s">
        <v>1865</v>
      </c>
      <c r="E324" t="s">
        <v>1521</v>
      </c>
      <c r="F324">
        <v>3099</v>
      </c>
      <c r="G324">
        <v>3100</v>
      </c>
      <c r="H324">
        <v>3099</v>
      </c>
      <c r="I324">
        <v>3099</v>
      </c>
      <c r="J324">
        <v>10400</v>
      </c>
    </row>
    <row r="325" spans="1:10">
      <c r="D325" t="s">
        <v>1864</v>
      </c>
      <c r="E325" t="s">
        <v>1853</v>
      </c>
      <c r="F325">
        <v>3099</v>
      </c>
      <c r="G325">
        <v>3100</v>
      </c>
      <c r="H325">
        <v>3099</v>
      </c>
      <c r="I325">
        <v>3099</v>
      </c>
      <c r="J325">
        <v>23100</v>
      </c>
    </row>
    <row r="326" spans="1:10">
      <c r="A326" s="1" t="s">
        <v>64</v>
      </c>
      <c r="B326" s="1" t="s">
        <v>64</v>
      </c>
      <c r="C326" s="1" t="s">
        <v>64</v>
      </c>
      <c r="D326" s="1" t="s">
        <v>64</v>
      </c>
      <c r="E326" s="1" t="s">
        <v>64</v>
      </c>
      <c r="F326" s="1" t="s">
        <v>64</v>
      </c>
      <c r="G326" s="1" t="s">
        <v>64</v>
      </c>
      <c r="H326" s="1" t="s">
        <v>64</v>
      </c>
      <c r="I326" s="1" t="s">
        <v>64</v>
      </c>
      <c r="J326" s="1" t="s">
        <v>64</v>
      </c>
    </row>
    <row r="484" spans="1:10">
      <c r="A484" s="1"/>
      <c r="B484" s="1"/>
      <c r="C484" s="1"/>
      <c r="D484" s="1"/>
      <c r="E484" s="1"/>
      <c r="F484" s="1"/>
      <c r="G484" s="1"/>
      <c r="H484" s="1"/>
      <c r="I484" s="1"/>
      <c r="J484" s="1"/>
    </row>
    <row r="485" spans="1:10">
      <c r="A485" s="1"/>
      <c r="B485" s="1"/>
      <c r="C485" s="1"/>
      <c r="D485" s="1"/>
      <c r="E485" s="1"/>
      <c r="F485" s="1"/>
      <c r="G485" s="1"/>
      <c r="H485" s="1"/>
      <c r="I485" s="1"/>
      <c r="J485" s="1"/>
    </row>
    <row r="486" spans="1:10">
      <c r="A486" s="1"/>
      <c r="B486" s="1"/>
      <c r="C486" s="1"/>
      <c r="D486" s="1"/>
      <c r="E486" s="1"/>
      <c r="F486" s="1"/>
      <c r="G486" s="1"/>
      <c r="H486" s="1"/>
      <c r="I486" s="1"/>
      <c r="J486" s="1"/>
    </row>
    <row r="487" spans="1:10">
      <c r="A487" s="1"/>
      <c r="B487" s="1"/>
      <c r="C487" s="1"/>
      <c r="D487" s="1"/>
      <c r="E487" s="1"/>
      <c r="F487" s="1"/>
      <c r="G487" s="1"/>
      <c r="H487" s="1"/>
      <c r="I487" s="1"/>
      <c r="J487" s="1"/>
    </row>
    <row r="488" spans="1:10">
      <c r="A488" s="1"/>
      <c r="B488" s="1"/>
      <c r="C488" s="1"/>
      <c r="D488" s="1"/>
      <c r="E488" s="1"/>
      <c r="F488" s="1"/>
      <c r="G488" s="1"/>
      <c r="H488" s="1"/>
      <c r="I488" s="1"/>
      <c r="J488" s="1"/>
    </row>
    <row r="489" spans="1:10">
      <c r="A489" s="1"/>
      <c r="B489" s="1"/>
      <c r="C489" s="1"/>
      <c r="D489" s="1"/>
      <c r="E489" s="1"/>
      <c r="F489" s="1"/>
      <c r="G489" s="1"/>
      <c r="H489" s="1"/>
      <c r="I489" s="1"/>
      <c r="J489" s="1"/>
    </row>
    <row r="490" spans="1:10">
      <c r="A490" s="1"/>
      <c r="B490" s="1"/>
      <c r="C490" s="1"/>
      <c r="D490" s="1"/>
      <c r="E490" s="1"/>
      <c r="F490" s="1"/>
      <c r="G490" s="1"/>
      <c r="H490" s="1"/>
      <c r="I490" s="1"/>
      <c r="J490" s="1"/>
    </row>
    <row r="491" spans="1:10">
      <c r="A491" s="1"/>
      <c r="B491" s="1"/>
      <c r="C491" s="1"/>
      <c r="D491" s="1"/>
      <c r="E491" s="1"/>
      <c r="F491" s="1"/>
      <c r="G491" s="1"/>
      <c r="H491" s="1"/>
      <c r="I491" s="1"/>
      <c r="J491" s="1"/>
    </row>
    <row r="492" spans="1:10">
      <c r="A492" s="1"/>
      <c r="B492" s="1"/>
      <c r="C492" s="1"/>
      <c r="D492" s="1"/>
      <c r="E492" s="1"/>
      <c r="F492" s="1"/>
      <c r="G492" s="1"/>
      <c r="H492" s="1"/>
      <c r="I492" s="1"/>
      <c r="J492" s="1"/>
    </row>
    <row r="493" spans="1:10">
      <c r="A493" s="1"/>
      <c r="B493" s="1"/>
      <c r="C493" s="1"/>
      <c r="D493" s="1"/>
      <c r="E493" s="1"/>
      <c r="F493" s="1"/>
      <c r="G493" s="1"/>
      <c r="H493" s="1"/>
      <c r="I493" s="1"/>
      <c r="J493" s="1"/>
    </row>
    <row r="494" spans="1:10">
      <c r="A494" s="1"/>
      <c r="B494" s="1"/>
      <c r="C494" s="1"/>
      <c r="D494" s="1"/>
      <c r="E494" s="1"/>
      <c r="F494" s="1"/>
      <c r="G494" s="1"/>
      <c r="H494" s="1"/>
      <c r="I494" s="1"/>
      <c r="J494" s="1"/>
    </row>
    <row r="495" spans="1:10">
      <c r="A495" s="1"/>
      <c r="B495" s="1"/>
      <c r="C495" s="1"/>
      <c r="D495" s="1"/>
      <c r="E495" s="1"/>
      <c r="F495" s="1"/>
      <c r="G495" s="1"/>
      <c r="H495" s="1"/>
      <c r="I495" s="1"/>
      <c r="J495" s="1"/>
    </row>
    <row r="496" spans="1:10">
      <c r="A496" s="1"/>
      <c r="B496" s="1"/>
      <c r="C496" s="1"/>
      <c r="D496" s="1"/>
      <c r="E496" s="1"/>
      <c r="F496" s="1"/>
      <c r="G496" s="1"/>
      <c r="H496" s="1"/>
      <c r="I496" s="1"/>
      <c r="J496" s="1"/>
    </row>
    <row r="497" spans="1:10">
      <c r="A497" s="1"/>
      <c r="B497" s="1"/>
      <c r="C497" s="1"/>
      <c r="D497" s="1"/>
      <c r="E497" s="1"/>
      <c r="F497" s="1"/>
      <c r="G497" s="1"/>
      <c r="H497" s="1"/>
      <c r="I497" s="1"/>
      <c r="J497" s="1"/>
    </row>
    <row r="498" spans="1:10">
      <c r="A498" s="1"/>
      <c r="B498" s="1"/>
      <c r="C498" s="1"/>
      <c r="D498" s="1"/>
      <c r="E498" s="1"/>
      <c r="F498" s="1"/>
      <c r="G498" s="1"/>
      <c r="H498" s="1"/>
      <c r="I498" s="1"/>
      <c r="J498" s="1"/>
    </row>
    <row r="499" spans="1:10">
      <c r="A499" s="1"/>
      <c r="B499" s="1"/>
      <c r="C499" s="1"/>
      <c r="D499" s="1"/>
      <c r="E499" s="1"/>
      <c r="F499" s="1"/>
      <c r="G499" s="1"/>
      <c r="H499" s="1"/>
      <c r="I499" s="1"/>
      <c r="J499" s="1"/>
    </row>
    <row r="500" spans="1:10">
      <c r="A500" s="1"/>
      <c r="B500" s="1"/>
      <c r="C500" s="1"/>
      <c r="D500" s="1"/>
      <c r="E500" s="1"/>
      <c r="F500" s="1"/>
      <c r="G500" s="1"/>
      <c r="H500" s="1"/>
      <c r="I500" s="1"/>
      <c r="J500" s="1"/>
    </row>
    <row r="501" spans="1:10">
      <c r="A501" s="1"/>
      <c r="B501" s="1"/>
      <c r="C501" s="1"/>
      <c r="D501" s="1"/>
      <c r="E501" s="1"/>
      <c r="F501" s="1"/>
      <c r="G501" s="1"/>
      <c r="H501" s="1"/>
      <c r="I501" s="1"/>
      <c r="J501" s="1"/>
    </row>
    <row r="502" spans="1:10">
      <c r="A502" s="1"/>
      <c r="B502" s="1"/>
      <c r="C502" s="1"/>
      <c r="D502" s="1"/>
      <c r="E502" s="1"/>
      <c r="F502" s="1"/>
      <c r="G502" s="1"/>
      <c r="H502" s="1"/>
      <c r="I502" s="1"/>
      <c r="J502" s="1"/>
    </row>
    <row r="503" spans="1:10">
      <c r="A503" s="1"/>
      <c r="B503" s="1"/>
      <c r="C503" s="1"/>
      <c r="D503" s="1"/>
      <c r="E503" s="1"/>
      <c r="F503" s="1"/>
      <c r="G503" s="1"/>
      <c r="H503" s="1"/>
      <c r="I503" s="1"/>
      <c r="J503" s="1"/>
    </row>
    <row r="504" spans="1:10">
      <c r="A504" s="1"/>
      <c r="B504" s="1"/>
      <c r="C504" s="1"/>
      <c r="D504" s="1"/>
      <c r="E504" s="1"/>
      <c r="F504" s="1"/>
      <c r="G504" s="1"/>
      <c r="H504" s="1"/>
      <c r="I504" s="1"/>
      <c r="J504" s="1"/>
    </row>
    <row r="505" spans="1:10">
      <c r="A505" s="1"/>
      <c r="B505" s="1"/>
      <c r="C505" s="1"/>
      <c r="D505" s="1"/>
      <c r="E505" s="1"/>
      <c r="F505" s="1"/>
      <c r="G505" s="1"/>
      <c r="H505" s="1"/>
      <c r="I505" s="1"/>
      <c r="J505" s="1"/>
    </row>
    <row r="506" spans="1:10">
      <c r="A506" s="1"/>
      <c r="B506" s="1"/>
      <c r="C506" s="1"/>
      <c r="D506" s="1"/>
      <c r="E506" s="1"/>
      <c r="F506" s="1"/>
      <c r="G506" s="1"/>
      <c r="H506" s="1"/>
      <c r="I506" s="1"/>
      <c r="J506" s="1"/>
    </row>
    <row r="507" spans="1:10">
      <c r="A507" s="1"/>
      <c r="B507" s="1"/>
      <c r="C507" s="1"/>
      <c r="D507" s="1"/>
      <c r="E507" s="1"/>
      <c r="F507" s="1"/>
      <c r="G507" s="1"/>
      <c r="H507" s="1"/>
      <c r="I507" s="1"/>
      <c r="J507" s="1"/>
    </row>
    <row r="508" spans="1:10">
      <c r="A508" s="1"/>
      <c r="B508" s="1"/>
      <c r="C508" s="1"/>
      <c r="D508" s="1"/>
      <c r="E508" s="1"/>
      <c r="F508" s="1"/>
      <c r="G508" s="1"/>
      <c r="H508" s="1"/>
      <c r="I508" s="1"/>
      <c r="J508" s="1"/>
    </row>
    <row r="509" spans="1:10">
      <c r="A509" s="1"/>
      <c r="B509" s="1"/>
      <c r="C509" s="1"/>
      <c r="D509" s="1"/>
      <c r="E509" s="1"/>
      <c r="F509" s="1"/>
      <c r="G509" s="1"/>
      <c r="H509" s="1"/>
      <c r="I509" s="1"/>
      <c r="J509" s="1"/>
    </row>
    <row r="510" spans="1:10">
      <c r="A510" s="1"/>
      <c r="B510" s="1"/>
      <c r="C510" s="1"/>
      <c r="D510" s="1"/>
      <c r="E510" s="1"/>
      <c r="F510" s="1"/>
      <c r="G510" s="1"/>
      <c r="H510" s="1"/>
      <c r="I510" s="1"/>
      <c r="J510" s="1"/>
    </row>
    <row r="511" spans="1:10">
      <c r="A511" s="1"/>
      <c r="B511" s="1"/>
      <c r="C511" s="1"/>
      <c r="D511" s="1"/>
      <c r="E511" s="1"/>
      <c r="F511" s="1"/>
      <c r="G511" s="1"/>
      <c r="H511" s="1"/>
      <c r="I511" s="1"/>
      <c r="J511" s="1"/>
    </row>
    <row r="512" spans="1:10">
      <c r="A512" s="1"/>
      <c r="B512" s="1"/>
      <c r="C512" s="1"/>
      <c r="D512" s="1"/>
      <c r="E512" s="1"/>
      <c r="F512" s="1"/>
      <c r="G512" s="1"/>
      <c r="H512" s="1"/>
      <c r="I512" s="1"/>
      <c r="J512" s="1"/>
    </row>
    <row r="513" spans="1:10">
      <c r="A513" s="1"/>
      <c r="B513" s="1"/>
      <c r="C513" s="1"/>
      <c r="D513" s="1"/>
      <c r="E513" s="1"/>
      <c r="F513" s="1"/>
      <c r="G513" s="1"/>
      <c r="H513" s="1"/>
      <c r="I513" s="1"/>
      <c r="J513" s="1"/>
    </row>
    <row r="514" spans="1:10">
      <c r="A514" s="1"/>
      <c r="B514" s="1"/>
      <c r="C514" s="1"/>
      <c r="D514" s="1"/>
      <c r="E514" s="1"/>
      <c r="F514" s="1"/>
      <c r="G514" s="1"/>
      <c r="H514" s="1"/>
      <c r="I514" s="1"/>
      <c r="J514" s="1"/>
    </row>
    <row r="515" spans="1:10">
      <c r="A515" s="1"/>
      <c r="B515" s="1"/>
      <c r="C515" s="1"/>
      <c r="D515" s="1"/>
      <c r="E515" s="1"/>
      <c r="F515" s="1"/>
      <c r="G515" s="1"/>
      <c r="H515" s="1"/>
      <c r="I515" s="1"/>
      <c r="J515" s="1"/>
    </row>
    <row r="516" spans="1:10">
      <c r="A516" s="1"/>
      <c r="B516" s="1"/>
      <c r="C516" s="1"/>
      <c r="D516" s="1"/>
      <c r="E516" s="1"/>
      <c r="F516" s="1"/>
      <c r="G516" s="1"/>
      <c r="H516" s="1"/>
      <c r="I516" s="1"/>
      <c r="J516" s="1"/>
    </row>
    <row r="517" spans="1:10">
      <c r="A517" s="1"/>
      <c r="B517" s="1"/>
      <c r="C517" s="1"/>
      <c r="D517" s="1"/>
      <c r="E517" s="1"/>
      <c r="F517" s="1"/>
      <c r="G517" s="1"/>
      <c r="H517" s="1"/>
      <c r="I517" s="1"/>
      <c r="J517" s="1"/>
    </row>
    <row r="518" spans="1:10">
      <c r="A518" s="1"/>
      <c r="B518" s="1"/>
      <c r="C518" s="1"/>
      <c r="D518" s="1"/>
      <c r="E518" s="1"/>
      <c r="F518" s="1"/>
      <c r="G518" s="1"/>
      <c r="H518" s="1"/>
      <c r="I518" s="1"/>
      <c r="J518" s="1"/>
    </row>
    <row r="519" spans="1:10">
      <c r="A519" s="1"/>
      <c r="B519" s="1"/>
      <c r="C519" s="1"/>
      <c r="D519" s="1"/>
      <c r="E519" s="1"/>
      <c r="F519" s="1"/>
      <c r="G519" s="1"/>
      <c r="H519" s="1"/>
      <c r="I519" s="1"/>
      <c r="J519" s="1"/>
    </row>
    <row r="520" spans="1:10">
      <c r="A520" s="1"/>
      <c r="B520" s="1"/>
      <c r="C520" s="1"/>
      <c r="D520" s="1"/>
      <c r="E520" s="1"/>
      <c r="F520" s="1"/>
      <c r="G520" s="1"/>
      <c r="H520" s="1"/>
      <c r="I520" s="1"/>
      <c r="J520" s="1"/>
    </row>
    <row r="521" spans="1:10">
      <c r="A521" s="1"/>
      <c r="B521" s="1"/>
      <c r="C521" s="1"/>
      <c r="D521" s="1"/>
      <c r="E521" s="1"/>
      <c r="F521" s="1"/>
      <c r="G521" s="1"/>
      <c r="H521" s="1"/>
      <c r="I521" s="1"/>
      <c r="J521" s="1"/>
    </row>
    <row r="522" spans="1:10">
      <c r="A522" s="1"/>
      <c r="B522" s="1"/>
      <c r="C522" s="1"/>
      <c r="D522" s="1"/>
      <c r="E522" s="1"/>
      <c r="F522" s="1"/>
      <c r="G522" s="1"/>
      <c r="H522" s="1"/>
      <c r="I522" s="1"/>
      <c r="J522" s="1"/>
    </row>
    <row r="523" spans="1:10">
      <c r="A523" s="1"/>
      <c r="B523" s="1"/>
      <c r="C523" s="1"/>
      <c r="D523" s="1"/>
      <c r="E523" s="1"/>
      <c r="F523" s="1"/>
      <c r="G523" s="1"/>
      <c r="H523" s="1"/>
      <c r="I523" s="1"/>
      <c r="J523" s="1"/>
    </row>
    <row r="524" spans="1:10">
      <c r="A524" s="1"/>
      <c r="B524" s="1"/>
      <c r="C524" s="1"/>
      <c r="D524" s="1"/>
      <c r="E524" s="1"/>
      <c r="F524" s="1"/>
      <c r="G524" s="1"/>
      <c r="H524" s="1"/>
      <c r="I524" s="1"/>
      <c r="J524" s="1"/>
    </row>
    <row r="525" spans="1:10">
      <c r="A525" s="1"/>
      <c r="B525" s="1"/>
      <c r="C525" s="1"/>
      <c r="D525" s="1"/>
      <c r="E525" s="1"/>
      <c r="F525" s="1"/>
      <c r="G525" s="1"/>
      <c r="H525" s="1"/>
      <c r="I525" s="1"/>
      <c r="J525" s="1"/>
    </row>
    <row r="526" spans="1:10">
      <c r="A526" s="1"/>
      <c r="B526" s="1"/>
      <c r="C526" s="1"/>
      <c r="D526" s="1"/>
      <c r="E526" s="1"/>
      <c r="F526" s="1"/>
      <c r="G526" s="1"/>
      <c r="H526" s="1"/>
      <c r="I526" s="1"/>
      <c r="J526" s="1"/>
    </row>
    <row r="527" spans="1:10">
      <c r="A527" s="1"/>
      <c r="B527" s="1"/>
      <c r="C527" s="1"/>
      <c r="D527" s="1"/>
      <c r="E527" s="1"/>
      <c r="F527" s="1"/>
      <c r="G527" s="1"/>
      <c r="H527" s="1"/>
      <c r="I527" s="1"/>
      <c r="J527" s="1"/>
    </row>
    <row r="528" spans="1:10">
      <c r="A528" s="1"/>
      <c r="B528" s="1"/>
      <c r="C528" s="1"/>
      <c r="D528" s="1"/>
      <c r="E528" s="1"/>
      <c r="F528" s="1"/>
      <c r="G528" s="1"/>
      <c r="H528" s="1"/>
      <c r="I528" s="1"/>
      <c r="J528" s="1"/>
    </row>
    <row r="529" spans="1:10">
      <c r="A529" s="1"/>
      <c r="B529" s="1"/>
      <c r="C529" s="1"/>
      <c r="D529" s="1"/>
      <c r="E529" s="1"/>
      <c r="F529" s="1"/>
      <c r="G529" s="1"/>
      <c r="H529" s="1"/>
      <c r="I529" s="1"/>
      <c r="J529" s="1"/>
    </row>
    <row r="530" spans="1:10">
      <c r="A530" s="1"/>
      <c r="B530" s="1"/>
      <c r="C530" s="1"/>
      <c r="D530" s="1"/>
      <c r="E530" s="1"/>
      <c r="F530" s="1"/>
      <c r="G530" s="1"/>
      <c r="H530" s="1"/>
      <c r="I530" s="1"/>
      <c r="J530" s="1"/>
    </row>
    <row r="531" spans="1:10">
      <c r="A531" s="1"/>
      <c r="B531" s="1"/>
      <c r="C531" s="1"/>
      <c r="D531" s="1"/>
      <c r="E531" s="1"/>
      <c r="F531" s="1"/>
      <c r="G531" s="1"/>
      <c r="H531" s="1"/>
      <c r="I531" s="1"/>
      <c r="J531" s="1"/>
    </row>
    <row r="532" spans="1:10">
      <c r="A532" s="1"/>
      <c r="B532" s="1"/>
      <c r="C532" s="1"/>
      <c r="D532" s="1"/>
      <c r="E532" s="1"/>
      <c r="F532" s="1"/>
      <c r="G532" s="1"/>
      <c r="H532" s="1"/>
      <c r="I532" s="1"/>
      <c r="J532" s="1"/>
    </row>
    <row r="533" spans="1:10">
      <c r="A533" s="1"/>
      <c r="B533" s="1"/>
      <c r="C533" s="1"/>
      <c r="D533" s="1"/>
      <c r="E533" s="1"/>
      <c r="F533" s="1"/>
      <c r="G533" s="1"/>
      <c r="H533" s="1"/>
      <c r="I533" s="1"/>
      <c r="J533" s="1"/>
    </row>
    <row r="534" spans="1:10">
      <c r="A534" s="1"/>
      <c r="B534" s="1"/>
      <c r="C534" s="1"/>
      <c r="D534" s="1"/>
      <c r="E534" s="1"/>
      <c r="F534" s="1"/>
      <c r="G534" s="1"/>
      <c r="H534" s="1"/>
      <c r="I534" s="1"/>
      <c r="J534" s="1"/>
    </row>
    <row r="535" spans="1:10">
      <c r="A535" s="1"/>
      <c r="B535" s="1"/>
      <c r="C535" s="1"/>
      <c r="D535" s="1"/>
      <c r="E535" s="1"/>
      <c r="F535" s="1"/>
      <c r="G535" s="1"/>
      <c r="H535" s="1"/>
      <c r="I535" s="1"/>
      <c r="J535" s="1"/>
    </row>
    <row r="536" spans="1:10">
      <c r="A536" s="1"/>
      <c r="B536" s="1"/>
      <c r="C536" s="1"/>
      <c r="D536" s="1"/>
      <c r="E536" s="1"/>
      <c r="F536" s="1"/>
      <c r="G536" s="1"/>
      <c r="H536" s="1"/>
      <c r="I536" s="1"/>
      <c r="J536" s="1"/>
    </row>
    <row r="537" spans="1:10">
      <c r="A537" s="1"/>
      <c r="B537" s="1"/>
      <c r="C537" s="1"/>
      <c r="D537" s="1"/>
      <c r="E537" s="1"/>
      <c r="F537" s="1"/>
      <c r="G537" s="1"/>
      <c r="H537" s="1"/>
      <c r="I537" s="1"/>
      <c r="J537" s="1"/>
    </row>
    <row r="538" spans="1:10">
      <c r="A538" s="1"/>
      <c r="B538" s="1"/>
      <c r="C538" s="1"/>
      <c r="D538" s="1"/>
      <c r="E538" s="1"/>
      <c r="F538" s="1"/>
      <c r="G538" s="1"/>
      <c r="H538" s="1"/>
      <c r="I538" s="1"/>
      <c r="J538" s="1"/>
    </row>
    <row r="539" spans="1:10">
      <c r="A539" s="1"/>
      <c r="B539" s="1"/>
      <c r="C539" s="1"/>
      <c r="D539" s="1"/>
      <c r="E539" s="1"/>
      <c r="F539" s="1"/>
      <c r="G539" s="1"/>
      <c r="H539" s="1"/>
      <c r="I539" s="1"/>
      <c r="J539" s="1"/>
    </row>
    <row r="540" spans="1:10">
      <c r="A540" s="1"/>
      <c r="B540" s="1"/>
      <c r="C540" s="1"/>
      <c r="D540" s="1"/>
      <c r="E540" s="1"/>
      <c r="F540" s="1"/>
      <c r="G540" s="1"/>
      <c r="H540" s="1"/>
      <c r="I540" s="1"/>
      <c r="J540" s="1"/>
    </row>
    <row r="541" spans="1:10">
      <c r="A541" s="1"/>
      <c r="B541" s="1"/>
      <c r="C541" s="1"/>
      <c r="D541" s="1"/>
      <c r="E541" s="1"/>
      <c r="F541" s="1"/>
      <c r="G541" s="1"/>
      <c r="H541" s="1"/>
      <c r="I541" s="1"/>
      <c r="J541" s="1"/>
    </row>
    <row r="542" spans="1:10">
      <c r="A542" s="1"/>
      <c r="B542" s="1"/>
      <c r="C542" s="1"/>
      <c r="D542" s="1"/>
      <c r="E542" s="1"/>
      <c r="F542" s="1"/>
      <c r="G542" s="1"/>
      <c r="H542" s="1"/>
      <c r="I542" s="1"/>
      <c r="J542" s="1"/>
    </row>
    <row r="543" spans="1:10">
      <c r="A543" s="1"/>
      <c r="B543" s="1"/>
      <c r="C543" s="1"/>
      <c r="D543" s="1"/>
      <c r="E543" s="1"/>
      <c r="F543" s="1"/>
      <c r="G543" s="1"/>
      <c r="H543" s="1"/>
      <c r="I543" s="1"/>
      <c r="J543" s="1"/>
    </row>
    <row r="544" spans="1:10">
      <c r="A544" s="1"/>
      <c r="B544" s="1"/>
      <c r="C544" s="1"/>
      <c r="D544" s="1"/>
      <c r="E544" s="1"/>
      <c r="F544" s="1"/>
      <c r="G544" s="1"/>
      <c r="H544" s="1"/>
      <c r="I544" s="1"/>
      <c r="J544" s="1"/>
    </row>
    <row r="545" spans="1:10">
      <c r="A545" s="1"/>
      <c r="B545" s="1"/>
      <c r="C545" s="1"/>
      <c r="D545" s="1"/>
      <c r="E545" s="1"/>
      <c r="F545" s="1"/>
      <c r="G545" s="1"/>
      <c r="H545" s="1"/>
      <c r="I545" s="1"/>
      <c r="J545" s="1"/>
    </row>
    <row r="546" spans="1:10">
      <c r="A546" s="1"/>
      <c r="B546" s="1"/>
      <c r="C546" s="1"/>
      <c r="D546" s="1"/>
      <c r="E546" s="1"/>
      <c r="F546" s="1"/>
      <c r="G546" s="1"/>
      <c r="H546" s="1"/>
      <c r="I546" s="1"/>
      <c r="J546" s="1"/>
    </row>
    <row r="547" spans="1:10">
      <c r="A547" s="1"/>
      <c r="B547" s="1"/>
      <c r="C547" s="1"/>
      <c r="D547" s="1"/>
      <c r="E547" s="1"/>
      <c r="F547" s="1"/>
      <c r="G547" s="1"/>
      <c r="H547" s="1"/>
      <c r="I547" s="1"/>
      <c r="J547" s="1"/>
    </row>
    <row r="548" spans="1:10">
      <c r="A548" s="1"/>
      <c r="B548" s="1"/>
      <c r="C548" s="1"/>
      <c r="D548" s="1"/>
      <c r="E548" s="1"/>
      <c r="F548" s="1"/>
      <c r="G548" s="1"/>
      <c r="H548" s="1"/>
      <c r="I548" s="1"/>
      <c r="J548" s="1"/>
    </row>
    <row r="549" spans="1:10">
      <c r="A549" s="1"/>
      <c r="B549" s="1"/>
      <c r="C549" s="1"/>
      <c r="D549" s="1"/>
      <c r="E549" s="1"/>
      <c r="F549" s="1"/>
      <c r="G549" s="1"/>
      <c r="H549" s="1"/>
      <c r="I549" s="1"/>
      <c r="J549" s="1"/>
    </row>
    <row r="550" spans="1:10">
      <c r="A550" s="1"/>
      <c r="B550" s="1"/>
      <c r="C550" s="1"/>
      <c r="D550" s="1"/>
      <c r="E550" s="1"/>
      <c r="F550" s="1"/>
      <c r="G550" s="1"/>
      <c r="H550" s="1"/>
      <c r="I550" s="1"/>
      <c r="J550" s="1"/>
    </row>
    <row r="551" spans="1:10">
      <c r="A551" s="1"/>
      <c r="B551" s="1"/>
      <c r="C551" s="1"/>
      <c r="D551" s="1"/>
      <c r="E551" s="1"/>
      <c r="F551" s="1"/>
      <c r="G551" s="1"/>
      <c r="H551" s="1"/>
      <c r="I551" s="1"/>
      <c r="J551" s="1"/>
    </row>
    <row r="552" spans="1:10">
      <c r="A552" s="1"/>
      <c r="B552" s="1"/>
      <c r="C552" s="1"/>
      <c r="D552" s="1"/>
      <c r="E552" s="1"/>
      <c r="F552" s="1"/>
      <c r="G552" s="1"/>
      <c r="H552" s="1"/>
      <c r="I552" s="1"/>
      <c r="J552" s="1"/>
    </row>
    <row r="553" spans="1:10">
      <c r="A553" s="1"/>
      <c r="B553" s="1"/>
      <c r="C553" s="1"/>
      <c r="D553" s="1"/>
      <c r="E553" s="1"/>
      <c r="F553" s="1"/>
      <c r="G553" s="1"/>
      <c r="H553" s="1"/>
      <c r="I553" s="1"/>
      <c r="J553" s="1"/>
    </row>
    <row r="554" spans="1:10">
      <c r="A554" s="1"/>
      <c r="B554" s="1"/>
      <c r="C554" s="1"/>
      <c r="D554" s="1"/>
      <c r="E554" s="1"/>
      <c r="F554" s="1"/>
      <c r="G554" s="1"/>
      <c r="H554" s="1"/>
      <c r="I554" s="1"/>
      <c r="J554" s="1"/>
    </row>
    <row r="555" spans="1:10">
      <c r="A555" s="1"/>
      <c r="B555" s="1"/>
      <c r="C555" s="1"/>
      <c r="D555" s="1"/>
      <c r="E555" s="1"/>
      <c r="F555" s="1"/>
      <c r="G555" s="1"/>
      <c r="H555" s="1"/>
      <c r="I555" s="1"/>
      <c r="J555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5336-2A52-4AA2-AB61-5576A32B8DF9}">
  <dimension ref="B2:D18"/>
  <sheetViews>
    <sheetView workbookViewId="0">
      <selection activeCell="B16" sqref="B16"/>
    </sheetView>
  </sheetViews>
  <sheetFormatPr defaultRowHeight="18.75"/>
  <cols>
    <col min="2" max="2" width="15.375" customWidth="1"/>
    <col min="3" max="3" width="17.25" customWidth="1"/>
    <col min="4" max="4" width="40.25" customWidth="1"/>
  </cols>
  <sheetData>
    <row r="2" spans="2:4">
      <c r="B2" t="s">
        <v>85</v>
      </c>
    </row>
    <row r="3" spans="2:4">
      <c r="B3" t="s">
        <v>86</v>
      </c>
      <c r="C3" t="s">
        <v>87</v>
      </c>
    </row>
    <row r="4" spans="2:4">
      <c r="B4" t="s">
        <v>88</v>
      </c>
      <c r="C4" t="s">
        <v>89</v>
      </c>
      <c r="D4" t="s">
        <v>90</v>
      </c>
    </row>
    <row r="5" spans="2:4">
      <c r="B5" t="s">
        <v>91</v>
      </c>
      <c r="C5" t="s">
        <v>92</v>
      </c>
      <c r="D5" t="s">
        <v>93</v>
      </c>
    </row>
    <row r="6" spans="2:4">
      <c r="B6" t="s">
        <v>94</v>
      </c>
      <c r="C6" t="s">
        <v>95</v>
      </c>
      <c r="D6" t="s">
        <v>96</v>
      </c>
    </row>
    <row r="7" spans="2:4">
      <c r="B7" t="s">
        <v>97</v>
      </c>
      <c r="C7" t="s">
        <v>98</v>
      </c>
      <c r="D7" t="s">
        <v>99</v>
      </c>
    </row>
    <row r="8" spans="2:4">
      <c r="B8" t="s">
        <v>100</v>
      </c>
      <c r="C8" t="s">
        <v>101</v>
      </c>
    </row>
    <row r="9" spans="2:4">
      <c r="B9" t="s">
        <v>512</v>
      </c>
      <c r="C9" t="s">
        <v>513</v>
      </c>
      <c r="D9" t="s">
        <v>514</v>
      </c>
    </row>
    <row r="12" spans="2:4">
      <c r="C12" s="2" t="s">
        <v>102</v>
      </c>
    </row>
    <row r="13" spans="2:4">
      <c r="C13" s="2" t="s">
        <v>103</v>
      </c>
    </row>
    <row r="15" spans="2:4">
      <c r="B15" t="s">
        <v>104</v>
      </c>
    </row>
    <row r="16" spans="2:4">
      <c r="B16" s="2" t="s">
        <v>105</v>
      </c>
    </row>
    <row r="17" spans="2:2">
      <c r="B17" t="s">
        <v>106</v>
      </c>
    </row>
    <row r="18" spans="2:2">
      <c r="B18" s="2" t="s">
        <v>107</v>
      </c>
    </row>
  </sheetData>
  <phoneticPr fontId="1"/>
  <hyperlinks>
    <hyperlink ref="C13" r:id="rId1" location="RssMarketHeader" xr:uid="{B27D183F-3794-423B-8439-62BD645C2910}"/>
    <hyperlink ref="C12" r:id="rId2" xr:uid="{F6D7464D-BBE2-42B6-8767-09F409BA885B}"/>
    <hyperlink ref="B16" r:id="rId3" xr:uid="{8780ADF6-AD90-498F-B31D-884C440E764D}"/>
    <hyperlink ref="B18" r:id="rId4" location="RssExecutionList" xr:uid="{27C7BF1F-C4EB-4EA2-A48E-09710F721EC4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1758-79C3-45DB-A222-6568341492A3}">
  <dimension ref="B1:P26"/>
  <sheetViews>
    <sheetView workbookViewId="0">
      <selection activeCell="J14" sqref="J14"/>
    </sheetView>
  </sheetViews>
  <sheetFormatPr defaultRowHeight="15.75"/>
  <cols>
    <col min="1" max="1" width="3.875" style="14" customWidth="1"/>
    <col min="2" max="4" width="9" style="14"/>
    <col min="5" max="5" width="3.375" style="14" customWidth="1"/>
    <col min="6" max="8" width="9" style="14"/>
    <col min="9" max="9" width="5.125" style="14" customWidth="1"/>
    <col min="10" max="10" width="16.375" style="14" customWidth="1"/>
    <col min="11" max="12" width="9" style="14"/>
    <col min="13" max="14" width="13.5" style="14" customWidth="1"/>
    <col min="15" max="15" width="15.625" style="14" customWidth="1"/>
    <col min="16" max="16" width="13" style="14" customWidth="1"/>
    <col min="17" max="16384" width="9" style="14"/>
  </cols>
  <sheetData>
    <row r="1" spans="2:16">
      <c r="B1" s="14">
        <v>7203</v>
      </c>
      <c r="C1" s="14" t="str">
        <f>_xll.RssMarket($B$1,"銘柄名称")</f>
        <v/>
      </c>
    </row>
    <row r="2" spans="2:16">
      <c r="B2" s="14" t="str">
        <f>_xll.RssTickList(B3:D3,$B$1,20)</f>
        <v>=@RssTickList(B3:D3,$B$1,20) =&gt; マーケットスピード II にログインして「接続中」の状態に変更してから利用してください。</v>
      </c>
    </row>
    <row r="3" spans="2:16">
      <c r="B3" s="15" t="s">
        <v>1157</v>
      </c>
      <c r="C3" s="15" t="s">
        <v>1158</v>
      </c>
      <c r="D3" s="15" t="s">
        <v>1159</v>
      </c>
      <c r="F3" s="15" t="s">
        <v>1160</v>
      </c>
      <c r="G3" s="15" t="s">
        <v>1161</v>
      </c>
      <c r="H3" s="15" t="s">
        <v>1162</v>
      </c>
      <c r="J3" s="17" t="s">
        <v>1165</v>
      </c>
      <c r="K3" s="18" t="str">
        <f>_xll.RssMarket($B$1,"現在値")</f>
        <v/>
      </c>
      <c r="L3" s="19" t="str">
        <f>_xll.RssMarket($B$1,"現在値時刻")</f>
        <v/>
      </c>
      <c r="M3" s="17" t="s">
        <v>1166</v>
      </c>
      <c r="N3" s="20" t="str">
        <f>_xll.RssMarket($B$1,M3)</f>
        <v/>
      </c>
      <c r="O3" s="17" t="s">
        <v>1167</v>
      </c>
      <c r="P3" s="20" t="str">
        <f>_xll.RssMarket($B$1,"出来高加重平均")</f>
        <v/>
      </c>
    </row>
    <row r="4" spans="2:16">
      <c r="B4" s="15" t="s">
        <v>1201</v>
      </c>
      <c r="C4" s="15">
        <v>6972100</v>
      </c>
      <c r="D4" s="15">
        <v>3105</v>
      </c>
      <c r="F4" s="15" t="str">
        <f>_xll.RssMarket($B$1,"売成行数量")</f>
        <v/>
      </c>
      <c r="G4" s="15" t="s">
        <v>217</v>
      </c>
      <c r="H4" s="15" t="str">
        <f>_xll.RssMarket($B$1,"買成行数量")</f>
        <v/>
      </c>
      <c r="J4" s="17" t="s">
        <v>1168</v>
      </c>
      <c r="K4" s="18" t="str">
        <f>_xll.RssMarket($B$1,"最良売気配値")</f>
        <v/>
      </c>
      <c r="L4" s="19" t="str">
        <f>_xll.RssMarket($B$1,"最良売気配時刻")</f>
        <v/>
      </c>
      <c r="M4" s="17" t="s">
        <v>1169</v>
      </c>
      <c r="N4" s="21" t="e">
        <f>_xll.RssMarket($B$1,M4)/100</f>
        <v>#VALUE!</v>
      </c>
      <c r="O4" s="22" t="s">
        <v>1170</v>
      </c>
      <c r="P4" s="23" t="str">
        <f>_xll.RssMarket($B$1,"時価総額")</f>
        <v/>
      </c>
    </row>
    <row r="5" spans="2:16">
      <c r="B5" s="15" t="s">
        <v>1202</v>
      </c>
      <c r="C5" s="15">
        <v>100</v>
      </c>
      <c r="D5" s="15">
        <v>3096</v>
      </c>
      <c r="F5" s="15" t="str">
        <f>_xll.RssMarket($B$1,"OVER気配数量")</f>
        <v/>
      </c>
      <c r="G5" s="15" t="s">
        <v>1163</v>
      </c>
      <c r="H5" s="15"/>
      <c r="J5" s="17" t="s">
        <v>1171</v>
      </c>
      <c r="K5" s="18" t="str">
        <f>_xll.RssMarket($B$1,"最良買気配値")</f>
        <v/>
      </c>
      <c r="L5" s="19" t="str">
        <f>_xll.RssMarket($B$1,"最良買気配時刻")</f>
        <v/>
      </c>
      <c r="M5" s="17" t="s">
        <v>1172</v>
      </c>
      <c r="N5" s="23" t="str">
        <f>_xll.RssMarket($B$1,M5)</f>
        <v/>
      </c>
      <c r="O5" s="22" t="s">
        <v>1173</v>
      </c>
      <c r="P5" s="24" t="str">
        <f>_xll.RssMarket($B$1,O5)</f>
        <v/>
      </c>
    </row>
    <row r="6" spans="2:16">
      <c r="B6" s="15" t="s">
        <v>1202</v>
      </c>
      <c r="C6" s="15">
        <v>700</v>
      </c>
      <c r="D6" s="15">
        <v>3096</v>
      </c>
      <c r="F6" s="15" t="str">
        <f>_xll.RssMarket($B$1,"最良売気配数量10")</f>
        <v/>
      </c>
      <c r="G6" s="15" t="str">
        <f>_xll.RssMarket($B$1,"最良売気配値10")</f>
        <v/>
      </c>
      <c r="H6" s="15"/>
      <c r="J6" s="17" t="s">
        <v>1174</v>
      </c>
      <c r="K6" s="18" t="str">
        <f>_xll.RssMarket($B$1,"始値")</f>
        <v/>
      </c>
      <c r="L6" s="19" t="str">
        <f>_xll.RssMarket($B$1,"始値時刻")</f>
        <v/>
      </c>
      <c r="M6" s="17" t="s">
        <v>1175</v>
      </c>
      <c r="N6" s="20" t="str">
        <f>_xll.RssMarket($B$1,M6)</f>
        <v/>
      </c>
      <c r="O6" s="22" t="s">
        <v>1176</v>
      </c>
      <c r="P6" s="24" t="str">
        <f>_xll.RssMarket($B$1,O6)</f>
        <v/>
      </c>
    </row>
    <row r="7" spans="2:16">
      <c r="B7" s="15" t="s">
        <v>1203</v>
      </c>
      <c r="C7" s="15">
        <v>400</v>
      </c>
      <c r="D7" s="15">
        <v>3095</v>
      </c>
      <c r="F7" s="15" t="str">
        <f>_xll.RssMarket($B$1,"最良売気配数量9")</f>
        <v/>
      </c>
      <c r="G7" s="15" t="str">
        <f>_xll.RssMarket($B$1,"最良売気配値9")</f>
        <v/>
      </c>
      <c r="H7" s="15"/>
      <c r="J7" s="17" t="s">
        <v>1177</v>
      </c>
      <c r="K7" s="18" t="str">
        <f>_xll.RssMarket($B$1,"高値")</f>
        <v/>
      </c>
      <c r="L7" s="19" t="str">
        <f>_xll.RssMarket($B$1,"高値時刻")</f>
        <v/>
      </c>
      <c r="M7" s="17" t="s">
        <v>1178</v>
      </c>
      <c r="N7" s="23" t="str">
        <f>_xll.RssMarket($B$1,M7)</f>
        <v/>
      </c>
      <c r="O7" s="25"/>
      <c r="P7" s="25"/>
    </row>
    <row r="8" spans="2:16">
      <c r="B8" s="15" t="s">
        <v>1204</v>
      </c>
      <c r="C8" s="15">
        <v>100</v>
      </c>
      <c r="D8" s="15">
        <v>3096</v>
      </c>
      <c r="F8" s="15" t="str">
        <f>_xll.RssMarket($B$1,"最良売気配数量8")</f>
        <v/>
      </c>
      <c r="G8" s="15" t="str">
        <f>_xll.RssMarket($B$1,"最良売気配値8")</f>
        <v/>
      </c>
      <c r="H8" s="15"/>
      <c r="J8" s="17" t="s">
        <v>1179</v>
      </c>
      <c r="K8" s="18" t="str">
        <f>_xll.RssMarket($B$1,"安値")</f>
        <v/>
      </c>
      <c r="L8" s="19" t="str">
        <f>_xll.RssMarket($B$1,"安値時刻")</f>
        <v/>
      </c>
      <c r="M8" s="17" t="s">
        <v>1180</v>
      </c>
      <c r="N8" s="23" t="str">
        <f>_xll.RssMarket($B$1,"売買代金")</f>
        <v/>
      </c>
      <c r="O8" s="25"/>
      <c r="P8" s="26"/>
    </row>
    <row r="9" spans="2:16">
      <c r="B9" s="15" t="s">
        <v>1204</v>
      </c>
      <c r="C9" s="15">
        <v>100</v>
      </c>
      <c r="D9" s="15">
        <v>3096</v>
      </c>
      <c r="F9" s="15" t="str">
        <f>_xll.RssMarket($B$1,"最良売気配数量7")</f>
        <v/>
      </c>
      <c r="G9" s="15" t="str">
        <f>_xll.RssMarket($B$1,"最良売気配値7")</f>
        <v/>
      </c>
      <c r="H9" s="15"/>
    </row>
    <row r="10" spans="2:16">
      <c r="B10" s="15" t="s">
        <v>1204</v>
      </c>
      <c r="C10" s="15">
        <v>1000</v>
      </c>
      <c r="D10" s="15">
        <v>3095</v>
      </c>
      <c r="F10" s="15" t="str">
        <f>_xll.RssMarket($B$1,"最良売気配数量6")</f>
        <v/>
      </c>
      <c r="G10" s="15" t="str">
        <f>_xll.RssMarket($B$1,"最良売気配値6")</f>
        <v/>
      </c>
      <c r="H10" s="15"/>
    </row>
    <row r="11" spans="2:16">
      <c r="B11" s="15" t="s">
        <v>1205</v>
      </c>
      <c r="C11" s="15">
        <v>100</v>
      </c>
      <c r="D11" s="15">
        <v>3094</v>
      </c>
      <c r="F11" s="15" t="str">
        <f>_xll.RssMarket($B$1,"最良売気配数量5")</f>
        <v/>
      </c>
      <c r="G11" s="15" t="str">
        <f>_xll.RssMarket($B$1,"最良売気配値5")</f>
        <v/>
      </c>
      <c r="H11" s="15"/>
    </row>
    <row r="12" spans="2:16">
      <c r="B12" s="15" t="s">
        <v>1205</v>
      </c>
      <c r="C12" s="15">
        <v>900</v>
      </c>
      <c r="D12" s="15">
        <v>3095</v>
      </c>
      <c r="F12" s="15" t="str">
        <f>_xll.RssMarket($B$1,"最良売気配数量4")</f>
        <v/>
      </c>
      <c r="G12" s="15" t="str">
        <f>_xll.RssMarket($B$1,"最良売気配値4")</f>
        <v/>
      </c>
      <c r="H12" s="15"/>
    </row>
    <row r="13" spans="2:16">
      <c r="B13" s="15" t="s">
        <v>1205</v>
      </c>
      <c r="C13" s="15">
        <v>400</v>
      </c>
      <c r="D13" s="15">
        <v>3094</v>
      </c>
      <c r="F13" s="15" t="str">
        <f>_xll.RssMarket($B$1,"最良売気配数量3")</f>
        <v/>
      </c>
      <c r="G13" s="15" t="str">
        <f>_xll.RssMarket($B$1,"最良売気配値3")</f>
        <v/>
      </c>
      <c r="H13" s="15"/>
    </row>
    <row r="14" spans="2:16">
      <c r="B14" s="15" t="s">
        <v>1206</v>
      </c>
      <c r="C14" s="15">
        <v>100</v>
      </c>
      <c r="D14" s="15">
        <v>3094</v>
      </c>
      <c r="F14" s="15" t="str">
        <f>_xll.RssMarket($B$1,"最良売気配数量2")</f>
        <v/>
      </c>
      <c r="G14" s="15" t="str">
        <f>_xll.RssMarket($B$1,"最良売気配値2")</f>
        <v/>
      </c>
      <c r="H14" s="15"/>
    </row>
    <row r="15" spans="2:16">
      <c r="B15" s="15" t="s">
        <v>1206</v>
      </c>
      <c r="C15" s="15">
        <v>200</v>
      </c>
      <c r="D15" s="15">
        <v>3095</v>
      </c>
      <c r="F15" s="15" t="str">
        <f>_xll.RssMarket($B$1,"最良売気配数量1")</f>
        <v/>
      </c>
      <c r="G15" s="15" t="str">
        <f>_xll.RssMarket($B$1,"最良売気配値1")</f>
        <v/>
      </c>
      <c r="H15" s="15"/>
    </row>
    <row r="16" spans="2:16">
      <c r="B16" s="15" t="s">
        <v>1206</v>
      </c>
      <c r="C16" s="15">
        <v>200</v>
      </c>
      <c r="D16" s="15">
        <v>3095</v>
      </c>
      <c r="F16" s="15"/>
      <c r="G16" s="15" t="str">
        <f>_xll.RssMarket($B$1,"最良買気配値1")</f>
        <v/>
      </c>
      <c r="H16" s="15" t="str">
        <f>_xll.RssMarket($B$1,"最良買気配数量1")</f>
        <v/>
      </c>
    </row>
    <row r="17" spans="2:8">
      <c r="B17" s="15" t="s">
        <v>1206</v>
      </c>
      <c r="C17" s="15">
        <v>100</v>
      </c>
      <c r="D17" s="15">
        <v>3095</v>
      </c>
      <c r="F17" s="15"/>
      <c r="G17" s="15" t="str">
        <f>_xll.RssMarket($B$1,"最良買気配値2")</f>
        <v/>
      </c>
      <c r="H17" s="15" t="str">
        <f>_xll.RssMarket($B$1,"最良買気配数量2")</f>
        <v/>
      </c>
    </row>
    <row r="18" spans="2:8">
      <c r="B18" s="15" t="s">
        <v>1206</v>
      </c>
      <c r="C18" s="15">
        <v>100</v>
      </c>
      <c r="D18" s="15">
        <v>3094</v>
      </c>
      <c r="F18" s="15"/>
      <c r="G18" s="15" t="str">
        <f>_xll.RssMarket($B$1,"最良買気配値3")</f>
        <v/>
      </c>
      <c r="H18" s="15" t="str">
        <f>_xll.RssMarket($B$1,"最良買気配数量3")</f>
        <v/>
      </c>
    </row>
    <row r="19" spans="2:8">
      <c r="B19" s="15" t="s">
        <v>2024</v>
      </c>
      <c r="C19" s="15">
        <v>200</v>
      </c>
      <c r="D19" s="15">
        <v>3096</v>
      </c>
      <c r="F19" s="15"/>
      <c r="G19" s="15" t="str">
        <f>_xll.RssMarket($B$1,"最良買気配値4")</f>
        <v/>
      </c>
      <c r="H19" s="15" t="str">
        <f>_xll.RssMarket($B$1,"最良買気配数量4")</f>
        <v/>
      </c>
    </row>
    <row r="20" spans="2:8">
      <c r="B20" s="15" t="s">
        <v>2024</v>
      </c>
      <c r="C20" s="15">
        <v>100</v>
      </c>
      <c r="D20" s="15">
        <v>3096</v>
      </c>
      <c r="F20" s="15"/>
      <c r="G20" s="15" t="str">
        <f>_xll.RssMarket($B$1,"最良買気配値5")</f>
        <v/>
      </c>
      <c r="H20" s="15" t="str">
        <f>_xll.RssMarket($B$1,"最良買気配数量5")</f>
        <v/>
      </c>
    </row>
    <row r="21" spans="2:8">
      <c r="B21" s="15" t="s">
        <v>2024</v>
      </c>
      <c r="C21" s="15">
        <v>600</v>
      </c>
      <c r="D21" s="15">
        <v>3095</v>
      </c>
      <c r="F21" s="15"/>
      <c r="G21" s="15" t="str">
        <f>_xll.RssMarket($B$1,"最良買気配値6")</f>
        <v/>
      </c>
      <c r="H21" s="15" t="str">
        <f>_xll.RssMarket($B$1,"最良買気配数量6")</f>
        <v/>
      </c>
    </row>
    <row r="22" spans="2:8">
      <c r="B22" s="15" t="s">
        <v>2024</v>
      </c>
      <c r="C22" s="15">
        <v>300</v>
      </c>
      <c r="D22" s="15">
        <v>3095</v>
      </c>
      <c r="F22" s="15"/>
      <c r="G22" s="15" t="str">
        <f>_xll.RssMarket($B$1,"最良買気配値7")</f>
        <v/>
      </c>
      <c r="H22" s="15" t="str">
        <f>_xll.RssMarket($B$1,"最良買気配数量7")</f>
        <v/>
      </c>
    </row>
    <row r="23" spans="2:8">
      <c r="B23" s="15" t="s">
        <v>2023</v>
      </c>
      <c r="C23" s="15">
        <v>100</v>
      </c>
      <c r="D23" s="15">
        <v>3095</v>
      </c>
      <c r="F23" s="15"/>
      <c r="G23" s="15" t="str">
        <f>_xll.RssMarket($B$1,"最良買気配値8")</f>
        <v/>
      </c>
      <c r="H23" s="15" t="str">
        <f>_xll.RssMarket($B$1,"最良買気配数量8")</f>
        <v/>
      </c>
    </row>
    <row r="24" spans="2:8">
      <c r="B24" s="16" t="s">
        <v>64</v>
      </c>
      <c r="C24" s="16" t="s">
        <v>64</v>
      </c>
      <c r="D24" s="16" t="s">
        <v>64</v>
      </c>
      <c r="F24" s="15"/>
      <c r="G24" s="15" t="str">
        <f>_xll.RssMarket($B$1,"最良買気配値9")</f>
        <v/>
      </c>
      <c r="H24" s="15" t="str">
        <f>_xll.RssMarket($B$1,"最良買気配数量9")</f>
        <v/>
      </c>
    </row>
    <row r="25" spans="2:8">
      <c r="F25" s="15"/>
      <c r="G25" s="15" t="str">
        <f>_xll.RssMarket($B$1,"最良買気配値10")</f>
        <v/>
      </c>
      <c r="H25" s="15" t="str">
        <f>_xll.RssMarket($B$1,"最良買気配数量10")</f>
        <v/>
      </c>
    </row>
    <row r="26" spans="2:8">
      <c r="F26" s="15"/>
      <c r="G26" s="15" t="s">
        <v>1164</v>
      </c>
      <c r="H26" s="15" t="str">
        <f>_xll.RssMarket($B$1,"UNDER気配数量")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DC503-CACF-4ED1-BFB6-CAA6461F332E}">
  <dimension ref="A1:J753"/>
  <sheetViews>
    <sheetView workbookViewId="0">
      <selection sqref="A1:XFD1048576"/>
    </sheetView>
  </sheetViews>
  <sheetFormatPr defaultRowHeight="18.75"/>
  <cols>
    <col min="4" max="4" width="12.5" customWidth="1"/>
  </cols>
  <sheetData>
    <row r="1" spans="1:10">
      <c r="A1" t="str">
        <f>_xll.RssChart($A$2:$J$2, "7203.T", "1M", 332)</f>
        <v>=@RssChart($A$2:$J$2, "7203.T", "1M", 332) =&gt; マーケットスピード II にログインして「接続中」の状態に変更してから利用してください。</v>
      </c>
    </row>
    <row r="2" spans="1:10">
      <c r="A2" t="s">
        <v>11</v>
      </c>
      <c r="B2" t="s">
        <v>13</v>
      </c>
      <c r="C2" t="s">
        <v>1185</v>
      </c>
      <c r="D2" t="s">
        <v>1186</v>
      </c>
      <c r="E2" t="s">
        <v>1187</v>
      </c>
      <c r="F2" t="s">
        <v>1188</v>
      </c>
      <c r="G2" t="s">
        <v>1189</v>
      </c>
      <c r="H2" t="s">
        <v>1190</v>
      </c>
      <c r="I2" t="s">
        <v>1191</v>
      </c>
      <c r="J2" t="s">
        <v>1192</v>
      </c>
    </row>
    <row r="3" spans="1:10">
      <c r="A3" t="s">
        <v>1207</v>
      </c>
      <c r="B3" t="s">
        <v>130</v>
      </c>
      <c r="C3" t="s">
        <v>1208</v>
      </c>
      <c r="D3" t="s">
        <v>1865</v>
      </c>
      <c r="E3" t="s">
        <v>1209</v>
      </c>
      <c r="F3">
        <v>3101</v>
      </c>
      <c r="G3">
        <v>3114</v>
      </c>
      <c r="H3">
        <v>3082</v>
      </c>
      <c r="I3">
        <v>3082</v>
      </c>
      <c r="J3">
        <v>2230100</v>
      </c>
    </row>
    <row r="4" spans="1:10">
      <c r="A4" s="1"/>
      <c r="B4" s="1"/>
      <c r="C4" s="1"/>
      <c r="D4" s="1" t="s">
        <v>1865</v>
      </c>
      <c r="E4" s="1" t="s">
        <v>1210</v>
      </c>
      <c r="F4" s="1">
        <v>3082</v>
      </c>
      <c r="G4" s="1">
        <v>3103</v>
      </c>
      <c r="H4" s="1">
        <v>3082</v>
      </c>
      <c r="I4" s="1">
        <v>3100</v>
      </c>
      <c r="J4" s="1">
        <v>233400</v>
      </c>
    </row>
    <row r="5" spans="1:10">
      <c r="D5" t="s">
        <v>1865</v>
      </c>
      <c r="E5" t="s">
        <v>1211</v>
      </c>
      <c r="F5">
        <v>3101</v>
      </c>
      <c r="G5">
        <v>3111</v>
      </c>
      <c r="H5">
        <v>3100</v>
      </c>
      <c r="I5">
        <v>3104</v>
      </c>
      <c r="J5">
        <v>128200</v>
      </c>
    </row>
    <row r="6" spans="1:10">
      <c r="D6" t="s">
        <v>1865</v>
      </c>
      <c r="E6" t="s">
        <v>1212</v>
      </c>
      <c r="F6">
        <v>3105</v>
      </c>
      <c r="G6">
        <v>3106</v>
      </c>
      <c r="H6">
        <v>3100</v>
      </c>
      <c r="I6">
        <v>3103</v>
      </c>
      <c r="J6">
        <v>150300</v>
      </c>
    </row>
    <row r="7" spans="1:10">
      <c r="D7" t="s">
        <v>1865</v>
      </c>
      <c r="E7" t="s">
        <v>1213</v>
      </c>
      <c r="F7">
        <v>3102</v>
      </c>
      <c r="G7">
        <v>3104</v>
      </c>
      <c r="H7">
        <v>3098</v>
      </c>
      <c r="I7">
        <v>3102</v>
      </c>
      <c r="J7">
        <v>86000</v>
      </c>
    </row>
    <row r="8" spans="1:10">
      <c r="D8" t="s">
        <v>1865</v>
      </c>
      <c r="E8" t="s">
        <v>1214</v>
      </c>
      <c r="F8">
        <v>3103</v>
      </c>
      <c r="G8">
        <v>3110</v>
      </c>
      <c r="H8">
        <v>3102</v>
      </c>
      <c r="I8">
        <v>3105</v>
      </c>
      <c r="J8">
        <v>119500</v>
      </c>
    </row>
    <row r="9" spans="1:10">
      <c r="D9" t="s">
        <v>1865</v>
      </c>
      <c r="E9" t="s">
        <v>1215</v>
      </c>
      <c r="F9">
        <v>3106</v>
      </c>
      <c r="G9">
        <v>3108</v>
      </c>
      <c r="H9">
        <v>3095</v>
      </c>
      <c r="I9">
        <v>3101</v>
      </c>
      <c r="J9">
        <v>118300</v>
      </c>
    </row>
    <row r="10" spans="1:10">
      <c r="D10" t="s">
        <v>1865</v>
      </c>
      <c r="E10" t="s">
        <v>1216</v>
      </c>
      <c r="F10">
        <v>3101</v>
      </c>
      <c r="G10">
        <v>3103</v>
      </c>
      <c r="H10">
        <v>3098</v>
      </c>
      <c r="I10">
        <v>3102</v>
      </c>
      <c r="J10">
        <v>72200</v>
      </c>
    </row>
    <row r="11" spans="1:10">
      <c r="D11" t="s">
        <v>1865</v>
      </c>
      <c r="E11" t="s">
        <v>1217</v>
      </c>
      <c r="F11">
        <v>3102</v>
      </c>
      <c r="G11">
        <v>3110</v>
      </c>
      <c r="H11">
        <v>3101</v>
      </c>
      <c r="I11">
        <v>3107</v>
      </c>
      <c r="J11">
        <v>149300</v>
      </c>
    </row>
    <row r="12" spans="1:10">
      <c r="D12" t="s">
        <v>1865</v>
      </c>
      <c r="E12" t="s">
        <v>1218</v>
      </c>
      <c r="F12">
        <v>3107</v>
      </c>
      <c r="G12">
        <v>3112</v>
      </c>
      <c r="H12">
        <v>3106</v>
      </c>
      <c r="I12">
        <v>3111</v>
      </c>
      <c r="J12">
        <v>138000</v>
      </c>
    </row>
    <row r="13" spans="1:10">
      <c r="A13" s="1"/>
      <c r="B13" s="1"/>
      <c r="C13" s="1"/>
      <c r="D13" s="1" t="s">
        <v>1865</v>
      </c>
      <c r="E13" s="1" t="s">
        <v>1219</v>
      </c>
      <c r="F13" s="1">
        <v>3111</v>
      </c>
      <c r="G13" s="1">
        <v>3114</v>
      </c>
      <c r="H13" s="1">
        <v>3108</v>
      </c>
      <c r="I13" s="1">
        <v>3112</v>
      </c>
      <c r="J13" s="1">
        <v>152600</v>
      </c>
    </row>
    <row r="14" spans="1:10">
      <c r="D14" t="s">
        <v>1865</v>
      </c>
      <c r="E14" t="s">
        <v>1220</v>
      </c>
      <c r="F14">
        <v>3112</v>
      </c>
      <c r="G14">
        <v>3119</v>
      </c>
      <c r="H14">
        <v>3108</v>
      </c>
      <c r="I14">
        <v>3115</v>
      </c>
      <c r="J14">
        <v>262700</v>
      </c>
    </row>
    <row r="15" spans="1:10">
      <c r="D15" t="s">
        <v>1865</v>
      </c>
      <c r="E15" t="s">
        <v>1221</v>
      </c>
      <c r="F15">
        <v>3116</v>
      </c>
      <c r="G15">
        <v>3116</v>
      </c>
      <c r="H15">
        <v>3111</v>
      </c>
      <c r="I15">
        <v>3114</v>
      </c>
      <c r="J15">
        <v>115900</v>
      </c>
    </row>
    <row r="16" spans="1:10">
      <c r="D16" t="s">
        <v>1865</v>
      </c>
      <c r="E16" t="s">
        <v>1222</v>
      </c>
      <c r="F16">
        <v>3113</v>
      </c>
      <c r="G16">
        <v>3114</v>
      </c>
      <c r="H16">
        <v>3105</v>
      </c>
      <c r="I16">
        <v>3107</v>
      </c>
      <c r="J16">
        <v>73300</v>
      </c>
    </row>
    <row r="17" spans="1:10">
      <c r="D17" t="s">
        <v>1865</v>
      </c>
      <c r="E17" t="s">
        <v>1223</v>
      </c>
      <c r="F17">
        <v>3107</v>
      </c>
      <c r="G17">
        <v>3111</v>
      </c>
      <c r="H17">
        <v>3104</v>
      </c>
      <c r="I17">
        <v>3105</v>
      </c>
      <c r="J17">
        <v>79900</v>
      </c>
    </row>
    <row r="18" spans="1:10">
      <c r="D18" t="s">
        <v>1865</v>
      </c>
      <c r="E18" t="s">
        <v>1224</v>
      </c>
      <c r="F18">
        <v>3105</v>
      </c>
      <c r="G18">
        <v>3112</v>
      </c>
      <c r="H18">
        <v>3104</v>
      </c>
      <c r="I18">
        <v>3108</v>
      </c>
      <c r="J18">
        <v>108600</v>
      </c>
    </row>
    <row r="19" spans="1:10">
      <c r="D19" t="s">
        <v>1865</v>
      </c>
      <c r="E19" t="s">
        <v>1225</v>
      </c>
      <c r="F19">
        <v>3108</v>
      </c>
      <c r="G19">
        <v>3112</v>
      </c>
      <c r="H19">
        <v>3107</v>
      </c>
      <c r="I19">
        <v>3109</v>
      </c>
      <c r="J19">
        <v>127000</v>
      </c>
    </row>
    <row r="20" spans="1:10">
      <c r="D20" t="s">
        <v>1865</v>
      </c>
      <c r="E20" t="s">
        <v>1226</v>
      </c>
      <c r="F20">
        <v>3109</v>
      </c>
      <c r="G20">
        <v>3116</v>
      </c>
      <c r="H20">
        <v>3108</v>
      </c>
      <c r="I20">
        <v>3110</v>
      </c>
      <c r="J20">
        <v>119300</v>
      </c>
    </row>
    <row r="21" spans="1:10">
      <c r="D21" t="s">
        <v>1865</v>
      </c>
      <c r="E21" t="s">
        <v>1227</v>
      </c>
      <c r="F21">
        <v>3112</v>
      </c>
      <c r="G21">
        <v>3113</v>
      </c>
      <c r="H21">
        <v>3109</v>
      </c>
      <c r="I21">
        <v>3111</v>
      </c>
      <c r="J21">
        <v>57300</v>
      </c>
    </row>
    <row r="22" spans="1:10">
      <c r="D22" t="s">
        <v>1865</v>
      </c>
      <c r="E22" t="s">
        <v>1228</v>
      </c>
      <c r="F22">
        <v>3110</v>
      </c>
      <c r="G22">
        <v>3114</v>
      </c>
      <c r="H22">
        <v>3110</v>
      </c>
      <c r="I22">
        <v>3111</v>
      </c>
      <c r="J22">
        <v>42900</v>
      </c>
    </row>
    <row r="23" spans="1:10">
      <c r="A23" s="1"/>
      <c r="B23" s="1"/>
      <c r="C23" s="1"/>
      <c r="D23" s="1" t="s">
        <v>1865</v>
      </c>
      <c r="E23" s="1" t="s">
        <v>1229</v>
      </c>
      <c r="F23" s="1">
        <v>3111</v>
      </c>
      <c r="G23" s="1">
        <v>3111</v>
      </c>
      <c r="H23" s="1">
        <v>3103</v>
      </c>
      <c r="I23" s="1">
        <v>3104</v>
      </c>
      <c r="J23" s="1">
        <v>50800</v>
      </c>
    </row>
    <row r="24" spans="1:10">
      <c r="A24" s="1"/>
      <c r="B24" s="1"/>
      <c r="C24" s="1"/>
      <c r="D24" s="1" t="s">
        <v>1865</v>
      </c>
      <c r="E24" s="1" t="s">
        <v>1230</v>
      </c>
      <c r="F24" s="1">
        <v>3104</v>
      </c>
      <c r="G24" s="1">
        <v>3106</v>
      </c>
      <c r="H24" s="1">
        <v>3099</v>
      </c>
      <c r="I24" s="1">
        <v>3106</v>
      </c>
      <c r="J24" s="1">
        <v>37800</v>
      </c>
    </row>
    <row r="25" spans="1:10">
      <c r="A25" s="1"/>
      <c r="B25" s="1"/>
      <c r="C25" s="1"/>
      <c r="D25" s="1" t="s">
        <v>1865</v>
      </c>
      <c r="E25" s="1" t="s">
        <v>1231</v>
      </c>
      <c r="F25" s="1">
        <v>3107</v>
      </c>
      <c r="G25" s="1">
        <v>3109</v>
      </c>
      <c r="H25" s="1">
        <v>3107</v>
      </c>
      <c r="I25" s="1">
        <v>3107</v>
      </c>
      <c r="J25" s="1">
        <v>45400</v>
      </c>
    </row>
    <row r="26" spans="1:10">
      <c r="D26" t="s">
        <v>1865</v>
      </c>
      <c r="E26" t="s">
        <v>1232</v>
      </c>
      <c r="F26">
        <v>3108</v>
      </c>
      <c r="G26">
        <v>3111</v>
      </c>
      <c r="H26">
        <v>3107</v>
      </c>
      <c r="I26">
        <v>3109</v>
      </c>
      <c r="J26">
        <v>56600</v>
      </c>
    </row>
    <row r="27" spans="1:10">
      <c r="D27" t="s">
        <v>1865</v>
      </c>
      <c r="E27" t="s">
        <v>1233</v>
      </c>
      <c r="F27">
        <v>3109</v>
      </c>
      <c r="G27">
        <v>3110</v>
      </c>
      <c r="H27">
        <v>3105</v>
      </c>
      <c r="I27">
        <v>3108</v>
      </c>
      <c r="J27">
        <v>42700</v>
      </c>
    </row>
    <row r="28" spans="1:10">
      <c r="A28" s="1"/>
      <c r="B28" s="1"/>
      <c r="C28" s="1"/>
      <c r="D28" s="1" t="s">
        <v>1865</v>
      </c>
      <c r="E28" s="1" t="s">
        <v>1234</v>
      </c>
      <c r="F28" s="1">
        <v>3108</v>
      </c>
      <c r="G28" s="1">
        <v>3111</v>
      </c>
      <c r="H28" s="1">
        <v>3106</v>
      </c>
      <c r="I28" s="1">
        <v>3109</v>
      </c>
      <c r="J28" s="1">
        <v>87700</v>
      </c>
    </row>
    <row r="29" spans="1:10">
      <c r="D29" t="s">
        <v>1865</v>
      </c>
      <c r="E29" t="s">
        <v>1235</v>
      </c>
      <c r="F29">
        <v>3109</v>
      </c>
      <c r="G29">
        <v>3111</v>
      </c>
      <c r="H29">
        <v>3107</v>
      </c>
      <c r="I29">
        <v>3109</v>
      </c>
      <c r="J29">
        <v>74200</v>
      </c>
    </row>
    <row r="30" spans="1:10">
      <c r="D30" t="s">
        <v>1865</v>
      </c>
      <c r="E30" t="s">
        <v>1236</v>
      </c>
      <c r="F30">
        <v>3108</v>
      </c>
      <c r="G30">
        <v>3109</v>
      </c>
      <c r="H30">
        <v>3105</v>
      </c>
      <c r="I30">
        <v>3109</v>
      </c>
      <c r="J30">
        <v>61800</v>
      </c>
    </row>
    <row r="31" spans="1:10">
      <c r="D31" t="s">
        <v>1865</v>
      </c>
      <c r="E31" t="s">
        <v>1237</v>
      </c>
      <c r="F31">
        <v>3109</v>
      </c>
      <c r="G31">
        <v>3114</v>
      </c>
      <c r="H31">
        <v>3109</v>
      </c>
      <c r="I31">
        <v>3113</v>
      </c>
      <c r="J31">
        <v>87200</v>
      </c>
    </row>
    <row r="32" spans="1:10">
      <c r="D32" t="s">
        <v>1865</v>
      </c>
      <c r="E32" t="s">
        <v>1238</v>
      </c>
      <c r="F32">
        <v>3112</v>
      </c>
      <c r="G32">
        <v>3114</v>
      </c>
      <c r="H32">
        <v>3110</v>
      </c>
      <c r="I32">
        <v>3112</v>
      </c>
      <c r="J32">
        <v>42000</v>
      </c>
    </row>
    <row r="33" spans="1:10">
      <c r="A33" s="1"/>
      <c r="B33" s="1"/>
      <c r="C33" s="1"/>
      <c r="D33" s="1" t="s">
        <v>1865</v>
      </c>
      <c r="E33" s="1" t="s">
        <v>1239</v>
      </c>
      <c r="F33" s="1">
        <v>3111</v>
      </c>
      <c r="G33" s="1">
        <v>3114</v>
      </c>
      <c r="H33" s="1">
        <v>3110</v>
      </c>
      <c r="I33" s="1">
        <v>3111</v>
      </c>
      <c r="J33" s="1">
        <v>55200</v>
      </c>
    </row>
    <row r="34" spans="1:10">
      <c r="A34" s="1"/>
      <c r="B34" s="1"/>
      <c r="C34" s="1"/>
      <c r="D34" s="1" t="s">
        <v>1865</v>
      </c>
      <c r="E34" s="1" t="s">
        <v>1240</v>
      </c>
      <c r="F34" s="1">
        <v>3111</v>
      </c>
      <c r="G34" s="1">
        <v>3111</v>
      </c>
      <c r="H34" s="1">
        <v>3103</v>
      </c>
      <c r="I34" s="1">
        <v>3103</v>
      </c>
      <c r="J34" s="1">
        <v>77100</v>
      </c>
    </row>
    <row r="35" spans="1:10">
      <c r="A35" s="1"/>
      <c r="B35" s="1"/>
      <c r="C35" s="1"/>
      <c r="D35" s="1" t="s">
        <v>1865</v>
      </c>
      <c r="E35" s="1" t="s">
        <v>1241</v>
      </c>
      <c r="F35" s="1">
        <v>3105</v>
      </c>
      <c r="G35" s="1">
        <v>3105</v>
      </c>
      <c r="H35" s="1">
        <v>3102</v>
      </c>
      <c r="I35" s="1">
        <v>3103</v>
      </c>
      <c r="J35" s="1">
        <v>45000</v>
      </c>
    </row>
    <row r="36" spans="1:10">
      <c r="D36" t="s">
        <v>1865</v>
      </c>
      <c r="E36" t="s">
        <v>1242</v>
      </c>
      <c r="F36">
        <v>3104</v>
      </c>
      <c r="G36">
        <v>3105</v>
      </c>
      <c r="H36">
        <v>3100</v>
      </c>
      <c r="I36">
        <v>3101</v>
      </c>
      <c r="J36">
        <v>45000</v>
      </c>
    </row>
    <row r="37" spans="1:10">
      <c r="D37" t="s">
        <v>1865</v>
      </c>
      <c r="E37" t="s">
        <v>1243</v>
      </c>
      <c r="F37">
        <v>3101</v>
      </c>
      <c r="G37">
        <v>3102</v>
      </c>
      <c r="H37">
        <v>3092</v>
      </c>
      <c r="I37">
        <v>3094</v>
      </c>
      <c r="J37">
        <v>72900</v>
      </c>
    </row>
    <row r="38" spans="1:10">
      <c r="D38" t="s">
        <v>1865</v>
      </c>
      <c r="E38" t="s">
        <v>1244</v>
      </c>
      <c r="F38">
        <v>3094</v>
      </c>
      <c r="G38">
        <v>3096</v>
      </c>
      <c r="H38">
        <v>3089</v>
      </c>
      <c r="I38">
        <v>3090</v>
      </c>
      <c r="J38">
        <v>86900</v>
      </c>
    </row>
    <row r="39" spans="1:10">
      <c r="D39" t="s">
        <v>1865</v>
      </c>
      <c r="E39" t="s">
        <v>1245</v>
      </c>
      <c r="F39">
        <v>3090</v>
      </c>
      <c r="G39">
        <v>3092</v>
      </c>
      <c r="H39">
        <v>3088</v>
      </c>
      <c r="I39">
        <v>3091</v>
      </c>
      <c r="J39">
        <v>58600</v>
      </c>
    </row>
    <row r="40" spans="1:10">
      <c r="D40" t="s">
        <v>1865</v>
      </c>
      <c r="E40" t="s">
        <v>1246</v>
      </c>
      <c r="F40">
        <v>3092</v>
      </c>
      <c r="G40">
        <v>3094</v>
      </c>
      <c r="H40">
        <v>3091</v>
      </c>
      <c r="I40">
        <v>3092</v>
      </c>
      <c r="J40">
        <v>43000</v>
      </c>
    </row>
    <row r="41" spans="1:10">
      <c r="D41" t="s">
        <v>1865</v>
      </c>
      <c r="E41" t="s">
        <v>1247</v>
      </c>
      <c r="F41">
        <v>3092</v>
      </c>
      <c r="G41">
        <v>3094</v>
      </c>
      <c r="H41">
        <v>3089</v>
      </c>
      <c r="I41">
        <v>3090</v>
      </c>
      <c r="J41">
        <v>38700</v>
      </c>
    </row>
    <row r="42" spans="1:10">
      <c r="D42" t="s">
        <v>1865</v>
      </c>
      <c r="E42" t="s">
        <v>1248</v>
      </c>
      <c r="F42">
        <v>3090</v>
      </c>
      <c r="G42">
        <v>3091</v>
      </c>
      <c r="H42">
        <v>3089</v>
      </c>
      <c r="I42">
        <v>3090</v>
      </c>
      <c r="J42">
        <v>24000</v>
      </c>
    </row>
    <row r="43" spans="1:10">
      <c r="D43" t="s">
        <v>1865</v>
      </c>
      <c r="E43" t="s">
        <v>1249</v>
      </c>
      <c r="F43">
        <v>3090</v>
      </c>
      <c r="G43">
        <v>3090</v>
      </c>
      <c r="H43">
        <v>3081</v>
      </c>
      <c r="I43">
        <v>3082</v>
      </c>
      <c r="J43">
        <v>124900</v>
      </c>
    </row>
    <row r="44" spans="1:10">
      <c r="D44" t="s">
        <v>1865</v>
      </c>
      <c r="E44" t="s">
        <v>1250</v>
      </c>
      <c r="F44">
        <v>3082</v>
      </c>
      <c r="G44">
        <v>3085</v>
      </c>
      <c r="H44">
        <v>3081</v>
      </c>
      <c r="I44">
        <v>3085</v>
      </c>
      <c r="J44">
        <v>99800</v>
      </c>
    </row>
    <row r="45" spans="1:10">
      <c r="D45" t="s">
        <v>1865</v>
      </c>
      <c r="E45" t="s">
        <v>1251</v>
      </c>
      <c r="F45">
        <v>3085</v>
      </c>
      <c r="G45">
        <v>3085</v>
      </c>
      <c r="H45">
        <v>3079</v>
      </c>
      <c r="I45">
        <v>3079</v>
      </c>
      <c r="J45">
        <v>71900</v>
      </c>
    </row>
    <row r="46" spans="1:10">
      <c r="D46" t="s">
        <v>1865</v>
      </c>
      <c r="E46" t="s">
        <v>1252</v>
      </c>
      <c r="F46">
        <v>3080</v>
      </c>
      <c r="G46">
        <v>3081</v>
      </c>
      <c r="H46">
        <v>3078</v>
      </c>
      <c r="I46">
        <v>3081</v>
      </c>
      <c r="J46">
        <v>40800</v>
      </c>
    </row>
    <row r="47" spans="1:10">
      <c r="D47" t="s">
        <v>1865</v>
      </c>
      <c r="E47" t="s">
        <v>1253</v>
      </c>
      <c r="F47">
        <v>3080</v>
      </c>
      <c r="G47">
        <v>3082</v>
      </c>
      <c r="H47">
        <v>3078</v>
      </c>
      <c r="I47">
        <v>3078</v>
      </c>
      <c r="J47">
        <v>31400</v>
      </c>
    </row>
    <row r="48" spans="1:10">
      <c r="D48" t="s">
        <v>1865</v>
      </c>
      <c r="E48" t="s">
        <v>1254</v>
      </c>
      <c r="F48">
        <v>3078</v>
      </c>
      <c r="G48">
        <v>3080</v>
      </c>
      <c r="H48">
        <v>3076</v>
      </c>
      <c r="I48">
        <v>3076</v>
      </c>
      <c r="J48">
        <v>68100</v>
      </c>
    </row>
    <row r="49" spans="1:10">
      <c r="D49" t="s">
        <v>1865</v>
      </c>
      <c r="E49" t="s">
        <v>1255</v>
      </c>
      <c r="F49">
        <v>3076</v>
      </c>
      <c r="G49">
        <v>3080</v>
      </c>
      <c r="H49">
        <v>3075</v>
      </c>
      <c r="I49">
        <v>3080</v>
      </c>
      <c r="J49">
        <v>39000</v>
      </c>
    </row>
    <row r="50" spans="1:10">
      <c r="D50" t="s">
        <v>1865</v>
      </c>
      <c r="E50" t="s">
        <v>1256</v>
      </c>
      <c r="F50">
        <v>3080</v>
      </c>
      <c r="G50">
        <v>3083</v>
      </c>
      <c r="H50">
        <v>3077</v>
      </c>
      <c r="I50">
        <v>3078</v>
      </c>
      <c r="J50">
        <v>61000</v>
      </c>
    </row>
    <row r="51" spans="1:10">
      <c r="D51" t="s">
        <v>1865</v>
      </c>
      <c r="E51" t="s">
        <v>1257</v>
      </c>
      <c r="F51">
        <v>3079</v>
      </c>
      <c r="G51">
        <v>3083</v>
      </c>
      <c r="H51">
        <v>3078</v>
      </c>
      <c r="I51">
        <v>3082</v>
      </c>
      <c r="J51">
        <v>48900</v>
      </c>
    </row>
    <row r="52" spans="1:10">
      <c r="D52" t="s">
        <v>1865</v>
      </c>
      <c r="E52" t="s">
        <v>1258</v>
      </c>
      <c r="F52">
        <v>3083</v>
      </c>
      <c r="G52">
        <v>3085</v>
      </c>
      <c r="H52">
        <v>3083</v>
      </c>
      <c r="I52">
        <v>3084</v>
      </c>
      <c r="J52">
        <v>42800</v>
      </c>
    </row>
    <row r="53" spans="1:10">
      <c r="A53" s="1"/>
      <c r="B53" s="1"/>
      <c r="C53" s="1"/>
      <c r="D53" s="1" t="s">
        <v>1865</v>
      </c>
      <c r="E53" s="1" t="s">
        <v>1259</v>
      </c>
      <c r="F53" s="1">
        <v>3085</v>
      </c>
      <c r="G53" s="1">
        <v>3086</v>
      </c>
      <c r="H53" s="1">
        <v>3083</v>
      </c>
      <c r="I53" s="1">
        <v>3085</v>
      </c>
      <c r="J53" s="1">
        <v>36300</v>
      </c>
    </row>
    <row r="54" spans="1:10">
      <c r="A54" s="1"/>
      <c r="B54" s="1"/>
      <c r="C54" s="1"/>
      <c r="D54" s="1" t="s">
        <v>1865</v>
      </c>
      <c r="E54" s="1" t="s">
        <v>1260</v>
      </c>
      <c r="F54" s="1">
        <v>3084</v>
      </c>
      <c r="G54" s="1">
        <v>3084</v>
      </c>
      <c r="H54" s="1">
        <v>3082</v>
      </c>
      <c r="I54" s="1">
        <v>3084</v>
      </c>
      <c r="J54" s="1">
        <v>26000</v>
      </c>
    </row>
    <row r="55" spans="1:10">
      <c r="A55" s="1"/>
      <c r="B55" s="1"/>
      <c r="C55" s="1"/>
      <c r="D55" s="1" t="s">
        <v>1865</v>
      </c>
      <c r="E55" s="1" t="s">
        <v>1261</v>
      </c>
      <c r="F55" s="1">
        <v>3084</v>
      </c>
      <c r="G55" s="1">
        <v>3088</v>
      </c>
      <c r="H55" s="1">
        <v>3083</v>
      </c>
      <c r="I55" s="1">
        <v>3088</v>
      </c>
      <c r="J55" s="1">
        <v>37900</v>
      </c>
    </row>
    <row r="56" spans="1:10">
      <c r="A56" s="1"/>
      <c r="B56" s="1"/>
      <c r="C56" s="1"/>
      <c r="D56" s="1" t="s">
        <v>1865</v>
      </c>
      <c r="E56" s="1" t="s">
        <v>1262</v>
      </c>
      <c r="F56" s="1">
        <v>3087</v>
      </c>
      <c r="G56" s="1">
        <v>3089</v>
      </c>
      <c r="H56" s="1">
        <v>3086</v>
      </c>
      <c r="I56" s="1">
        <v>3087</v>
      </c>
      <c r="J56" s="1">
        <v>41900</v>
      </c>
    </row>
    <row r="57" spans="1:10">
      <c r="D57" t="s">
        <v>1865</v>
      </c>
      <c r="E57" t="s">
        <v>1263</v>
      </c>
      <c r="F57">
        <v>3087</v>
      </c>
      <c r="G57">
        <v>3088</v>
      </c>
      <c r="H57">
        <v>3085</v>
      </c>
      <c r="I57">
        <v>3086</v>
      </c>
      <c r="J57">
        <v>27600</v>
      </c>
    </row>
    <row r="58" spans="1:10">
      <c r="D58" t="s">
        <v>1865</v>
      </c>
      <c r="E58" t="s">
        <v>1264</v>
      </c>
      <c r="F58">
        <v>3086</v>
      </c>
      <c r="G58">
        <v>3087</v>
      </c>
      <c r="H58">
        <v>3084</v>
      </c>
      <c r="I58">
        <v>3086</v>
      </c>
      <c r="J58">
        <v>26400</v>
      </c>
    </row>
    <row r="59" spans="1:10">
      <c r="D59" t="s">
        <v>1865</v>
      </c>
      <c r="E59" t="s">
        <v>1265</v>
      </c>
      <c r="F59">
        <v>3086</v>
      </c>
      <c r="G59">
        <v>3088</v>
      </c>
      <c r="H59">
        <v>3086</v>
      </c>
      <c r="I59">
        <v>3086</v>
      </c>
      <c r="J59">
        <v>20600</v>
      </c>
    </row>
    <row r="60" spans="1:10">
      <c r="D60" t="s">
        <v>1865</v>
      </c>
      <c r="E60" t="s">
        <v>1266</v>
      </c>
      <c r="F60">
        <v>3087</v>
      </c>
      <c r="G60">
        <v>3087</v>
      </c>
      <c r="H60">
        <v>3084</v>
      </c>
      <c r="I60">
        <v>3085</v>
      </c>
      <c r="J60">
        <v>13800</v>
      </c>
    </row>
    <row r="61" spans="1:10">
      <c r="D61" t="s">
        <v>1865</v>
      </c>
      <c r="E61" t="s">
        <v>1267</v>
      </c>
      <c r="F61">
        <v>3084</v>
      </c>
      <c r="G61">
        <v>3087</v>
      </c>
      <c r="H61">
        <v>3083</v>
      </c>
      <c r="I61">
        <v>3087</v>
      </c>
      <c r="J61">
        <v>26200</v>
      </c>
    </row>
    <row r="62" spans="1:10">
      <c r="D62" t="s">
        <v>1865</v>
      </c>
      <c r="E62" t="s">
        <v>1268</v>
      </c>
      <c r="F62">
        <v>3086</v>
      </c>
      <c r="G62">
        <v>3087</v>
      </c>
      <c r="H62">
        <v>3085</v>
      </c>
      <c r="I62">
        <v>3085</v>
      </c>
      <c r="J62">
        <v>30700</v>
      </c>
    </row>
    <row r="63" spans="1:10">
      <c r="A63" s="1"/>
      <c r="B63" s="1"/>
      <c r="C63" s="1"/>
      <c r="D63" s="1" t="s">
        <v>1865</v>
      </c>
      <c r="E63" s="1" t="s">
        <v>1269</v>
      </c>
      <c r="F63" s="1">
        <v>3086</v>
      </c>
      <c r="G63" s="1">
        <v>3086</v>
      </c>
      <c r="H63" s="1">
        <v>3084</v>
      </c>
      <c r="I63" s="1">
        <v>3085</v>
      </c>
      <c r="J63" s="1">
        <v>23000</v>
      </c>
    </row>
    <row r="64" spans="1:10">
      <c r="D64" t="s">
        <v>1865</v>
      </c>
      <c r="E64" t="s">
        <v>1270</v>
      </c>
      <c r="F64">
        <v>3086</v>
      </c>
      <c r="G64">
        <v>3087</v>
      </c>
      <c r="H64">
        <v>3085</v>
      </c>
      <c r="I64">
        <v>3087</v>
      </c>
      <c r="J64">
        <v>30300</v>
      </c>
    </row>
    <row r="65" spans="4:10">
      <c r="D65" t="s">
        <v>1865</v>
      </c>
      <c r="E65" t="s">
        <v>1271</v>
      </c>
      <c r="F65">
        <v>3087</v>
      </c>
      <c r="G65">
        <v>3087</v>
      </c>
      <c r="H65">
        <v>3082</v>
      </c>
      <c r="I65">
        <v>3083</v>
      </c>
      <c r="J65">
        <v>45700</v>
      </c>
    </row>
    <row r="66" spans="4:10">
      <c r="D66" t="s">
        <v>1865</v>
      </c>
      <c r="E66" t="s">
        <v>1272</v>
      </c>
      <c r="F66">
        <v>3083</v>
      </c>
      <c r="G66">
        <v>3085</v>
      </c>
      <c r="H66">
        <v>3083</v>
      </c>
      <c r="I66">
        <v>3083</v>
      </c>
      <c r="J66">
        <v>22700</v>
      </c>
    </row>
    <row r="67" spans="4:10">
      <c r="D67" t="s">
        <v>1865</v>
      </c>
      <c r="E67" t="s">
        <v>1273</v>
      </c>
      <c r="F67">
        <v>3083</v>
      </c>
      <c r="G67">
        <v>3084</v>
      </c>
      <c r="H67">
        <v>3081</v>
      </c>
      <c r="I67">
        <v>3083</v>
      </c>
      <c r="J67">
        <v>38400</v>
      </c>
    </row>
    <row r="68" spans="4:10">
      <c r="D68" t="s">
        <v>1865</v>
      </c>
      <c r="E68" t="s">
        <v>1274</v>
      </c>
      <c r="F68">
        <v>3083</v>
      </c>
      <c r="G68">
        <v>3085</v>
      </c>
      <c r="H68">
        <v>3083</v>
      </c>
      <c r="I68">
        <v>3085</v>
      </c>
      <c r="J68">
        <v>25400</v>
      </c>
    </row>
    <row r="69" spans="4:10">
      <c r="D69" t="s">
        <v>1865</v>
      </c>
      <c r="E69" t="s">
        <v>1275</v>
      </c>
      <c r="F69">
        <v>3086</v>
      </c>
      <c r="G69">
        <v>3086</v>
      </c>
      <c r="H69">
        <v>3084</v>
      </c>
      <c r="I69">
        <v>3085</v>
      </c>
      <c r="J69">
        <v>23800</v>
      </c>
    </row>
    <row r="70" spans="4:10">
      <c r="D70" t="s">
        <v>1865</v>
      </c>
      <c r="E70" t="s">
        <v>1276</v>
      </c>
      <c r="F70">
        <v>3085</v>
      </c>
      <c r="G70">
        <v>3085</v>
      </c>
      <c r="H70">
        <v>3083</v>
      </c>
      <c r="I70">
        <v>3083</v>
      </c>
      <c r="J70">
        <v>34600</v>
      </c>
    </row>
    <row r="71" spans="4:10">
      <c r="D71" t="s">
        <v>1865</v>
      </c>
      <c r="E71" t="s">
        <v>1277</v>
      </c>
      <c r="F71">
        <v>3084</v>
      </c>
      <c r="G71">
        <v>3085</v>
      </c>
      <c r="H71">
        <v>3082</v>
      </c>
      <c r="I71">
        <v>3083</v>
      </c>
      <c r="J71">
        <v>18800</v>
      </c>
    </row>
    <row r="72" spans="4:10">
      <c r="D72" t="s">
        <v>1865</v>
      </c>
      <c r="E72" t="s">
        <v>1278</v>
      </c>
      <c r="F72">
        <v>3082</v>
      </c>
      <c r="G72">
        <v>3083</v>
      </c>
      <c r="H72">
        <v>3080</v>
      </c>
      <c r="I72">
        <v>3081</v>
      </c>
      <c r="J72">
        <v>33700</v>
      </c>
    </row>
    <row r="73" spans="4:10">
      <c r="D73" t="s">
        <v>1865</v>
      </c>
      <c r="E73" t="s">
        <v>1279</v>
      </c>
      <c r="F73">
        <v>3082</v>
      </c>
      <c r="G73">
        <v>3082</v>
      </c>
      <c r="H73">
        <v>3079</v>
      </c>
      <c r="I73">
        <v>3080</v>
      </c>
      <c r="J73">
        <v>36100</v>
      </c>
    </row>
    <row r="74" spans="4:10">
      <c r="D74" t="s">
        <v>1865</v>
      </c>
      <c r="E74" t="s">
        <v>1280</v>
      </c>
      <c r="F74">
        <v>3079</v>
      </c>
      <c r="G74">
        <v>3079</v>
      </c>
      <c r="H74">
        <v>3074</v>
      </c>
      <c r="I74">
        <v>3076</v>
      </c>
      <c r="J74">
        <v>74900</v>
      </c>
    </row>
    <row r="75" spans="4:10">
      <c r="D75" t="s">
        <v>1865</v>
      </c>
      <c r="E75" t="s">
        <v>1281</v>
      </c>
      <c r="F75">
        <v>3076</v>
      </c>
      <c r="G75">
        <v>3080</v>
      </c>
      <c r="H75">
        <v>3076</v>
      </c>
      <c r="I75">
        <v>3078</v>
      </c>
      <c r="J75">
        <v>24200</v>
      </c>
    </row>
    <row r="76" spans="4:10">
      <c r="D76" t="s">
        <v>1865</v>
      </c>
      <c r="E76" t="s">
        <v>1282</v>
      </c>
      <c r="F76">
        <v>3078</v>
      </c>
      <c r="G76">
        <v>3079</v>
      </c>
      <c r="H76">
        <v>3076</v>
      </c>
      <c r="I76">
        <v>3076</v>
      </c>
      <c r="J76">
        <v>21000</v>
      </c>
    </row>
    <row r="77" spans="4:10">
      <c r="D77" t="s">
        <v>1865</v>
      </c>
      <c r="E77" t="s">
        <v>1283</v>
      </c>
      <c r="F77">
        <v>3075</v>
      </c>
      <c r="G77">
        <v>3076</v>
      </c>
      <c r="H77">
        <v>3074</v>
      </c>
      <c r="I77">
        <v>3075</v>
      </c>
      <c r="J77">
        <v>27200</v>
      </c>
    </row>
    <row r="78" spans="4:10">
      <c r="D78" t="s">
        <v>1865</v>
      </c>
      <c r="E78" t="s">
        <v>1284</v>
      </c>
      <c r="F78">
        <v>3076</v>
      </c>
      <c r="G78">
        <v>3076</v>
      </c>
      <c r="H78">
        <v>3072</v>
      </c>
      <c r="I78">
        <v>3072</v>
      </c>
      <c r="J78">
        <v>50100</v>
      </c>
    </row>
    <row r="79" spans="4:10">
      <c r="D79" t="s">
        <v>1865</v>
      </c>
      <c r="E79" t="s">
        <v>1285</v>
      </c>
      <c r="F79">
        <v>3072</v>
      </c>
      <c r="G79">
        <v>3074</v>
      </c>
      <c r="H79">
        <v>3071</v>
      </c>
      <c r="I79">
        <v>3072</v>
      </c>
      <c r="J79">
        <v>21800</v>
      </c>
    </row>
    <row r="80" spans="4:10">
      <c r="D80" t="s">
        <v>1865</v>
      </c>
      <c r="E80" t="s">
        <v>1286</v>
      </c>
      <c r="F80">
        <v>3071</v>
      </c>
      <c r="G80">
        <v>3074</v>
      </c>
      <c r="H80">
        <v>3070</v>
      </c>
      <c r="I80">
        <v>3074</v>
      </c>
      <c r="J80">
        <v>64000</v>
      </c>
    </row>
    <row r="81" spans="4:10">
      <c r="D81" t="s">
        <v>1865</v>
      </c>
      <c r="E81" t="s">
        <v>1287</v>
      </c>
      <c r="F81">
        <v>3074</v>
      </c>
      <c r="G81">
        <v>3076</v>
      </c>
      <c r="H81">
        <v>3073</v>
      </c>
      <c r="I81">
        <v>3073</v>
      </c>
      <c r="J81">
        <v>45300</v>
      </c>
    </row>
    <row r="82" spans="4:10">
      <c r="D82" t="s">
        <v>1865</v>
      </c>
      <c r="E82" t="s">
        <v>1288</v>
      </c>
      <c r="F82">
        <v>3074</v>
      </c>
      <c r="G82">
        <v>3080</v>
      </c>
      <c r="H82">
        <v>3074</v>
      </c>
      <c r="I82">
        <v>3080</v>
      </c>
      <c r="J82">
        <v>33500</v>
      </c>
    </row>
    <row r="83" spans="4:10">
      <c r="D83" t="s">
        <v>1865</v>
      </c>
      <c r="E83" t="s">
        <v>1289</v>
      </c>
      <c r="F83">
        <v>3079</v>
      </c>
      <c r="G83">
        <v>3081</v>
      </c>
      <c r="H83">
        <v>3076</v>
      </c>
      <c r="I83">
        <v>3076</v>
      </c>
      <c r="J83">
        <v>63400</v>
      </c>
    </row>
    <row r="84" spans="4:10">
      <c r="D84" t="s">
        <v>1865</v>
      </c>
      <c r="E84" t="s">
        <v>1290</v>
      </c>
      <c r="F84">
        <v>3077</v>
      </c>
      <c r="G84">
        <v>3080</v>
      </c>
      <c r="H84">
        <v>3076</v>
      </c>
      <c r="I84">
        <v>3079</v>
      </c>
      <c r="J84">
        <v>25000</v>
      </c>
    </row>
    <row r="85" spans="4:10">
      <c r="D85" t="s">
        <v>1865</v>
      </c>
      <c r="E85" t="s">
        <v>1291</v>
      </c>
      <c r="F85">
        <v>3078</v>
      </c>
      <c r="G85">
        <v>3078</v>
      </c>
      <c r="H85">
        <v>3076</v>
      </c>
      <c r="I85">
        <v>3078</v>
      </c>
      <c r="J85">
        <v>38400</v>
      </c>
    </row>
    <row r="86" spans="4:10">
      <c r="D86" t="s">
        <v>1865</v>
      </c>
      <c r="E86" t="s">
        <v>1292</v>
      </c>
      <c r="F86">
        <v>3077</v>
      </c>
      <c r="G86">
        <v>3079</v>
      </c>
      <c r="H86">
        <v>3074</v>
      </c>
      <c r="I86">
        <v>3076</v>
      </c>
      <c r="J86">
        <v>32400</v>
      </c>
    </row>
    <row r="87" spans="4:10">
      <c r="D87" t="s">
        <v>1865</v>
      </c>
      <c r="E87" t="s">
        <v>1293</v>
      </c>
      <c r="F87">
        <v>3076</v>
      </c>
      <c r="G87">
        <v>3079</v>
      </c>
      <c r="H87">
        <v>3076</v>
      </c>
      <c r="I87">
        <v>3078</v>
      </c>
      <c r="J87">
        <v>35300</v>
      </c>
    </row>
    <row r="88" spans="4:10">
      <c r="D88" t="s">
        <v>1865</v>
      </c>
      <c r="E88" t="s">
        <v>1294</v>
      </c>
      <c r="F88">
        <v>3078</v>
      </c>
      <c r="G88">
        <v>3079</v>
      </c>
      <c r="H88">
        <v>3076</v>
      </c>
      <c r="I88">
        <v>3076</v>
      </c>
      <c r="J88">
        <v>41100</v>
      </c>
    </row>
    <row r="89" spans="4:10">
      <c r="D89" t="s">
        <v>1865</v>
      </c>
      <c r="E89" t="s">
        <v>1295</v>
      </c>
      <c r="F89">
        <v>3075</v>
      </c>
      <c r="G89">
        <v>3075</v>
      </c>
      <c r="H89">
        <v>3074</v>
      </c>
      <c r="I89">
        <v>3075</v>
      </c>
      <c r="J89">
        <v>35300</v>
      </c>
    </row>
    <row r="90" spans="4:10">
      <c r="D90" t="s">
        <v>1865</v>
      </c>
      <c r="E90" t="s">
        <v>1296</v>
      </c>
      <c r="F90">
        <v>3075</v>
      </c>
      <c r="G90">
        <v>3076</v>
      </c>
      <c r="H90">
        <v>3073</v>
      </c>
      <c r="I90">
        <v>3075</v>
      </c>
      <c r="J90">
        <v>26900</v>
      </c>
    </row>
    <row r="91" spans="4:10">
      <c r="D91" t="s">
        <v>1865</v>
      </c>
      <c r="E91" t="s">
        <v>1297</v>
      </c>
      <c r="F91">
        <v>3075</v>
      </c>
      <c r="G91">
        <v>3076</v>
      </c>
      <c r="H91">
        <v>3073</v>
      </c>
      <c r="I91">
        <v>3073</v>
      </c>
      <c r="J91">
        <v>9700</v>
      </c>
    </row>
    <row r="92" spans="4:10">
      <c r="D92" t="s">
        <v>1865</v>
      </c>
      <c r="E92" t="s">
        <v>1298</v>
      </c>
      <c r="F92">
        <v>3073</v>
      </c>
      <c r="G92">
        <v>3073</v>
      </c>
      <c r="H92">
        <v>3071</v>
      </c>
      <c r="I92">
        <v>3071</v>
      </c>
      <c r="J92">
        <v>16200</v>
      </c>
    </row>
    <row r="93" spans="4:10">
      <c r="D93" t="s">
        <v>1865</v>
      </c>
      <c r="E93" t="s">
        <v>1299</v>
      </c>
      <c r="F93">
        <v>3071</v>
      </c>
      <c r="G93">
        <v>3071</v>
      </c>
      <c r="H93">
        <v>3067</v>
      </c>
      <c r="I93">
        <v>3067</v>
      </c>
      <c r="J93">
        <v>74200</v>
      </c>
    </row>
    <row r="94" spans="4:10">
      <c r="D94" t="s">
        <v>1865</v>
      </c>
      <c r="E94" t="s">
        <v>1300</v>
      </c>
      <c r="F94">
        <v>3067</v>
      </c>
      <c r="G94">
        <v>3069</v>
      </c>
      <c r="H94">
        <v>3067</v>
      </c>
      <c r="I94">
        <v>3069</v>
      </c>
      <c r="J94">
        <v>19900</v>
      </c>
    </row>
    <row r="95" spans="4:10">
      <c r="D95" t="s">
        <v>1865</v>
      </c>
      <c r="E95" t="s">
        <v>1301</v>
      </c>
      <c r="F95">
        <v>3069</v>
      </c>
      <c r="G95">
        <v>3070</v>
      </c>
      <c r="H95">
        <v>3067</v>
      </c>
      <c r="I95">
        <v>3068</v>
      </c>
      <c r="J95">
        <v>32000</v>
      </c>
    </row>
    <row r="96" spans="4:10">
      <c r="D96" t="s">
        <v>1865</v>
      </c>
      <c r="E96" t="s">
        <v>1302</v>
      </c>
      <c r="F96">
        <v>3068</v>
      </c>
      <c r="G96">
        <v>3069</v>
      </c>
      <c r="H96">
        <v>3066</v>
      </c>
      <c r="I96">
        <v>3066</v>
      </c>
      <c r="J96">
        <v>51100</v>
      </c>
    </row>
    <row r="97" spans="1:10">
      <c r="D97" t="s">
        <v>1865</v>
      </c>
      <c r="E97" t="s">
        <v>1303</v>
      </c>
      <c r="F97">
        <v>3066</v>
      </c>
      <c r="G97">
        <v>3067</v>
      </c>
      <c r="H97">
        <v>3064</v>
      </c>
      <c r="I97">
        <v>3067</v>
      </c>
      <c r="J97">
        <v>29200</v>
      </c>
    </row>
    <row r="98" spans="1:10">
      <c r="D98" t="s">
        <v>1865</v>
      </c>
      <c r="E98" t="s">
        <v>1304</v>
      </c>
      <c r="F98">
        <v>3066</v>
      </c>
      <c r="G98">
        <v>3067</v>
      </c>
      <c r="H98">
        <v>3065</v>
      </c>
      <c r="I98">
        <v>3066</v>
      </c>
      <c r="J98">
        <v>10500</v>
      </c>
    </row>
    <row r="99" spans="1:10">
      <c r="D99" t="s">
        <v>1865</v>
      </c>
      <c r="E99" t="s">
        <v>1305</v>
      </c>
      <c r="F99">
        <v>3067</v>
      </c>
      <c r="G99">
        <v>3070</v>
      </c>
      <c r="H99">
        <v>3066</v>
      </c>
      <c r="I99">
        <v>3069</v>
      </c>
      <c r="J99">
        <v>67000</v>
      </c>
    </row>
    <row r="100" spans="1:10">
      <c r="D100" t="s">
        <v>1865</v>
      </c>
      <c r="E100" t="s">
        <v>1306</v>
      </c>
      <c r="F100">
        <v>3070</v>
      </c>
      <c r="G100">
        <v>3072</v>
      </c>
      <c r="H100">
        <v>3068</v>
      </c>
      <c r="I100">
        <v>3069</v>
      </c>
      <c r="J100">
        <v>40300</v>
      </c>
    </row>
    <row r="101" spans="1:10">
      <c r="D101" t="s">
        <v>1865</v>
      </c>
      <c r="E101" t="s">
        <v>1307</v>
      </c>
      <c r="F101">
        <v>3069</v>
      </c>
      <c r="G101">
        <v>3073</v>
      </c>
      <c r="H101">
        <v>3069</v>
      </c>
      <c r="I101">
        <v>3073</v>
      </c>
      <c r="J101">
        <v>34500</v>
      </c>
    </row>
    <row r="102" spans="1:10">
      <c r="D102" t="s">
        <v>1865</v>
      </c>
      <c r="E102" t="s">
        <v>1308</v>
      </c>
      <c r="F102">
        <v>3073</v>
      </c>
      <c r="G102">
        <v>3075</v>
      </c>
      <c r="H102">
        <v>3071</v>
      </c>
      <c r="I102">
        <v>3074</v>
      </c>
      <c r="J102">
        <v>32400</v>
      </c>
    </row>
    <row r="103" spans="1:10">
      <c r="A103" s="1"/>
      <c r="B103" s="1"/>
      <c r="C103" s="1"/>
      <c r="D103" s="1" t="s">
        <v>1865</v>
      </c>
      <c r="E103" s="1" t="s">
        <v>1309</v>
      </c>
      <c r="F103" s="1">
        <v>3074</v>
      </c>
      <c r="G103" s="1">
        <v>3077</v>
      </c>
      <c r="H103" s="1">
        <v>3073</v>
      </c>
      <c r="I103" s="1">
        <v>3076</v>
      </c>
      <c r="J103" s="1">
        <v>40500</v>
      </c>
    </row>
    <row r="104" spans="1:10">
      <c r="D104" t="s">
        <v>1865</v>
      </c>
      <c r="E104" t="s">
        <v>1310</v>
      </c>
      <c r="F104">
        <v>3076</v>
      </c>
      <c r="G104">
        <v>3080</v>
      </c>
      <c r="H104">
        <v>3076</v>
      </c>
      <c r="I104">
        <v>3079</v>
      </c>
      <c r="J104">
        <v>43800</v>
      </c>
    </row>
    <row r="105" spans="1:10">
      <c r="D105" t="s">
        <v>1865</v>
      </c>
      <c r="E105" t="s">
        <v>1311</v>
      </c>
      <c r="F105">
        <v>3078</v>
      </c>
      <c r="G105">
        <v>3081</v>
      </c>
      <c r="H105">
        <v>3078</v>
      </c>
      <c r="I105">
        <v>3081</v>
      </c>
      <c r="J105">
        <v>58600</v>
      </c>
    </row>
    <row r="106" spans="1:10">
      <c r="D106" t="s">
        <v>1865</v>
      </c>
      <c r="E106" t="s">
        <v>1312</v>
      </c>
      <c r="F106">
        <v>3080</v>
      </c>
      <c r="G106">
        <v>3081</v>
      </c>
      <c r="H106">
        <v>3079</v>
      </c>
      <c r="I106">
        <v>3081</v>
      </c>
      <c r="J106">
        <v>25100</v>
      </c>
    </row>
    <row r="107" spans="1:10">
      <c r="D107" t="s">
        <v>1865</v>
      </c>
      <c r="E107" t="s">
        <v>1313</v>
      </c>
      <c r="F107">
        <v>3080</v>
      </c>
      <c r="G107">
        <v>3081</v>
      </c>
      <c r="H107">
        <v>3079</v>
      </c>
      <c r="I107">
        <v>3080</v>
      </c>
      <c r="J107">
        <v>26300</v>
      </c>
    </row>
    <row r="108" spans="1:10">
      <c r="D108" t="s">
        <v>1865</v>
      </c>
      <c r="E108" t="s">
        <v>1314</v>
      </c>
      <c r="F108">
        <v>3080</v>
      </c>
      <c r="G108">
        <v>3081</v>
      </c>
      <c r="H108">
        <v>3078</v>
      </c>
      <c r="I108">
        <v>3078</v>
      </c>
      <c r="J108">
        <v>21200</v>
      </c>
    </row>
    <row r="109" spans="1:10">
      <c r="D109" t="s">
        <v>1865</v>
      </c>
      <c r="E109" t="s">
        <v>1315</v>
      </c>
      <c r="F109">
        <v>3078</v>
      </c>
      <c r="G109">
        <v>3081</v>
      </c>
      <c r="H109">
        <v>3078</v>
      </c>
      <c r="I109">
        <v>3081</v>
      </c>
      <c r="J109">
        <v>29600</v>
      </c>
    </row>
    <row r="110" spans="1:10">
      <c r="D110" t="s">
        <v>1865</v>
      </c>
      <c r="E110" t="s">
        <v>1316</v>
      </c>
      <c r="F110">
        <v>3080</v>
      </c>
      <c r="G110">
        <v>3082</v>
      </c>
      <c r="H110">
        <v>3079</v>
      </c>
      <c r="I110">
        <v>3080</v>
      </c>
      <c r="J110">
        <v>17500</v>
      </c>
    </row>
    <row r="111" spans="1:10">
      <c r="D111" t="s">
        <v>1865</v>
      </c>
      <c r="E111" t="s">
        <v>1317</v>
      </c>
      <c r="F111">
        <v>3080</v>
      </c>
      <c r="G111">
        <v>3080</v>
      </c>
      <c r="H111">
        <v>3077</v>
      </c>
      <c r="I111">
        <v>3079</v>
      </c>
      <c r="J111">
        <v>24100</v>
      </c>
    </row>
    <row r="112" spans="1:10">
      <c r="D112" t="s">
        <v>1865</v>
      </c>
      <c r="E112" t="s">
        <v>1318</v>
      </c>
      <c r="F112">
        <v>3078</v>
      </c>
      <c r="G112">
        <v>3078</v>
      </c>
      <c r="H112">
        <v>3077</v>
      </c>
      <c r="I112">
        <v>3077</v>
      </c>
      <c r="J112">
        <v>12700</v>
      </c>
    </row>
    <row r="113" spans="4:10">
      <c r="D113" t="s">
        <v>1865</v>
      </c>
      <c r="E113" t="s">
        <v>1319</v>
      </c>
      <c r="F113">
        <v>3077</v>
      </c>
      <c r="G113">
        <v>3078</v>
      </c>
      <c r="H113">
        <v>3075</v>
      </c>
      <c r="I113">
        <v>3077</v>
      </c>
      <c r="J113">
        <v>65900</v>
      </c>
    </row>
    <row r="114" spans="4:10">
      <c r="D114" t="s">
        <v>1865</v>
      </c>
      <c r="E114" t="s">
        <v>1320</v>
      </c>
      <c r="F114">
        <v>3078</v>
      </c>
      <c r="G114">
        <v>3080</v>
      </c>
      <c r="H114">
        <v>3077</v>
      </c>
      <c r="I114">
        <v>3079</v>
      </c>
      <c r="J114">
        <v>51500</v>
      </c>
    </row>
    <row r="115" spans="4:10">
      <c r="D115" t="s">
        <v>1865</v>
      </c>
      <c r="E115" t="s">
        <v>1321</v>
      </c>
      <c r="F115">
        <v>3079</v>
      </c>
      <c r="G115">
        <v>3082</v>
      </c>
      <c r="H115">
        <v>3079</v>
      </c>
      <c r="I115">
        <v>3082</v>
      </c>
      <c r="J115">
        <v>51800</v>
      </c>
    </row>
    <row r="116" spans="4:10">
      <c r="D116" t="s">
        <v>1865</v>
      </c>
      <c r="E116" t="s">
        <v>1322</v>
      </c>
      <c r="F116">
        <v>3082</v>
      </c>
      <c r="G116">
        <v>3083</v>
      </c>
      <c r="H116">
        <v>3081</v>
      </c>
      <c r="I116">
        <v>3082</v>
      </c>
      <c r="J116">
        <v>37500</v>
      </c>
    </row>
    <row r="117" spans="4:10">
      <c r="D117" t="s">
        <v>1865</v>
      </c>
      <c r="E117" t="s">
        <v>1323</v>
      </c>
      <c r="F117">
        <v>3082</v>
      </c>
      <c r="G117">
        <v>3083</v>
      </c>
      <c r="H117">
        <v>3081</v>
      </c>
      <c r="I117">
        <v>3082</v>
      </c>
      <c r="J117">
        <v>31000</v>
      </c>
    </row>
    <row r="118" spans="4:10">
      <c r="D118" t="s">
        <v>1865</v>
      </c>
      <c r="E118" t="s">
        <v>1324</v>
      </c>
      <c r="F118">
        <v>3081</v>
      </c>
      <c r="G118">
        <v>3083</v>
      </c>
      <c r="H118">
        <v>3081</v>
      </c>
      <c r="I118">
        <v>3083</v>
      </c>
      <c r="J118">
        <v>17100</v>
      </c>
    </row>
    <row r="119" spans="4:10">
      <c r="D119" t="s">
        <v>1865</v>
      </c>
      <c r="E119" t="s">
        <v>1325</v>
      </c>
      <c r="F119">
        <v>3083</v>
      </c>
      <c r="G119">
        <v>3084</v>
      </c>
      <c r="H119">
        <v>3081</v>
      </c>
      <c r="I119">
        <v>3082</v>
      </c>
      <c r="J119">
        <v>20000</v>
      </c>
    </row>
    <row r="120" spans="4:10">
      <c r="D120" t="s">
        <v>1865</v>
      </c>
      <c r="E120" t="s">
        <v>1326</v>
      </c>
      <c r="F120">
        <v>3081</v>
      </c>
      <c r="G120">
        <v>3081</v>
      </c>
      <c r="H120">
        <v>3078</v>
      </c>
      <c r="I120">
        <v>3079</v>
      </c>
      <c r="J120">
        <v>47800</v>
      </c>
    </row>
    <row r="121" spans="4:10">
      <c r="D121" t="s">
        <v>1865</v>
      </c>
      <c r="E121" t="s">
        <v>1327</v>
      </c>
      <c r="F121">
        <v>3079</v>
      </c>
      <c r="G121">
        <v>3079</v>
      </c>
      <c r="H121">
        <v>3079</v>
      </c>
      <c r="I121">
        <v>3079</v>
      </c>
      <c r="J121">
        <v>4400</v>
      </c>
    </row>
    <row r="122" spans="4:10">
      <c r="D122" t="s">
        <v>1865</v>
      </c>
      <c r="E122" t="s">
        <v>1328</v>
      </c>
      <c r="F122">
        <v>3078</v>
      </c>
      <c r="G122">
        <v>3081</v>
      </c>
      <c r="H122">
        <v>3078</v>
      </c>
      <c r="I122">
        <v>3080</v>
      </c>
      <c r="J122">
        <v>13900</v>
      </c>
    </row>
    <row r="123" spans="4:10">
      <c r="D123" t="s">
        <v>1865</v>
      </c>
      <c r="E123" t="s">
        <v>1329</v>
      </c>
      <c r="F123">
        <v>3080</v>
      </c>
      <c r="G123">
        <v>3080</v>
      </c>
      <c r="H123">
        <v>3078</v>
      </c>
      <c r="I123">
        <v>3079</v>
      </c>
      <c r="J123">
        <v>34800</v>
      </c>
    </row>
    <row r="124" spans="4:10">
      <c r="D124" t="s">
        <v>1865</v>
      </c>
      <c r="E124" t="s">
        <v>1330</v>
      </c>
      <c r="F124">
        <v>3079</v>
      </c>
      <c r="G124">
        <v>3081</v>
      </c>
      <c r="H124">
        <v>3079</v>
      </c>
      <c r="I124">
        <v>3081</v>
      </c>
      <c r="J124">
        <v>6900</v>
      </c>
    </row>
    <row r="125" spans="4:10">
      <c r="D125" t="s">
        <v>1865</v>
      </c>
      <c r="E125" t="s">
        <v>1331</v>
      </c>
      <c r="F125">
        <v>3080</v>
      </c>
      <c r="G125">
        <v>3081</v>
      </c>
      <c r="H125">
        <v>3079</v>
      </c>
      <c r="I125">
        <v>3081</v>
      </c>
      <c r="J125">
        <v>11000</v>
      </c>
    </row>
    <row r="126" spans="4:10">
      <c r="D126" t="s">
        <v>1865</v>
      </c>
      <c r="E126" t="s">
        <v>1332</v>
      </c>
      <c r="F126">
        <v>3082</v>
      </c>
      <c r="G126">
        <v>3085</v>
      </c>
      <c r="H126">
        <v>3082</v>
      </c>
      <c r="I126">
        <v>3083</v>
      </c>
      <c r="J126">
        <v>59700</v>
      </c>
    </row>
    <row r="127" spans="4:10">
      <c r="D127" t="s">
        <v>1865</v>
      </c>
      <c r="E127" t="s">
        <v>1333</v>
      </c>
      <c r="F127">
        <v>3083</v>
      </c>
      <c r="G127">
        <v>3085</v>
      </c>
      <c r="H127">
        <v>3083</v>
      </c>
      <c r="I127">
        <v>3084</v>
      </c>
      <c r="J127">
        <v>19100</v>
      </c>
    </row>
    <row r="128" spans="4:10">
      <c r="D128" t="s">
        <v>1865</v>
      </c>
      <c r="E128" t="s">
        <v>1334</v>
      </c>
      <c r="F128">
        <v>3084</v>
      </c>
      <c r="G128">
        <v>3084</v>
      </c>
      <c r="H128">
        <v>3082</v>
      </c>
      <c r="I128">
        <v>3082</v>
      </c>
      <c r="J128">
        <v>22600</v>
      </c>
    </row>
    <row r="129" spans="4:10">
      <c r="D129" t="s">
        <v>1865</v>
      </c>
      <c r="E129" t="s">
        <v>1335</v>
      </c>
      <c r="F129">
        <v>3083</v>
      </c>
      <c r="G129">
        <v>3084</v>
      </c>
      <c r="H129">
        <v>3082</v>
      </c>
      <c r="I129">
        <v>3084</v>
      </c>
      <c r="J129">
        <v>7900</v>
      </c>
    </row>
    <row r="130" spans="4:10">
      <c r="D130" t="s">
        <v>1865</v>
      </c>
      <c r="E130" t="s">
        <v>1336</v>
      </c>
      <c r="F130">
        <v>3083</v>
      </c>
      <c r="G130">
        <v>3083</v>
      </c>
      <c r="H130">
        <v>3082</v>
      </c>
      <c r="I130">
        <v>3082</v>
      </c>
      <c r="J130">
        <v>13600</v>
      </c>
    </row>
    <row r="131" spans="4:10">
      <c r="D131" t="s">
        <v>1865</v>
      </c>
      <c r="E131" t="s">
        <v>1337</v>
      </c>
      <c r="F131">
        <v>3081</v>
      </c>
      <c r="G131">
        <v>3082</v>
      </c>
      <c r="H131">
        <v>3080</v>
      </c>
      <c r="I131">
        <v>3082</v>
      </c>
      <c r="J131">
        <v>22300</v>
      </c>
    </row>
    <row r="132" spans="4:10">
      <c r="D132" t="s">
        <v>1865</v>
      </c>
      <c r="E132" t="s">
        <v>1338</v>
      </c>
      <c r="F132">
        <v>3082</v>
      </c>
      <c r="G132">
        <v>3082</v>
      </c>
      <c r="H132">
        <v>3080</v>
      </c>
      <c r="I132">
        <v>3082</v>
      </c>
      <c r="J132">
        <v>23700</v>
      </c>
    </row>
    <row r="133" spans="4:10">
      <c r="D133" t="s">
        <v>1865</v>
      </c>
      <c r="E133" t="s">
        <v>1339</v>
      </c>
      <c r="F133">
        <v>3082</v>
      </c>
      <c r="G133">
        <v>3082</v>
      </c>
      <c r="H133">
        <v>3079</v>
      </c>
      <c r="I133">
        <v>3080</v>
      </c>
      <c r="J133">
        <v>24900</v>
      </c>
    </row>
    <row r="134" spans="4:10">
      <c r="D134" t="s">
        <v>1865</v>
      </c>
      <c r="E134" t="s">
        <v>1340</v>
      </c>
      <c r="F134">
        <v>3080</v>
      </c>
      <c r="G134">
        <v>3080</v>
      </c>
      <c r="H134">
        <v>3077</v>
      </c>
      <c r="I134">
        <v>3080</v>
      </c>
      <c r="J134">
        <v>24000</v>
      </c>
    </row>
    <row r="135" spans="4:10">
      <c r="D135" t="s">
        <v>1865</v>
      </c>
      <c r="E135" t="s">
        <v>1341</v>
      </c>
      <c r="F135">
        <v>3079</v>
      </c>
      <c r="G135">
        <v>3082</v>
      </c>
      <c r="H135">
        <v>3078</v>
      </c>
      <c r="I135">
        <v>3081</v>
      </c>
      <c r="J135">
        <v>35400</v>
      </c>
    </row>
    <row r="136" spans="4:10">
      <c r="D136" t="s">
        <v>1865</v>
      </c>
      <c r="E136" t="s">
        <v>1342</v>
      </c>
      <c r="F136">
        <v>3080</v>
      </c>
      <c r="G136">
        <v>3083</v>
      </c>
      <c r="H136">
        <v>3079</v>
      </c>
      <c r="I136">
        <v>3083</v>
      </c>
      <c r="J136">
        <v>28500</v>
      </c>
    </row>
    <row r="137" spans="4:10">
      <c r="D137" t="s">
        <v>1865</v>
      </c>
      <c r="E137" t="s">
        <v>1343</v>
      </c>
      <c r="F137">
        <v>3082</v>
      </c>
      <c r="G137">
        <v>3085</v>
      </c>
      <c r="H137">
        <v>3081</v>
      </c>
      <c r="I137">
        <v>3083</v>
      </c>
      <c r="J137">
        <v>39800</v>
      </c>
    </row>
    <row r="138" spans="4:10">
      <c r="D138" t="s">
        <v>1865</v>
      </c>
      <c r="E138" t="s">
        <v>1344</v>
      </c>
      <c r="F138">
        <v>3084</v>
      </c>
      <c r="G138">
        <v>3085</v>
      </c>
      <c r="H138">
        <v>3082</v>
      </c>
      <c r="I138">
        <v>3084</v>
      </c>
      <c r="J138">
        <v>33800</v>
      </c>
    </row>
    <row r="139" spans="4:10">
      <c r="D139" t="s">
        <v>1865</v>
      </c>
      <c r="E139" t="s">
        <v>1345</v>
      </c>
      <c r="F139">
        <v>3083</v>
      </c>
      <c r="G139">
        <v>3084</v>
      </c>
      <c r="H139">
        <v>3082</v>
      </c>
      <c r="I139">
        <v>3083</v>
      </c>
      <c r="J139">
        <v>16400</v>
      </c>
    </row>
    <row r="140" spans="4:10">
      <c r="D140" t="s">
        <v>1865</v>
      </c>
      <c r="E140" t="s">
        <v>1346</v>
      </c>
      <c r="F140">
        <v>3083</v>
      </c>
      <c r="G140">
        <v>3083</v>
      </c>
      <c r="H140">
        <v>3081</v>
      </c>
      <c r="I140">
        <v>3081</v>
      </c>
      <c r="J140">
        <v>23300</v>
      </c>
    </row>
    <row r="141" spans="4:10">
      <c r="D141" t="s">
        <v>1865</v>
      </c>
      <c r="E141" t="s">
        <v>1347</v>
      </c>
      <c r="F141">
        <v>3082</v>
      </c>
      <c r="G141">
        <v>3084</v>
      </c>
      <c r="H141">
        <v>3081</v>
      </c>
      <c r="I141">
        <v>3084</v>
      </c>
      <c r="J141">
        <v>39900</v>
      </c>
    </row>
    <row r="142" spans="4:10">
      <c r="D142" t="s">
        <v>1865</v>
      </c>
      <c r="E142" t="s">
        <v>1348</v>
      </c>
      <c r="F142">
        <v>3083</v>
      </c>
      <c r="G142">
        <v>3084</v>
      </c>
      <c r="H142">
        <v>3083</v>
      </c>
      <c r="I142">
        <v>3083</v>
      </c>
      <c r="J142">
        <v>16000</v>
      </c>
    </row>
    <row r="143" spans="4:10">
      <c r="D143" t="s">
        <v>1865</v>
      </c>
      <c r="E143" t="s">
        <v>1349</v>
      </c>
      <c r="F143">
        <v>3083</v>
      </c>
      <c r="G143">
        <v>3084</v>
      </c>
      <c r="H143">
        <v>3082</v>
      </c>
      <c r="I143">
        <v>3082</v>
      </c>
      <c r="J143">
        <v>15800</v>
      </c>
    </row>
    <row r="144" spans="4:10">
      <c r="D144" t="s">
        <v>1865</v>
      </c>
      <c r="E144" t="s">
        <v>1350</v>
      </c>
      <c r="F144">
        <v>3082</v>
      </c>
      <c r="G144">
        <v>3083</v>
      </c>
      <c r="H144">
        <v>3082</v>
      </c>
      <c r="I144">
        <v>3082</v>
      </c>
      <c r="J144">
        <v>24800</v>
      </c>
    </row>
    <row r="145" spans="4:10">
      <c r="D145" t="s">
        <v>1865</v>
      </c>
      <c r="E145" t="s">
        <v>1351</v>
      </c>
      <c r="F145">
        <v>3081</v>
      </c>
      <c r="G145">
        <v>3083</v>
      </c>
      <c r="H145">
        <v>3079</v>
      </c>
      <c r="I145">
        <v>3081</v>
      </c>
      <c r="J145">
        <v>34900</v>
      </c>
    </row>
    <row r="146" spans="4:10">
      <c r="D146" t="s">
        <v>1865</v>
      </c>
      <c r="E146" t="s">
        <v>1352</v>
      </c>
      <c r="F146">
        <v>3082</v>
      </c>
      <c r="G146">
        <v>3084</v>
      </c>
      <c r="H146">
        <v>3082</v>
      </c>
      <c r="I146">
        <v>3083</v>
      </c>
      <c r="J146">
        <v>18700</v>
      </c>
    </row>
    <row r="147" spans="4:10">
      <c r="D147" t="s">
        <v>1865</v>
      </c>
      <c r="E147" t="s">
        <v>1353</v>
      </c>
      <c r="F147">
        <v>3082</v>
      </c>
      <c r="G147">
        <v>3085</v>
      </c>
      <c r="H147">
        <v>3082</v>
      </c>
      <c r="I147">
        <v>3084</v>
      </c>
      <c r="J147">
        <v>59200</v>
      </c>
    </row>
    <row r="148" spans="4:10">
      <c r="D148" t="s">
        <v>1865</v>
      </c>
      <c r="E148" t="s">
        <v>1354</v>
      </c>
      <c r="F148">
        <v>3084</v>
      </c>
      <c r="G148">
        <v>3086</v>
      </c>
      <c r="H148">
        <v>3083</v>
      </c>
      <c r="I148">
        <v>3086</v>
      </c>
      <c r="J148">
        <v>43400</v>
      </c>
    </row>
    <row r="149" spans="4:10">
      <c r="D149" t="s">
        <v>1865</v>
      </c>
      <c r="E149" t="s">
        <v>1355</v>
      </c>
      <c r="F149">
        <v>3086</v>
      </c>
      <c r="G149">
        <v>3087</v>
      </c>
      <c r="H149">
        <v>3086</v>
      </c>
      <c r="I149">
        <v>3086</v>
      </c>
      <c r="J149">
        <v>9700</v>
      </c>
    </row>
    <row r="150" spans="4:10">
      <c r="D150" t="s">
        <v>1865</v>
      </c>
      <c r="E150" t="s">
        <v>1356</v>
      </c>
      <c r="F150">
        <v>3086</v>
      </c>
      <c r="G150">
        <v>3089</v>
      </c>
      <c r="H150">
        <v>3086</v>
      </c>
      <c r="I150">
        <v>3089</v>
      </c>
      <c r="J150">
        <v>28600</v>
      </c>
    </row>
    <row r="151" spans="4:10">
      <c r="D151" t="s">
        <v>1865</v>
      </c>
      <c r="E151" t="s">
        <v>1357</v>
      </c>
      <c r="F151">
        <v>3089</v>
      </c>
      <c r="G151">
        <v>3090</v>
      </c>
      <c r="H151">
        <v>3088</v>
      </c>
      <c r="I151">
        <v>3090</v>
      </c>
      <c r="J151">
        <v>32000</v>
      </c>
    </row>
    <row r="152" spans="4:10">
      <c r="D152" t="s">
        <v>1865</v>
      </c>
      <c r="E152" t="s">
        <v>1358</v>
      </c>
      <c r="F152">
        <v>3090</v>
      </c>
      <c r="G152">
        <v>3093</v>
      </c>
      <c r="H152">
        <v>3090</v>
      </c>
      <c r="I152">
        <v>3092</v>
      </c>
      <c r="J152">
        <v>37700</v>
      </c>
    </row>
    <row r="153" spans="4:10">
      <c r="D153" t="s">
        <v>1865</v>
      </c>
      <c r="E153" t="s">
        <v>1359</v>
      </c>
      <c r="F153">
        <v>3095</v>
      </c>
      <c r="G153">
        <v>3095</v>
      </c>
      <c r="H153">
        <v>3095</v>
      </c>
      <c r="I153">
        <v>3095</v>
      </c>
      <c r="J153">
        <v>195800</v>
      </c>
    </row>
    <row r="154" spans="4:10">
      <c r="D154" t="s">
        <v>1865</v>
      </c>
      <c r="E154" t="s">
        <v>1360</v>
      </c>
      <c r="F154">
        <v>3100</v>
      </c>
      <c r="G154">
        <v>3107</v>
      </c>
      <c r="H154">
        <v>3098</v>
      </c>
      <c r="I154">
        <v>3107</v>
      </c>
      <c r="J154">
        <v>482900</v>
      </c>
    </row>
    <row r="155" spans="4:10">
      <c r="D155" t="s">
        <v>1865</v>
      </c>
      <c r="E155" t="s">
        <v>1361</v>
      </c>
      <c r="F155">
        <v>3107</v>
      </c>
      <c r="G155">
        <v>3111</v>
      </c>
      <c r="H155">
        <v>3106</v>
      </c>
      <c r="I155">
        <v>3106</v>
      </c>
      <c r="J155">
        <v>158700</v>
      </c>
    </row>
    <row r="156" spans="4:10">
      <c r="D156" t="s">
        <v>1865</v>
      </c>
      <c r="E156" t="s">
        <v>1362</v>
      </c>
      <c r="F156">
        <v>3107</v>
      </c>
      <c r="G156">
        <v>3111</v>
      </c>
      <c r="H156">
        <v>3106</v>
      </c>
      <c r="I156">
        <v>3110</v>
      </c>
      <c r="J156">
        <v>77500</v>
      </c>
    </row>
    <row r="157" spans="4:10">
      <c r="D157" t="s">
        <v>1865</v>
      </c>
      <c r="E157" t="s">
        <v>1363</v>
      </c>
      <c r="F157">
        <v>3110</v>
      </c>
      <c r="G157">
        <v>3114</v>
      </c>
      <c r="H157">
        <v>3110</v>
      </c>
      <c r="I157">
        <v>3113</v>
      </c>
      <c r="J157">
        <v>82600</v>
      </c>
    </row>
    <row r="158" spans="4:10">
      <c r="D158" t="s">
        <v>1865</v>
      </c>
      <c r="E158" t="s">
        <v>1364</v>
      </c>
      <c r="F158">
        <v>3113</v>
      </c>
      <c r="G158">
        <v>3114</v>
      </c>
      <c r="H158">
        <v>3112</v>
      </c>
      <c r="I158">
        <v>3112</v>
      </c>
      <c r="J158">
        <v>44000</v>
      </c>
    </row>
    <row r="159" spans="4:10">
      <c r="D159" t="s">
        <v>1865</v>
      </c>
      <c r="E159" t="s">
        <v>1365</v>
      </c>
      <c r="F159">
        <v>3112</v>
      </c>
      <c r="G159">
        <v>3114</v>
      </c>
      <c r="H159">
        <v>3111</v>
      </c>
      <c r="I159">
        <v>3111</v>
      </c>
      <c r="J159">
        <v>45600</v>
      </c>
    </row>
    <row r="160" spans="4:10">
      <c r="D160" t="s">
        <v>1865</v>
      </c>
      <c r="E160" t="s">
        <v>1366</v>
      </c>
      <c r="F160">
        <v>3112</v>
      </c>
      <c r="G160">
        <v>3114</v>
      </c>
      <c r="H160">
        <v>3111</v>
      </c>
      <c r="I160">
        <v>3113</v>
      </c>
      <c r="J160">
        <v>45100</v>
      </c>
    </row>
    <row r="161" spans="4:10">
      <c r="D161" t="s">
        <v>1865</v>
      </c>
      <c r="E161" t="s">
        <v>1367</v>
      </c>
      <c r="F161">
        <v>3113</v>
      </c>
      <c r="G161">
        <v>3114</v>
      </c>
      <c r="H161">
        <v>3112</v>
      </c>
      <c r="I161">
        <v>3113</v>
      </c>
      <c r="J161">
        <v>21000</v>
      </c>
    </row>
    <row r="162" spans="4:10">
      <c r="D162" t="s">
        <v>1865</v>
      </c>
      <c r="E162" t="s">
        <v>1368</v>
      </c>
      <c r="F162">
        <v>3114</v>
      </c>
      <c r="G162">
        <v>3114</v>
      </c>
      <c r="H162">
        <v>3109</v>
      </c>
      <c r="I162">
        <v>3110</v>
      </c>
      <c r="J162">
        <v>110400</v>
      </c>
    </row>
    <row r="163" spans="4:10">
      <c r="D163" t="s">
        <v>1865</v>
      </c>
      <c r="E163" t="s">
        <v>1369</v>
      </c>
      <c r="F163">
        <v>3110</v>
      </c>
      <c r="G163">
        <v>3111</v>
      </c>
      <c r="H163">
        <v>3105</v>
      </c>
      <c r="I163">
        <v>3106</v>
      </c>
      <c r="J163">
        <v>45500</v>
      </c>
    </row>
    <row r="164" spans="4:10">
      <c r="D164" t="s">
        <v>1865</v>
      </c>
      <c r="E164" t="s">
        <v>1370</v>
      </c>
      <c r="F164">
        <v>3106</v>
      </c>
      <c r="G164">
        <v>3107</v>
      </c>
      <c r="H164">
        <v>3102</v>
      </c>
      <c r="I164">
        <v>3102</v>
      </c>
      <c r="J164">
        <v>52300</v>
      </c>
    </row>
    <row r="165" spans="4:10">
      <c r="D165" t="s">
        <v>1865</v>
      </c>
      <c r="E165" t="s">
        <v>1371</v>
      </c>
      <c r="F165">
        <v>3103</v>
      </c>
      <c r="G165">
        <v>3103</v>
      </c>
      <c r="H165">
        <v>3100</v>
      </c>
      <c r="I165">
        <v>3101</v>
      </c>
      <c r="J165">
        <v>37100</v>
      </c>
    </row>
    <row r="166" spans="4:10">
      <c r="D166" t="s">
        <v>1865</v>
      </c>
      <c r="E166" t="s">
        <v>1372</v>
      </c>
      <c r="F166">
        <v>3101</v>
      </c>
      <c r="G166">
        <v>3103</v>
      </c>
      <c r="H166">
        <v>3101</v>
      </c>
      <c r="I166">
        <v>3101</v>
      </c>
      <c r="J166">
        <v>16600</v>
      </c>
    </row>
    <row r="167" spans="4:10">
      <c r="D167" t="s">
        <v>1865</v>
      </c>
      <c r="E167" t="s">
        <v>1373</v>
      </c>
      <c r="F167">
        <v>3102</v>
      </c>
      <c r="G167">
        <v>3103</v>
      </c>
      <c r="H167">
        <v>3101</v>
      </c>
      <c r="I167">
        <v>3103</v>
      </c>
      <c r="J167">
        <v>36700</v>
      </c>
    </row>
    <row r="168" spans="4:10">
      <c r="D168" t="s">
        <v>1865</v>
      </c>
      <c r="E168" t="s">
        <v>1374</v>
      </c>
      <c r="F168">
        <v>3103</v>
      </c>
      <c r="G168">
        <v>3104</v>
      </c>
      <c r="H168">
        <v>3101</v>
      </c>
      <c r="I168">
        <v>3101</v>
      </c>
      <c r="J168">
        <v>32500</v>
      </c>
    </row>
    <row r="169" spans="4:10">
      <c r="D169" t="s">
        <v>1865</v>
      </c>
      <c r="E169" t="s">
        <v>1375</v>
      </c>
      <c r="F169">
        <v>3101</v>
      </c>
      <c r="G169">
        <v>3108</v>
      </c>
      <c r="H169">
        <v>3101</v>
      </c>
      <c r="I169">
        <v>3107</v>
      </c>
      <c r="J169">
        <v>89600</v>
      </c>
    </row>
    <row r="170" spans="4:10">
      <c r="D170" t="s">
        <v>1865</v>
      </c>
      <c r="E170" t="s">
        <v>1376</v>
      </c>
      <c r="F170">
        <v>3107</v>
      </c>
      <c r="G170">
        <v>3108</v>
      </c>
      <c r="H170">
        <v>3103</v>
      </c>
      <c r="I170">
        <v>3103</v>
      </c>
      <c r="J170">
        <v>60600</v>
      </c>
    </row>
    <row r="171" spans="4:10">
      <c r="D171" t="s">
        <v>1865</v>
      </c>
      <c r="E171" t="s">
        <v>1377</v>
      </c>
      <c r="F171">
        <v>3104</v>
      </c>
      <c r="G171">
        <v>3106</v>
      </c>
      <c r="H171">
        <v>3103</v>
      </c>
      <c r="I171">
        <v>3104</v>
      </c>
      <c r="J171">
        <v>24700</v>
      </c>
    </row>
    <row r="172" spans="4:10">
      <c r="D172" t="s">
        <v>1865</v>
      </c>
      <c r="E172" t="s">
        <v>1378</v>
      </c>
      <c r="F172">
        <v>3105</v>
      </c>
      <c r="G172">
        <v>3105</v>
      </c>
      <c r="H172">
        <v>3103</v>
      </c>
      <c r="I172">
        <v>3103</v>
      </c>
      <c r="J172">
        <v>41800</v>
      </c>
    </row>
    <row r="173" spans="4:10">
      <c r="D173" t="s">
        <v>1865</v>
      </c>
      <c r="E173" t="s">
        <v>1379</v>
      </c>
      <c r="F173">
        <v>3103</v>
      </c>
      <c r="G173">
        <v>3103</v>
      </c>
      <c r="H173">
        <v>3099</v>
      </c>
      <c r="I173">
        <v>3100</v>
      </c>
      <c r="J173">
        <v>93500</v>
      </c>
    </row>
    <row r="174" spans="4:10">
      <c r="D174" t="s">
        <v>1865</v>
      </c>
      <c r="E174" t="s">
        <v>1380</v>
      </c>
      <c r="F174">
        <v>3100</v>
      </c>
      <c r="G174">
        <v>3101</v>
      </c>
      <c r="H174">
        <v>3098</v>
      </c>
      <c r="I174">
        <v>3098</v>
      </c>
      <c r="J174">
        <v>28900</v>
      </c>
    </row>
    <row r="175" spans="4:10">
      <c r="D175" t="s">
        <v>1865</v>
      </c>
      <c r="E175" t="s">
        <v>1381</v>
      </c>
      <c r="F175">
        <v>3098</v>
      </c>
      <c r="G175">
        <v>3099</v>
      </c>
      <c r="H175">
        <v>3096</v>
      </c>
      <c r="I175">
        <v>3096</v>
      </c>
      <c r="J175">
        <v>27400</v>
      </c>
    </row>
    <row r="176" spans="4:10">
      <c r="D176" t="s">
        <v>1865</v>
      </c>
      <c r="E176" t="s">
        <v>1382</v>
      </c>
      <c r="F176">
        <v>3097</v>
      </c>
      <c r="G176">
        <v>3097</v>
      </c>
      <c r="H176">
        <v>3094</v>
      </c>
      <c r="I176">
        <v>3095</v>
      </c>
      <c r="J176">
        <v>50900</v>
      </c>
    </row>
    <row r="177" spans="4:10">
      <c r="D177" t="s">
        <v>1865</v>
      </c>
      <c r="E177" t="s">
        <v>1383</v>
      </c>
      <c r="F177">
        <v>3096</v>
      </c>
      <c r="G177">
        <v>3097</v>
      </c>
      <c r="H177">
        <v>3093</v>
      </c>
      <c r="I177">
        <v>3094</v>
      </c>
      <c r="J177">
        <v>31700</v>
      </c>
    </row>
    <row r="178" spans="4:10">
      <c r="D178" t="s">
        <v>1865</v>
      </c>
      <c r="E178" t="s">
        <v>1384</v>
      </c>
      <c r="F178">
        <v>3095</v>
      </c>
      <c r="G178">
        <v>3096</v>
      </c>
      <c r="H178">
        <v>3093</v>
      </c>
      <c r="I178">
        <v>3093</v>
      </c>
      <c r="J178">
        <v>24900</v>
      </c>
    </row>
    <row r="179" spans="4:10">
      <c r="D179" t="s">
        <v>1865</v>
      </c>
      <c r="E179" t="s">
        <v>1385</v>
      </c>
      <c r="F179">
        <v>3092</v>
      </c>
      <c r="G179">
        <v>3093</v>
      </c>
      <c r="H179">
        <v>3091</v>
      </c>
      <c r="I179">
        <v>3092</v>
      </c>
      <c r="J179">
        <v>27200</v>
      </c>
    </row>
    <row r="180" spans="4:10">
      <c r="D180" t="s">
        <v>1865</v>
      </c>
      <c r="E180" t="s">
        <v>1386</v>
      </c>
      <c r="F180">
        <v>3093</v>
      </c>
      <c r="G180">
        <v>3094</v>
      </c>
      <c r="H180">
        <v>3091</v>
      </c>
      <c r="I180">
        <v>3092</v>
      </c>
      <c r="J180">
        <v>25500</v>
      </c>
    </row>
    <row r="181" spans="4:10">
      <c r="D181" t="s">
        <v>1865</v>
      </c>
      <c r="E181" t="s">
        <v>1387</v>
      </c>
      <c r="F181">
        <v>3092</v>
      </c>
      <c r="G181">
        <v>3095</v>
      </c>
      <c r="H181">
        <v>3091</v>
      </c>
      <c r="I181">
        <v>3094</v>
      </c>
      <c r="J181">
        <v>77800</v>
      </c>
    </row>
    <row r="182" spans="4:10">
      <c r="D182" t="s">
        <v>1865</v>
      </c>
      <c r="E182" t="s">
        <v>1388</v>
      </c>
      <c r="F182">
        <v>3095</v>
      </c>
      <c r="G182">
        <v>3099</v>
      </c>
      <c r="H182">
        <v>3094</v>
      </c>
      <c r="I182">
        <v>3099</v>
      </c>
      <c r="J182">
        <v>55100</v>
      </c>
    </row>
    <row r="183" spans="4:10">
      <c r="D183" t="s">
        <v>1865</v>
      </c>
      <c r="E183" t="s">
        <v>1389</v>
      </c>
      <c r="F183">
        <v>3098</v>
      </c>
      <c r="G183">
        <v>3099</v>
      </c>
      <c r="H183">
        <v>3097</v>
      </c>
      <c r="I183">
        <v>3097</v>
      </c>
      <c r="J183">
        <v>27700</v>
      </c>
    </row>
    <row r="184" spans="4:10">
      <c r="D184" t="s">
        <v>1865</v>
      </c>
      <c r="E184" t="s">
        <v>1390</v>
      </c>
      <c r="F184">
        <v>3097</v>
      </c>
      <c r="G184">
        <v>3097</v>
      </c>
      <c r="H184">
        <v>3096</v>
      </c>
      <c r="I184">
        <v>3097</v>
      </c>
      <c r="J184">
        <v>16300</v>
      </c>
    </row>
    <row r="185" spans="4:10">
      <c r="D185" t="s">
        <v>1865</v>
      </c>
      <c r="E185" t="s">
        <v>1391</v>
      </c>
      <c r="F185">
        <v>3097</v>
      </c>
      <c r="G185">
        <v>3100</v>
      </c>
      <c r="H185">
        <v>3096</v>
      </c>
      <c r="I185">
        <v>3100</v>
      </c>
      <c r="J185">
        <v>20600</v>
      </c>
    </row>
    <row r="186" spans="4:10">
      <c r="D186" t="s">
        <v>1865</v>
      </c>
      <c r="E186" t="s">
        <v>1392</v>
      </c>
      <c r="F186">
        <v>3099</v>
      </c>
      <c r="G186">
        <v>3099</v>
      </c>
      <c r="H186">
        <v>3098</v>
      </c>
      <c r="I186">
        <v>3098</v>
      </c>
      <c r="J186">
        <v>21600</v>
      </c>
    </row>
    <row r="187" spans="4:10">
      <c r="D187" t="s">
        <v>1865</v>
      </c>
      <c r="E187" t="s">
        <v>1393</v>
      </c>
      <c r="F187">
        <v>3099</v>
      </c>
      <c r="G187">
        <v>3101</v>
      </c>
      <c r="H187">
        <v>3099</v>
      </c>
      <c r="I187">
        <v>3099</v>
      </c>
      <c r="J187">
        <v>38000</v>
      </c>
    </row>
    <row r="188" spans="4:10">
      <c r="D188" t="s">
        <v>1865</v>
      </c>
      <c r="E188" t="s">
        <v>1394</v>
      </c>
      <c r="F188">
        <v>3100</v>
      </c>
      <c r="G188">
        <v>3100</v>
      </c>
      <c r="H188">
        <v>3098</v>
      </c>
      <c r="I188">
        <v>3098</v>
      </c>
      <c r="J188">
        <v>29400</v>
      </c>
    </row>
    <row r="189" spans="4:10">
      <c r="D189" t="s">
        <v>1865</v>
      </c>
      <c r="E189" t="s">
        <v>1395</v>
      </c>
      <c r="F189">
        <v>3099</v>
      </c>
      <c r="G189">
        <v>3099</v>
      </c>
      <c r="H189">
        <v>3096</v>
      </c>
      <c r="I189">
        <v>3096</v>
      </c>
      <c r="J189">
        <v>31200</v>
      </c>
    </row>
    <row r="190" spans="4:10">
      <c r="D190" t="s">
        <v>1865</v>
      </c>
      <c r="E190" t="s">
        <v>1396</v>
      </c>
      <c r="F190">
        <v>3096</v>
      </c>
      <c r="G190">
        <v>3096</v>
      </c>
      <c r="H190">
        <v>3093</v>
      </c>
      <c r="I190">
        <v>3096</v>
      </c>
      <c r="J190">
        <v>42900</v>
      </c>
    </row>
    <row r="191" spans="4:10">
      <c r="D191" t="s">
        <v>1865</v>
      </c>
      <c r="E191" t="s">
        <v>1397</v>
      </c>
      <c r="F191">
        <v>3097</v>
      </c>
      <c r="G191">
        <v>3098</v>
      </c>
      <c r="H191">
        <v>3096</v>
      </c>
      <c r="I191">
        <v>3096</v>
      </c>
      <c r="J191">
        <v>21600</v>
      </c>
    </row>
    <row r="192" spans="4:10">
      <c r="D192" t="s">
        <v>1865</v>
      </c>
      <c r="E192" t="s">
        <v>1398</v>
      </c>
      <c r="F192">
        <v>3097</v>
      </c>
      <c r="G192">
        <v>3098</v>
      </c>
      <c r="H192">
        <v>3096</v>
      </c>
      <c r="I192">
        <v>3097</v>
      </c>
      <c r="J192">
        <v>30000</v>
      </c>
    </row>
    <row r="193" spans="1:10">
      <c r="D193" t="s">
        <v>1865</v>
      </c>
      <c r="E193" t="s">
        <v>1399</v>
      </c>
      <c r="F193">
        <v>3098</v>
      </c>
      <c r="G193">
        <v>3099</v>
      </c>
      <c r="H193">
        <v>3098</v>
      </c>
      <c r="I193">
        <v>3098</v>
      </c>
      <c r="J193">
        <v>8600</v>
      </c>
    </row>
    <row r="194" spans="1:10">
      <c r="D194" t="s">
        <v>1865</v>
      </c>
      <c r="E194" t="s">
        <v>1400</v>
      </c>
      <c r="F194">
        <v>3099</v>
      </c>
      <c r="G194">
        <v>3100</v>
      </c>
      <c r="H194">
        <v>3098</v>
      </c>
      <c r="I194">
        <v>3098</v>
      </c>
      <c r="J194">
        <v>32900</v>
      </c>
    </row>
    <row r="195" spans="1:10">
      <c r="D195" t="s">
        <v>1865</v>
      </c>
      <c r="E195" t="s">
        <v>1401</v>
      </c>
      <c r="F195">
        <v>3098</v>
      </c>
      <c r="G195">
        <v>3099</v>
      </c>
      <c r="H195">
        <v>3097</v>
      </c>
      <c r="I195">
        <v>3097</v>
      </c>
      <c r="J195">
        <v>34800</v>
      </c>
    </row>
    <row r="196" spans="1:10">
      <c r="D196" t="s">
        <v>1865</v>
      </c>
      <c r="E196" t="s">
        <v>1402</v>
      </c>
      <c r="F196">
        <v>3097</v>
      </c>
      <c r="G196">
        <v>3097</v>
      </c>
      <c r="H196">
        <v>3096</v>
      </c>
      <c r="I196">
        <v>3097</v>
      </c>
      <c r="J196">
        <v>19400</v>
      </c>
    </row>
    <row r="197" spans="1:10">
      <c r="D197" t="s">
        <v>1865</v>
      </c>
      <c r="E197" t="s">
        <v>1403</v>
      </c>
      <c r="F197">
        <v>3097</v>
      </c>
      <c r="G197">
        <v>3099</v>
      </c>
      <c r="H197">
        <v>3097</v>
      </c>
      <c r="I197">
        <v>3098</v>
      </c>
      <c r="J197">
        <v>51300</v>
      </c>
    </row>
    <row r="198" spans="1:10">
      <c r="D198" t="s">
        <v>1865</v>
      </c>
      <c r="E198" t="s">
        <v>1404</v>
      </c>
      <c r="F198">
        <v>3099</v>
      </c>
      <c r="G198">
        <v>3100</v>
      </c>
      <c r="H198">
        <v>3097</v>
      </c>
      <c r="I198">
        <v>3098</v>
      </c>
      <c r="J198">
        <v>46000</v>
      </c>
    </row>
    <row r="199" spans="1:10">
      <c r="D199" t="s">
        <v>1865</v>
      </c>
      <c r="E199" t="s">
        <v>1405</v>
      </c>
      <c r="F199">
        <v>3098</v>
      </c>
      <c r="G199">
        <v>3098</v>
      </c>
      <c r="H199">
        <v>3097</v>
      </c>
      <c r="I199">
        <v>3097</v>
      </c>
      <c r="J199">
        <v>3500</v>
      </c>
    </row>
    <row r="200" spans="1:10">
      <c r="D200" t="s">
        <v>1865</v>
      </c>
      <c r="E200" t="s">
        <v>1406</v>
      </c>
      <c r="F200">
        <v>3097</v>
      </c>
      <c r="G200">
        <v>3100</v>
      </c>
      <c r="H200">
        <v>3097</v>
      </c>
      <c r="I200">
        <v>3099</v>
      </c>
      <c r="J200">
        <v>77500</v>
      </c>
    </row>
    <row r="201" spans="1:10">
      <c r="D201" t="s">
        <v>1865</v>
      </c>
      <c r="E201" t="s">
        <v>1407</v>
      </c>
      <c r="F201">
        <v>3100</v>
      </c>
      <c r="G201">
        <v>3100</v>
      </c>
      <c r="H201">
        <v>3098</v>
      </c>
      <c r="I201">
        <v>3098</v>
      </c>
      <c r="J201">
        <v>140500</v>
      </c>
    </row>
    <row r="202" spans="1:10">
      <c r="D202" t="s">
        <v>1865</v>
      </c>
      <c r="E202" t="s">
        <v>1408</v>
      </c>
      <c r="F202">
        <v>3098</v>
      </c>
      <c r="G202">
        <v>3098</v>
      </c>
      <c r="H202">
        <v>3095</v>
      </c>
      <c r="I202">
        <v>3095</v>
      </c>
      <c r="J202">
        <v>47800</v>
      </c>
    </row>
    <row r="203" spans="1:10">
      <c r="A203" s="1"/>
      <c r="B203" s="1"/>
      <c r="C203" s="1"/>
      <c r="D203" s="1" t="s">
        <v>1865</v>
      </c>
      <c r="E203" s="1" t="s">
        <v>1409</v>
      </c>
      <c r="F203" s="1">
        <v>3095</v>
      </c>
      <c r="G203" s="1">
        <v>3100</v>
      </c>
      <c r="H203" s="1">
        <v>3095</v>
      </c>
      <c r="I203" s="1">
        <v>3099</v>
      </c>
      <c r="J203" s="1">
        <v>80500</v>
      </c>
    </row>
    <row r="204" spans="1:10">
      <c r="D204" t="s">
        <v>1865</v>
      </c>
      <c r="E204" t="s">
        <v>1410</v>
      </c>
      <c r="F204">
        <v>3099</v>
      </c>
      <c r="G204">
        <v>3100</v>
      </c>
      <c r="H204">
        <v>3097</v>
      </c>
      <c r="I204">
        <v>3099</v>
      </c>
      <c r="J204">
        <v>52200</v>
      </c>
    </row>
    <row r="205" spans="1:10">
      <c r="D205" t="s">
        <v>1865</v>
      </c>
      <c r="E205" t="s">
        <v>1411</v>
      </c>
      <c r="F205">
        <v>3099</v>
      </c>
      <c r="G205">
        <v>3099</v>
      </c>
      <c r="H205">
        <v>3097</v>
      </c>
      <c r="I205">
        <v>3098</v>
      </c>
      <c r="J205">
        <v>27700</v>
      </c>
    </row>
    <row r="206" spans="1:10">
      <c r="D206" t="s">
        <v>1865</v>
      </c>
      <c r="E206" t="s">
        <v>1412</v>
      </c>
      <c r="F206">
        <v>3099</v>
      </c>
      <c r="G206">
        <v>3099</v>
      </c>
      <c r="H206">
        <v>3098</v>
      </c>
      <c r="I206">
        <v>3098</v>
      </c>
      <c r="J206">
        <v>14600</v>
      </c>
    </row>
    <row r="207" spans="1:10">
      <c r="D207" t="s">
        <v>1865</v>
      </c>
      <c r="E207" t="s">
        <v>1413</v>
      </c>
      <c r="F207">
        <v>3098</v>
      </c>
      <c r="G207">
        <v>3099</v>
      </c>
      <c r="H207">
        <v>3098</v>
      </c>
      <c r="I207">
        <v>3099</v>
      </c>
      <c r="J207">
        <v>20500</v>
      </c>
    </row>
    <row r="208" spans="1:10">
      <c r="D208" t="s">
        <v>1865</v>
      </c>
      <c r="E208" t="s">
        <v>1414</v>
      </c>
      <c r="F208">
        <v>3099</v>
      </c>
      <c r="G208">
        <v>3099</v>
      </c>
      <c r="H208">
        <v>3097</v>
      </c>
      <c r="I208">
        <v>3097</v>
      </c>
      <c r="J208">
        <v>33500</v>
      </c>
    </row>
    <row r="209" spans="4:10">
      <c r="D209" t="s">
        <v>1865</v>
      </c>
      <c r="E209" t="s">
        <v>1415</v>
      </c>
      <c r="F209">
        <v>3097</v>
      </c>
      <c r="G209">
        <v>3097</v>
      </c>
      <c r="H209">
        <v>3096</v>
      </c>
      <c r="I209">
        <v>3097</v>
      </c>
      <c r="J209">
        <v>25500</v>
      </c>
    </row>
    <row r="210" spans="4:10">
      <c r="D210" t="s">
        <v>1865</v>
      </c>
      <c r="E210" t="s">
        <v>1416</v>
      </c>
      <c r="F210">
        <v>3097</v>
      </c>
      <c r="G210">
        <v>3097</v>
      </c>
      <c r="H210">
        <v>3095</v>
      </c>
      <c r="I210">
        <v>3097</v>
      </c>
      <c r="J210">
        <v>27300</v>
      </c>
    </row>
    <row r="211" spans="4:10">
      <c r="D211" t="s">
        <v>1865</v>
      </c>
      <c r="E211" t="s">
        <v>1417</v>
      </c>
      <c r="F211">
        <v>3096</v>
      </c>
      <c r="G211">
        <v>3096</v>
      </c>
      <c r="H211">
        <v>3095</v>
      </c>
      <c r="I211">
        <v>3096</v>
      </c>
      <c r="J211">
        <v>12500</v>
      </c>
    </row>
    <row r="212" spans="4:10">
      <c r="D212" t="s">
        <v>1865</v>
      </c>
      <c r="E212" t="s">
        <v>1418</v>
      </c>
      <c r="F212">
        <v>3096</v>
      </c>
      <c r="G212">
        <v>3097</v>
      </c>
      <c r="H212">
        <v>3096</v>
      </c>
      <c r="I212">
        <v>3097</v>
      </c>
      <c r="J212">
        <v>20400</v>
      </c>
    </row>
    <row r="213" spans="4:10">
      <c r="D213" t="s">
        <v>1865</v>
      </c>
      <c r="E213" t="s">
        <v>1419</v>
      </c>
      <c r="F213">
        <v>3097</v>
      </c>
      <c r="G213">
        <v>3097</v>
      </c>
      <c r="H213">
        <v>3096</v>
      </c>
      <c r="I213">
        <v>3096</v>
      </c>
      <c r="J213">
        <v>1100</v>
      </c>
    </row>
    <row r="214" spans="4:10">
      <c r="D214" t="s">
        <v>1865</v>
      </c>
      <c r="E214" t="s">
        <v>1420</v>
      </c>
      <c r="F214">
        <v>3097</v>
      </c>
      <c r="G214">
        <v>3098</v>
      </c>
      <c r="H214">
        <v>3096</v>
      </c>
      <c r="I214">
        <v>3098</v>
      </c>
      <c r="J214">
        <v>23900</v>
      </c>
    </row>
    <row r="215" spans="4:10">
      <c r="D215" t="s">
        <v>1865</v>
      </c>
      <c r="E215" t="s">
        <v>1421</v>
      </c>
      <c r="F215">
        <v>3098</v>
      </c>
      <c r="G215">
        <v>3099</v>
      </c>
      <c r="H215">
        <v>3098</v>
      </c>
      <c r="I215">
        <v>3099</v>
      </c>
      <c r="J215">
        <v>23300</v>
      </c>
    </row>
    <row r="216" spans="4:10">
      <c r="D216" t="s">
        <v>1865</v>
      </c>
      <c r="E216" t="s">
        <v>1422</v>
      </c>
      <c r="F216">
        <v>3098</v>
      </c>
      <c r="G216">
        <v>3098</v>
      </c>
      <c r="H216">
        <v>3097</v>
      </c>
      <c r="I216">
        <v>3098</v>
      </c>
      <c r="J216">
        <v>20700</v>
      </c>
    </row>
    <row r="217" spans="4:10">
      <c r="D217" t="s">
        <v>1865</v>
      </c>
      <c r="E217" t="s">
        <v>1423</v>
      </c>
      <c r="F217">
        <v>3098</v>
      </c>
      <c r="G217">
        <v>3098</v>
      </c>
      <c r="H217">
        <v>3097</v>
      </c>
      <c r="I217">
        <v>3098</v>
      </c>
      <c r="J217">
        <v>22900</v>
      </c>
    </row>
    <row r="218" spans="4:10">
      <c r="D218" t="s">
        <v>1865</v>
      </c>
      <c r="E218" t="s">
        <v>1424</v>
      </c>
      <c r="F218">
        <v>3098</v>
      </c>
      <c r="G218">
        <v>3098</v>
      </c>
      <c r="H218">
        <v>3097</v>
      </c>
      <c r="I218">
        <v>3097</v>
      </c>
      <c r="J218">
        <v>10700</v>
      </c>
    </row>
    <row r="219" spans="4:10">
      <c r="D219" t="s">
        <v>1865</v>
      </c>
      <c r="E219" t="s">
        <v>1425</v>
      </c>
      <c r="F219">
        <v>3098</v>
      </c>
      <c r="G219">
        <v>3098</v>
      </c>
      <c r="H219">
        <v>3098</v>
      </c>
      <c r="I219">
        <v>3098</v>
      </c>
      <c r="J219">
        <v>18300</v>
      </c>
    </row>
    <row r="220" spans="4:10">
      <c r="D220" t="s">
        <v>1865</v>
      </c>
      <c r="E220" t="s">
        <v>1426</v>
      </c>
      <c r="F220">
        <v>3098</v>
      </c>
      <c r="G220">
        <v>3098</v>
      </c>
      <c r="H220">
        <v>3096</v>
      </c>
      <c r="I220">
        <v>3097</v>
      </c>
      <c r="J220">
        <v>31000</v>
      </c>
    </row>
    <row r="221" spans="4:10">
      <c r="D221" t="s">
        <v>1865</v>
      </c>
      <c r="E221" t="s">
        <v>1427</v>
      </c>
      <c r="F221">
        <v>3097</v>
      </c>
      <c r="G221">
        <v>3098</v>
      </c>
      <c r="H221">
        <v>3096</v>
      </c>
      <c r="I221">
        <v>3097</v>
      </c>
      <c r="J221">
        <v>19100</v>
      </c>
    </row>
    <row r="222" spans="4:10">
      <c r="D222" t="s">
        <v>1865</v>
      </c>
      <c r="E222" t="s">
        <v>1428</v>
      </c>
      <c r="F222">
        <v>3097</v>
      </c>
      <c r="G222">
        <v>3098</v>
      </c>
      <c r="H222">
        <v>3097</v>
      </c>
      <c r="I222">
        <v>3098</v>
      </c>
      <c r="J222">
        <v>7300</v>
      </c>
    </row>
    <row r="223" spans="4:10">
      <c r="D223" t="s">
        <v>1865</v>
      </c>
      <c r="E223" t="s">
        <v>1429</v>
      </c>
      <c r="F223">
        <v>3098</v>
      </c>
      <c r="G223">
        <v>3098</v>
      </c>
      <c r="H223">
        <v>3097</v>
      </c>
      <c r="I223">
        <v>3097</v>
      </c>
      <c r="J223">
        <v>40300</v>
      </c>
    </row>
    <row r="224" spans="4:10">
      <c r="D224" t="s">
        <v>1865</v>
      </c>
      <c r="E224" t="s">
        <v>1430</v>
      </c>
      <c r="F224">
        <v>3097</v>
      </c>
      <c r="G224">
        <v>3097</v>
      </c>
      <c r="H224">
        <v>3096</v>
      </c>
      <c r="I224">
        <v>3096</v>
      </c>
      <c r="J224">
        <v>2800</v>
      </c>
    </row>
    <row r="225" spans="4:10">
      <c r="D225" t="s">
        <v>1865</v>
      </c>
      <c r="E225" t="s">
        <v>1431</v>
      </c>
      <c r="F225">
        <v>3096</v>
      </c>
      <c r="G225">
        <v>3098</v>
      </c>
      <c r="H225">
        <v>3096</v>
      </c>
      <c r="I225">
        <v>3098</v>
      </c>
      <c r="J225">
        <v>32100</v>
      </c>
    </row>
    <row r="226" spans="4:10">
      <c r="D226" t="s">
        <v>1865</v>
      </c>
      <c r="E226" t="s">
        <v>1432</v>
      </c>
      <c r="F226">
        <v>3097</v>
      </c>
      <c r="G226">
        <v>3097</v>
      </c>
      <c r="H226">
        <v>3097</v>
      </c>
      <c r="I226">
        <v>3097</v>
      </c>
      <c r="J226">
        <v>13500</v>
      </c>
    </row>
    <row r="227" spans="4:10">
      <c r="D227" t="s">
        <v>1865</v>
      </c>
      <c r="E227" t="s">
        <v>1433</v>
      </c>
      <c r="F227">
        <v>3097</v>
      </c>
      <c r="G227">
        <v>3098</v>
      </c>
      <c r="H227">
        <v>3097</v>
      </c>
      <c r="I227">
        <v>3098</v>
      </c>
      <c r="J227">
        <v>35400</v>
      </c>
    </row>
    <row r="228" spans="4:10">
      <c r="D228" t="s">
        <v>1865</v>
      </c>
      <c r="E228" t="s">
        <v>1434</v>
      </c>
      <c r="F228">
        <v>3098</v>
      </c>
      <c r="G228">
        <v>3098</v>
      </c>
      <c r="H228">
        <v>3097</v>
      </c>
      <c r="I228">
        <v>3097</v>
      </c>
      <c r="J228">
        <v>11200</v>
      </c>
    </row>
    <row r="229" spans="4:10">
      <c r="D229" t="s">
        <v>1865</v>
      </c>
      <c r="E229" t="s">
        <v>1435</v>
      </c>
      <c r="F229">
        <v>3097</v>
      </c>
      <c r="G229">
        <v>3098</v>
      </c>
      <c r="H229">
        <v>3097</v>
      </c>
      <c r="I229">
        <v>3098</v>
      </c>
      <c r="J229">
        <v>24000</v>
      </c>
    </row>
    <row r="230" spans="4:10">
      <c r="D230" t="s">
        <v>1865</v>
      </c>
      <c r="E230" t="s">
        <v>1436</v>
      </c>
      <c r="F230">
        <v>3098</v>
      </c>
      <c r="G230">
        <v>3099</v>
      </c>
      <c r="H230">
        <v>3096</v>
      </c>
      <c r="I230">
        <v>3096</v>
      </c>
      <c r="J230">
        <v>32700</v>
      </c>
    </row>
    <row r="231" spans="4:10">
      <c r="D231" t="s">
        <v>1865</v>
      </c>
      <c r="E231" t="s">
        <v>1437</v>
      </c>
      <c r="F231">
        <v>3096</v>
      </c>
      <c r="G231">
        <v>3096</v>
      </c>
      <c r="H231">
        <v>3096</v>
      </c>
      <c r="I231">
        <v>3096</v>
      </c>
      <c r="J231">
        <v>67400</v>
      </c>
    </row>
    <row r="232" spans="4:10">
      <c r="D232" t="s">
        <v>1865</v>
      </c>
      <c r="E232" t="s">
        <v>1438</v>
      </c>
      <c r="F232">
        <v>3096</v>
      </c>
      <c r="G232">
        <v>3097</v>
      </c>
      <c r="H232">
        <v>3096</v>
      </c>
      <c r="I232">
        <v>3096</v>
      </c>
      <c r="J232">
        <v>21100</v>
      </c>
    </row>
    <row r="233" spans="4:10">
      <c r="D233" t="s">
        <v>1865</v>
      </c>
      <c r="E233" t="s">
        <v>1439</v>
      </c>
      <c r="F233">
        <v>3096</v>
      </c>
      <c r="G233">
        <v>3096</v>
      </c>
      <c r="H233">
        <v>3096</v>
      </c>
      <c r="I233">
        <v>3096</v>
      </c>
      <c r="J233">
        <v>3900</v>
      </c>
    </row>
    <row r="234" spans="4:10">
      <c r="D234" t="s">
        <v>1865</v>
      </c>
      <c r="E234" t="s">
        <v>1440</v>
      </c>
      <c r="F234">
        <v>3096</v>
      </c>
      <c r="G234">
        <v>3096</v>
      </c>
      <c r="H234">
        <v>3095</v>
      </c>
      <c r="I234">
        <v>3096</v>
      </c>
      <c r="J234">
        <v>28100</v>
      </c>
    </row>
    <row r="235" spans="4:10">
      <c r="D235" t="s">
        <v>1865</v>
      </c>
      <c r="E235" t="s">
        <v>1441</v>
      </c>
      <c r="F235">
        <v>3095</v>
      </c>
      <c r="G235">
        <v>3095</v>
      </c>
      <c r="H235">
        <v>3094</v>
      </c>
      <c r="I235">
        <v>3095</v>
      </c>
      <c r="J235">
        <v>22100</v>
      </c>
    </row>
    <row r="236" spans="4:10">
      <c r="D236" t="s">
        <v>1865</v>
      </c>
      <c r="E236" t="s">
        <v>1442</v>
      </c>
      <c r="F236">
        <v>3095</v>
      </c>
      <c r="G236">
        <v>3095</v>
      </c>
      <c r="H236">
        <v>3094</v>
      </c>
      <c r="I236">
        <v>3095</v>
      </c>
      <c r="J236">
        <v>9300</v>
      </c>
    </row>
    <row r="237" spans="4:10">
      <c r="D237" t="s">
        <v>1865</v>
      </c>
      <c r="E237" t="s">
        <v>1443</v>
      </c>
      <c r="F237">
        <v>3094</v>
      </c>
      <c r="G237">
        <v>3095</v>
      </c>
      <c r="H237">
        <v>3094</v>
      </c>
      <c r="I237">
        <v>3095</v>
      </c>
      <c r="J237">
        <v>1000</v>
      </c>
    </row>
    <row r="238" spans="4:10">
      <c r="D238" t="s">
        <v>1865</v>
      </c>
      <c r="E238" t="s">
        <v>1444</v>
      </c>
      <c r="F238">
        <v>3095</v>
      </c>
      <c r="G238">
        <v>3096</v>
      </c>
      <c r="H238">
        <v>3095</v>
      </c>
      <c r="I238">
        <v>3095</v>
      </c>
      <c r="J238">
        <v>38200</v>
      </c>
    </row>
    <row r="239" spans="4:10">
      <c r="D239" t="s">
        <v>1865</v>
      </c>
      <c r="E239" t="s">
        <v>1445</v>
      </c>
      <c r="F239">
        <v>3095</v>
      </c>
      <c r="G239">
        <v>3097</v>
      </c>
      <c r="H239">
        <v>3095</v>
      </c>
      <c r="I239">
        <v>3097</v>
      </c>
      <c r="J239">
        <v>33400</v>
      </c>
    </row>
    <row r="240" spans="4:10">
      <c r="D240" t="s">
        <v>1865</v>
      </c>
      <c r="E240" t="s">
        <v>1446</v>
      </c>
      <c r="F240">
        <v>3096</v>
      </c>
      <c r="G240">
        <v>3099</v>
      </c>
      <c r="H240">
        <v>3096</v>
      </c>
      <c r="I240">
        <v>3099</v>
      </c>
      <c r="J240">
        <v>17900</v>
      </c>
    </row>
    <row r="241" spans="4:10">
      <c r="D241" t="s">
        <v>1865</v>
      </c>
      <c r="E241" t="s">
        <v>1447</v>
      </c>
      <c r="F241">
        <v>3099</v>
      </c>
      <c r="G241">
        <v>3100</v>
      </c>
      <c r="H241">
        <v>3099</v>
      </c>
      <c r="I241">
        <v>3099</v>
      </c>
      <c r="J241">
        <v>44500</v>
      </c>
    </row>
    <row r="242" spans="4:10">
      <c r="D242" t="s">
        <v>1865</v>
      </c>
      <c r="E242" t="s">
        <v>1448</v>
      </c>
      <c r="F242">
        <v>3099</v>
      </c>
      <c r="G242">
        <v>3099</v>
      </c>
      <c r="H242">
        <v>3098</v>
      </c>
      <c r="I242">
        <v>3098</v>
      </c>
      <c r="J242">
        <v>25900</v>
      </c>
    </row>
    <row r="243" spans="4:10">
      <c r="D243" t="s">
        <v>1865</v>
      </c>
      <c r="E243" t="s">
        <v>1449</v>
      </c>
      <c r="F243">
        <v>3099</v>
      </c>
      <c r="G243">
        <v>3099</v>
      </c>
      <c r="H243">
        <v>3098</v>
      </c>
      <c r="I243">
        <v>3099</v>
      </c>
      <c r="J243">
        <v>800</v>
      </c>
    </row>
    <row r="244" spans="4:10">
      <c r="D244" t="s">
        <v>1865</v>
      </c>
      <c r="E244" t="s">
        <v>1450</v>
      </c>
      <c r="F244">
        <v>3099</v>
      </c>
      <c r="G244">
        <v>3102</v>
      </c>
      <c r="H244">
        <v>3099</v>
      </c>
      <c r="I244">
        <v>3100</v>
      </c>
      <c r="J244">
        <v>110900</v>
      </c>
    </row>
    <row r="245" spans="4:10">
      <c r="D245" t="s">
        <v>1865</v>
      </c>
      <c r="E245" t="s">
        <v>1451</v>
      </c>
      <c r="F245">
        <v>3100</v>
      </c>
      <c r="G245">
        <v>3101</v>
      </c>
      <c r="H245">
        <v>3100</v>
      </c>
      <c r="I245">
        <v>3101</v>
      </c>
      <c r="J245">
        <v>23400</v>
      </c>
    </row>
    <row r="246" spans="4:10">
      <c r="D246" t="s">
        <v>1865</v>
      </c>
      <c r="E246" t="s">
        <v>1452</v>
      </c>
      <c r="F246">
        <v>3101</v>
      </c>
      <c r="G246">
        <v>3101</v>
      </c>
      <c r="H246">
        <v>3099</v>
      </c>
      <c r="I246">
        <v>3100</v>
      </c>
      <c r="J246">
        <v>27600</v>
      </c>
    </row>
    <row r="247" spans="4:10">
      <c r="D247" t="s">
        <v>1865</v>
      </c>
      <c r="E247" t="s">
        <v>1453</v>
      </c>
      <c r="F247">
        <v>3100</v>
      </c>
      <c r="G247">
        <v>3101</v>
      </c>
      <c r="H247">
        <v>3100</v>
      </c>
      <c r="I247">
        <v>3101</v>
      </c>
      <c r="J247">
        <v>12100</v>
      </c>
    </row>
    <row r="248" spans="4:10">
      <c r="D248" t="s">
        <v>1865</v>
      </c>
      <c r="E248" t="s">
        <v>1454</v>
      </c>
      <c r="F248">
        <v>3101</v>
      </c>
      <c r="G248">
        <v>3102</v>
      </c>
      <c r="H248">
        <v>3101</v>
      </c>
      <c r="I248">
        <v>3102</v>
      </c>
      <c r="J248">
        <v>6200</v>
      </c>
    </row>
    <row r="249" spans="4:10">
      <c r="D249" t="s">
        <v>1865</v>
      </c>
      <c r="E249" t="s">
        <v>1455</v>
      </c>
      <c r="F249">
        <v>3102</v>
      </c>
      <c r="G249">
        <v>3102</v>
      </c>
      <c r="H249">
        <v>3101</v>
      </c>
      <c r="I249">
        <v>3101</v>
      </c>
      <c r="J249">
        <v>49100</v>
      </c>
    </row>
    <row r="250" spans="4:10">
      <c r="D250" t="s">
        <v>1865</v>
      </c>
      <c r="E250" t="s">
        <v>1456</v>
      </c>
      <c r="F250">
        <v>3101</v>
      </c>
      <c r="G250">
        <v>3101</v>
      </c>
      <c r="H250">
        <v>3101</v>
      </c>
      <c r="I250">
        <v>3101</v>
      </c>
      <c r="J250">
        <v>8900</v>
      </c>
    </row>
    <row r="251" spans="4:10">
      <c r="D251" t="s">
        <v>1865</v>
      </c>
      <c r="E251" t="s">
        <v>1457</v>
      </c>
      <c r="F251">
        <v>3101</v>
      </c>
      <c r="G251">
        <v>3102</v>
      </c>
      <c r="H251">
        <v>3100</v>
      </c>
      <c r="I251">
        <v>3102</v>
      </c>
      <c r="J251">
        <v>40200</v>
      </c>
    </row>
    <row r="252" spans="4:10">
      <c r="D252" t="s">
        <v>1865</v>
      </c>
      <c r="E252" t="s">
        <v>1458</v>
      </c>
      <c r="F252">
        <v>3101</v>
      </c>
      <c r="G252">
        <v>3101</v>
      </c>
      <c r="H252">
        <v>3100</v>
      </c>
      <c r="I252">
        <v>3100</v>
      </c>
      <c r="J252">
        <v>30000</v>
      </c>
    </row>
    <row r="253" spans="4:10">
      <c r="D253" t="s">
        <v>1865</v>
      </c>
      <c r="E253" t="s">
        <v>1459</v>
      </c>
      <c r="F253">
        <v>3100</v>
      </c>
      <c r="G253">
        <v>3101</v>
      </c>
      <c r="H253">
        <v>3099</v>
      </c>
      <c r="I253">
        <v>3099</v>
      </c>
      <c r="J253">
        <v>21100</v>
      </c>
    </row>
    <row r="254" spans="4:10">
      <c r="D254" t="s">
        <v>1865</v>
      </c>
      <c r="E254" t="s">
        <v>1460</v>
      </c>
      <c r="F254">
        <v>3099</v>
      </c>
      <c r="G254">
        <v>3100</v>
      </c>
      <c r="H254">
        <v>3099</v>
      </c>
      <c r="I254">
        <v>3099</v>
      </c>
      <c r="J254">
        <v>2800</v>
      </c>
    </row>
    <row r="255" spans="4:10">
      <c r="D255" t="s">
        <v>1865</v>
      </c>
      <c r="E255" t="s">
        <v>1461</v>
      </c>
      <c r="F255">
        <v>3099</v>
      </c>
      <c r="G255">
        <v>3099</v>
      </c>
      <c r="H255">
        <v>3098</v>
      </c>
      <c r="I255">
        <v>3098</v>
      </c>
      <c r="J255">
        <v>40900</v>
      </c>
    </row>
    <row r="256" spans="4:10">
      <c r="D256" t="s">
        <v>1865</v>
      </c>
      <c r="E256" t="s">
        <v>1462</v>
      </c>
      <c r="F256">
        <v>3097</v>
      </c>
      <c r="G256">
        <v>3097</v>
      </c>
      <c r="H256">
        <v>3095</v>
      </c>
      <c r="I256">
        <v>3095</v>
      </c>
      <c r="J256">
        <v>16700</v>
      </c>
    </row>
    <row r="257" spans="4:10">
      <c r="D257" t="s">
        <v>1865</v>
      </c>
      <c r="E257" t="s">
        <v>1463</v>
      </c>
      <c r="F257">
        <v>3096</v>
      </c>
      <c r="G257">
        <v>3097</v>
      </c>
      <c r="H257">
        <v>3096</v>
      </c>
      <c r="I257">
        <v>3096</v>
      </c>
      <c r="J257">
        <v>20200</v>
      </c>
    </row>
    <row r="258" spans="4:10">
      <c r="D258" t="s">
        <v>1865</v>
      </c>
      <c r="E258" t="s">
        <v>1464</v>
      </c>
      <c r="F258">
        <v>3097</v>
      </c>
      <c r="G258">
        <v>3097</v>
      </c>
      <c r="H258">
        <v>3096</v>
      </c>
      <c r="I258">
        <v>3097</v>
      </c>
      <c r="J258">
        <v>11900</v>
      </c>
    </row>
    <row r="259" spans="4:10">
      <c r="D259" t="s">
        <v>1865</v>
      </c>
      <c r="E259" t="s">
        <v>1465</v>
      </c>
      <c r="F259">
        <v>3098</v>
      </c>
      <c r="G259">
        <v>3098</v>
      </c>
      <c r="H259">
        <v>3097</v>
      </c>
      <c r="I259">
        <v>3098</v>
      </c>
      <c r="J259">
        <v>4300</v>
      </c>
    </row>
    <row r="260" spans="4:10">
      <c r="D260" t="s">
        <v>1865</v>
      </c>
      <c r="E260" t="s">
        <v>1466</v>
      </c>
      <c r="F260">
        <v>3097</v>
      </c>
      <c r="G260">
        <v>3097</v>
      </c>
      <c r="H260">
        <v>3096</v>
      </c>
      <c r="I260">
        <v>3096</v>
      </c>
      <c r="J260">
        <v>24500</v>
      </c>
    </row>
    <row r="261" spans="4:10">
      <c r="D261" t="s">
        <v>1865</v>
      </c>
      <c r="E261" t="s">
        <v>1467</v>
      </c>
      <c r="F261">
        <v>3097</v>
      </c>
      <c r="G261">
        <v>3097</v>
      </c>
      <c r="H261">
        <v>3096</v>
      </c>
      <c r="I261">
        <v>3096</v>
      </c>
      <c r="J261">
        <v>3300</v>
      </c>
    </row>
    <row r="262" spans="4:10">
      <c r="D262" t="s">
        <v>1865</v>
      </c>
      <c r="E262" t="s">
        <v>1468</v>
      </c>
      <c r="F262">
        <v>3096</v>
      </c>
      <c r="G262">
        <v>3096</v>
      </c>
      <c r="H262">
        <v>3093</v>
      </c>
      <c r="I262">
        <v>3094</v>
      </c>
      <c r="J262">
        <v>84400</v>
      </c>
    </row>
    <row r="263" spans="4:10">
      <c r="D263" t="s">
        <v>1865</v>
      </c>
      <c r="E263" t="s">
        <v>1469</v>
      </c>
      <c r="F263">
        <v>3094</v>
      </c>
      <c r="G263">
        <v>3096</v>
      </c>
      <c r="H263">
        <v>3094</v>
      </c>
      <c r="I263">
        <v>3096</v>
      </c>
      <c r="J263">
        <v>6400</v>
      </c>
    </row>
    <row r="264" spans="4:10">
      <c r="D264" t="s">
        <v>1865</v>
      </c>
      <c r="E264" t="s">
        <v>1470</v>
      </c>
      <c r="F264">
        <v>3095</v>
      </c>
      <c r="G264">
        <v>3098</v>
      </c>
      <c r="H264">
        <v>3094</v>
      </c>
      <c r="I264">
        <v>3096</v>
      </c>
      <c r="J264">
        <v>96700</v>
      </c>
    </row>
    <row r="265" spans="4:10">
      <c r="D265" t="s">
        <v>1865</v>
      </c>
      <c r="E265" t="s">
        <v>1471</v>
      </c>
      <c r="F265">
        <v>3096</v>
      </c>
      <c r="G265">
        <v>3098</v>
      </c>
      <c r="H265">
        <v>3096</v>
      </c>
      <c r="I265">
        <v>3098</v>
      </c>
      <c r="J265">
        <v>22300</v>
      </c>
    </row>
    <row r="266" spans="4:10">
      <c r="D266" t="s">
        <v>1865</v>
      </c>
      <c r="E266" t="s">
        <v>1472</v>
      </c>
      <c r="F266">
        <v>3098</v>
      </c>
      <c r="G266">
        <v>3099</v>
      </c>
      <c r="H266">
        <v>3097</v>
      </c>
      <c r="I266">
        <v>3099</v>
      </c>
      <c r="J266">
        <v>20100</v>
      </c>
    </row>
    <row r="267" spans="4:10">
      <c r="D267" t="s">
        <v>1865</v>
      </c>
      <c r="E267" t="s">
        <v>1473</v>
      </c>
      <c r="F267">
        <v>3099</v>
      </c>
      <c r="G267">
        <v>3099</v>
      </c>
      <c r="H267">
        <v>3098</v>
      </c>
      <c r="I267">
        <v>3099</v>
      </c>
      <c r="J267">
        <v>30800</v>
      </c>
    </row>
    <row r="268" spans="4:10">
      <c r="D268" t="s">
        <v>1865</v>
      </c>
      <c r="E268" t="s">
        <v>1474</v>
      </c>
      <c r="F268">
        <v>3100</v>
      </c>
      <c r="G268">
        <v>3100</v>
      </c>
      <c r="H268">
        <v>3099</v>
      </c>
      <c r="I268">
        <v>3100</v>
      </c>
      <c r="J268">
        <v>3000</v>
      </c>
    </row>
    <row r="269" spans="4:10">
      <c r="D269" t="s">
        <v>1865</v>
      </c>
      <c r="E269" t="s">
        <v>1475</v>
      </c>
      <c r="F269">
        <v>3099</v>
      </c>
      <c r="G269">
        <v>3101</v>
      </c>
      <c r="H269">
        <v>3099</v>
      </c>
      <c r="I269">
        <v>3100</v>
      </c>
      <c r="J269">
        <v>49500</v>
      </c>
    </row>
    <row r="270" spans="4:10">
      <c r="D270" t="s">
        <v>1865</v>
      </c>
      <c r="E270" t="s">
        <v>1476</v>
      </c>
      <c r="F270">
        <v>3100</v>
      </c>
      <c r="G270">
        <v>3100</v>
      </c>
      <c r="H270">
        <v>3099</v>
      </c>
      <c r="I270">
        <v>3099</v>
      </c>
      <c r="J270">
        <v>95700</v>
      </c>
    </row>
    <row r="271" spans="4:10">
      <c r="D271" t="s">
        <v>1865</v>
      </c>
      <c r="E271" t="s">
        <v>1477</v>
      </c>
      <c r="F271">
        <v>3099</v>
      </c>
      <c r="G271">
        <v>3099</v>
      </c>
      <c r="H271">
        <v>3099</v>
      </c>
      <c r="I271">
        <v>3099</v>
      </c>
      <c r="J271">
        <v>25400</v>
      </c>
    </row>
    <row r="272" spans="4:10">
      <c r="D272" t="s">
        <v>1865</v>
      </c>
      <c r="E272" t="s">
        <v>1478</v>
      </c>
      <c r="F272">
        <v>3100</v>
      </c>
      <c r="G272">
        <v>3100</v>
      </c>
      <c r="H272">
        <v>3099</v>
      </c>
      <c r="I272">
        <v>3099</v>
      </c>
      <c r="J272">
        <v>700</v>
      </c>
    </row>
    <row r="273" spans="4:10">
      <c r="D273" t="s">
        <v>1865</v>
      </c>
      <c r="E273" t="s">
        <v>1479</v>
      </c>
      <c r="F273">
        <v>3100</v>
      </c>
      <c r="G273">
        <v>3102</v>
      </c>
      <c r="H273">
        <v>3100</v>
      </c>
      <c r="I273">
        <v>3102</v>
      </c>
      <c r="J273">
        <v>116900</v>
      </c>
    </row>
    <row r="274" spans="4:10">
      <c r="D274" t="s">
        <v>1865</v>
      </c>
      <c r="E274" t="s">
        <v>1480</v>
      </c>
      <c r="F274">
        <v>3102</v>
      </c>
      <c r="G274">
        <v>3103</v>
      </c>
      <c r="H274">
        <v>3101</v>
      </c>
      <c r="I274">
        <v>3101</v>
      </c>
      <c r="J274">
        <v>22800</v>
      </c>
    </row>
    <row r="275" spans="4:10">
      <c r="D275" t="s">
        <v>1865</v>
      </c>
      <c r="E275" t="s">
        <v>1481</v>
      </c>
      <c r="F275">
        <v>3101</v>
      </c>
      <c r="G275">
        <v>3102</v>
      </c>
      <c r="H275">
        <v>3100</v>
      </c>
      <c r="I275">
        <v>3101</v>
      </c>
      <c r="J275">
        <v>22800</v>
      </c>
    </row>
    <row r="276" spans="4:10">
      <c r="D276" t="s">
        <v>1865</v>
      </c>
      <c r="E276" t="s">
        <v>1482</v>
      </c>
      <c r="F276">
        <v>3100</v>
      </c>
      <c r="G276">
        <v>3101</v>
      </c>
      <c r="H276">
        <v>3100</v>
      </c>
      <c r="I276">
        <v>3100</v>
      </c>
      <c r="J276">
        <v>600</v>
      </c>
    </row>
    <row r="277" spans="4:10">
      <c r="D277" t="s">
        <v>1865</v>
      </c>
      <c r="E277" t="s">
        <v>1483</v>
      </c>
      <c r="F277">
        <v>3101</v>
      </c>
      <c r="G277">
        <v>3101</v>
      </c>
      <c r="H277">
        <v>3100</v>
      </c>
      <c r="I277">
        <v>3101</v>
      </c>
      <c r="J277">
        <v>20900</v>
      </c>
    </row>
    <row r="278" spans="4:10">
      <c r="D278" t="s">
        <v>1865</v>
      </c>
      <c r="E278" t="s">
        <v>1484</v>
      </c>
      <c r="F278">
        <v>3100</v>
      </c>
      <c r="G278">
        <v>3101</v>
      </c>
      <c r="H278">
        <v>3100</v>
      </c>
      <c r="I278">
        <v>3100</v>
      </c>
      <c r="J278">
        <v>32000</v>
      </c>
    </row>
    <row r="279" spans="4:10">
      <c r="D279" t="s">
        <v>1865</v>
      </c>
      <c r="E279" t="s">
        <v>1485</v>
      </c>
      <c r="F279">
        <v>3100</v>
      </c>
      <c r="G279">
        <v>3100</v>
      </c>
      <c r="H279">
        <v>3097</v>
      </c>
      <c r="I279">
        <v>3098</v>
      </c>
      <c r="J279">
        <v>82100</v>
      </c>
    </row>
    <row r="280" spans="4:10">
      <c r="D280" t="s">
        <v>1865</v>
      </c>
      <c r="E280" t="s">
        <v>1486</v>
      </c>
      <c r="F280">
        <v>3098</v>
      </c>
      <c r="G280">
        <v>3099</v>
      </c>
      <c r="H280">
        <v>3098</v>
      </c>
      <c r="I280">
        <v>3099</v>
      </c>
      <c r="J280">
        <v>47400</v>
      </c>
    </row>
    <row r="281" spans="4:10">
      <c r="D281" t="s">
        <v>1865</v>
      </c>
      <c r="E281" t="s">
        <v>1487</v>
      </c>
      <c r="F281">
        <v>3099</v>
      </c>
      <c r="G281">
        <v>3099</v>
      </c>
      <c r="H281">
        <v>3097</v>
      </c>
      <c r="I281">
        <v>3098</v>
      </c>
      <c r="J281">
        <v>20700</v>
      </c>
    </row>
    <row r="282" spans="4:10">
      <c r="D282" t="s">
        <v>1865</v>
      </c>
      <c r="E282" t="s">
        <v>1488</v>
      </c>
      <c r="F282">
        <v>3098</v>
      </c>
      <c r="G282">
        <v>3100</v>
      </c>
      <c r="H282">
        <v>3098</v>
      </c>
      <c r="I282">
        <v>3099</v>
      </c>
      <c r="J282">
        <v>21900</v>
      </c>
    </row>
    <row r="283" spans="4:10">
      <c r="D283" t="s">
        <v>1865</v>
      </c>
      <c r="E283" t="s">
        <v>1489</v>
      </c>
      <c r="F283">
        <v>3099</v>
      </c>
      <c r="G283">
        <v>3099</v>
      </c>
      <c r="H283">
        <v>3098</v>
      </c>
      <c r="I283">
        <v>3099</v>
      </c>
      <c r="J283">
        <v>17200</v>
      </c>
    </row>
    <row r="284" spans="4:10">
      <c r="D284" t="s">
        <v>1865</v>
      </c>
      <c r="E284" t="s">
        <v>1490</v>
      </c>
      <c r="F284">
        <v>3100</v>
      </c>
      <c r="G284">
        <v>3101</v>
      </c>
      <c r="H284">
        <v>3100</v>
      </c>
      <c r="I284">
        <v>3101</v>
      </c>
      <c r="J284">
        <v>38300</v>
      </c>
    </row>
    <row r="285" spans="4:10">
      <c r="D285" t="s">
        <v>1865</v>
      </c>
      <c r="E285" t="s">
        <v>1491</v>
      </c>
      <c r="F285">
        <v>3101</v>
      </c>
      <c r="G285">
        <v>3103</v>
      </c>
      <c r="H285">
        <v>3101</v>
      </c>
      <c r="I285">
        <v>3103</v>
      </c>
      <c r="J285">
        <v>25400</v>
      </c>
    </row>
    <row r="286" spans="4:10">
      <c r="D286" t="s">
        <v>1865</v>
      </c>
      <c r="E286" t="s">
        <v>1492</v>
      </c>
      <c r="F286">
        <v>3102</v>
      </c>
      <c r="G286">
        <v>3103</v>
      </c>
      <c r="H286">
        <v>3102</v>
      </c>
      <c r="I286">
        <v>3102</v>
      </c>
      <c r="J286">
        <v>5900</v>
      </c>
    </row>
    <row r="287" spans="4:10">
      <c r="D287" t="s">
        <v>1865</v>
      </c>
      <c r="E287" t="s">
        <v>1493</v>
      </c>
      <c r="F287">
        <v>3103</v>
      </c>
      <c r="G287">
        <v>3103</v>
      </c>
      <c r="H287">
        <v>3102</v>
      </c>
      <c r="I287">
        <v>3103</v>
      </c>
      <c r="J287">
        <v>1500</v>
      </c>
    </row>
    <row r="288" spans="4:10">
      <c r="D288" t="s">
        <v>1865</v>
      </c>
      <c r="E288" t="s">
        <v>1494</v>
      </c>
      <c r="F288">
        <v>3103</v>
      </c>
      <c r="G288">
        <v>3103</v>
      </c>
      <c r="H288">
        <v>3102</v>
      </c>
      <c r="I288">
        <v>3103</v>
      </c>
      <c r="J288">
        <v>28100</v>
      </c>
    </row>
    <row r="289" spans="4:10">
      <c r="D289" t="s">
        <v>1865</v>
      </c>
      <c r="E289" t="s">
        <v>1495</v>
      </c>
      <c r="F289">
        <v>3102</v>
      </c>
      <c r="G289">
        <v>3104</v>
      </c>
      <c r="H289">
        <v>3102</v>
      </c>
      <c r="I289">
        <v>3103</v>
      </c>
      <c r="J289">
        <v>70900</v>
      </c>
    </row>
    <row r="290" spans="4:10">
      <c r="D290" t="s">
        <v>1865</v>
      </c>
      <c r="E290" t="s">
        <v>1496</v>
      </c>
      <c r="F290">
        <v>3103</v>
      </c>
      <c r="G290">
        <v>3104</v>
      </c>
      <c r="H290">
        <v>3102</v>
      </c>
      <c r="I290">
        <v>3102</v>
      </c>
      <c r="J290">
        <v>24300</v>
      </c>
    </row>
    <row r="291" spans="4:10">
      <c r="D291" t="s">
        <v>1865</v>
      </c>
      <c r="E291" t="s">
        <v>1497</v>
      </c>
      <c r="F291">
        <v>3102</v>
      </c>
      <c r="G291">
        <v>3103</v>
      </c>
      <c r="H291">
        <v>3101</v>
      </c>
      <c r="I291">
        <v>3101</v>
      </c>
      <c r="J291">
        <v>37400</v>
      </c>
    </row>
    <row r="292" spans="4:10">
      <c r="D292" t="s">
        <v>1865</v>
      </c>
      <c r="E292" t="s">
        <v>1498</v>
      </c>
      <c r="F292">
        <v>3101</v>
      </c>
      <c r="G292">
        <v>3101</v>
      </c>
      <c r="H292">
        <v>3101</v>
      </c>
      <c r="I292">
        <v>3101</v>
      </c>
      <c r="J292">
        <v>22400</v>
      </c>
    </row>
    <row r="293" spans="4:10">
      <c r="D293" t="s">
        <v>1865</v>
      </c>
      <c r="E293" t="s">
        <v>1499</v>
      </c>
      <c r="F293">
        <v>3102</v>
      </c>
      <c r="G293">
        <v>3102</v>
      </c>
      <c r="H293">
        <v>3102</v>
      </c>
      <c r="I293">
        <v>3102</v>
      </c>
      <c r="J293">
        <v>27300</v>
      </c>
    </row>
    <row r="294" spans="4:10">
      <c r="D294" t="s">
        <v>1865</v>
      </c>
      <c r="E294" t="s">
        <v>1500</v>
      </c>
      <c r="F294">
        <v>3102</v>
      </c>
      <c r="G294">
        <v>3103</v>
      </c>
      <c r="H294">
        <v>3101</v>
      </c>
      <c r="I294">
        <v>3102</v>
      </c>
      <c r="J294">
        <v>69200</v>
      </c>
    </row>
    <row r="295" spans="4:10">
      <c r="D295" t="s">
        <v>1865</v>
      </c>
      <c r="E295" t="s">
        <v>1501</v>
      </c>
      <c r="F295">
        <v>3103</v>
      </c>
      <c r="G295">
        <v>3103</v>
      </c>
      <c r="H295">
        <v>3102</v>
      </c>
      <c r="I295">
        <v>3102</v>
      </c>
      <c r="J295">
        <v>35800</v>
      </c>
    </row>
    <row r="296" spans="4:10">
      <c r="D296" t="s">
        <v>1865</v>
      </c>
      <c r="E296" t="s">
        <v>1502</v>
      </c>
      <c r="F296">
        <v>3101</v>
      </c>
      <c r="G296">
        <v>3101</v>
      </c>
      <c r="H296">
        <v>3100</v>
      </c>
      <c r="I296">
        <v>3101</v>
      </c>
      <c r="J296">
        <v>52200</v>
      </c>
    </row>
    <row r="297" spans="4:10">
      <c r="D297" t="s">
        <v>1865</v>
      </c>
      <c r="E297" t="s">
        <v>1503</v>
      </c>
      <c r="F297">
        <v>3101</v>
      </c>
      <c r="G297">
        <v>3101</v>
      </c>
      <c r="H297">
        <v>3100</v>
      </c>
      <c r="I297">
        <v>3100</v>
      </c>
      <c r="J297">
        <v>19400</v>
      </c>
    </row>
    <row r="298" spans="4:10">
      <c r="D298" t="s">
        <v>1865</v>
      </c>
      <c r="E298" t="s">
        <v>1504</v>
      </c>
      <c r="F298">
        <v>3100</v>
      </c>
      <c r="G298">
        <v>3100</v>
      </c>
      <c r="H298">
        <v>3097</v>
      </c>
      <c r="I298">
        <v>3098</v>
      </c>
      <c r="J298">
        <v>77700</v>
      </c>
    </row>
    <row r="299" spans="4:10">
      <c r="D299" t="s">
        <v>1865</v>
      </c>
      <c r="E299" t="s">
        <v>1505</v>
      </c>
      <c r="F299">
        <v>3097</v>
      </c>
      <c r="G299">
        <v>3099</v>
      </c>
      <c r="H299">
        <v>3097</v>
      </c>
      <c r="I299">
        <v>3099</v>
      </c>
      <c r="J299">
        <v>14900</v>
      </c>
    </row>
    <row r="300" spans="4:10">
      <c r="D300" t="s">
        <v>1865</v>
      </c>
      <c r="E300" t="s">
        <v>1506</v>
      </c>
      <c r="F300">
        <v>3100</v>
      </c>
      <c r="G300">
        <v>3100</v>
      </c>
      <c r="H300">
        <v>3099</v>
      </c>
      <c r="I300">
        <v>3100</v>
      </c>
      <c r="J300">
        <v>46100</v>
      </c>
    </row>
    <row r="301" spans="4:10">
      <c r="D301" t="s">
        <v>1865</v>
      </c>
      <c r="E301" t="s">
        <v>1507</v>
      </c>
      <c r="F301">
        <v>3101</v>
      </c>
      <c r="G301">
        <v>3102</v>
      </c>
      <c r="H301">
        <v>3100</v>
      </c>
      <c r="I301">
        <v>3100</v>
      </c>
      <c r="J301">
        <v>104400</v>
      </c>
    </row>
    <row r="302" spans="4:10">
      <c r="D302" t="s">
        <v>1865</v>
      </c>
      <c r="E302" t="s">
        <v>1508</v>
      </c>
      <c r="F302">
        <v>3100</v>
      </c>
      <c r="G302">
        <v>3101</v>
      </c>
      <c r="H302">
        <v>3100</v>
      </c>
      <c r="I302">
        <v>3100</v>
      </c>
      <c r="J302">
        <v>11700</v>
      </c>
    </row>
    <row r="303" spans="4:10">
      <c r="D303" t="s">
        <v>1865</v>
      </c>
      <c r="E303" t="s">
        <v>1509</v>
      </c>
      <c r="F303">
        <v>3100</v>
      </c>
      <c r="G303">
        <v>3100</v>
      </c>
      <c r="H303">
        <v>3099</v>
      </c>
      <c r="I303">
        <v>3100</v>
      </c>
      <c r="J303">
        <v>60800</v>
      </c>
    </row>
    <row r="304" spans="4:10">
      <c r="D304" t="s">
        <v>1865</v>
      </c>
      <c r="E304" t="s">
        <v>1510</v>
      </c>
      <c r="F304">
        <v>3100</v>
      </c>
      <c r="G304">
        <v>3100</v>
      </c>
      <c r="H304">
        <v>3097</v>
      </c>
      <c r="I304">
        <v>3097</v>
      </c>
      <c r="J304">
        <v>45900</v>
      </c>
    </row>
    <row r="305" spans="4:10">
      <c r="D305" t="s">
        <v>1865</v>
      </c>
      <c r="E305" t="s">
        <v>1511</v>
      </c>
      <c r="F305">
        <v>3097</v>
      </c>
      <c r="G305">
        <v>3098</v>
      </c>
      <c r="H305">
        <v>3097</v>
      </c>
      <c r="I305">
        <v>3097</v>
      </c>
      <c r="J305">
        <v>6300</v>
      </c>
    </row>
    <row r="306" spans="4:10">
      <c r="D306" t="s">
        <v>1865</v>
      </c>
      <c r="E306" t="s">
        <v>1512</v>
      </c>
      <c r="F306">
        <v>3098</v>
      </c>
      <c r="G306">
        <v>3098</v>
      </c>
      <c r="H306">
        <v>3097</v>
      </c>
      <c r="I306">
        <v>3097</v>
      </c>
      <c r="J306">
        <v>2800</v>
      </c>
    </row>
    <row r="307" spans="4:10">
      <c r="D307" t="s">
        <v>1865</v>
      </c>
      <c r="E307" t="s">
        <v>1513</v>
      </c>
      <c r="F307">
        <v>3098</v>
      </c>
      <c r="G307">
        <v>3099</v>
      </c>
      <c r="H307">
        <v>3097</v>
      </c>
      <c r="I307">
        <v>3098</v>
      </c>
      <c r="J307">
        <v>111600</v>
      </c>
    </row>
    <row r="308" spans="4:10">
      <c r="D308" t="s">
        <v>1865</v>
      </c>
      <c r="E308" t="s">
        <v>1514</v>
      </c>
      <c r="F308">
        <v>3097</v>
      </c>
      <c r="G308">
        <v>3098</v>
      </c>
      <c r="H308">
        <v>3096</v>
      </c>
      <c r="I308">
        <v>3096</v>
      </c>
      <c r="J308">
        <v>35000</v>
      </c>
    </row>
    <row r="309" spans="4:10">
      <c r="D309" t="s">
        <v>1865</v>
      </c>
      <c r="E309" t="s">
        <v>1515</v>
      </c>
      <c r="F309">
        <v>3097</v>
      </c>
      <c r="G309">
        <v>3098</v>
      </c>
      <c r="H309">
        <v>3096</v>
      </c>
      <c r="I309">
        <v>3098</v>
      </c>
      <c r="J309">
        <v>45900</v>
      </c>
    </row>
    <row r="310" spans="4:10">
      <c r="D310" t="s">
        <v>1865</v>
      </c>
      <c r="E310" t="s">
        <v>1516</v>
      </c>
      <c r="F310">
        <v>3098</v>
      </c>
      <c r="G310">
        <v>3098</v>
      </c>
      <c r="H310">
        <v>3097</v>
      </c>
      <c r="I310">
        <v>3097</v>
      </c>
      <c r="J310">
        <v>43700</v>
      </c>
    </row>
    <row r="311" spans="4:10">
      <c r="D311" t="s">
        <v>1865</v>
      </c>
      <c r="E311" t="s">
        <v>1517</v>
      </c>
      <c r="F311">
        <v>3097</v>
      </c>
      <c r="G311">
        <v>3098</v>
      </c>
      <c r="H311">
        <v>3095</v>
      </c>
      <c r="I311">
        <v>3096</v>
      </c>
      <c r="J311">
        <v>57300</v>
      </c>
    </row>
    <row r="312" spans="4:10">
      <c r="D312" t="s">
        <v>1865</v>
      </c>
      <c r="E312" t="s">
        <v>1518</v>
      </c>
      <c r="F312">
        <v>3095</v>
      </c>
      <c r="G312">
        <v>3098</v>
      </c>
      <c r="H312">
        <v>3095</v>
      </c>
      <c r="I312">
        <v>3098</v>
      </c>
      <c r="J312">
        <v>45000</v>
      </c>
    </row>
    <row r="313" spans="4:10">
      <c r="D313" t="s">
        <v>1865</v>
      </c>
      <c r="E313" t="s">
        <v>1519</v>
      </c>
      <c r="F313">
        <v>3098</v>
      </c>
      <c r="G313">
        <v>3099</v>
      </c>
      <c r="H313">
        <v>3098</v>
      </c>
      <c r="I313">
        <v>3099</v>
      </c>
      <c r="J313">
        <v>58600</v>
      </c>
    </row>
    <row r="314" spans="4:10">
      <c r="D314" t="s">
        <v>1865</v>
      </c>
      <c r="E314" t="s">
        <v>1520</v>
      </c>
      <c r="F314">
        <v>3099</v>
      </c>
      <c r="G314">
        <v>3100</v>
      </c>
      <c r="H314">
        <v>3098</v>
      </c>
      <c r="I314">
        <v>3100</v>
      </c>
      <c r="J314">
        <v>13100</v>
      </c>
    </row>
    <row r="315" spans="4:10">
      <c r="D315" t="s">
        <v>1865</v>
      </c>
      <c r="E315" t="s">
        <v>1521</v>
      </c>
      <c r="F315">
        <v>3099</v>
      </c>
      <c r="G315">
        <v>3100</v>
      </c>
      <c r="H315">
        <v>3099</v>
      </c>
      <c r="I315">
        <v>3099</v>
      </c>
      <c r="J315">
        <v>10400</v>
      </c>
    </row>
    <row r="316" spans="4:10">
      <c r="D316" t="s">
        <v>1865</v>
      </c>
      <c r="E316" t="s">
        <v>1522</v>
      </c>
      <c r="F316">
        <v>3099</v>
      </c>
      <c r="G316">
        <v>3100</v>
      </c>
      <c r="H316">
        <v>3099</v>
      </c>
      <c r="I316">
        <v>3099</v>
      </c>
      <c r="J316">
        <v>23200</v>
      </c>
    </row>
    <row r="317" spans="4:10">
      <c r="D317" t="s">
        <v>1865</v>
      </c>
      <c r="E317" t="s">
        <v>1523</v>
      </c>
      <c r="F317">
        <v>3099</v>
      </c>
      <c r="G317">
        <v>3100</v>
      </c>
      <c r="H317">
        <v>3098</v>
      </c>
      <c r="I317">
        <v>3100</v>
      </c>
      <c r="J317">
        <v>80600</v>
      </c>
    </row>
    <row r="318" spans="4:10">
      <c r="D318" t="s">
        <v>1865</v>
      </c>
      <c r="E318" t="s">
        <v>1524</v>
      </c>
      <c r="F318">
        <v>3099</v>
      </c>
      <c r="G318">
        <v>3100</v>
      </c>
      <c r="H318">
        <v>3099</v>
      </c>
      <c r="I318">
        <v>3099</v>
      </c>
      <c r="J318">
        <v>18500</v>
      </c>
    </row>
    <row r="319" spans="4:10">
      <c r="D319" t="s">
        <v>1865</v>
      </c>
      <c r="E319" t="s">
        <v>1525</v>
      </c>
      <c r="F319">
        <v>3100</v>
      </c>
      <c r="G319">
        <v>3100</v>
      </c>
      <c r="H319">
        <v>3099</v>
      </c>
      <c r="I319">
        <v>3100</v>
      </c>
      <c r="J319">
        <v>13900</v>
      </c>
    </row>
    <row r="320" spans="4:10">
      <c r="D320" t="s">
        <v>1865</v>
      </c>
      <c r="E320" t="s">
        <v>1526</v>
      </c>
      <c r="F320">
        <v>3099</v>
      </c>
      <c r="G320">
        <v>3100</v>
      </c>
      <c r="H320">
        <v>3099</v>
      </c>
      <c r="I320">
        <v>3099</v>
      </c>
      <c r="J320">
        <v>7400</v>
      </c>
    </row>
    <row r="321" spans="1:10">
      <c r="D321" t="s">
        <v>1865</v>
      </c>
      <c r="E321" t="s">
        <v>1527</v>
      </c>
      <c r="F321">
        <v>3099</v>
      </c>
      <c r="G321">
        <v>3101</v>
      </c>
      <c r="H321">
        <v>3099</v>
      </c>
      <c r="I321">
        <v>3099</v>
      </c>
      <c r="J321">
        <v>66000</v>
      </c>
    </row>
    <row r="322" spans="1:10">
      <c r="D322" t="s">
        <v>1865</v>
      </c>
      <c r="E322" t="s">
        <v>1528</v>
      </c>
      <c r="F322">
        <v>3099</v>
      </c>
      <c r="G322">
        <v>3100</v>
      </c>
      <c r="H322">
        <v>3099</v>
      </c>
      <c r="I322">
        <v>3100</v>
      </c>
      <c r="J322">
        <v>65200</v>
      </c>
    </row>
    <row r="323" spans="1:10">
      <c r="D323" t="s">
        <v>1865</v>
      </c>
      <c r="E323" t="s">
        <v>1529</v>
      </c>
      <c r="F323">
        <v>3100</v>
      </c>
      <c r="G323">
        <v>3101</v>
      </c>
      <c r="H323">
        <v>3099</v>
      </c>
      <c r="I323">
        <v>3100</v>
      </c>
      <c r="J323">
        <v>58000</v>
      </c>
    </row>
    <row r="324" spans="1:10">
      <c r="D324" t="s">
        <v>1865</v>
      </c>
      <c r="E324" t="s">
        <v>1530</v>
      </c>
      <c r="F324">
        <v>3100</v>
      </c>
      <c r="G324">
        <v>3101</v>
      </c>
      <c r="H324">
        <v>3096</v>
      </c>
      <c r="I324">
        <v>3096</v>
      </c>
      <c r="J324">
        <v>150900</v>
      </c>
    </row>
    <row r="325" spans="1:10">
      <c r="D325" t="s">
        <v>1865</v>
      </c>
      <c r="E325" t="s">
        <v>1531</v>
      </c>
      <c r="F325">
        <v>3096</v>
      </c>
      <c r="G325">
        <v>3098</v>
      </c>
      <c r="H325">
        <v>3095</v>
      </c>
      <c r="I325">
        <v>3095</v>
      </c>
      <c r="J325">
        <v>84900</v>
      </c>
    </row>
    <row r="326" spans="1:10">
      <c r="D326" t="s">
        <v>1865</v>
      </c>
      <c r="E326" t="s">
        <v>1532</v>
      </c>
      <c r="F326">
        <v>3095</v>
      </c>
      <c r="G326">
        <v>3096</v>
      </c>
      <c r="H326">
        <v>3094</v>
      </c>
      <c r="I326">
        <v>3095</v>
      </c>
      <c r="J326">
        <v>83200</v>
      </c>
    </row>
    <row r="327" spans="1:10">
      <c r="D327" t="s">
        <v>1865</v>
      </c>
      <c r="E327" t="s">
        <v>1533</v>
      </c>
      <c r="F327">
        <v>3095</v>
      </c>
      <c r="G327">
        <v>3098</v>
      </c>
      <c r="H327">
        <v>3095</v>
      </c>
      <c r="I327">
        <v>3097</v>
      </c>
      <c r="J327">
        <v>93600</v>
      </c>
    </row>
    <row r="328" spans="1:10">
      <c r="D328" t="s">
        <v>1865</v>
      </c>
      <c r="E328" t="s">
        <v>1534</v>
      </c>
      <c r="F328">
        <v>3097</v>
      </c>
      <c r="G328">
        <v>3099</v>
      </c>
      <c r="H328">
        <v>3094</v>
      </c>
      <c r="I328">
        <v>3096</v>
      </c>
      <c r="J328">
        <v>172000</v>
      </c>
    </row>
    <row r="329" spans="1:10">
      <c r="D329" t="s">
        <v>1865</v>
      </c>
      <c r="E329" t="s">
        <v>1535</v>
      </c>
      <c r="F329" t="s">
        <v>35</v>
      </c>
      <c r="G329" t="s">
        <v>35</v>
      </c>
      <c r="H329" t="s">
        <v>35</v>
      </c>
      <c r="I329" t="s">
        <v>35</v>
      </c>
      <c r="J329">
        <v>0</v>
      </c>
    </row>
    <row r="330" spans="1:10">
      <c r="D330" t="s">
        <v>1865</v>
      </c>
      <c r="E330" t="s">
        <v>1536</v>
      </c>
      <c r="F330" t="s">
        <v>35</v>
      </c>
      <c r="G330" t="s">
        <v>35</v>
      </c>
      <c r="H330" t="s">
        <v>35</v>
      </c>
      <c r="I330" t="s">
        <v>35</v>
      </c>
      <c r="J330">
        <v>0</v>
      </c>
    </row>
    <row r="331" spans="1:10">
      <c r="D331" t="s">
        <v>1865</v>
      </c>
      <c r="E331" t="s">
        <v>1537</v>
      </c>
      <c r="F331" t="s">
        <v>35</v>
      </c>
      <c r="G331" t="s">
        <v>35</v>
      </c>
      <c r="H331" t="s">
        <v>35</v>
      </c>
      <c r="I331" t="s">
        <v>35</v>
      </c>
      <c r="J331">
        <v>0</v>
      </c>
    </row>
    <row r="332" spans="1:10">
      <c r="D332" t="s">
        <v>1865</v>
      </c>
      <c r="E332" t="s">
        <v>1538</v>
      </c>
      <c r="F332" t="s">
        <v>35</v>
      </c>
      <c r="G332" t="s">
        <v>35</v>
      </c>
      <c r="H332" t="s">
        <v>35</v>
      </c>
      <c r="I332" t="s">
        <v>35</v>
      </c>
      <c r="J332">
        <v>0</v>
      </c>
    </row>
    <row r="333" spans="1:10">
      <c r="D333" t="s">
        <v>1865</v>
      </c>
      <c r="E333" t="s">
        <v>1539</v>
      </c>
      <c r="F333" t="s">
        <v>35</v>
      </c>
      <c r="G333" t="s">
        <v>35</v>
      </c>
      <c r="H333" t="s">
        <v>35</v>
      </c>
      <c r="I333" t="s">
        <v>35</v>
      </c>
      <c r="J333">
        <v>0</v>
      </c>
    </row>
    <row r="334" spans="1:10">
      <c r="A334" s="1"/>
      <c r="B334" s="1"/>
      <c r="C334" s="1"/>
      <c r="D334" s="1" t="s">
        <v>1865</v>
      </c>
      <c r="E334" s="1" t="s">
        <v>1540</v>
      </c>
      <c r="F334" s="1">
        <v>3105</v>
      </c>
      <c r="G334" s="1">
        <v>3105</v>
      </c>
      <c r="H334" s="1">
        <v>3105</v>
      </c>
      <c r="I334" s="1">
        <v>3105</v>
      </c>
      <c r="J334" s="1">
        <v>6972100</v>
      </c>
    </row>
    <row r="335" spans="1:10">
      <c r="A335" s="1" t="s">
        <v>64</v>
      </c>
      <c r="B335" s="1" t="s">
        <v>64</v>
      </c>
      <c r="C335" s="1" t="s">
        <v>64</v>
      </c>
      <c r="D335" s="1" t="s">
        <v>64</v>
      </c>
      <c r="E335" s="1" t="s">
        <v>64</v>
      </c>
      <c r="F335" s="1" t="s">
        <v>64</v>
      </c>
      <c r="G335" s="1" t="s">
        <v>64</v>
      </c>
      <c r="H335" s="1" t="s">
        <v>64</v>
      </c>
      <c r="I335" s="1" t="s">
        <v>64</v>
      </c>
      <c r="J335" s="1" t="s">
        <v>64</v>
      </c>
    </row>
    <row r="336" spans="1:10">
      <c r="A336" s="1"/>
      <c r="B336" s="1"/>
      <c r="C336" s="1"/>
      <c r="D336" s="1" t="s">
        <v>1864</v>
      </c>
      <c r="E336" s="1" t="s">
        <v>1544</v>
      </c>
      <c r="F336" s="1">
        <v>3105</v>
      </c>
      <c r="G336" s="1">
        <v>3106</v>
      </c>
      <c r="H336" s="1">
        <v>3100</v>
      </c>
      <c r="I336" s="1">
        <v>3103</v>
      </c>
      <c r="J336" s="1">
        <v>150300</v>
      </c>
    </row>
    <row r="337" spans="1:10">
      <c r="A337" s="1"/>
      <c r="B337" s="1"/>
      <c r="C337" s="1"/>
      <c r="D337" s="1" t="s">
        <v>1864</v>
      </c>
      <c r="E337" s="1" t="s">
        <v>1545</v>
      </c>
      <c r="F337" s="1">
        <v>3102</v>
      </c>
      <c r="G337" s="1">
        <v>3104</v>
      </c>
      <c r="H337" s="1">
        <v>3098</v>
      </c>
      <c r="I337" s="1">
        <v>3102</v>
      </c>
      <c r="J337" s="1">
        <v>86000</v>
      </c>
    </row>
    <row r="338" spans="1:10">
      <c r="A338" s="1"/>
      <c r="B338" s="1"/>
      <c r="C338" s="1"/>
      <c r="D338" s="1" t="s">
        <v>1864</v>
      </c>
      <c r="E338" s="1" t="s">
        <v>1546</v>
      </c>
      <c r="F338" s="1">
        <v>3103</v>
      </c>
      <c r="G338" s="1">
        <v>3110</v>
      </c>
      <c r="H338" s="1">
        <v>3102</v>
      </c>
      <c r="I338" s="1">
        <v>3105</v>
      </c>
      <c r="J338" s="1">
        <v>119500</v>
      </c>
    </row>
    <row r="339" spans="1:10">
      <c r="A339" s="1"/>
      <c r="B339" s="1"/>
      <c r="C339" s="1"/>
      <c r="D339" s="1" t="s">
        <v>1864</v>
      </c>
      <c r="E339" s="1" t="s">
        <v>1547</v>
      </c>
      <c r="F339" s="1">
        <v>3106</v>
      </c>
      <c r="G339" s="1">
        <v>3108</v>
      </c>
      <c r="H339" s="1">
        <v>3095</v>
      </c>
      <c r="I339" s="1">
        <v>3101</v>
      </c>
      <c r="J339" s="1">
        <v>118300</v>
      </c>
    </row>
    <row r="340" spans="1:10">
      <c r="A340" s="1"/>
      <c r="B340" s="1"/>
      <c r="C340" s="1"/>
      <c r="D340" s="1" t="s">
        <v>1864</v>
      </c>
      <c r="E340" s="1" t="s">
        <v>1548</v>
      </c>
      <c r="F340" s="1">
        <v>3101</v>
      </c>
      <c r="G340" s="1">
        <v>3103</v>
      </c>
      <c r="H340" s="1">
        <v>3098</v>
      </c>
      <c r="I340" s="1">
        <v>3102</v>
      </c>
      <c r="J340" s="1">
        <v>72200</v>
      </c>
    </row>
    <row r="341" spans="1:10">
      <c r="A341" s="1"/>
      <c r="B341" s="1"/>
      <c r="C341" s="1"/>
      <c r="D341" s="1" t="s">
        <v>1864</v>
      </c>
      <c r="E341" s="1" t="s">
        <v>1549</v>
      </c>
      <c r="F341" s="1">
        <v>3102</v>
      </c>
      <c r="G341" s="1">
        <v>3110</v>
      </c>
      <c r="H341" s="1">
        <v>3101</v>
      </c>
      <c r="I341" s="1">
        <v>3107</v>
      </c>
      <c r="J341" s="1">
        <v>149300</v>
      </c>
    </row>
    <row r="342" spans="1:10">
      <c r="A342" s="1"/>
      <c r="B342" s="1"/>
      <c r="C342" s="1"/>
      <c r="D342" s="1" t="s">
        <v>1864</v>
      </c>
      <c r="E342" s="1" t="s">
        <v>1550</v>
      </c>
      <c r="F342" s="1">
        <v>3107</v>
      </c>
      <c r="G342" s="1">
        <v>3112</v>
      </c>
      <c r="H342" s="1">
        <v>3106</v>
      </c>
      <c r="I342" s="1">
        <v>3111</v>
      </c>
      <c r="J342" s="1">
        <v>138000</v>
      </c>
    </row>
    <row r="343" spans="1:10">
      <c r="A343" s="1"/>
      <c r="B343" s="1"/>
      <c r="C343" s="1"/>
      <c r="D343" s="1" t="s">
        <v>1864</v>
      </c>
      <c r="E343" s="1" t="s">
        <v>1551</v>
      </c>
      <c r="F343" s="1">
        <v>3111</v>
      </c>
      <c r="G343" s="1">
        <v>3114</v>
      </c>
      <c r="H343" s="1">
        <v>3108</v>
      </c>
      <c r="I343" s="1">
        <v>3112</v>
      </c>
      <c r="J343" s="1">
        <v>152600</v>
      </c>
    </row>
    <row r="344" spans="1:10">
      <c r="A344" s="1"/>
      <c r="B344" s="1"/>
      <c r="C344" s="1"/>
      <c r="D344" s="1" t="s">
        <v>1864</v>
      </c>
      <c r="E344" s="1" t="s">
        <v>1552</v>
      </c>
      <c r="F344" s="1">
        <v>3112</v>
      </c>
      <c r="G344" s="1">
        <v>3119</v>
      </c>
      <c r="H344" s="1">
        <v>3108</v>
      </c>
      <c r="I344" s="1">
        <v>3115</v>
      </c>
      <c r="J344" s="1">
        <v>262700</v>
      </c>
    </row>
    <row r="345" spans="1:10">
      <c r="A345" s="1"/>
      <c r="B345" s="1"/>
      <c r="C345" s="1"/>
      <c r="D345" s="1" t="s">
        <v>1864</v>
      </c>
      <c r="E345" s="1" t="s">
        <v>1553</v>
      </c>
      <c r="F345" s="1">
        <v>3116</v>
      </c>
      <c r="G345" s="1">
        <v>3116</v>
      </c>
      <c r="H345" s="1">
        <v>3111</v>
      </c>
      <c r="I345" s="1">
        <v>3114</v>
      </c>
      <c r="J345" s="1">
        <v>115900</v>
      </c>
    </row>
    <row r="346" spans="1:10">
      <c r="A346" s="1"/>
      <c r="B346" s="1"/>
      <c r="C346" s="1"/>
      <c r="D346" s="1" t="s">
        <v>1864</v>
      </c>
      <c r="E346" s="1" t="s">
        <v>1554</v>
      </c>
      <c r="F346" s="1">
        <v>3113</v>
      </c>
      <c r="G346" s="1">
        <v>3114</v>
      </c>
      <c r="H346" s="1">
        <v>3105</v>
      </c>
      <c r="I346" s="1">
        <v>3107</v>
      </c>
      <c r="J346" s="1">
        <v>73300</v>
      </c>
    </row>
    <row r="347" spans="1:10">
      <c r="A347" s="1"/>
      <c r="B347" s="1"/>
      <c r="C347" s="1"/>
      <c r="D347" s="1" t="s">
        <v>1864</v>
      </c>
      <c r="E347" s="1" t="s">
        <v>1555</v>
      </c>
      <c r="F347" s="1">
        <v>3107</v>
      </c>
      <c r="G347" s="1">
        <v>3111</v>
      </c>
      <c r="H347" s="1">
        <v>3104</v>
      </c>
      <c r="I347" s="1">
        <v>3105</v>
      </c>
      <c r="J347" s="1">
        <v>79900</v>
      </c>
    </row>
    <row r="348" spans="1:10">
      <c r="A348" s="1"/>
      <c r="B348" s="1"/>
      <c r="C348" s="1"/>
      <c r="D348" s="1" t="s">
        <v>1864</v>
      </c>
      <c r="E348" s="1" t="s">
        <v>1556</v>
      </c>
      <c r="F348" s="1">
        <v>3105</v>
      </c>
      <c r="G348" s="1">
        <v>3112</v>
      </c>
      <c r="H348" s="1">
        <v>3104</v>
      </c>
      <c r="I348" s="1">
        <v>3108</v>
      </c>
      <c r="J348" s="1">
        <v>108600</v>
      </c>
    </row>
    <row r="349" spans="1:10">
      <c r="A349" s="1"/>
      <c r="B349" s="1"/>
      <c r="C349" s="1"/>
      <c r="D349" s="1" t="s">
        <v>1864</v>
      </c>
      <c r="E349" s="1" t="s">
        <v>1557</v>
      </c>
      <c r="F349" s="1">
        <v>3108</v>
      </c>
      <c r="G349" s="1">
        <v>3112</v>
      </c>
      <c r="H349" s="1">
        <v>3107</v>
      </c>
      <c r="I349" s="1">
        <v>3109</v>
      </c>
      <c r="J349" s="1">
        <v>127000</v>
      </c>
    </row>
    <row r="350" spans="1:10">
      <c r="A350" s="1"/>
      <c r="B350" s="1"/>
      <c r="C350" s="1"/>
      <c r="D350" s="1" t="s">
        <v>1864</v>
      </c>
      <c r="E350" s="1" t="s">
        <v>1558</v>
      </c>
      <c r="F350" s="1">
        <v>3109</v>
      </c>
      <c r="G350" s="1">
        <v>3116</v>
      </c>
      <c r="H350" s="1">
        <v>3108</v>
      </c>
      <c r="I350" s="1">
        <v>3110</v>
      </c>
      <c r="J350" s="1">
        <v>119300</v>
      </c>
    </row>
    <row r="351" spans="1:10">
      <c r="A351" s="1"/>
      <c r="B351" s="1"/>
      <c r="C351" s="1"/>
      <c r="D351" s="1" t="s">
        <v>1864</v>
      </c>
      <c r="E351" s="1" t="s">
        <v>1559</v>
      </c>
      <c r="F351" s="1">
        <v>3112</v>
      </c>
      <c r="G351" s="1">
        <v>3113</v>
      </c>
      <c r="H351" s="1">
        <v>3109</v>
      </c>
      <c r="I351" s="1">
        <v>3111</v>
      </c>
      <c r="J351" s="1">
        <v>57300</v>
      </c>
    </row>
    <row r="352" spans="1:10">
      <c r="A352" s="1"/>
      <c r="B352" s="1"/>
      <c r="C352" s="1"/>
      <c r="D352" s="1" t="s">
        <v>1864</v>
      </c>
      <c r="E352" s="1" t="s">
        <v>1560</v>
      </c>
      <c r="F352" s="1">
        <v>3110</v>
      </c>
      <c r="G352" s="1">
        <v>3114</v>
      </c>
      <c r="H352" s="1">
        <v>3110</v>
      </c>
      <c r="I352" s="1">
        <v>3111</v>
      </c>
      <c r="J352" s="1">
        <v>42900</v>
      </c>
    </row>
    <row r="353" spans="1:10">
      <c r="A353" s="1"/>
      <c r="B353" s="1"/>
      <c r="C353" s="1"/>
      <c r="D353" s="1" t="s">
        <v>1864</v>
      </c>
      <c r="E353" s="1" t="s">
        <v>1561</v>
      </c>
      <c r="F353" s="1">
        <v>3111</v>
      </c>
      <c r="G353" s="1">
        <v>3111</v>
      </c>
      <c r="H353" s="1">
        <v>3103</v>
      </c>
      <c r="I353" s="1">
        <v>3104</v>
      </c>
      <c r="J353" s="1">
        <v>50800</v>
      </c>
    </row>
    <row r="354" spans="1:10">
      <c r="A354" s="1"/>
      <c r="B354" s="1"/>
      <c r="C354" s="1"/>
      <c r="D354" s="1" t="s">
        <v>1864</v>
      </c>
      <c r="E354" s="1" t="s">
        <v>1562</v>
      </c>
      <c r="F354" s="1">
        <v>3104</v>
      </c>
      <c r="G354" s="1">
        <v>3106</v>
      </c>
      <c r="H354" s="1">
        <v>3099</v>
      </c>
      <c r="I354" s="1">
        <v>3106</v>
      </c>
      <c r="J354" s="1">
        <v>37800</v>
      </c>
    </row>
    <row r="355" spans="1:10">
      <c r="A355" s="1"/>
      <c r="B355" s="1"/>
      <c r="C355" s="1"/>
      <c r="D355" s="1" t="s">
        <v>1864</v>
      </c>
      <c r="E355" s="1" t="s">
        <v>1563</v>
      </c>
      <c r="F355" s="1">
        <v>3107</v>
      </c>
      <c r="G355" s="1">
        <v>3109</v>
      </c>
      <c r="H355" s="1">
        <v>3107</v>
      </c>
      <c r="I355" s="1">
        <v>3107</v>
      </c>
      <c r="J355" s="1">
        <v>45400</v>
      </c>
    </row>
    <row r="356" spans="1:10">
      <c r="A356" s="1"/>
      <c r="B356" s="1"/>
      <c r="C356" s="1"/>
      <c r="D356" s="1" t="s">
        <v>1864</v>
      </c>
      <c r="E356" s="1" t="s">
        <v>1564</v>
      </c>
      <c r="F356" s="1">
        <v>3108</v>
      </c>
      <c r="G356" s="1">
        <v>3111</v>
      </c>
      <c r="H356" s="1">
        <v>3107</v>
      </c>
      <c r="I356" s="1">
        <v>3109</v>
      </c>
      <c r="J356" s="1">
        <v>56600</v>
      </c>
    </row>
    <row r="357" spans="1:10">
      <c r="A357" s="1"/>
      <c r="B357" s="1"/>
      <c r="C357" s="1"/>
      <c r="D357" s="1" t="s">
        <v>1864</v>
      </c>
      <c r="E357" s="1" t="s">
        <v>1565</v>
      </c>
      <c r="F357" s="1">
        <v>3109</v>
      </c>
      <c r="G357" s="1">
        <v>3110</v>
      </c>
      <c r="H357" s="1">
        <v>3105</v>
      </c>
      <c r="I357" s="1">
        <v>3108</v>
      </c>
      <c r="J357" s="1">
        <v>42700</v>
      </c>
    </row>
    <row r="358" spans="1:10">
      <c r="A358" s="1"/>
      <c r="B358" s="1"/>
      <c r="C358" s="1"/>
      <c r="D358" s="1" t="s">
        <v>1864</v>
      </c>
      <c r="E358" s="1" t="s">
        <v>1566</v>
      </c>
      <c r="F358" s="1">
        <v>3108</v>
      </c>
      <c r="G358" s="1">
        <v>3111</v>
      </c>
      <c r="H358" s="1">
        <v>3106</v>
      </c>
      <c r="I358" s="1">
        <v>3109</v>
      </c>
      <c r="J358" s="1">
        <v>87700</v>
      </c>
    </row>
    <row r="359" spans="1:10">
      <c r="A359" s="1"/>
      <c r="B359" s="1"/>
      <c r="C359" s="1"/>
      <c r="D359" s="1" t="s">
        <v>1864</v>
      </c>
      <c r="E359" s="1" t="s">
        <v>1567</v>
      </c>
      <c r="F359" s="1">
        <v>3109</v>
      </c>
      <c r="G359" s="1">
        <v>3111</v>
      </c>
      <c r="H359" s="1">
        <v>3107</v>
      </c>
      <c r="I359" s="1">
        <v>3109</v>
      </c>
      <c r="J359" s="1">
        <v>74200</v>
      </c>
    </row>
    <row r="360" spans="1:10">
      <c r="A360" s="1"/>
      <c r="B360" s="1"/>
      <c r="C360" s="1"/>
      <c r="D360" s="1" t="s">
        <v>1864</v>
      </c>
      <c r="E360" s="1" t="s">
        <v>1568</v>
      </c>
      <c r="F360" s="1">
        <v>3108</v>
      </c>
      <c r="G360" s="1">
        <v>3109</v>
      </c>
      <c r="H360" s="1">
        <v>3105</v>
      </c>
      <c r="I360" s="1">
        <v>3109</v>
      </c>
      <c r="J360" s="1">
        <v>61800</v>
      </c>
    </row>
    <row r="361" spans="1:10">
      <c r="A361" s="1"/>
      <c r="B361" s="1"/>
      <c r="C361" s="1"/>
      <c r="D361" s="1" t="s">
        <v>1864</v>
      </c>
      <c r="E361" s="1" t="s">
        <v>1569</v>
      </c>
      <c r="F361" s="1">
        <v>3109</v>
      </c>
      <c r="G361" s="1">
        <v>3114</v>
      </c>
      <c r="H361" s="1">
        <v>3109</v>
      </c>
      <c r="I361" s="1">
        <v>3113</v>
      </c>
      <c r="J361" s="1">
        <v>87200</v>
      </c>
    </row>
    <row r="362" spans="1:10">
      <c r="A362" s="1"/>
      <c r="B362" s="1"/>
      <c r="C362" s="1"/>
      <c r="D362" s="1" t="s">
        <v>1864</v>
      </c>
      <c r="E362" s="1" t="s">
        <v>1570</v>
      </c>
      <c r="F362" s="1">
        <v>3112</v>
      </c>
      <c r="G362" s="1">
        <v>3114</v>
      </c>
      <c r="H362" s="1">
        <v>3110</v>
      </c>
      <c r="I362" s="1">
        <v>3112</v>
      </c>
      <c r="J362" s="1">
        <v>42000</v>
      </c>
    </row>
    <row r="363" spans="1:10">
      <c r="A363" s="1"/>
      <c r="B363" s="1"/>
      <c r="C363" s="1"/>
      <c r="D363" s="1" t="s">
        <v>1864</v>
      </c>
      <c r="E363" s="1" t="s">
        <v>1571</v>
      </c>
      <c r="F363" s="1">
        <v>3111</v>
      </c>
      <c r="G363" s="1">
        <v>3114</v>
      </c>
      <c r="H363" s="1">
        <v>3110</v>
      </c>
      <c r="I363" s="1">
        <v>3111</v>
      </c>
      <c r="J363" s="1">
        <v>55200</v>
      </c>
    </row>
    <row r="364" spans="1:10">
      <c r="A364" s="1"/>
      <c r="B364" s="1"/>
      <c r="C364" s="1"/>
      <c r="D364" s="1" t="s">
        <v>1864</v>
      </c>
      <c r="E364" s="1" t="s">
        <v>1572</v>
      </c>
      <c r="F364" s="1">
        <v>3111</v>
      </c>
      <c r="G364" s="1">
        <v>3111</v>
      </c>
      <c r="H364" s="1">
        <v>3103</v>
      </c>
      <c r="I364" s="1">
        <v>3103</v>
      </c>
      <c r="J364" s="1">
        <v>77100</v>
      </c>
    </row>
    <row r="365" spans="1:10">
      <c r="A365" s="1"/>
      <c r="B365" s="1"/>
      <c r="C365" s="1"/>
      <c r="D365" s="1" t="s">
        <v>1864</v>
      </c>
      <c r="E365" s="1" t="s">
        <v>1573</v>
      </c>
      <c r="F365" s="1">
        <v>3105</v>
      </c>
      <c r="G365" s="1">
        <v>3105</v>
      </c>
      <c r="H365" s="1">
        <v>3102</v>
      </c>
      <c r="I365" s="1">
        <v>3103</v>
      </c>
      <c r="J365" s="1">
        <v>45000</v>
      </c>
    </row>
    <row r="366" spans="1:10">
      <c r="A366" s="1"/>
      <c r="B366" s="1"/>
      <c r="C366" s="1"/>
      <c r="D366" s="1" t="s">
        <v>1864</v>
      </c>
      <c r="E366" s="1" t="s">
        <v>1574</v>
      </c>
      <c r="F366" s="1">
        <v>3104</v>
      </c>
      <c r="G366" s="1">
        <v>3105</v>
      </c>
      <c r="H366" s="1">
        <v>3100</v>
      </c>
      <c r="I366" s="1">
        <v>3101</v>
      </c>
      <c r="J366" s="1">
        <v>45000</v>
      </c>
    </row>
    <row r="367" spans="1:10">
      <c r="A367" s="1"/>
      <c r="B367" s="1"/>
      <c r="C367" s="1"/>
      <c r="D367" s="1" t="s">
        <v>1864</v>
      </c>
      <c r="E367" s="1" t="s">
        <v>1575</v>
      </c>
      <c r="F367" s="1">
        <v>3101</v>
      </c>
      <c r="G367" s="1">
        <v>3102</v>
      </c>
      <c r="H367" s="1">
        <v>3092</v>
      </c>
      <c r="I367" s="1">
        <v>3094</v>
      </c>
      <c r="J367" s="1">
        <v>72900</v>
      </c>
    </row>
    <row r="368" spans="1:10">
      <c r="A368" s="1"/>
      <c r="B368" s="1"/>
      <c r="C368" s="1"/>
      <c r="D368" s="1" t="s">
        <v>1864</v>
      </c>
      <c r="E368" s="1" t="s">
        <v>1576</v>
      </c>
      <c r="F368" s="1">
        <v>3094</v>
      </c>
      <c r="G368" s="1">
        <v>3096</v>
      </c>
      <c r="H368" s="1">
        <v>3089</v>
      </c>
      <c r="I368" s="1">
        <v>3090</v>
      </c>
      <c r="J368" s="1">
        <v>86900</v>
      </c>
    </row>
    <row r="369" spans="1:10">
      <c r="A369" s="1"/>
      <c r="B369" s="1"/>
      <c r="C369" s="1"/>
      <c r="D369" s="1" t="s">
        <v>1864</v>
      </c>
      <c r="E369" s="1" t="s">
        <v>1577</v>
      </c>
      <c r="F369" s="1">
        <v>3090</v>
      </c>
      <c r="G369" s="1">
        <v>3092</v>
      </c>
      <c r="H369" s="1">
        <v>3088</v>
      </c>
      <c r="I369" s="1">
        <v>3091</v>
      </c>
      <c r="J369" s="1">
        <v>58600</v>
      </c>
    </row>
    <row r="370" spans="1:10">
      <c r="A370" s="1"/>
      <c r="B370" s="1"/>
      <c r="C370" s="1"/>
      <c r="D370" s="1" t="s">
        <v>1864</v>
      </c>
      <c r="E370" s="1" t="s">
        <v>1578</v>
      </c>
      <c r="F370" s="1">
        <v>3092</v>
      </c>
      <c r="G370" s="1">
        <v>3094</v>
      </c>
      <c r="H370" s="1">
        <v>3091</v>
      </c>
      <c r="I370" s="1">
        <v>3092</v>
      </c>
      <c r="J370" s="1">
        <v>43000</v>
      </c>
    </row>
    <row r="371" spans="1:10">
      <c r="A371" s="1"/>
      <c r="B371" s="1"/>
      <c r="C371" s="1"/>
      <c r="D371" s="1" t="s">
        <v>1864</v>
      </c>
      <c r="E371" s="1" t="s">
        <v>1579</v>
      </c>
      <c r="F371" s="1">
        <v>3092</v>
      </c>
      <c r="G371" s="1">
        <v>3094</v>
      </c>
      <c r="H371" s="1">
        <v>3089</v>
      </c>
      <c r="I371" s="1">
        <v>3090</v>
      </c>
      <c r="J371" s="1">
        <v>38700</v>
      </c>
    </row>
    <row r="372" spans="1:10">
      <c r="A372" s="1"/>
      <c r="B372" s="1"/>
      <c r="C372" s="1"/>
      <c r="D372" s="1" t="s">
        <v>1864</v>
      </c>
      <c r="E372" s="1" t="s">
        <v>1580</v>
      </c>
      <c r="F372" s="1">
        <v>3090</v>
      </c>
      <c r="G372" s="1">
        <v>3091</v>
      </c>
      <c r="H372" s="1">
        <v>3089</v>
      </c>
      <c r="I372" s="1">
        <v>3090</v>
      </c>
      <c r="J372" s="1">
        <v>24000</v>
      </c>
    </row>
    <row r="373" spans="1:10">
      <c r="A373" s="1"/>
      <c r="B373" s="1"/>
      <c r="C373" s="1"/>
      <c r="D373" s="1" t="s">
        <v>1864</v>
      </c>
      <c r="E373" s="1" t="s">
        <v>1581</v>
      </c>
      <c r="F373" s="1">
        <v>3090</v>
      </c>
      <c r="G373" s="1">
        <v>3090</v>
      </c>
      <c r="H373" s="1">
        <v>3081</v>
      </c>
      <c r="I373" s="1">
        <v>3082</v>
      </c>
      <c r="J373" s="1">
        <v>124900</v>
      </c>
    </row>
    <row r="374" spans="1:10">
      <c r="A374" s="1"/>
      <c r="B374" s="1"/>
      <c r="C374" s="1"/>
      <c r="D374" s="1" t="s">
        <v>1864</v>
      </c>
      <c r="E374" s="1" t="s">
        <v>1582</v>
      </c>
      <c r="F374" s="1">
        <v>3082</v>
      </c>
      <c r="G374" s="1">
        <v>3085</v>
      </c>
      <c r="H374" s="1">
        <v>3081</v>
      </c>
      <c r="I374" s="1">
        <v>3085</v>
      </c>
      <c r="J374" s="1">
        <v>99800</v>
      </c>
    </row>
    <row r="375" spans="1:10">
      <c r="A375" s="1"/>
      <c r="B375" s="1"/>
      <c r="C375" s="1"/>
      <c r="D375" s="1" t="s">
        <v>1864</v>
      </c>
      <c r="E375" s="1" t="s">
        <v>1583</v>
      </c>
      <c r="F375" s="1">
        <v>3085</v>
      </c>
      <c r="G375" s="1">
        <v>3085</v>
      </c>
      <c r="H375" s="1">
        <v>3079</v>
      </c>
      <c r="I375" s="1">
        <v>3079</v>
      </c>
      <c r="J375" s="1">
        <v>71900</v>
      </c>
    </row>
    <row r="376" spans="1:10">
      <c r="A376" s="1"/>
      <c r="B376" s="1"/>
      <c r="C376" s="1"/>
      <c r="D376" s="1" t="s">
        <v>1864</v>
      </c>
      <c r="E376" s="1" t="s">
        <v>1584</v>
      </c>
      <c r="F376" s="1">
        <v>3080</v>
      </c>
      <c r="G376" s="1">
        <v>3081</v>
      </c>
      <c r="H376" s="1">
        <v>3078</v>
      </c>
      <c r="I376" s="1">
        <v>3081</v>
      </c>
      <c r="J376" s="1">
        <v>40800</v>
      </c>
    </row>
    <row r="377" spans="1:10">
      <c r="A377" s="1"/>
      <c r="B377" s="1"/>
      <c r="C377" s="1"/>
      <c r="D377" s="1" t="s">
        <v>1864</v>
      </c>
      <c r="E377" s="1" t="s">
        <v>1585</v>
      </c>
      <c r="F377" s="1">
        <v>3080</v>
      </c>
      <c r="G377" s="1">
        <v>3082</v>
      </c>
      <c r="H377" s="1">
        <v>3078</v>
      </c>
      <c r="I377" s="1">
        <v>3078</v>
      </c>
      <c r="J377" s="1">
        <v>31400</v>
      </c>
    </row>
    <row r="378" spans="1:10">
      <c r="A378" s="1"/>
      <c r="B378" s="1"/>
      <c r="C378" s="1"/>
      <c r="D378" s="1" t="s">
        <v>1864</v>
      </c>
      <c r="E378" s="1" t="s">
        <v>1586</v>
      </c>
      <c r="F378" s="1">
        <v>3078</v>
      </c>
      <c r="G378" s="1">
        <v>3080</v>
      </c>
      <c r="H378" s="1">
        <v>3076</v>
      </c>
      <c r="I378" s="1">
        <v>3076</v>
      </c>
      <c r="J378" s="1">
        <v>68100</v>
      </c>
    </row>
    <row r="379" spans="1:10">
      <c r="A379" s="1"/>
      <c r="B379" s="1"/>
      <c r="C379" s="1"/>
      <c r="D379" s="1" t="s">
        <v>1864</v>
      </c>
      <c r="E379" s="1" t="s">
        <v>1587</v>
      </c>
      <c r="F379" s="1">
        <v>3076</v>
      </c>
      <c r="G379" s="1">
        <v>3080</v>
      </c>
      <c r="H379" s="1">
        <v>3075</v>
      </c>
      <c r="I379" s="1">
        <v>3080</v>
      </c>
      <c r="J379" s="1">
        <v>39000</v>
      </c>
    </row>
    <row r="380" spans="1:10">
      <c r="A380" s="1"/>
      <c r="B380" s="1"/>
      <c r="C380" s="1"/>
      <c r="D380" s="1" t="s">
        <v>1864</v>
      </c>
      <c r="E380" s="1" t="s">
        <v>1588</v>
      </c>
      <c r="F380" s="1">
        <v>3080</v>
      </c>
      <c r="G380" s="1">
        <v>3083</v>
      </c>
      <c r="H380" s="1">
        <v>3077</v>
      </c>
      <c r="I380" s="1">
        <v>3078</v>
      </c>
      <c r="J380" s="1">
        <v>61000</v>
      </c>
    </row>
    <row r="381" spans="1:10">
      <c r="A381" s="1"/>
      <c r="B381" s="1"/>
      <c r="C381" s="1"/>
      <c r="D381" s="1" t="s">
        <v>1864</v>
      </c>
      <c r="E381" s="1" t="s">
        <v>1589</v>
      </c>
      <c r="F381" s="1">
        <v>3079</v>
      </c>
      <c r="G381" s="1">
        <v>3083</v>
      </c>
      <c r="H381" s="1">
        <v>3078</v>
      </c>
      <c r="I381" s="1">
        <v>3082</v>
      </c>
      <c r="J381" s="1">
        <v>48900</v>
      </c>
    </row>
    <row r="382" spans="1:10">
      <c r="A382" s="1"/>
      <c r="B382" s="1"/>
      <c r="C382" s="1"/>
      <c r="D382" s="1" t="s">
        <v>1864</v>
      </c>
      <c r="E382" s="1" t="s">
        <v>1590</v>
      </c>
      <c r="F382" s="1">
        <v>3083</v>
      </c>
      <c r="G382" s="1">
        <v>3085</v>
      </c>
      <c r="H382" s="1">
        <v>3083</v>
      </c>
      <c r="I382" s="1">
        <v>3084</v>
      </c>
      <c r="J382" s="1">
        <v>42800</v>
      </c>
    </row>
    <row r="383" spans="1:10">
      <c r="A383" s="1"/>
      <c r="B383" s="1"/>
      <c r="C383" s="1"/>
      <c r="D383" s="1" t="s">
        <v>1864</v>
      </c>
      <c r="E383" s="1" t="s">
        <v>1591</v>
      </c>
      <c r="F383" s="1">
        <v>3085</v>
      </c>
      <c r="G383" s="1">
        <v>3086</v>
      </c>
      <c r="H383" s="1">
        <v>3083</v>
      </c>
      <c r="I383" s="1">
        <v>3085</v>
      </c>
      <c r="J383" s="1">
        <v>36300</v>
      </c>
    </row>
    <row r="384" spans="1:10">
      <c r="A384" s="1"/>
      <c r="B384" s="1"/>
      <c r="C384" s="1"/>
      <c r="D384" s="1" t="s">
        <v>1864</v>
      </c>
      <c r="E384" s="1" t="s">
        <v>1592</v>
      </c>
      <c r="F384" s="1">
        <v>3084</v>
      </c>
      <c r="G384" s="1">
        <v>3084</v>
      </c>
      <c r="H384" s="1">
        <v>3082</v>
      </c>
      <c r="I384" s="1">
        <v>3084</v>
      </c>
      <c r="J384" s="1">
        <v>26000</v>
      </c>
    </row>
    <row r="385" spans="1:10">
      <c r="A385" s="1"/>
      <c r="B385" s="1"/>
      <c r="C385" s="1"/>
      <c r="D385" s="1" t="s">
        <v>1864</v>
      </c>
      <c r="E385" s="1" t="s">
        <v>1593</v>
      </c>
      <c r="F385" s="1">
        <v>3084</v>
      </c>
      <c r="G385" s="1">
        <v>3088</v>
      </c>
      <c r="H385" s="1">
        <v>3083</v>
      </c>
      <c r="I385" s="1">
        <v>3088</v>
      </c>
      <c r="J385" s="1">
        <v>37900</v>
      </c>
    </row>
    <row r="386" spans="1:10">
      <c r="A386" s="1"/>
      <c r="B386" s="1"/>
      <c r="C386" s="1"/>
      <c r="D386" s="1" t="s">
        <v>1864</v>
      </c>
      <c r="E386" s="1" t="s">
        <v>1594</v>
      </c>
      <c r="F386" s="1">
        <v>3087</v>
      </c>
      <c r="G386" s="1">
        <v>3089</v>
      </c>
      <c r="H386" s="1">
        <v>3086</v>
      </c>
      <c r="I386" s="1">
        <v>3087</v>
      </c>
      <c r="J386" s="1">
        <v>41900</v>
      </c>
    </row>
    <row r="387" spans="1:10">
      <c r="A387" s="1"/>
      <c r="B387" s="1"/>
      <c r="C387" s="1"/>
      <c r="D387" s="1" t="s">
        <v>1864</v>
      </c>
      <c r="E387" s="1" t="s">
        <v>1595</v>
      </c>
      <c r="F387" s="1">
        <v>3087</v>
      </c>
      <c r="G387" s="1">
        <v>3088</v>
      </c>
      <c r="H387" s="1">
        <v>3085</v>
      </c>
      <c r="I387" s="1">
        <v>3086</v>
      </c>
      <c r="J387" s="1">
        <v>27600</v>
      </c>
    </row>
    <row r="388" spans="1:10">
      <c r="A388" s="1"/>
      <c r="B388" s="1"/>
      <c r="C388" s="1"/>
      <c r="D388" s="1" t="s">
        <v>1864</v>
      </c>
      <c r="E388" s="1" t="s">
        <v>1596</v>
      </c>
      <c r="F388" s="1">
        <v>3086</v>
      </c>
      <c r="G388" s="1">
        <v>3087</v>
      </c>
      <c r="H388" s="1">
        <v>3084</v>
      </c>
      <c r="I388" s="1">
        <v>3086</v>
      </c>
      <c r="J388" s="1">
        <v>26400</v>
      </c>
    </row>
    <row r="389" spans="1:10">
      <c r="A389" s="1"/>
      <c r="B389" s="1"/>
      <c r="C389" s="1"/>
      <c r="D389" s="1" t="s">
        <v>1864</v>
      </c>
      <c r="E389" s="1" t="s">
        <v>1597</v>
      </c>
      <c r="F389" s="1">
        <v>3086</v>
      </c>
      <c r="G389" s="1">
        <v>3088</v>
      </c>
      <c r="H389" s="1">
        <v>3086</v>
      </c>
      <c r="I389" s="1">
        <v>3086</v>
      </c>
      <c r="J389" s="1">
        <v>20600</v>
      </c>
    </row>
    <row r="390" spans="1:10">
      <c r="A390" s="1"/>
      <c r="B390" s="1"/>
      <c r="C390" s="1"/>
      <c r="D390" s="1" t="s">
        <v>1864</v>
      </c>
      <c r="E390" s="1" t="s">
        <v>1598</v>
      </c>
      <c r="F390" s="1">
        <v>3087</v>
      </c>
      <c r="G390" s="1">
        <v>3087</v>
      </c>
      <c r="H390" s="1">
        <v>3084</v>
      </c>
      <c r="I390" s="1">
        <v>3085</v>
      </c>
      <c r="J390" s="1">
        <v>13800</v>
      </c>
    </row>
    <row r="391" spans="1:10">
      <c r="A391" s="1"/>
      <c r="B391" s="1"/>
      <c r="C391" s="1"/>
      <c r="D391" s="1" t="s">
        <v>1864</v>
      </c>
      <c r="E391" s="1" t="s">
        <v>1599</v>
      </c>
      <c r="F391" s="1">
        <v>3084</v>
      </c>
      <c r="G391" s="1">
        <v>3087</v>
      </c>
      <c r="H391" s="1">
        <v>3083</v>
      </c>
      <c r="I391" s="1">
        <v>3087</v>
      </c>
      <c r="J391" s="1">
        <v>26200</v>
      </c>
    </row>
    <row r="392" spans="1:10">
      <c r="A392" s="1"/>
      <c r="B392" s="1"/>
      <c r="C392" s="1"/>
      <c r="D392" s="1" t="s">
        <v>1864</v>
      </c>
      <c r="E392" s="1" t="s">
        <v>1600</v>
      </c>
      <c r="F392" s="1">
        <v>3086</v>
      </c>
      <c r="G392" s="1">
        <v>3087</v>
      </c>
      <c r="H392" s="1">
        <v>3085</v>
      </c>
      <c r="I392" s="1">
        <v>3085</v>
      </c>
      <c r="J392" s="1">
        <v>30700</v>
      </c>
    </row>
    <row r="393" spans="1:10">
      <c r="D393" t="s">
        <v>1864</v>
      </c>
      <c r="E393" t="s">
        <v>1601</v>
      </c>
      <c r="F393">
        <v>3086</v>
      </c>
      <c r="G393">
        <v>3086</v>
      </c>
      <c r="H393">
        <v>3084</v>
      </c>
      <c r="I393">
        <v>3085</v>
      </c>
      <c r="J393">
        <v>23000</v>
      </c>
    </row>
    <row r="394" spans="1:10">
      <c r="A394" s="1"/>
      <c r="B394" s="1"/>
      <c r="C394" s="1"/>
      <c r="D394" s="1" t="s">
        <v>1864</v>
      </c>
      <c r="E394" s="1" t="s">
        <v>1602</v>
      </c>
      <c r="F394" s="1">
        <v>3086</v>
      </c>
      <c r="G394" s="1">
        <v>3087</v>
      </c>
      <c r="H394" s="1">
        <v>3085</v>
      </c>
      <c r="I394" s="1">
        <v>3087</v>
      </c>
      <c r="J394" s="1">
        <v>30300</v>
      </c>
    </row>
    <row r="395" spans="1:10">
      <c r="D395" t="s">
        <v>1864</v>
      </c>
      <c r="E395" t="s">
        <v>1603</v>
      </c>
      <c r="F395">
        <v>3087</v>
      </c>
      <c r="G395">
        <v>3087</v>
      </c>
      <c r="H395">
        <v>3082</v>
      </c>
      <c r="I395">
        <v>3083</v>
      </c>
      <c r="J395">
        <v>45700</v>
      </c>
    </row>
    <row r="396" spans="1:10">
      <c r="D396" t="s">
        <v>1864</v>
      </c>
      <c r="E396" t="s">
        <v>1604</v>
      </c>
      <c r="F396">
        <v>3083</v>
      </c>
      <c r="G396">
        <v>3085</v>
      </c>
      <c r="H396">
        <v>3083</v>
      </c>
      <c r="I396">
        <v>3083</v>
      </c>
      <c r="J396">
        <v>22700</v>
      </c>
    </row>
    <row r="397" spans="1:10">
      <c r="D397" t="s">
        <v>1864</v>
      </c>
      <c r="E397" t="s">
        <v>1605</v>
      </c>
      <c r="F397">
        <v>3083</v>
      </c>
      <c r="G397">
        <v>3084</v>
      </c>
      <c r="H397">
        <v>3081</v>
      </c>
      <c r="I397">
        <v>3083</v>
      </c>
      <c r="J397">
        <v>38400</v>
      </c>
    </row>
    <row r="398" spans="1:10">
      <c r="D398" t="s">
        <v>1864</v>
      </c>
      <c r="E398" t="s">
        <v>1606</v>
      </c>
      <c r="F398">
        <v>3083</v>
      </c>
      <c r="G398">
        <v>3085</v>
      </c>
      <c r="H398">
        <v>3083</v>
      </c>
      <c r="I398">
        <v>3085</v>
      </c>
      <c r="J398">
        <v>25400</v>
      </c>
    </row>
    <row r="399" spans="1:10">
      <c r="D399" t="s">
        <v>1864</v>
      </c>
      <c r="E399" t="s">
        <v>1607</v>
      </c>
      <c r="F399">
        <v>3086</v>
      </c>
      <c r="G399">
        <v>3086</v>
      </c>
      <c r="H399">
        <v>3084</v>
      </c>
      <c r="I399">
        <v>3085</v>
      </c>
      <c r="J399">
        <v>23800</v>
      </c>
    </row>
    <row r="400" spans="1:10">
      <c r="D400" t="s">
        <v>1864</v>
      </c>
      <c r="E400" t="s">
        <v>1608</v>
      </c>
      <c r="F400">
        <v>3085</v>
      </c>
      <c r="G400">
        <v>3085</v>
      </c>
      <c r="H400">
        <v>3083</v>
      </c>
      <c r="I400">
        <v>3083</v>
      </c>
      <c r="J400">
        <v>34600</v>
      </c>
    </row>
    <row r="401" spans="4:10">
      <c r="D401" t="s">
        <v>1864</v>
      </c>
      <c r="E401" t="s">
        <v>1609</v>
      </c>
      <c r="F401">
        <v>3084</v>
      </c>
      <c r="G401">
        <v>3085</v>
      </c>
      <c r="H401">
        <v>3082</v>
      </c>
      <c r="I401">
        <v>3083</v>
      </c>
      <c r="J401">
        <v>18800</v>
      </c>
    </row>
    <row r="402" spans="4:10">
      <c r="D402" t="s">
        <v>1864</v>
      </c>
      <c r="E402" t="s">
        <v>1610</v>
      </c>
      <c r="F402">
        <v>3082</v>
      </c>
      <c r="G402">
        <v>3083</v>
      </c>
      <c r="H402">
        <v>3080</v>
      </c>
      <c r="I402">
        <v>3081</v>
      </c>
      <c r="J402">
        <v>33700</v>
      </c>
    </row>
    <row r="403" spans="4:10">
      <c r="D403" t="s">
        <v>1864</v>
      </c>
      <c r="E403" t="s">
        <v>1611</v>
      </c>
      <c r="F403">
        <v>3082</v>
      </c>
      <c r="G403">
        <v>3082</v>
      </c>
      <c r="H403">
        <v>3079</v>
      </c>
      <c r="I403">
        <v>3080</v>
      </c>
      <c r="J403">
        <v>36100</v>
      </c>
    </row>
    <row r="404" spans="4:10">
      <c r="D404" t="s">
        <v>1864</v>
      </c>
      <c r="E404" t="s">
        <v>1612</v>
      </c>
      <c r="F404">
        <v>3079</v>
      </c>
      <c r="G404">
        <v>3079</v>
      </c>
      <c r="H404">
        <v>3074</v>
      </c>
      <c r="I404">
        <v>3076</v>
      </c>
      <c r="J404">
        <v>74900</v>
      </c>
    </row>
    <row r="405" spans="4:10">
      <c r="D405" t="s">
        <v>1864</v>
      </c>
      <c r="E405" t="s">
        <v>1613</v>
      </c>
      <c r="F405">
        <v>3076</v>
      </c>
      <c r="G405">
        <v>3080</v>
      </c>
      <c r="H405">
        <v>3076</v>
      </c>
      <c r="I405">
        <v>3078</v>
      </c>
      <c r="J405">
        <v>24200</v>
      </c>
    </row>
    <row r="406" spans="4:10">
      <c r="D406" t="s">
        <v>1864</v>
      </c>
      <c r="E406" t="s">
        <v>1614</v>
      </c>
      <c r="F406">
        <v>3078</v>
      </c>
      <c r="G406">
        <v>3079</v>
      </c>
      <c r="H406">
        <v>3076</v>
      </c>
      <c r="I406">
        <v>3076</v>
      </c>
      <c r="J406">
        <v>21000</v>
      </c>
    </row>
    <row r="407" spans="4:10">
      <c r="D407" t="s">
        <v>1864</v>
      </c>
      <c r="E407" t="s">
        <v>1615</v>
      </c>
      <c r="F407">
        <v>3075</v>
      </c>
      <c r="G407">
        <v>3076</v>
      </c>
      <c r="H407">
        <v>3074</v>
      </c>
      <c r="I407">
        <v>3075</v>
      </c>
      <c r="J407">
        <v>27200</v>
      </c>
    </row>
    <row r="408" spans="4:10">
      <c r="D408" t="s">
        <v>1864</v>
      </c>
      <c r="E408" t="s">
        <v>1616</v>
      </c>
      <c r="F408">
        <v>3076</v>
      </c>
      <c r="G408">
        <v>3076</v>
      </c>
      <c r="H408">
        <v>3072</v>
      </c>
      <c r="I408">
        <v>3072</v>
      </c>
      <c r="J408">
        <v>50100</v>
      </c>
    </row>
    <row r="409" spans="4:10">
      <c r="D409" t="s">
        <v>1864</v>
      </c>
      <c r="E409" t="s">
        <v>1617</v>
      </c>
      <c r="F409">
        <v>3072</v>
      </c>
      <c r="G409">
        <v>3074</v>
      </c>
      <c r="H409">
        <v>3071</v>
      </c>
      <c r="I409">
        <v>3072</v>
      </c>
      <c r="J409">
        <v>21800</v>
      </c>
    </row>
    <row r="410" spans="4:10">
      <c r="D410" t="s">
        <v>1864</v>
      </c>
      <c r="E410" t="s">
        <v>1618</v>
      </c>
      <c r="F410">
        <v>3071</v>
      </c>
      <c r="G410">
        <v>3074</v>
      </c>
      <c r="H410">
        <v>3070</v>
      </c>
      <c r="I410">
        <v>3074</v>
      </c>
      <c r="J410">
        <v>64000</v>
      </c>
    </row>
    <row r="411" spans="4:10">
      <c r="D411" t="s">
        <v>1864</v>
      </c>
      <c r="E411" t="s">
        <v>1619</v>
      </c>
      <c r="F411">
        <v>3074</v>
      </c>
      <c r="G411">
        <v>3076</v>
      </c>
      <c r="H411">
        <v>3073</v>
      </c>
      <c r="I411">
        <v>3073</v>
      </c>
      <c r="J411">
        <v>45300</v>
      </c>
    </row>
    <row r="412" spans="4:10">
      <c r="D412" t="s">
        <v>1864</v>
      </c>
      <c r="E412" t="s">
        <v>1620</v>
      </c>
      <c r="F412">
        <v>3074</v>
      </c>
      <c r="G412">
        <v>3080</v>
      </c>
      <c r="H412">
        <v>3074</v>
      </c>
      <c r="I412">
        <v>3080</v>
      </c>
      <c r="J412">
        <v>33500</v>
      </c>
    </row>
    <row r="413" spans="4:10">
      <c r="D413" t="s">
        <v>1864</v>
      </c>
      <c r="E413" t="s">
        <v>1621</v>
      </c>
      <c r="F413">
        <v>3079</v>
      </c>
      <c r="G413">
        <v>3081</v>
      </c>
      <c r="H413">
        <v>3076</v>
      </c>
      <c r="I413">
        <v>3076</v>
      </c>
      <c r="J413">
        <v>63400</v>
      </c>
    </row>
    <row r="414" spans="4:10">
      <c r="D414" t="s">
        <v>1864</v>
      </c>
      <c r="E414" t="s">
        <v>1622</v>
      </c>
      <c r="F414">
        <v>3077</v>
      </c>
      <c r="G414">
        <v>3080</v>
      </c>
      <c r="H414">
        <v>3076</v>
      </c>
      <c r="I414">
        <v>3079</v>
      </c>
      <c r="J414">
        <v>25000</v>
      </c>
    </row>
    <row r="415" spans="4:10">
      <c r="D415" t="s">
        <v>1864</v>
      </c>
      <c r="E415" t="s">
        <v>1623</v>
      </c>
      <c r="F415">
        <v>3078</v>
      </c>
      <c r="G415">
        <v>3078</v>
      </c>
      <c r="H415">
        <v>3076</v>
      </c>
      <c r="I415">
        <v>3078</v>
      </c>
      <c r="J415">
        <v>38400</v>
      </c>
    </row>
    <row r="416" spans="4:10">
      <c r="D416" t="s">
        <v>1864</v>
      </c>
      <c r="E416" t="s">
        <v>1624</v>
      </c>
      <c r="F416">
        <v>3077</v>
      </c>
      <c r="G416">
        <v>3079</v>
      </c>
      <c r="H416">
        <v>3074</v>
      </c>
      <c r="I416">
        <v>3076</v>
      </c>
      <c r="J416">
        <v>32400</v>
      </c>
    </row>
    <row r="417" spans="4:10">
      <c r="D417" t="s">
        <v>1864</v>
      </c>
      <c r="E417" t="s">
        <v>1625</v>
      </c>
      <c r="F417">
        <v>3076</v>
      </c>
      <c r="G417">
        <v>3079</v>
      </c>
      <c r="H417">
        <v>3076</v>
      </c>
      <c r="I417">
        <v>3078</v>
      </c>
      <c r="J417">
        <v>35300</v>
      </c>
    </row>
    <row r="418" spans="4:10">
      <c r="D418" t="s">
        <v>1864</v>
      </c>
      <c r="E418" t="s">
        <v>1626</v>
      </c>
      <c r="F418">
        <v>3078</v>
      </c>
      <c r="G418">
        <v>3079</v>
      </c>
      <c r="H418">
        <v>3076</v>
      </c>
      <c r="I418">
        <v>3076</v>
      </c>
      <c r="J418">
        <v>41100</v>
      </c>
    </row>
    <row r="419" spans="4:10">
      <c r="D419" t="s">
        <v>1864</v>
      </c>
      <c r="E419" t="s">
        <v>1627</v>
      </c>
      <c r="F419">
        <v>3075</v>
      </c>
      <c r="G419">
        <v>3075</v>
      </c>
      <c r="H419">
        <v>3074</v>
      </c>
      <c r="I419">
        <v>3075</v>
      </c>
      <c r="J419">
        <v>35300</v>
      </c>
    </row>
    <row r="420" spans="4:10">
      <c r="D420" t="s">
        <v>1864</v>
      </c>
      <c r="E420" t="s">
        <v>1628</v>
      </c>
      <c r="F420">
        <v>3075</v>
      </c>
      <c r="G420">
        <v>3076</v>
      </c>
      <c r="H420">
        <v>3073</v>
      </c>
      <c r="I420">
        <v>3075</v>
      </c>
      <c r="J420">
        <v>26900</v>
      </c>
    </row>
    <row r="421" spans="4:10">
      <c r="D421" t="s">
        <v>1864</v>
      </c>
      <c r="E421" t="s">
        <v>1629</v>
      </c>
      <c r="F421">
        <v>3075</v>
      </c>
      <c r="G421">
        <v>3076</v>
      </c>
      <c r="H421">
        <v>3073</v>
      </c>
      <c r="I421">
        <v>3073</v>
      </c>
      <c r="J421">
        <v>9700</v>
      </c>
    </row>
    <row r="422" spans="4:10">
      <c r="D422" t="s">
        <v>1864</v>
      </c>
      <c r="E422" t="s">
        <v>1630</v>
      </c>
      <c r="F422">
        <v>3073</v>
      </c>
      <c r="G422">
        <v>3073</v>
      </c>
      <c r="H422">
        <v>3071</v>
      </c>
      <c r="I422">
        <v>3071</v>
      </c>
      <c r="J422">
        <v>16200</v>
      </c>
    </row>
    <row r="423" spans="4:10">
      <c r="D423" t="s">
        <v>1864</v>
      </c>
      <c r="E423" t="s">
        <v>1631</v>
      </c>
      <c r="F423">
        <v>3071</v>
      </c>
      <c r="G423">
        <v>3071</v>
      </c>
      <c r="H423">
        <v>3067</v>
      </c>
      <c r="I423">
        <v>3067</v>
      </c>
      <c r="J423">
        <v>74200</v>
      </c>
    </row>
    <row r="424" spans="4:10">
      <c r="D424" t="s">
        <v>1864</v>
      </c>
      <c r="E424" t="s">
        <v>1632</v>
      </c>
      <c r="F424">
        <v>3067</v>
      </c>
      <c r="G424">
        <v>3069</v>
      </c>
      <c r="H424">
        <v>3067</v>
      </c>
      <c r="I424">
        <v>3069</v>
      </c>
      <c r="J424">
        <v>19900</v>
      </c>
    </row>
    <row r="425" spans="4:10">
      <c r="D425" t="s">
        <v>1864</v>
      </c>
      <c r="E425" t="s">
        <v>1633</v>
      </c>
      <c r="F425">
        <v>3069</v>
      </c>
      <c r="G425">
        <v>3070</v>
      </c>
      <c r="H425">
        <v>3067</v>
      </c>
      <c r="I425">
        <v>3068</v>
      </c>
      <c r="J425">
        <v>32000</v>
      </c>
    </row>
    <row r="426" spans="4:10">
      <c r="D426" t="s">
        <v>1864</v>
      </c>
      <c r="E426" t="s">
        <v>1634</v>
      </c>
      <c r="F426">
        <v>3068</v>
      </c>
      <c r="G426">
        <v>3069</v>
      </c>
      <c r="H426">
        <v>3066</v>
      </c>
      <c r="I426">
        <v>3066</v>
      </c>
      <c r="J426">
        <v>51100</v>
      </c>
    </row>
    <row r="427" spans="4:10">
      <c r="D427" t="s">
        <v>1864</v>
      </c>
      <c r="E427" t="s">
        <v>1635</v>
      </c>
      <c r="F427">
        <v>3066</v>
      </c>
      <c r="G427">
        <v>3067</v>
      </c>
      <c r="H427">
        <v>3064</v>
      </c>
      <c r="I427">
        <v>3067</v>
      </c>
      <c r="J427">
        <v>29200</v>
      </c>
    </row>
    <row r="428" spans="4:10">
      <c r="D428" t="s">
        <v>1864</v>
      </c>
      <c r="E428" t="s">
        <v>1636</v>
      </c>
      <c r="F428">
        <v>3066</v>
      </c>
      <c r="G428">
        <v>3067</v>
      </c>
      <c r="H428">
        <v>3065</v>
      </c>
      <c r="I428">
        <v>3066</v>
      </c>
      <c r="J428">
        <v>10500</v>
      </c>
    </row>
    <row r="429" spans="4:10">
      <c r="D429" t="s">
        <v>1864</v>
      </c>
      <c r="E429" t="s">
        <v>1637</v>
      </c>
      <c r="F429">
        <v>3067</v>
      </c>
      <c r="G429">
        <v>3070</v>
      </c>
      <c r="H429">
        <v>3066</v>
      </c>
      <c r="I429">
        <v>3069</v>
      </c>
      <c r="J429">
        <v>67000</v>
      </c>
    </row>
    <row r="430" spans="4:10">
      <c r="D430" t="s">
        <v>1864</v>
      </c>
      <c r="E430" t="s">
        <v>1638</v>
      </c>
      <c r="F430">
        <v>3070</v>
      </c>
      <c r="G430">
        <v>3072</v>
      </c>
      <c r="H430">
        <v>3068</v>
      </c>
      <c r="I430">
        <v>3069</v>
      </c>
      <c r="J430">
        <v>40300</v>
      </c>
    </row>
    <row r="431" spans="4:10">
      <c r="D431" t="s">
        <v>1864</v>
      </c>
      <c r="E431" t="s">
        <v>1639</v>
      </c>
      <c r="F431">
        <v>3069</v>
      </c>
      <c r="G431">
        <v>3073</v>
      </c>
      <c r="H431">
        <v>3069</v>
      </c>
      <c r="I431">
        <v>3073</v>
      </c>
      <c r="J431">
        <v>34500</v>
      </c>
    </row>
    <row r="432" spans="4:10">
      <c r="D432" t="s">
        <v>1864</v>
      </c>
      <c r="E432" t="s">
        <v>1640</v>
      </c>
      <c r="F432">
        <v>3073</v>
      </c>
      <c r="G432">
        <v>3075</v>
      </c>
      <c r="H432">
        <v>3071</v>
      </c>
      <c r="I432">
        <v>3074</v>
      </c>
      <c r="J432">
        <v>32400</v>
      </c>
    </row>
    <row r="433" spans="4:10">
      <c r="D433" t="s">
        <v>1864</v>
      </c>
      <c r="E433" t="s">
        <v>1641</v>
      </c>
      <c r="F433">
        <v>3074</v>
      </c>
      <c r="G433">
        <v>3077</v>
      </c>
      <c r="H433">
        <v>3073</v>
      </c>
      <c r="I433">
        <v>3076</v>
      </c>
      <c r="J433">
        <v>40500</v>
      </c>
    </row>
    <row r="434" spans="4:10">
      <c r="D434" t="s">
        <v>1864</v>
      </c>
      <c r="E434" t="s">
        <v>1642</v>
      </c>
      <c r="F434">
        <v>3076</v>
      </c>
      <c r="G434">
        <v>3080</v>
      </c>
      <c r="H434">
        <v>3076</v>
      </c>
      <c r="I434">
        <v>3079</v>
      </c>
      <c r="J434">
        <v>43800</v>
      </c>
    </row>
    <row r="435" spans="4:10">
      <c r="D435" t="s">
        <v>1864</v>
      </c>
      <c r="E435" t="s">
        <v>1643</v>
      </c>
      <c r="F435">
        <v>3078</v>
      </c>
      <c r="G435">
        <v>3081</v>
      </c>
      <c r="H435">
        <v>3078</v>
      </c>
      <c r="I435">
        <v>3081</v>
      </c>
      <c r="J435">
        <v>58600</v>
      </c>
    </row>
    <row r="436" spans="4:10">
      <c r="D436" t="s">
        <v>1864</v>
      </c>
      <c r="E436" t="s">
        <v>1644</v>
      </c>
      <c r="F436">
        <v>3080</v>
      </c>
      <c r="G436">
        <v>3081</v>
      </c>
      <c r="H436">
        <v>3079</v>
      </c>
      <c r="I436">
        <v>3081</v>
      </c>
      <c r="J436">
        <v>25100</v>
      </c>
    </row>
    <row r="437" spans="4:10">
      <c r="D437" t="s">
        <v>1864</v>
      </c>
      <c r="E437" t="s">
        <v>1645</v>
      </c>
      <c r="F437">
        <v>3080</v>
      </c>
      <c r="G437">
        <v>3081</v>
      </c>
      <c r="H437">
        <v>3079</v>
      </c>
      <c r="I437">
        <v>3080</v>
      </c>
      <c r="J437">
        <v>26300</v>
      </c>
    </row>
    <row r="438" spans="4:10">
      <c r="D438" t="s">
        <v>1864</v>
      </c>
      <c r="E438" t="s">
        <v>1646</v>
      </c>
      <c r="F438">
        <v>3080</v>
      </c>
      <c r="G438">
        <v>3081</v>
      </c>
      <c r="H438">
        <v>3078</v>
      </c>
      <c r="I438">
        <v>3078</v>
      </c>
      <c r="J438">
        <v>21200</v>
      </c>
    </row>
    <row r="439" spans="4:10">
      <c r="D439" t="s">
        <v>1864</v>
      </c>
      <c r="E439" t="s">
        <v>1647</v>
      </c>
      <c r="F439">
        <v>3078</v>
      </c>
      <c r="G439">
        <v>3081</v>
      </c>
      <c r="H439">
        <v>3078</v>
      </c>
      <c r="I439">
        <v>3081</v>
      </c>
      <c r="J439">
        <v>29600</v>
      </c>
    </row>
    <row r="440" spans="4:10">
      <c r="D440" t="s">
        <v>1864</v>
      </c>
      <c r="E440" t="s">
        <v>1648</v>
      </c>
      <c r="F440">
        <v>3080</v>
      </c>
      <c r="G440">
        <v>3082</v>
      </c>
      <c r="H440">
        <v>3079</v>
      </c>
      <c r="I440">
        <v>3080</v>
      </c>
      <c r="J440">
        <v>17500</v>
      </c>
    </row>
    <row r="441" spans="4:10">
      <c r="D441" t="s">
        <v>1864</v>
      </c>
      <c r="E441" t="s">
        <v>1649</v>
      </c>
      <c r="F441">
        <v>3080</v>
      </c>
      <c r="G441">
        <v>3080</v>
      </c>
      <c r="H441">
        <v>3077</v>
      </c>
      <c r="I441">
        <v>3079</v>
      </c>
      <c r="J441">
        <v>24100</v>
      </c>
    </row>
    <row r="442" spans="4:10">
      <c r="D442" t="s">
        <v>1864</v>
      </c>
      <c r="E442" t="s">
        <v>1650</v>
      </c>
      <c r="F442">
        <v>3078</v>
      </c>
      <c r="G442">
        <v>3078</v>
      </c>
      <c r="H442">
        <v>3077</v>
      </c>
      <c r="I442">
        <v>3077</v>
      </c>
      <c r="J442">
        <v>12700</v>
      </c>
    </row>
    <row r="443" spans="4:10">
      <c r="D443" t="s">
        <v>1864</v>
      </c>
      <c r="E443" t="s">
        <v>1651</v>
      </c>
      <c r="F443">
        <v>3077</v>
      </c>
      <c r="G443">
        <v>3078</v>
      </c>
      <c r="H443">
        <v>3075</v>
      </c>
      <c r="I443">
        <v>3077</v>
      </c>
      <c r="J443">
        <v>65900</v>
      </c>
    </row>
    <row r="444" spans="4:10">
      <c r="D444" t="s">
        <v>1864</v>
      </c>
      <c r="E444" t="s">
        <v>1652</v>
      </c>
      <c r="F444">
        <v>3078</v>
      </c>
      <c r="G444">
        <v>3080</v>
      </c>
      <c r="H444">
        <v>3077</v>
      </c>
      <c r="I444">
        <v>3079</v>
      </c>
      <c r="J444">
        <v>51500</v>
      </c>
    </row>
    <row r="445" spans="4:10">
      <c r="D445" t="s">
        <v>1864</v>
      </c>
      <c r="E445" t="s">
        <v>1653</v>
      </c>
      <c r="F445">
        <v>3079</v>
      </c>
      <c r="G445">
        <v>3082</v>
      </c>
      <c r="H445">
        <v>3079</v>
      </c>
      <c r="I445">
        <v>3082</v>
      </c>
      <c r="J445">
        <v>51800</v>
      </c>
    </row>
    <row r="446" spans="4:10">
      <c r="D446" t="s">
        <v>1864</v>
      </c>
      <c r="E446" t="s">
        <v>1654</v>
      </c>
      <c r="F446">
        <v>3082</v>
      </c>
      <c r="G446">
        <v>3083</v>
      </c>
      <c r="H446">
        <v>3081</v>
      </c>
      <c r="I446">
        <v>3082</v>
      </c>
      <c r="J446">
        <v>37500</v>
      </c>
    </row>
    <row r="447" spans="4:10">
      <c r="D447" t="s">
        <v>1864</v>
      </c>
      <c r="E447" t="s">
        <v>1655</v>
      </c>
      <c r="F447">
        <v>3082</v>
      </c>
      <c r="G447">
        <v>3083</v>
      </c>
      <c r="H447">
        <v>3081</v>
      </c>
      <c r="I447">
        <v>3082</v>
      </c>
      <c r="J447">
        <v>31000</v>
      </c>
    </row>
    <row r="448" spans="4:10">
      <c r="D448" t="s">
        <v>1864</v>
      </c>
      <c r="E448" t="s">
        <v>1656</v>
      </c>
      <c r="F448">
        <v>3081</v>
      </c>
      <c r="G448">
        <v>3083</v>
      </c>
      <c r="H448">
        <v>3081</v>
      </c>
      <c r="I448">
        <v>3083</v>
      </c>
      <c r="J448">
        <v>17100</v>
      </c>
    </row>
    <row r="449" spans="4:10">
      <c r="D449" t="s">
        <v>1864</v>
      </c>
      <c r="E449" t="s">
        <v>1657</v>
      </c>
      <c r="F449">
        <v>3083</v>
      </c>
      <c r="G449">
        <v>3084</v>
      </c>
      <c r="H449">
        <v>3081</v>
      </c>
      <c r="I449">
        <v>3082</v>
      </c>
      <c r="J449">
        <v>20000</v>
      </c>
    </row>
    <row r="450" spans="4:10">
      <c r="D450" t="s">
        <v>1864</v>
      </c>
      <c r="E450" t="s">
        <v>1658</v>
      </c>
      <c r="F450">
        <v>3081</v>
      </c>
      <c r="G450">
        <v>3081</v>
      </c>
      <c r="H450">
        <v>3078</v>
      </c>
      <c r="I450">
        <v>3079</v>
      </c>
      <c r="J450">
        <v>47800</v>
      </c>
    </row>
    <row r="451" spans="4:10">
      <c r="D451" t="s">
        <v>1864</v>
      </c>
      <c r="E451" t="s">
        <v>1659</v>
      </c>
      <c r="F451">
        <v>3079</v>
      </c>
      <c r="G451">
        <v>3079</v>
      </c>
      <c r="H451">
        <v>3079</v>
      </c>
      <c r="I451">
        <v>3079</v>
      </c>
      <c r="J451">
        <v>4400</v>
      </c>
    </row>
    <row r="452" spans="4:10">
      <c r="D452" t="s">
        <v>1864</v>
      </c>
      <c r="E452" t="s">
        <v>1660</v>
      </c>
      <c r="F452">
        <v>3078</v>
      </c>
      <c r="G452">
        <v>3081</v>
      </c>
      <c r="H452">
        <v>3078</v>
      </c>
      <c r="I452">
        <v>3080</v>
      </c>
      <c r="J452">
        <v>13900</v>
      </c>
    </row>
    <row r="453" spans="4:10">
      <c r="D453" t="s">
        <v>1864</v>
      </c>
      <c r="E453" t="s">
        <v>1661</v>
      </c>
      <c r="F453">
        <v>3080</v>
      </c>
      <c r="G453">
        <v>3080</v>
      </c>
      <c r="H453">
        <v>3078</v>
      </c>
      <c r="I453">
        <v>3079</v>
      </c>
      <c r="J453">
        <v>34800</v>
      </c>
    </row>
    <row r="454" spans="4:10">
      <c r="D454" t="s">
        <v>1864</v>
      </c>
      <c r="E454" t="s">
        <v>1662</v>
      </c>
      <c r="F454">
        <v>3079</v>
      </c>
      <c r="G454">
        <v>3081</v>
      </c>
      <c r="H454">
        <v>3079</v>
      </c>
      <c r="I454">
        <v>3081</v>
      </c>
      <c r="J454">
        <v>6900</v>
      </c>
    </row>
    <row r="455" spans="4:10">
      <c r="D455" t="s">
        <v>1864</v>
      </c>
      <c r="E455" t="s">
        <v>1663</v>
      </c>
      <c r="F455">
        <v>3080</v>
      </c>
      <c r="G455">
        <v>3081</v>
      </c>
      <c r="H455">
        <v>3079</v>
      </c>
      <c r="I455">
        <v>3081</v>
      </c>
      <c r="J455">
        <v>11000</v>
      </c>
    </row>
    <row r="456" spans="4:10">
      <c r="D456" t="s">
        <v>1864</v>
      </c>
      <c r="E456" t="s">
        <v>1664</v>
      </c>
      <c r="F456">
        <v>3082</v>
      </c>
      <c r="G456">
        <v>3085</v>
      </c>
      <c r="H456">
        <v>3082</v>
      </c>
      <c r="I456">
        <v>3083</v>
      </c>
      <c r="J456">
        <v>59700</v>
      </c>
    </row>
    <row r="457" spans="4:10">
      <c r="D457" t="s">
        <v>1864</v>
      </c>
      <c r="E457" t="s">
        <v>1665</v>
      </c>
      <c r="F457">
        <v>3083</v>
      </c>
      <c r="G457">
        <v>3085</v>
      </c>
      <c r="H457">
        <v>3083</v>
      </c>
      <c r="I457">
        <v>3084</v>
      </c>
      <c r="J457">
        <v>19100</v>
      </c>
    </row>
    <row r="458" spans="4:10">
      <c r="D458" t="s">
        <v>1864</v>
      </c>
      <c r="E458" t="s">
        <v>1666</v>
      </c>
      <c r="F458">
        <v>3084</v>
      </c>
      <c r="G458">
        <v>3084</v>
      </c>
      <c r="H458">
        <v>3082</v>
      </c>
      <c r="I458">
        <v>3082</v>
      </c>
      <c r="J458">
        <v>22600</v>
      </c>
    </row>
    <row r="459" spans="4:10">
      <c r="D459" t="s">
        <v>1864</v>
      </c>
      <c r="E459" t="s">
        <v>1667</v>
      </c>
      <c r="F459">
        <v>3083</v>
      </c>
      <c r="G459">
        <v>3084</v>
      </c>
      <c r="H459">
        <v>3082</v>
      </c>
      <c r="I459">
        <v>3084</v>
      </c>
      <c r="J459">
        <v>7900</v>
      </c>
    </row>
    <row r="460" spans="4:10">
      <c r="D460" t="s">
        <v>1864</v>
      </c>
      <c r="E460" t="s">
        <v>1668</v>
      </c>
      <c r="F460">
        <v>3083</v>
      </c>
      <c r="G460">
        <v>3083</v>
      </c>
      <c r="H460">
        <v>3082</v>
      </c>
      <c r="I460">
        <v>3082</v>
      </c>
      <c r="J460">
        <v>13600</v>
      </c>
    </row>
    <row r="461" spans="4:10">
      <c r="D461" t="s">
        <v>1864</v>
      </c>
      <c r="E461" t="s">
        <v>1669</v>
      </c>
      <c r="F461">
        <v>3081</v>
      </c>
      <c r="G461">
        <v>3082</v>
      </c>
      <c r="H461">
        <v>3080</v>
      </c>
      <c r="I461">
        <v>3082</v>
      </c>
      <c r="J461">
        <v>22300</v>
      </c>
    </row>
    <row r="462" spans="4:10">
      <c r="D462" t="s">
        <v>1864</v>
      </c>
      <c r="E462" t="s">
        <v>1670</v>
      </c>
      <c r="F462">
        <v>3082</v>
      </c>
      <c r="G462">
        <v>3082</v>
      </c>
      <c r="H462">
        <v>3080</v>
      </c>
      <c r="I462">
        <v>3082</v>
      </c>
      <c r="J462">
        <v>23700</v>
      </c>
    </row>
    <row r="463" spans="4:10">
      <c r="D463" t="s">
        <v>1864</v>
      </c>
      <c r="E463" t="s">
        <v>1671</v>
      </c>
      <c r="F463">
        <v>3082</v>
      </c>
      <c r="G463">
        <v>3082</v>
      </c>
      <c r="H463">
        <v>3079</v>
      </c>
      <c r="I463">
        <v>3080</v>
      </c>
      <c r="J463">
        <v>24900</v>
      </c>
    </row>
    <row r="464" spans="4:10">
      <c r="D464" t="s">
        <v>1864</v>
      </c>
      <c r="E464" t="s">
        <v>1672</v>
      </c>
      <c r="F464">
        <v>3080</v>
      </c>
      <c r="G464">
        <v>3080</v>
      </c>
      <c r="H464">
        <v>3077</v>
      </c>
      <c r="I464">
        <v>3080</v>
      </c>
      <c r="J464">
        <v>24000</v>
      </c>
    </row>
    <row r="465" spans="4:10">
      <c r="D465" t="s">
        <v>1864</v>
      </c>
      <c r="E465" t="s">
        <v>1673</v>
      </c>
      <c r="F465">
        <v>3079</v>
      </c>
      <c r="G465">
        <v>3082</v>
      </c>
      <c r="H465">
        <v>3078</v>
      </c>
      <c r="I465">
        <v>3081</v>
      </c>
      <c r="J465">
        <v>35400</v>
      </c>
    </row>
    <row r="466" spans="4:10">
      <c r="D466" t="s">
        <v>1864</v>
      </c>
      <c r="E466" t="s">
        <v>1674</v>
      </c>
      <c r="F466">
        <v>3080</v>
      </c>
      <c r="G466">
        <v>3083</v>
      </c>
      <c r="H466">
        <v>3079</v>
      </c>
      <c r="I466">
        <v>3083</v>
      </c>
      <c r="J466">
        <v>28500</v>
      </c>
    </row>
    <row r="467" spans="4:10">
      <c r="D467" t="s">
        <v>1864</v>
      </c>
      <c r="E467" t="s">
        <v>1675</v>
      </c>
      <c r="F467">
        <v>3082</v>
      </c>
      <c r="G467">
        <v>3085</v>
      </c>
      <c r="H467">
        <v>3081</v>
      </c>
      <c r="I467">
        <v>3083</v>
      </c>
      <c r="J467">
        <v>39800</v>
      </c>
    </row>
    <row r="468" spans="4:10">
      <c r="D468" t="s">
        <v>1864</v>
      </c>
      <c r="E468" t="s">
        <v>1676</v>
      </c>
      <c r="F468">
        <v>3084</v>
      </c>
      <c r="G468">
        <v>3085</v>
      </c>
      <c r="H468">
        <v>3082</v>
      </c>
      <c r="I468">
        <v>3084</v>
      </c>
      <c r="J468">
        <v>33800</v>
      </c>
    </row>
    <row r="469" spans="4:10">
      <c r="D469" t="s">
        <v>1864</v>
      </c>
      <c r="E469" t="s">
        <v>1677</v>
      </c>
      <c r="F469">
        <v>3083</v>
      </c>
      <c r="G469">
        <v>3084</v>
      </c>
      <c r="H469">
        <v>3082</v>
      </c>
      <c r="I469">
        <v>3083</v>
      </c>
      <c r="J469">
        <v>16400</v>
      </c>
    </row>
    <row r="470" spans="4:10">
      <c r="D470" t="s">
        <v>1864</v>
      </c>
      <c r="E470" t="s">
        <v>1678</v>
      </c>
      <c r="F470">
        <v>3083</v>
      </c>
      <c r="G470">
        <v>3083</v>
      </c>
      <c r="H470">
        <v>3081</v>
      </c>
      <c r="I470">
        <v>3081</v>
      </c>
      <c r="J470">
        <v>23300</v>
      </c>
    </row>
    <row r="471" spans="4:10">
      <c r="D471" t="s">
        <v>1864</v>
      </c>
      <c r="E471" t="s">
        <v>1679</v>
      </c>
      <c r="F471">
        <v>3082</v>
      </c>
      <c r="G471">
        <v>3084</v>
      </c>
      <c r="H471">
        <v>3081</v>
      </c>
      <c r="I471">
        <v>3084</v>
      </c>
      <c r="J471">
        <v>39900</v>
      </c>
    </row>
    <row r="472" spans="4:10">
      <c r="D472" t="s">
        <v>1864</v>
      </c>
      <c r="E472" t="s">
        <v>1680</v>
      </c>
      <c r="F472">
        <v>3083</v>
      </c>
      <c r="G472">
        <v>3084</v>
      </c>
      <c r="H472">
        <v>3083</v>
      </c>
      <c r="I472">
        <v>3083</v>
      </c>
      <c r="J472">
        <v>16000</v>
      </c>
    </row>
    <row r="473" spans="4:10">
      <c r="D473" t="s">
        <v>1864</v>
      </c>
      <c r="E473" t="s">
        <v>1681</v>
      </c>
      <c r="F473">
        <v>3083</v>
      </c>
      <c r="G473">
        <v>3084</v>
      </c>
      <c r="H473">
        <v>3082</v>
      </c>
      <c r="I473">
        <v>3082</v>
      </c>
      <c r="J473">
        <v>15800</v>
      </c>
    </row>
    <row r="474" spans="4:10">
      <c r="D474" t="s">
        <v>1864</v>
      </c>
      <c r="E474" t="s">
        <v>1682</v>
      </c>
      <c r="F474">
        <v>3082</v>
      </c>
      <c r="G474">
        <v>3083</v>
      </c>
      <c r="H474">
        <v>3082</v>
      </c>
      <c r="I474">
        <v>3082</v>
      </c>
      <c r="J474">
        <v>24800</v>
      </c>
    </row>
    <row r="475" spans="4:10">
      <c r="D475" t="s">
        <v>1864</v>
      </c>
      <c r="E475" t="s">
        <v>1683</v>
      </c>
      <c r="F475">
        <v>3081</v>
      </c>
      <c r="G475">
        <v>3083</v>
      </c>
      <c r="H475">
        <v>3079</v>
      </c>
      <c r="I475">
        <v>3081</v>
      </c>
      <c r="J475">
        <v>34900</v>
      </c>
    </row>
    <row r="476" spans="4:10">
      <c r="D476" t="s">
        <v>1864</v>
      </c>
      <c r="E476" t="s">
        <v>1684</v>
      </c>
      <c r="F476">
        <v>3082</v>
      </c>
      <c r="G476">
        <v>3084</v>
      </c>
      <c r="H476">
        <v>3082</v>
      </c>
      <c r="I476">
        <v>3083</v>
      </c>
      <c r="J476">
        <v>18700</v>
      </c>
    </row>
    <row r="477" spans="4:10">
      <c r="D477" t="s">
        <v>1864</v>
      </c>
      <c r="E477" t="s">
        <v>1685</v>
      </c>
      <c r="F477">
        <v>3082</v>
      </c>
      <c r="G477">
        <v>3085</v>
      </c>
      <c r="H477">
        <v>3082</v>
      </c>
      <c r="I477">
        <v>3084</v>
      </c>
      <c r="J477">
        <v>59200</v>
      </c>
    </row>
    <row r="478" spans="4:10">
      <c r="D478" t="s">
        <v>1864</v>
      </c>
      <c r="E478" t="s">
        <v>1686</v>
      </c>
      <c r="F478">
        <v>3084</v>
      </c>
      <c r="G478">
        <v>3086</v>
      </c>
      <c r="H478">
        <v>3083</v>
      </c>
      <c r="I478">
        <v>3086</v>
      </c>
      <c r="J478">
        <v>43400</v>
      </c>
    </row>
    <row r="479" spans="4:10">
      <c r="D479" t="s">
        <v>1864</v>
      </c>
      <c r="E479" t="s">
        <v>1687</v>
      </c>
      <c r="F479">
        <v>3086</v>
      </c>
      <c r="G479">
        <v>3087</v>
      </c>
      <c r="H479">
        <v>3086</v>
      </c>
      <c r="I479">
        <v>3086</v>
      </c>
      <c r="J479">
        <v>9700</v>
      </c>
    </row>
    <row r="480" spans="4:10">
      <c r="D480" t="s">
        <v>1864</v>
      </c>
      <c r="E480" t="s">
        <v>1688</v>
      </c>
      <c r="F480">
        <v>3086</v>
      </c>
      <c r="G480">
        <v>3089</v>
      </c>
      <c r="H480">
        <v>3086</v>
      </c>
      <c r="I480">
        <v>3089</v>
      </c>
      <c r="J480">
        <v>28600</v>
      </c>
    </row>
    <row r="481" spans="1:10">
      <c r="D481" t="s">
        <v>1864</v>
      </c>
      <c r="E481" t="s">
        <v>1689</v>
      </c>
      <c r="F481">
        <v>3089</v>
      </c>
      <c r="G481">
        <v>3090</v>
      </c>
      <c r="H481">
        <v>3088</v>
      </c>
      <c r="I481">
        <v>3090</v>
      </c>
      <c r="J481">
        <v>32000</v>
      </c>
    </row>
    <row r="482" spans="1:10">
      <c r="D482" t="s">
        <v>1864</v>
      </c>
      <c r="E482" t="s">
        <v>1690</v>
      </c>
      <c r="F482">
        <v>3090</v>
      </c>
      <c r="G482">
        <v>3093</v>
      </c>
      <c r="H482">
        <v>3090</v>
      </c>
      <c r="I482">
        <v>3092</v>
      </c>
      <c r="J482">
        <v>37700</v>
      </c>
    </row>
    <row r="483" spans="1:10">
      <c r="D483" t="s">
        <v>1864</v>
      </c>
      <c r="E483" t="s">
        <v>1691</v>
      </c>
      <c r="F483">
        <v>3095</v>
      </c>
      <c r="G483">
        <v>3095</v>
      </c>
      <c r="H483">
        <v>3095</v>
      </c>
      <c r="I483">
        <v>3095</v>
      </c>
      <c r="J483">
        <v>195800</v>
      </c>
    </row>
    <row r="484" spans="1:10">
      <c r="A484" s="1"/>
      <c r="B484" s="1"/>
      <c r="C484" s="1"/>
      <c r="D484" s="1" t="s">
        <v>1864</v>
      </c>
      <c r="E484" s="1" t="s">
        <v>1692</v>
      </c>
      <c r="F484" s="1">
        <v>3100</v>
      </c>
      <c r="G484" s="1">
        <v>3107</v>
      </c>
      <c r="H484" s="1">
        <v>3098</v>
      </c>
      <c r="I484" s="1">
        <v>3107</v>
      </c>
      <c r="J484" s="1">
        <v>482900</v>
      </c>
    </row>
    <row r="485" spans="1:10">
      <c r="A485" s="1"/>
      <c r="B485" s="1"/>
      <c r="C485" s="1"/>
      <c r="D485" s="1" t="s">
        <v>1864</v>
      </c>
      <c r="E485" s="1" t="s">
        <v>1693</v>
      </c>
      <c r="F485" s="1">
        <v>3107</v>
      </c>
      <c r="G485" s="1">
        <v>3111</v>
      </c>
      <c r="H485" s="1">
        <v>3106</v>
      </c>
      <c r="I485" s="1">
        <v>3106</v>
      </c>
      <c r="J485" s="1">
        <v>158700</v>
      </c>
    </row>
    <row r="486" spans="1:10">
      <c r="A486" s="1"/>
      <c r="B486" s="1"/>
      <c r="C486" s="1"/>
      <c r="D486" s="1" t="s">
        <v>1864</v>
      </c>
      <c r="E486" s="1" t="s">
        <v>1694</v>
      </c>
      <c r="F486" s="1">
        <v>3107</v>
      </c>
      <c r="G486" s="1">
        <v>3111</v>
      </c>
      <c r="H486" s="1">
        <v>3106</v>
      </c>
      <c r="I486" s="1">
        <v>3110</v>
      </c>
      <c r="J486" s="1">
        <v>77500</v>
      </c>
    </row>
    <row r="487" spans="1:10">
      <c r="A487" s="1"/>
      <c r="B487" s="1"/>
      <c r="C487" s="1"/>
      <c r="D487" s="1" t="s">
        <v>1864</v>
      </c>
      <c r="E487" s="1" t="s">
        <v>1695</v>
      </c>
      <c r="F487" s="1">
        <v>3110</v>
      </c>
      <c r="G487" s="1">
        <v>3114</v>
      </c>
      <c r="H487" s="1">
        <v>3110</v>
      </c>
      <c r="I487" s="1">
        <v>3113</v>
      </c>
      <c r="J487" s="1">
        <v>82600</v>
      </c>
    </row>
    <row r="488" spans="1:10">
      <c r="A488" s="1"/>
      <c r="B488" s="1"/>
      <c r="C488" s="1"/>
      <c r="D488" s="1" t="s">
        <v>1864</v>
      </c>
      <c r="E488" s="1" t="s">
        <v>1696</v>
      </c>
      <c r="F488" s="1">
        <v>3113</v>
      </c>
      <c r="G488" s="1">
        <v>3114</v>
      </c>
      <c r="H488" s="1">
        <v>3112</v>
      </c>
      <c r="I488" s="1">
        <v>3112</v>
      </c>
      <c r="J488" s="1">
        <v>44000</v>
      </c>
    </row>
    <row r="489" spans="1:10">
      <c r="A489" s="1"/>
      <c r="B489" s="1"/>
      <c r="C489" s="1"/>
      <c r="D489" s="1" t="s">
        <v>1864</v>
      </c>
      <c r="E489" s="1" t="s">
        <v>1697</v>
      </c>
      <c r="F489" s="1">
        <v>3112</v>
      </c>
      <c r="G489" s="1">
        <v>3114</v>
      </c>
      <c r="H489" s="1">
        <v>3111</v>
      </c>
      <c r="I489" s="1">
        <v>3111</v>
      </c>
      <c r="J489" s="1">
        <v>45600</v>
      </c>
    </row>
    <row r="490" spans="1:10">
      <c r="A490" s="1"/>
      <c r="B490" s="1"/>
      <c r="C490" s="1"/>
      <c r="D490" s="1" t="s">
        <v>1864</v>
      </c>
      <c r="E490" s="1" t="s">
        <v>1698</v>
      </c>
      <c r="F490" s="1">
        <v>3112</v>
      </c>
      <c r="G490" s="1">
        <v>3114</v>
      </c>
      <c r="H490" s="1">
        <v>3111</v>
      </c>
      <c r="I490" s="1">
        <v>3113</v>
      </c>
      <c r="J490" s="1">
        <v>45100</v>
      </c>
    </row>
    <row r="491" spans="1:10">
      <c r="A491" s="1"/>
      <c r="B491" s="1"/>
      <c r="C491" s="1"/>
      <c r="D491" s="1" t="s">
        <v>1864</v>
      </c>
      <c r="E491" s="1" t="s">
        <v>1699</v>
      </c>
      <c r="F491" s="1">
        <v>3113</v>
      </c>
      <c r="G491" s="1">
        <v>3114</v>
      </c>
      <c r="H491" s="1">
        <v>3112</v>
      </c>
      <c r="I491" s="1">
        <v>3113</v>
      </c>
      <c r="J491" s="1">
        <v>21000</v>
      </c>
    </row>
    <row r="492" spans="1:10">
      <c r="A492" s="1"/>
      <c r="B492" s="1"/>
      <c r="C492" s="1"/>
      <c r="D492" s="1" t="s">
        <v>1864</v>
      </c>
      <c r="E492" s="1" t="s">
        <v>1700</v>
      </c>
      <c r="F492" s="1">
        <v>3114</v>
      </c>
      <c r="G492" s="1">
        <v>3114</v>
      </c>
      <c r="H492" s="1">
        <v>3109</v>
      </c>
      <c r="I492" s="1">
        <v>3110</v>
      </c>
      <c r="J492" s="1">
        <v>110400</v>
      </c>
    </row>
    <row r="493" spans="1:10">
      <c r="A493" s="1"/>
      <c r="B493" s="1"/>
      <c r="C493" s="1"/>
      <c r="D493" s="1" t="s">
        <v>1864</v>
      </c>
      <c r="E493" s="1" t="s">
        <v>1701</v>
      </c>
      <c r="F493" s="1">
        <v>3110</v>
      </c>
      <c r="G493" s="1">
        <v>3111</v>
      </c>
      <c r="H493" s="1">
        <v>3105</v>
      </c>
      <c r="I493" s="1">
        <v>3106</v>
      </c>
      <c r="J493" s="1">
        <v>45500</v>
      </c>
    </row>
    <row r="494" spans="1:10">
      <c r="A494" s="1"/>
      <c r="B494" s="1"/>
      <c r="C494" s="1"/>
      <c r="D494" s="1" t="s">
        <v>1864</v>
      </c>
      <c r="E494" s="1" t="s">
        <v>1702</v>
      </c>
      <c r="F494" s="1">
        <v>3106</v>
      </c>
      <c r="G494" s="1">
        <v>3107</v>
      </c>
      <c r="H494" s="1">
        <v>3102</v>
      </c>
      <c r="I494" s="1">
        <v>3102</v>
      </c>
      <c r="J494" s="1">
        <v>52300</v>
      </c>
    </row>
    <row r="495" spans="1:10">
      <c r="A495" s="1"/>
      <c r="B495" s="1"/>
      <c r="C495" s="1"/>
      <c r="D495" s="1" t="s">
        <v>1864</v>
      </c>
      <c r="E495" s="1" t="s">
        <v>1703</v>
      </c>
      <c r="F495" s="1">
        <v>3103</v>
      </c>
      <c r="G495" s="1">
        <v>3103</v>
      </c>
      <c r="H495" s="1">
        <v>3100</v>
      </c>
      <c r="I495" s="1">
        <v>3101</v>
      </c>
      <c r="J495" s="1">
        <v>37100</v>
      </c>
    </row>
    <row r="496" spans="1:10">
      <c r="A496" s="1"/>
      <c r="B496" s="1"/>
      <c r="C496" s="1"/>
      <c r="D496" s="1" t="s">
        <v>1864</v>
      </c>
      <c r="E496" s="1" t="s">
        <v>1704</v>
      </c>
      <c r="F496" s="1">
        <v>3101</v>
      </c>
      <c r="G496" s="1">
        <v>3103</v>
      </c>
      <c r="H496" s="1">
        <v>3101</v>
      </c>
      <c r="I496" s="1">
        <v>3101</v>
      </c>
      <c r="J496" s="1">
        <v>16600</v>
      </c>
    </row>
    <row r="497" spans="1:10">
      <c r="A497" s="1"/>
      <c r="B497" s="1"/>
      <c r="C497" s="1"/>
      <c r="D497" s="1" t="s">
        <v>1864</v>
      </c>
      <c r="E497" s="1" t="s">
        <v>1705</v>
      </c>
      <c r="F497" s="1">
        <v>3102</v>
      </c>
      <c r="G497" s="1">
        <v>3103</v>
      </c>
      <c r="H497" s="1">
        <v>3101</v>
      </c>
      <c r="I497" s="1">
        <v>3103</v>
      </c>
      <c r="J497" s="1">
        <v>36700</v>
      </c>
    </row>
    <row r="498" spans="1:10">
      <c r="A498" s="1"/>
      <c r="B498" s="1"/>
      <c r="C498" s="1"/>
      <c r="D498" s="1" t="s">
        <v>1864</v>
      </c>
      <c r="E498" s="1" t="s">
        <v>1706</v>
      </c>
      <c r="F498" s="1">
        <v>3103</v>
      </c>
      <c r="G498" s="1">
        <v>3104</v>
      </c>
      <c r="H498" s="1">
        <v>3101</v>
      </c>
      <c r="I498" s="1">
        <v>3101</v>
      </c>
      <c r="J498" s="1">
        <v>32500</v>
      </c>
    </row>
    <row r="499" spans="1:10">
      <c r="A499" s="1"/>
      <c r="B499" s="1"/>
      <c r="C499" s="1"/>
      <c r="D499" s="1" t="s">
        <v>1864</v>
      </c>
      <c r="E499" s="1" t="s">
        <v>1707</v>
      </c>
      <c r="F499" s="1">
        <v>3101</v>
      </c>
      <c r="G499" s="1">
        <v>3108</v>
      </c>
      <c r="H499" s="1">
        <v>3101</v>
      </c>
      <c r="I499" s="1">
        <v>3107</v>
      </c>
      <c r="J499" s="1">
        <v>89600</v>
      </c>
    </row>
    <row r="500" spans="1:10">
      <c r="A500" s="1"/>
      <c r="B500" s="1"/>
      <c r="C500" s="1"/>
      <c r="D500" s="1" t="s">
        <v>1864</v>
      </c>
      <c r="E500" s="1" t="s">
        <v>1708</v>
      </c>
      <c r="F500" s="1">
        <v>3107</v>
      </c>
      <c r="G500" s="1">
        <v>3108</v>
      </c>
      <c r="H500" s="1">
        <v>3103</v>
      </c>
      <c r="I500" s="1">
        <v>3103</v>
      </c>
      <c r="J500" s="1">
        <v>60600</v>
      </c>
    </row>
    <row r="501" spans="1:10">
      <c r="A501" s="1"/>
      <c r="B501" s="1"/>
      <c r="C501" s="1"/>
      <c r="D501" s="1" t="s">
        <v>1864</v>
      </c>
      <c r="E501" s="1" t="s">
        <v>1709</v>
      </c>
      <c r="F501" s="1">
        <v>3104</v>
      </c>
      <c r="G501" s="1">
        <v>3106</v>
      </c>
      <c r="H501" s="1">
        <v>3103</v>
      </c>
      <c r="I501" s="1">
        <v>3104</v>
      </c>
      <c r="J501" s="1">
        <v>24700</v>
      </c>
    </row>
    <row r="502" spans="1:10">
      <c r="A502" s="1"/>
      <c r="B502" s="1"/>
      <c r="C502" s="1"/>
      <c r="D502" s="1" t="s">
        <v>1864</v>
      </c>
      <c r="E502" s="1" t="s">
        <v>1710</v>
      </c>
      <c r="F502" s="1">
        <v>3105</v>
      </c>
      <c r="G502" s="1">
        <v>3105</v>
      </c>
      <c r="H502" s="1">
        <v>3103</v>
      </c>
      <c r="I502" s="1">
        <v>3103</v>
      </c>
      <c r="J502" s="1">
        <v>41800</v>
      </c>
    </row>
    <row r="503" spans="1:10">
      <c r="A503" s="1"/>
      <c r="B503" s="1"/>
      <c r="C503" s="1"/>
      <c r="D503" s="1" t="s">
        <v>1864</v>
      </c>
      <c r="E503" s="1" t="s">
        <v>1711</v>
      </c>
      <c r="F503" s="1">
        <v>3103</v>
      </c>
      <c r="G503" s="1">
        <v>3103</v>
      </c>
      <c r="H503" s="1">
        <v>3099</v>
      </c>
      <c r="I503" s="1">
        <v>3100</v>
      </c>
      <c r="J503" s="1">
        <v>93500</v>
      </c>
    </row>
    <row r="504" spans="1:10">
      <c r="A504" s="1"/>
      <c r="B504" s="1"/>
      <c r="C504" s="1"/>
      <c r="D504" s="1" t="s">
        <v>1864</v>
      </c>
      <c r="E504" s="1" t="s">
        <v>1712</v>
      </c>
      <c r="F504" s="1">
        <v>3100</v>
      </c>
      <c r="G504" s="1">
        <v>3101</v>
      </c>
      <c r="H504" s="1">
        <v>3098</v>
      </c>
      <c r="I504" s="1">
        <v>3098</v>
      </c>
      <c r="J504" s="1">
        <v>28900</v>
      </c>
    </row>
    <row r="505" spans="1:10">
      <c r="A505" s="1"/>
      <c r="B505" s="1"/>
      <c r="C505" s="1"/>
      <c r="D505" s="1" t="s">
        <v>1864</v>
      </c>
      <c r="E505" s="1" t="s">
        <v>1713</v>
      </c>
      <c r="F505" s="1">
        <v>3098</v>
      </c>
      <c r="G505" s="1">
        <v>3099</v>
      </c>
      <c r="H505" s="1">
        <v>3096</v>
      </c>
      <c r="I505" s="1">
        <v>3096</v>
      </c>
      <c r="J505" s="1">
        <v>27400</v>
      </c>
    </row>
    <row r="506" spans="1:10">
      <c r="A506" s="1"/>
      <c r="B506" s="1"/>
      <c r="C506" s="1"/>
      <c r="D506" s="1" t="s">
        <v>1864</v>
      </c>
      <c r="E506" s="1" t="s">
        <v>1714</v>
      </c>
      <c r="F506" s="1">
        <v>3097</v>
      </c>
      <c r="G506" s="1">
        <v>3097</v>
      </c>
      <c r="H506" s="1">
        <v>3094</v>
      </c>
      <c r="I506" s="1">
        <v>3095</v>
      </c>
      <c r="J506" s="1">
        <v>50900</v>
      </c>
    </row>
    <row r="507" spans="1:10">
      <c r="A507" s="1"/>
      <c r="B507" s="1"/>
      <c r="C507" s="1"/>
      <c r="D507" s="1" t="s">
        <v>1864</v>
      </c>
      <c r="E507" s="1" t="s">
        <v>1715</v>
      </c>
      <c r="F507" s="1">
        <v>3096</v>
      </c>
      <c r="G507" s="1">
        <v>3097</v>
      </c>
      <c r="H507" s="1">
        <v>3093</v>
      </c>
      <c r="I507" s="1">
        <v>3094</v>
      </c>
      <c r="J507" s="1">
        <v>31700</v>
      </c>
    </row>
    <row r="508" spans="1:10">
      <c r="A508" s="1"/>
      <c r="B508" s="1"/>
      <c r="C508" s="1"/>
      <c r="D508" s="1" t="s">
        <v>1864</v>
      </c>
      <c r="E508" s="1" t="s">
        <v>1716</v>
      </c>
      <c r="F508" s="1">
        <v>3095</v>
      </c>
      <c r="G508" s="1">
        <v>3096</v>
      </c>
      <c r="H508" s="1">
        <v>3093</v>
      </c>
      <c r="I508" s="1">
        <v>3093</v>
      </c>
      <c r="J508" s="1">
        <v>24900</v>
      </c>
    </row>
    <row r="509" spans="1:10">
      <c r="A509" s="1"/>
      <c r="B509" s="1"/>
      <c r="C509" s="1"/>
      <c r="D509" s="1" t="s">
        <v>1864</v>
      </c>
      <c r="E509" s="1" t="s">
        <v>1717</v>
      </c>
      <c r="F509" s="1">
        <v>3092</v>
      </c>
      <c r="G509" s="1">
        <v>3093</v>
      </c>
      <c r="H509" s="1">
        <v>3091</v>
      </c>
      <c r="I509" s="1">
        <v>3092</v>
      </c>
      <c r="J509" s="1">
        <v>27200</v>
      </c>
    </row>
    <row r="510" spans="1:10">
      <c r="A510" s="1"/>
      <c r="B510" s="1"/>
      <c r="C510" s="1"/>
      <c r="D510" s="1" t="s">
        <v>1864</v>
      </c>
      <c r="E510" s="1" t="s">
        <v>1718</v>
      </c>
      <c r="F510" s="1">
        <v>3093</v>
      </c>
      <c r="G510" s="1">
        <v>3094</v>
      </c>
      <c r="H510" s="1">
        <v>3091</v>
      </c>
      <c r="I510" s="1">
        <v>3092</v>
      </c>
      <c r="J510" s="1">
        <v>25500</v>
      </c>
    </row>
    <row r="511" spans="1:10">
      <c r="A511" s="1"/>
      <c r="B511" s="1"/>
      <c r="C511" s="1"/>
      <c r="D511" s="1" t="s">
        <v>1864</v>
      </c>
      <c r="E511" s="1" t="s">
        <v>1719</v>
      </c>
      <c r="F511" s="1">
        <v>3092</v>
      </c>
      <c r="G511" s="1">
        <v>3095</v>
      </c>
      <c r="H511" s="1">
        <v>3091</v>
      </c>
      <c r="I511" s="1">
        <v>3094</v>
      </c>
      <c r="J511" s="1">
        <v>77800</v>
      </c>
    </row>
    <row r="512" spans="1:10">
      <c r="A512" s="1"/>
      <c r="B512" s="1"/>
      <c r="C512" s="1"/>
      <c r="D512" s="1" t="s">
        <v>1864</v>
      </c>
      <c r="E512" s="1" t="s">
        <v>1720</v>
      </c>
      <c r="F512" s="1">
        <v>3095</v>
      </c>
      <c r="G512" s="1">
        <v>3099</v>
      </c>
      <c r="H512" s="1">
        <v>3094</v>
      </c>
      <c r="I512" s="1">
        <v>3099</v>
      </c>
      <c r="J512" s="1">
        <v>55100</v>
      </c>
    </row>
    <row r="513" spans="1:10">
      <c r="A513" s="1"/>
      <c r="B513" s="1"/>
      <c r="C513" s="1"/>
      <c r="D513" s="1" t="s">
        <v>1864</v>
      </c>
      <c r="E513" s="1" t="s">
        <v>1721</v>
      </c>
      <c r="F513" s="1">
        <v>3098</v>
      </c>
      <c r="G513" s="1">
        <v>3099</v>
      </c>
      <c r="H513" s="1">
        <v>3097</v>
      </c>
      <c r="I513" s="1">
        <v>3097</v>
      </c>
      <c r="J513" s="1">
        <v>27700</v>
      </c>
    </row>
    <row r="514" spans="1:10">
      <c r="A514" s="1"/>
      <c r="B514" s="1"/>
      <c r="C514" s="1"/>
      <c r="D514" s="1" t="s">
        <v>1864</v>
      </c>
      <c r="E514" s="1" t="s">
        <v>1722</v>
      </c>
      <c r="F514" s="1">
        <v>3097</v>
      </c>
      <c r="G514" s="1">
        <v>3097</v>
      </c>
      <c r="H514" s="1">
        <v>3096</v>
      </c>
      <c r="I514" s="1">
        <v>3097</v>
      </c>
      <c r="J514" s="1">
        <v>16300</v>
      </c>
    </row>
    <row r="515" spans="1:10">
      <c r="A515" s="1"/>
      <c r="B515" s="1"/>
      <c r="C515" s="1"/>
      <c r="D515" s="1" t="s">
        <v>1864</v>
      </c>
      <c r="E515" s="1" t="s">
        <v>1723</v>
      </c>
      <c r="F515" s="1">
        <v>3097</v>
      </c>
      <c r="G515" s="1">
        <v>3100</v>
      </c>
      <c r="H515" s="1">
        <v>3096</v>
      </c>
      <c r="I515" s="1">
        <v>3100</v>
      </c>
      <c r="J515" s="1">
        <v>20600</v>
      </c>
    </row>
    <row r="516" spans="1:10">
      <c r="A516" s="1"/>
      <c r="B516" s="1"/>
      <c r="C516" s="1"/>
      <c r="D516" s="1" t="s">
        <v>1864</v>
      </c>
      <c r="E516" s="1" t="s">
        <v>1724</v>
      </c>
      <c r="F516" s="1">
        <v>3099</v>
      </c>
      <c r="G516" s="1">
        <v>3099</v>
      </c>
      <c r="H516" s="1">
        <v>3098</v>
      </c>
      <c r="I516" s="1">
        <v>3098</v>
      </c>
      <c r="J516" s="1">
        <v>21600</v>
      </c>
    </row>
    <row r="517" spans="1:10">
      <c r="A517" s="1"/>
      <c r="B517" s="1"/>
      <c r="C517" s="1"/>
      <c r="D517" s="1" t="s">
        <v>1864</v>
      </c>
      <c r="E517" s="1" t="s">
        <v>1725</v>
      </c>
      <c r="F517" s="1">
        <v>3099</v>
      </c>
      <c r="G517" s="1">
        <v>3101</v>
      </c>
      <c r="H517" s="1">
        <v>3099</v>
      </c>
      <c r="I517" s="1">
        <v>3099</v>
      </c>
      <c r="J517" s="1">
        <v>38000</v>
      </c>
    </row>
    <row r="518" spans="1:10">
      <c r="A518" s="1"/>
      <c r="B518" s="1"/>
      <c r="C518" s="1"/>
      <c r="D518" s="1" t="s">
        <v>1864</v>
      </c>
      <c r="E518" s="1" t="s">
        <v>1726</v>
      </c>
      <c r="F518" s="1">
        <v>3100</v>
      </c>
      <c r="G518" s="1">
        <v>3100</v>
      </c>
      <c r="H518" s="1">
        <v>3098</v>
      </c>
      <c r="I518" s="1">
        <v>3098</v>
      </c>
      <c r="J518" s="1">
        <v>29400</v>
      </c>
    </row>
    <row r="519" spans="1:10">
      <c r="A519" s="1"/>
      <c r="B519" s="1"/>
      <c r="C519" s="1"/>
      <c r="D519" s="1" t="s">
        <v>1864</v>
      </c>
      <c r="E519" s="1" t="s">
        <v>1727</v>
      </c>
      <c r="F519" s="1">
        <v>3099</v>
      </c>
      <c r="G519" s="1">
        <v>3099</v>
      </c>
      <c r="H519" s="1">
        <v>3096</v>
      </c>
      <c r="I519" s="1">
        <v>3096</v>
      </c>
      <c r="J519" s="1">
        <v>31200</v>
      </c>
    </row>
    <row r="520" spans="1:10">
      <c r="A520" s="1"/>
      <c r="B520" s="1"/>
      <c r="C520" s="1"/>
      <c r="D520" s="1" t="s">
        <v>1864</v>
      </c>
      <c r="E520" s="1" t="s">
        <v>1728</v>
      </c>
      <c r="F520" s="1">
        <v>3096</v>
      </c>
      <c r="G520" s="1">
        <v>3096</v>
      </c>
      <c r="H520" s="1">
        <v>3093</v>
      </c>
      <c r="I520" s="1">
        <v>3096</v>
      </c>
      <c r="J520" s="1">
        <v>42900</v>
      </c>
    </row>
    <row r="521" spans="1:10">
      <c r="A521" s="1"/>
      <c r="B521" s="1"/>
      <c r="C521" s="1"/>
      <c r="D521" s="1" t="s">
        <v>1864</v>
      </c>
      <c r="E521" s="1" t="s">
        <v>1729</v>
      </c>
      <c r="F521" s="1">
        <v>3097</v>
      </c>
      <c r="G521" s="1">
        <v>3098</v>
      </c>
      <c r="H521" s="1">
        <v>3096</v>
      </c>
      <c r="I521" s="1">
        <v>3096</v>
      </c>
      <c r="J521" s="1">
        <v>21600</v>
      </c>
    </row>
    <row r="522" spans="1:10">
      <c r="A522" s="1"/>
      <c r="B522" s="1"/>
      <c r="C522" s="1"/>
      <c r="D522" s="1" t="s">
        <v>1864</v>
      </c>
      <c r="E522" s="1" t="s">
        <v>1730</v>
      </c>
      <c r="F522" s="1">
        <v>3097</v>
      </c>
      <c r="G522" s="1">
        <v>3098</v>
      </c>
      <c r="H522" s="1">
        <v>3096</v>
      </c>
      <c r="I522" s="1">
        <v>3097</v>
      </c>
      <c r="J522" s="1">
        <v>30000</v>
      </c>
    </row>
    <row r="523" spans="1:10">
      <c r="A523" s="1"/>
      <c r="B523" s="1"/>
      <c r="C523" s="1"/>
      <c r="D523" s="1" t="s">
        <v>1864</v>
      </c>
      <c r="E523" s="1" t="s">
        <v>1731</v>
      </c>
      <c r="F523" s="1">
        <v>3098</v>
      </c>
      <c r="G523" s="1">
        <v>3099</v>
      </c>
      <c r="H523" s="1">
        <v>3098</v>
      </c>
      <c r="I523" s="1">
        <v>3098</v>
      </c>
      <c r="J523" s="1">
        <v>8600</v>
      </c>
    </row>
    <row r="524" spans="1:10">
      <c r="A524" s="1"/>
      <c r="B524" s="1"/>
      <c r="C524" s="1"/>
      <c r="D524" s="1" t="s">
        <v>1864</v>
      </c>
      <c r="E524" s="1" t="s">
        <v>1732</v>
      </c>
      <c r="F524" s="1">
        <v>3099</v>
      </c>
      <c r="G524" s="1">
        <v>3100</v>
      </c>
      <c r="H524" s="1">
        <v>3098</v>
      </c>
      <c r="I524" s="1">
        <v>3098</v>
      </c>
      <c r="J524" s="1">
        <v>32900</v>
      </c>
    </row>
    <row r="525" spans="1:10">
      <c r="A525" s="1"/>
      <c r="B525" s="1"/>
      <c r="C525" s="1"/>
      <c r="D525" s="1" t="s">
        <v>1864</v>
      </c>
      <c r="E525" s="1" t="s">
        <v>1733</v>
      </c>
      <c r="F525" s="1">
        <v>3098</v>
      </c>
      <c r="G525" s="1">
        <v>3099</v>
      </c>
      <c r="H525" s="1">
        <v>3097</v>
      </c>
      <c r="I525" s="1">
        <v>3097</v>
      </c>
      <c r="J525" s="1">
        <v>34800</v>
      </c>
    </row>
    <row r="526" spans="1:10">
      <c r="A526" s="1"/>
      <c r="B526" s="1"/>
      <c r="C526" s="1"/>
      <c r="D526" s="1" t="s">
        <v>1864</v>
      </c>
      <c r="E526" s="1" t="s">
        <v>1734</v>
      </c>
      <c r="F526" s="1">
        <v>3097</v>
      </c>
      <c r="G526" s="1">
        <v>3097</v>
      </c>
      <c r="H526" s="1">
        <v>3096</v>
      </c>
      <c r="I526" s="1">
        <v>3097</v>
      </c>
      <c r="J526" s="1">
        <v>19400</v>
      </c>
    </row>
    <row r="527" spans="1:10">
      <c r="A527" s="1"/>
      <c r="B527" s="1"/>
      <c r="C527" s="1"/>
      <c r="D527" s="1" t="s">
        <v>1864</v>
      </c>
      <c r="E527" s="1" t="s">
        <v>1735</v>
      </c>
      <c r="F527" s="1">
        <v>3097</v>
      </c>
      <c r="G527" s="1">
        <v>3099</v>
      </c>
      <c r="H527" s="1">
        <v>3097</v>
      </c>
      <c r="I527" s="1">
        <v>3098</v>
      </c>
      <c r="J527" s="1">
        <v>51300</v>
      </c>
    </row>
    <row r="528" spans="1:10">
      <c r="A528" s="1"/>
      <c r="B528" s="1"/>
      <c r="C528" s="1"/>
      <c r="D528" s="1" t="s">
        <v>1864</v>
      </c>
      <c r="E528" s="1" t="s">
        <v>1736</v>
      </c>
      <c r="F528" s="1">
        <v>3099</v>
      </c>
      <c r="G528" s="1">
        <v>3100</v>
      </c>
      <c r="H528" s="1">
        <v>3097</v>
      </c>
      <c r="I528" s="1">
        <v>3098</v>
      </c>
      <c r="J528" s="1">
        <v>46000</v>
      </c>
    </row>
    <row r="529" spans="1:10">
      <c r="A529" s="1"/>
      <c r="B529" s="1"/>
      <c r="C529" s="1"/>
      <c r="D529" s="1" t="s">
        <v>1864</v>
      </c>
      <c r="E529" s="1" t="s">
        <v>1737</v>
      </c>
      <c r="F529" s="1">
        <v>3098</v>
      </c>
      <c r="G529" s="1">
        <v>3098</v>
      </c>
      <c r="H529" s="1">
        <v>3097</v>
      </c>
      <c r="I529" s="1">
        <v>3097</v>
      </c>
      <c r="J529" s="1">
        <v>3500</v>
      </c>
    </row>
    <row r="530" spans="1:10">
      <c r="A530" s="1"/>
      <c r="B530" s="1"/>
      <c r="C530" s="1"/>
      <c r="D530" s="1" t="s">
        <v>1864</v>
      </c>
      <c r="E530" s="1" t="s">
        <v>1738</v>
      </c>
      <c r="F530" s="1">
        <v>3097</v>
      </c>
      <c r="G530" s="1">
        <v>3100</v>
      </c>
      <c r="H530" s="1">
        <v>3097</v>
      </c>
      <c r="I530" s="1">
        <v>3099</v>
      </c>
      <c r="J530" s="1">
        <v>77500</v>
      </c>
    </row>
    <row r="531" spans="1:10">
      <c r="A531" s="1"/>
      <c r="B531" s="1"/>
      <c r="C531" s="1"/>
      <c r="D531" s="1" t="s">
        <v>1864</v>
      </c>
      <c r="E531" s="1" t="s">
        <v>1739</v>
      </c>
      <c r="F531" s="1">
        <v>3100</v>
      </c>
      <c r="G531" s="1">
        <v>3100</v>
      </c>
      <c r="H531" s="1">
        <v>3098</v>
      </c>
      <c r="I531" s="1">
        <v>3098</v>
      </c>
      <c r="J531" s="1">
        <v>140500</v>
      </c>
    </row>
    <row r="532" spans="1:10">
      <c r="A532" s="1"/>
      <c r="B532" s="1"/>
      <c r="C532" s="1"/>
      <c r="D532" s="1" t="s">
        <v>1864</v>
      </c>
      <c r="E532" s="1" t="s">
        <v>1740</v>
      </c>
      <c r="F532" s="1">
        <v>3098</v>
      </c>
      <c r="G532" s="1">
        <v>3098</v>
      </c>
      <c r="H532" s="1">
        <v>3095</v>
      </c>
      <c r="I532" s="1">
        <v>3095</v>
      </c>
      <c r="J532" s="1">
        <v>47800</v>
      </c>
    </row>
    <row r="533" spans="1:10">
      <c r="A533" s="1"/>
      <c r="B533" s="1"/>
      <c r="C533" s="1"/>
      <c r="D533" s="1" t="s">
        <v>1864</v>
      </c>
      <c r="E533" s="1" t="s">
        <v>1741</v>
      </c>
      <c r="F533" s="1">
        <v>3095</v>
      </c>
      <c r="G533" s="1">
        <v>3100</v>
      </c>
      <c r="H533" s="1">
        <v>3095</v>
      </c>
      <c r="I533" s="1">
        <v>3099</v>
      </c>
      <c r="J533" s="1">
        <v>80500</v>
      </c>
    </row>
    <row r="534" spans="1:10">
      <c r="A534" s="1"/>
      <c r="B534" s="1"/>
      <c r="C534" s="1"/>
      <c r="D534" s="1" t="s">
        <v>1864</v>
      </c>
      <c r="E534" s="1" t="s">
        <v>1742</v>
      </c>
      <c r="F534" s="1">
        <v>3099</v>
      </c>
      <c r="G534" s="1">
        <v>3100</v>
      </c>
      <c r="H534" s="1">
        <v>3097</v>
      </c>
      <c r="I534" s="1">
        <v>3099</v>
      </c>
      <c r="J534" s="1">
        <v>52200</v>
      </c>
    </row>
    <row r="535" spans="1:10">
      <c r="A535" s="1"/>
      <c r="B535" s="1"/>
      <c r="C535" s="1"/>
      <c r="D535" s="1" t="s">
        <v>1864</v>
      </c>
      <c r="E535" s="1" t="s">
        <v>1743</v>
      </c>
      <c r="F535" s="1">
        <v>3099</v>
      </c>
      <c r="G535" s="1">
        <v>3099</v>
      </c>
      <c r="H535" s="1">
        <v>3097</v>
      </c>
      <c r="I535" s="1">
        <v>3098</v>
      </c>
      <c r="J535" s="1">
        <v>27700</v>
      </c>
    </row>
    <row r="536" spans="1:10">
      <c r="A536" s="1"/>
      <c r="B536" s="1"/>
      <c r="C536" s="1"/>
      <c r="D536" s="1" t="s">
        <v>1864</v>
      </c>
      <c r="E536" s="1" t="s">
        <v>1744</v>
      </c>
      <c r="F536" s="1">
        <v>3099</v>
      </c>
      <c r="G536" s="1">
        <v>3099</v>
      </c>
      <c r="H536" s="1">
        <v>3098</v>
      </c>
      <c r="I536" s="1">
        <v>3098</v>
      </c>
      <c r="J536" s="1">
        <v>14600</v>
      </c>
    </row>
    <row r="537" spans="1:10">
      <c r="A537" s="1"/>
      <c r="B537" s="1"/>
      <c r="C537" s="1"/>
      <c r="D537" s="1" t="s">
        <v>1864</v>
      </c>
      <c r="E537" s="1" t="s">
        <v>1745</v>
      </c>
      <c r="F537" s="1">
        <v>3098</v>
      </c>
      <c r="G537" s="1">
        <v>3099</v>
      </c>
      <c r="H537" s="1">
        <v>3098</v>
      </c>
      <c r="I537" s="1">
        <v>3099</v>
      </c>
      <c r="J537" s="1">
        <v>20500</v>
      </c>
    </row>
    <row r="538" spans="1:10">
      <c r="A538" s="1"/>
      <c r="B538" s="1"/>
      <c r="C538" s="1"/>
      <c r="D538" s="1" t="s">
        <v>1864</v>
      </c>
      <c r="E538" s="1" t="s">
        <v>1746</v>
      </c>
      <c r="F538" s="1">
        <v>3099</v>
      </c>
      <c r="G538" s="1">
        <v>3099</v>
      </c>
      <c r="H538" s="1">
        <v>3097</v>
      </c>
      <c r="I538" s="1">
        <v>3097</v>
      </c>
      <c r="J538" s="1">
        <v>33500</v>
      </c>
    </row>
    <row r="539" spans="1:10">
      <c r="A539" s="1"/>
      <c r="B539" s="1"/>
      <c r="C539" s="1"/>
      <c r="D539" s="1" t="s">
        <v>1864</v>
      </c>
      <c r="E539" s="1" t="s">
        <v>1747</v>
      </c>
      <c r="F539" s="1">
        <v>3097</v>
      </c>
      <c r="G539" s="1">
        <v>3097</v>
      </c>
      <c r="H539" s="1">
        <v>3096</v>
      </c>
      <c r="I539" s="1">
        <v>3097</v>
      </c>
      <c r="J539" s="1">
        <v>25500</v>
      </c>
    </row>
    <row r="540" spans="1:10">
      <c r="A540" s="1"/>
      <c r="B540" s="1"/>
      <c r="C540" s="1"/>
      <c r="D540" s="1" t="s">
        <v>1864</v>
      </c>
      <c r="E540" s="1" t="s">
        <v>1748</v>
      </c>
      <c r="F540" s="1">
        <v>3097</v>
      </c>
      <c r="G540" s="1">
        <v>3097</v>
      </c>
      <c r="H540" s="1">
        <v>3095</v>
      </c>
      <c r="I540" s="1">
        <v>3097</v>
      </c>
      <c r="J540" s="1">
        <v>27300</v>
      </c>
    </row>
    <row r="541" spans="1:10">
      <c r="A541" s="1"/>
      <c r="B541" s="1"/>
      <c r="C541" s="1"/>
      <c r="D541" s="1" t="s">
        <v>1864</v>
      </c>
      <c r="E541" s="1" t="s">
        <v>1749</v>
      </c>
      <c r="F541" s="1">
        <v>3096</v>
      </c>
      <c r="G541" s="1">
        <v>3096</v>
      </c>
      <c r="H541" s="1">
        <v>3095</v>
      </c>
      <c r="I541" s="1">
        <v>3096</v>
      </c>
      <c r="J541" s="1">
        <v>12500</v>
      </c>
    </row>
    <row r="542" spans="1:10">
      <c r="A542" s="1"/>
      <c r="B542" s="1"/>
      <c r="C542" s="1"/>
      <c r="D542" s="1" t="s">
        <v>1864</v>
      </c>
      <c r="E542" s="1" t="s">
        <v>1750</v>
      </c>
      <c r="F542" s="1">
        <v>3096</v>
      </c>
      <c r="G542" s="1">
        <v>3097</v>
      </c>
      <c r="H542" s="1">
        <v>3096</v>
      </c>
      <c r="I542" s="1">
        <v>3097</v>
      </c>
      <c r="J542" s="1">
        <v>20400</v>
      </c>
    </row>
    <row r="543" spans="1:10">
      <c r="A543" s="1"/>
      <c r="B543" s="1"/>
      <c r="C543" s="1"/>
      <c r="D543" s="1" t="s">
        <v>1864</v>
      </c>
      <c r="E543" s="1" t="s">
        <v>1751</v>
      </c>
      <c r="F543" s="1">
        <v>3097</v>
      </c>
      <c r="G543" s="1">
        <v>3097</v>
      </c>
      <c r="H543" s="1">
        <v>3096</v>
      </c>
      <c r="I543" s="1">
        <v>3096</v>
      </c>
      <c r="J543" s="1">
        <v>1100</v>
      </c>
    </row>
    <row r="544" spans="1:10">
      <c r="A544" s="1"/>
      <c r="B544" s="1"/>
      <c r="C544" s="1"/>
      <c r="D544" s="1" t="s">
        <v>1864</v>
      </c>
      <c r="E544" s="1" t="s">
        <v>1752</v>
      </c>
      <c r="F544" s="1">
        <v>3097</v>
      </c>
      <c r="G544" s="1">
        <v>3098</v>
      </c>
      <c r="H544" s="1">
        <v>3096</v>
      </c>
      <c r="I544" s="1">
        <v>3098</v>
      </c>
      <c r="J544" s="1">
        <v>23900</v>
      </c>
    </row>
    <row r="545" spans="1:10">
      <c r="A545" s="1"/>
      <c r="B545" s="1"/>
      <c r="C545" s="1"/>
      <c r="D545" s="1" t="s">
        <v>1864</v>
      </c>
      <c r="E545" s="1" t="s">
        <v>1753</v>
      </c>
      <c r="F545" s="1">
        <v>3098</v>
      </c>
      <c r="G545" s="1">
        <v>3099</v>
      </c>
      <c r="H545" s="1">
        <v>3098</v>
      </c>
      <c r="I545" s="1">
        <v>3099</v>
      </c>
      <c r="J545" s="1">
        <v>23300</v>
      </c>
    </row>
    <row r="546" spans="1:10">
      <c r="A546" s="1"/>
      <c r="B546" s="1"/>
      <c r="C546" s="1"/>
      <c r="D546" s="1" t="s">
        <v>1864</v>
      </c>
      <c r="E546" s="1" t="s">
        <v>1754</v>
      </c>
      <c r="F546" s="1">
        <v>3098</v>
      </c>
      <c r="G546" s="1">
        <v>3098</v>
      </c>
      <c r="H546" s="1">
        <v>3097</v>
      </c>
      <c r="I546" s="1">
        <v>3098</v>
      </c>
      <c r="J546" s="1">
        <v>20700</v>
      </c>
    </row>
    <row r="547" spans="1:10">
      <c r="A547" s="1"/>
      <c r="B547" s="1"/>
      <c r="C547" s="1"/>
      <c r="D547" s="1" t="s">
        <v>1864</v>
      </c>
      <c r="E547" s="1" t="s">
        <v>1755</v>
      </c>
      <c r="F547" s="1">
        <v>3098</v>
      </c>
      <c r="G547" s="1">
        <v>3098</v>
      </c>
      <c r="H547" s="1">
        <v>3097</v>
      </c>
      <c r="I547" s="1">
        <v>3098</v>
      </c>
      <c r="J547" s="1">
        <v>22900</v>
      </c>
    </row>
    <row r="548" spans="1:10">
      <c r="A548" s="1"/>
      <c r="B548" s="1"/>
      <c r="C548" s="1"/>
      <c r="D548" s="1" t="s">
        <v>1864</v>
      </c>
      <c r="E548" s="1" t="s">
        <v>1756</v>
      </c>
      <c r="F548" s="1">
        <v>3098</v>
      </c>
      <c r="G548" s="1">
        <v>3098</v>
      </c>
      <c r="H548" s="1">
        <v>3097</v>
      </c>
      <c r="I548" s="1">
        <v>3097</v>
      </c>
      <c r="J548" s="1">
        <v>10700</v>
      </c>
    </row>
    <row r="549" spans="1:10">
      <c r="A549" s="1"/>
      <c r="B549" s="1"/>
      <c r="C549" s="1"/>
      <c r="D549" s="1" t="s">
        <v>1864</v>
      </c>
      <c r="E549" s="1" t="s">
        <v>1757</v>
      </c>
      <c r="F549" s="1">
        <v>3098</v>
      </c>
      <c r="G549" s="1">
        <v>3098</v>
      </c>
      <c r="H549" s="1">
        <v>3098</v>
      </c>
      <c r="I549" s="1">
        <v>3098</v>
      </c>
      <c r="J549" s="1">
        <v>18300</v>
      </c>
    </row>
    <row r="550" spans="1:10">
      <c r="A550" s="1"/>
      <c r="B550" s="1"/>
      <c r="C550" s="1"/>
      <c r="D550" s="1" t="s">
        <v>1864</v>
      </c>
      <c r="E550" s="1" t="s">
        <v>1758</v>
      </c>
      <c r="F550" s="1">
        <v>3098</v>
      </c>
      <c r="G550" s="1">
        <v>3098</v>
      </c>
      <c r="H550" s="1">
        <v>3096</v>
      </c>
      <c r="I550" s="1">
        <v>3097</v>
      </c>
      <c r="J550" s="1">
        <v>31000</v>
      </c>
    </row>
    <row r="551" spans="1:10">
      <c r="A551" s="1"/>
      <c r="B551" s="1"/>
      <c r="C551" s="1"/>
      <c r="D551" s="1" t="s">
        <v>1864</v>
      </c>
      <c r="E551" s="1" t="s">
        <v>1759</v>
      </c>
      <c r="F551" s="1">
        <v>3097</v>
      </c>
      <c r="G551" s="1">
        <v>3098</v>
      </c>
      <c r="H551" s="1">
        <v>3096</v>
      </c>
      <c r="I551" s="1">
        <v>3097</v>
      </c>
      <c r="J551" s="1">
        <v>19100</v>
      </c>
    </row>
    <row r="552" spans="1:10">
      <c r="A552" s="1"/>
      <c r="B552" s="1"/>
      <c r="C552" s="1"/>
      <c r="D552" s="1" t="s">
        <v>1864</v>
      </c>
      <c r="E552" s="1" t="s">
        <v>1760</v>
      </c>
      <c r="F552" s="1">
        <v>3097</v>
      </c>
      <c r="G552" s="1">
        <v>3098</v>
      </c>
      <c r="H552" s="1">
        <v>3097</v>
      </c>
      <c r="I552" s="1">
        <v>3098</v>
      </c>
      <c r="J552" s="1">
        <v>7300</v>
      </c>
    </row>
    <row r="553" spans="1:10">
      <c r="A553" s="1"/>
      <c r="B553" s="1"/>
      <c r="C553" s="1"/>
      <c r="D553" s="1" t="s">
        <v>1864</v>
      </c>
      <c r="E553" s="1" t="s">
        <v>1761</v>
      </c>
      <c r="F553" s="1">
        <v>3098</v>
      </c>
      <c r="G553" s="1">
        <v>3098</v>
      </c>
      <c r="H553" s="1">
        <v>3097</v>
      </c>
      <c r="I553" s="1">
        <v>3097</v>
      </c>
      <c r="J553" s="1">
        <v>40300</v>
      </c>
    </row>
    <row r="554" spans="1:10">
      <c r="A554" s="1"/>
      <c r="B554" s="1"/>
      <c r="C554" s="1"/>
      <c r="D554" s="1" t="s">
        <v>1864</v>
      </c>
      <c r="E554" s="1" t="s">
        <v>1762</v>
      </c>
      <c r="F554" s="1">
        <v>3097</v>
      </c>
      <c r="G554" s="1">
        <v>3097</v>
      </c>
      <c r="H554" s="1">
        <v>3096</v>
      </c>
      <c r="I554" s="1">
        <v>3096</v>
      </c>
      <c r="J554" s="1">
        <v>2800</v>
      </c>
    </row>
    <row r="555" spans="1:10">
      <c r="A555" s="1"/>
      <c r="B555" s="1"/>
      <c r="C555" s="1"/>
      <c r="D555" s="1" t="s">
        <v>1864</v>
      </c>
      <c r="E555" s="1" t="s">
        <v>1763</v>
      </c>
      <c r="F555" s="1">
        <v>3096</v>
      </c>
      <c r="G555" s="1">
        <v>3098</v>
      </c>
      <c r="H555" s="1">
        <v>3096</v>
      </c>
      <c r="I555" s="1">
        <v>3098</v>
      </c>
      <c r="J555" s="1">
        <v>32100</v>
      </c>
    </row>
    <row r="556" spans="1:10">
      <c r="A556" s="1"/>
      <c r="B556" s="1"/>
      <c r="C556" s="1"/>
      <c r="D556" s="1" t="s">
        <v>1864</v>
      </c>
      <c r="E556" s="1" t="s">
        <v>1764</v>
      </c>
      <c r="F556" s="1">
        <v>3097</v>
      </c>
      <c r="G556" s="1">
        <v>3097</v>
      </c>
      <c r="H556" s="1">
        <v>3097</v>
      </c>
      <c r="I556" s="1">
        <v>3097</v>
      </c>
      <c r="J556" s="1">
        <v>13500</v>
      </c>
    </row>
    <row r="557" spans="1:10">
      <c r="A557" s="1"/>
      <c r="B557" s="1"/>
      <c r="C557" s="1"/>
      <c r="D557" s="1" t="s">
        <v>1864</v>
      </c>
      <c r="E557" s="1" t="s">
        <v>1765</v>
      </c>
      <c r="F557" s="1">
        <v>3097</v>
      </c>
      <c r="G557" s="1">
        <v>3098</v>
      </c>
      <c r="H557" s="1">
        <v>3097</v>
      </c>
      <c r="I557" s="1">
        <v>3098</v>
      </c>
      <c r="J557" s="1">
        <v>35400</v>
      </c>
    </row>
    <row r="558" spans="1:10">
      <c r="A558" s="1"/>
      <c r="B558" s="1"/>
      <c r="C558" s="1"/>
      <c r="D558" s="1" t="s">
        <v>1864</v>
      </c>
      <c r="E558" s="1" t="s">
        <v>1766</v>
      </c>
      <c r="F558" s="1">
        <v>3098</v>
      </c>
      <c r="G558" s="1">
        <v>3098</v>
      </c>
      <c r="H558" s="1">
        <v>3097</v>
      </c>
      <c r="I558" s="1">
        <v>3097</v>
      </c>
      <c r="J558" s="1">
        <v>11200</v>
      </c>
    </row>
    <row r="559" spans="1:10">
      <c r="A559" s="1"/>
      <c r="B559" s="1"/>
      <c r="C559" s="1"/>
      <c r="D559" s="1" t="s">
        <v>1864</v>
      </c>
      <c r="E559" s="1" t="s">
        <v>1767</v>
      </c>
      <c r="F559" s="1">
        <v>3097</v>
      </c>
      <c r="G559" s="1">
        <v>3098</v>
      </c>
      <c r="H559" s="1">
        <v>3097</v>
      </c>
      <c r="I559" s="1">
        <v>3098</v>
      </c>
      <c r="J559" s="1">
        <v>24000</v>
      </c>
    </row>
    <row r="560" spans="1:10">
      <c r="A560" s="1"/>
      <c r="B560" s="1"/>
      <c r="C560" s="1"/>
      <c r="D560" s="1" t="s">
        <v>1864</v>
      </c>
      <c r="E560" s="1" t="s">
        <v>1768</v>
      </c>
      <c r="F560" s="1">
        <v>3098</v>
      </c>
      <c r="G560" s="1">
        <v>3099</v>
      </c>
      <c r="H560" s="1">
        <v>3096</v>
      </c>
      <c r="I560" s="1">
        <v>3096</v>
      </c>
      <c r="J560" s="1">
        <v>32700</v>
      </c>
    </row>
    <row r="561" spans="1:10">
      <c r="A561" s="1"/>
      <c r="B561" s="1"/>
      <c r="C561" s="1"/>
      <c r="D561" s="1" t="s">
        <v>1864</v>
      </c>
      <c r="E561" s="1" t="s">
        <v>1769</v>
      </c>
      <c r="F561" s="1">
        <v>3096</v>
      </c>
      <c r="G561" s="1">
        <v>3096</v>
      </c>
      <c r="H561" s="1">
        <v>3096</v>
      </c>
      <c r="I561" s="1">
        <v>3096</v>
      </c>
      <c r="J561" s="1">
        <v>67400</v>
      </c>
    </row>
    <row r="562" spans="1:10">
      <c r="A562" s="1"/>
      <c r="B562" s="1"/>
      <c r="C562" s="1"/>
      <c r="D562" s="1" t="s">
        <v>1864</v>
      </c>
      <c r="E562" s="1" t="s">
        <v>1770</v>
      </c>
      <c r="F562" s="1">
        <v>3096</v>
      </c>
      <c r="G562" s="1">
        <v>3097</v>
      </c>
      <c r="H562" s="1">
        <v>3096</v>
      </c>
      <c r="I562" s="1">
        <v>3096</v>
      </c>
      <c r="J562" s="1">
        <v>21100</v>
      </c>
    </row>
    <row r="563" spans="1:10">
      <c r="A563" s="1"/>
      <c r="B563" s="1"/>
      <c r="C563" s="1"/>
      <c r="D563" s="1" t="s">
        <v>1865</v>
      </c>
      <c r="E563" s="1" t="s">
        <v>1439</v>
      </c>
      <c r="F563" s="1">
        <v>3096</v>
      </c>
      <c r="G563" s="1">
        <v>3096</v>
      </c>
      <c r="H563" s="1">
        <v>3096</v>
      </c>
      <c r="I563" s="1">
        <v>3096</v>
      </c>
      <c r="J563" s="1">
        <v>3900</v>
      </c>
    </row>
    <row r="564" spans="1:10">
      <c r="A564" s="1"/>
      <c r="B564" s="1"/>
      <c r="C564" s="1"/>
      <c r="D564" s="1" t="s">
        <v>1864</v>
      </c>
      <c r="E564" s="1" t="s">
        <v>1771</v>
      </c>
      <c r="F564" s="1">
        <v>3096</v>
      </c>
      <c r="G564" s="1">
        <v>3096</v>
      </c>
      <c r="H564" s="1">
        <v>3095</v>
      </c>
      <c r="I564" s="1">
        <v>3096</v>
      </c>
      <c r="J564" s="1">
        <v>28100</v>
      </c>
    </row>
    <row r="565" spans="1:10">
      <c r="A565" s="1"/>
      <c r="B565" s="1"/>
      <c r="C565" s="1"/>
      <c r="D565" s="1" t="s">
        <v>1864</v>
      </c>
      <c r="E565" s="1" t="s">
        <v>1772</v>
      </c>
      <c r="F565" s="1">
        <v>3095</v>
      </c>
      <c r="G565" s="1">
        <v>3095</v>
      </c>
      <c r="H565" s="1">
        <v>3094</v>
      </c>
      <c r="I565" s="1">
        <v>3095</v>
      </c>
      <c r="J565" s="1">
        <v>22100</v>
      </c>
    </row>
    <row r="566" spans="1:10">
      <c r="A566" s="1"/>
      <c r="B566" s="1"/>
      <c r="C566" s="1"/>
      <c r="D566" s="1" t="s">
        <v>1864</v>
      </c>
      <c r="E566" s="1" t="s">
        <v>1773</v>
      </c>
      <c r="F566" s="1">
        <v>3095</v>
      </c>
      <c r="G566" s="1">
        <v>3095</v>
      </c>
      <c r="H566" s="1">
        <v>3094</v>
      </c>
      <c r="I566" s="1">
        <v>3095</v>
      </c>
      <c r="J566" s="1">
        <v>9300</v>
      </c>
    </row>
    <row r="567" spans="1:10">
      <c r="A567" s="1"/>
      <c r="B567" s="1"/>
      <c r="C567" s="1"/>
      <c r="D567" s="1" t="s">
        <v>1864</v>
      </c>
      <c r="E567" s="1" t="s">
        <v>1774</v>
      </c>
      <c r="F567" s="1">
        <v>3094</v>
      </c>
      <c r="G567" s="1">
        <v>3095</v>
      </c>
      <c r="H567" s="1">
        <v>3094</v>
      </c>
      <c r="I567" s="1">
        <v>3095</v>
      </c>
      <c r="J567" s="1">
        <v>1000</v>
      </c>
    </row>
    <row r="568" spans="1:10">
      <c r="A568" s="1"/>
      <c r="B568" s="1"/>
      <c r="C568" s="1"/>
      <c r="D568" s="1" t="s">
        <v>1864</v>
      </c>
      <c r="E568" s="1" t="s">
        <v>1775</v>
      </c>
      <c r="F568" s="1">
        <v>3095</v>
      </c>
      <c r="G568" s="1">
        <v>3096</v>
      </c>
      <c r="H568" s="1">
        <v>3095</v>
      </c>
      <c r="I568" s="1">
        <v>3095</v>
      </c>
      <c r="J568" s="1">
        <v>38200</v>
      </c>
    </row>
    <row r="569" spans="1:10">
      <c r="A569" s="1"/>
      <c r="B569" s="1"/>
      <c r="C569" s="1"/>
      <c r="D569" s="1" t="s">
        <v>1864</v>
      </c>
      <c r="E569" s="1" t="s">
        <v>1776</v>
      </c>
      <c r="F569" s="1">
        <v>3095</v>
      </c>
      <c r="G569" s="1">
        <v>3097</v>
      </c>
      <c r="H569" s="1">
        <v>3095</v>
      </c>
      <c r="I569" s="1">
        <v>3097</v>
      </c>
      <c r="J569" s="1">
        <v>33400</v>
      </c>
    </row>
    <row r="570" spans="1:10">
      <c r="A570" s="1"/>
      <c r="B570" s="1"/>
      <c r="C570" s="1"/>
      <c r="D570" s="1" t="s">
        <v>1864</v>
      </c>
      <c r="E570" s="1" t="s">
        <v>1777</v>
      </c>
      <c r="F570" s="1">
        <v>3096</v>
      </c>
      <c r="G570" s="1">
        <v>3099</v>
      </c>
      <c r="H570" s="1">
        <v>3096</v>
      </c>
      <c r="I570" s="1">
        <v>3099</v>
      </c>
      <c r="J570" s="1">
        <v>17900</v>
      </c>
    </row>
    <row r="571" spans="1:10">
      <c r="A571" s="1"/>
      <c r="B571" s="1"/>
      <c r="C571" s="1"/>
      <c r="D571" s="1" t="s">
        <v>1864</v>
      </c>
      <c r="E571" s="1" t="s">
        <v>1778</v>
      </c>
      <c r="F571" s="1">
        <v>3099</v>
      </c>
      <c r="G571" s="1">
        <v>3100</v>
      </c>
      <c r="H571" s="1">
        <v>3099</v>
      </c>
      <c r="I571" s="1">
        <v>3099</v>
      </c>
      <c r="J571" s="1">
        <v>44500</v>
      </c>
    </row>
    <row r="572" spans="1:10">
      <c r="A572" s="1"/>
      <c r="B572" s="1"/>
      <c r="C572" s="1"/>
      <c r="D572" s="1" t="s">
        <v>1864</v>
      </c>
      <c r="E572" s="1" t="s">
        <v>1779</v>
      </c>
      <c r="F572" s="1">
        <v>3099</v>
      </c>
      <c r="G572" s="1">
        <v>3099</v>
      </c>
      <c r="H572" s="1">
        <v>3098</v>
      </c>
      <c r="I572" s="1">
        <v>3098</v>
      </c>
      <c r="J572" s="1">
        <v>25900</v>
      </c>
    </row>
    <row r="573" spans="1:10">
      <c r="A573" s="1"/>
      <c r="B573" s="1"/>
      <c r="C573" s="1"/>
      <c r="D573" s="1" t="s">
        <v>1864</v>
      </c>
      <c r="E573" s="1" t="s">
        <v>1780</v>
      </c>
      <c r="F573" s="1">
        <v>3099</v>
      </c>
      <c r="G573" s="1">
        <v>3099</v>
      </c>
      <c r="H573" s="1">
        <v>3098</v>
      </c>
      <c r="I573" s="1">
        <v>3099</v>
      </c>
      <c r="J573" s="1">
        <v>800</v>
      </c>
    </row>
    <row r="574" spans="1:10">
      <c r="A574" s="1"/>
      <c r="B574" s="1"/>
      <c r="C574" s="1"/>
      <c r="D574" s="1" t="s">
        <v>1864</v>
      </c>
      <c r="E574" s="1" t="s">
        <v>1781</v>
      </c>
      <c r="F574" s="1">
        <v>3099</v>
      </c>
      <c r="G574" s="1">
        <v>3102</v>
      </c>
      <c r="H574" s="1">
        <v>3099</v>
      </c>
      <c r="I574" s="1">
        <v>3100</v>
      </c>
      <c r="J574" s="1">
        <v>110900</v>
      </c>
    </row>
    <row r="575" spans="1:10">
      <c r="A575" s="1"/>
      <c r="B575" s="1"/>
      <c r="C575" s="1"/>
      <c r="D575" s="1" t="s">
        <v>1864</v>
      </c>
      <c r="E575" s="1" t="s">
        <v>1782</v>
      </c>
      <c r="F575" s="1">
        <v>3100</v>
      </c>
      <c r="G575" s="1">
        <v>3101</v>
      </c>
      <c r="H575" s="1">
        <v>3100</v>
      </c>
      <c r="I575" s="1">
        <v>3101</v>
      </c>
      <c r="J575" s="1">
        <v>23400</v>
      </c>
    </row>
    <row r="576" spans="1:10">
      <c r="A576" s="1"/>
      <c r="B576" s="1"/>
      <c r="C576" s="1"/>
      <c r="D576" s="1" t="s">
        <v>1864</v>
      </c>
      <c r="E576" s="1" t="s">
        <v>1783</v>
      </c>
      <c r="F576" s="1">
        <v>3101</v>
      </c>
      <c r="G576" s="1">
        <v>3101</v>
      </c>
      <c r="H576" s="1">
        <v>3099</v>
      </c>
      <c r="I576" s="1">
        <v>3100</v>
      </c>
      <c r="J576" s="1">
        <v>27600</v>
      </c>
    </row>
    <row r="577" spans="1:10">
      <c r="A577" s="1"/>
      <c r="B577" s="1"/>
      <c r="C577" s="1"/>
      <c r="D577" s="1" t="s">
        <v>1864</v>
      </c>
      <c r="E577" s="1" t="s">
        <v>1784</v>
      </c>
      <c r="F577" s="1">
        <v>3100</v>
      </c>
      <c r="G577" s="1">
        <v>3101</v>
      </c>
      <c r="H577" s="1">
        <v>3100</v>
      </c>
      <c r="I577" s="1">
        <v>3101</v>
      </c>
      <c r="J577" s="1">
        <v>12100</v>
      </c>
    </row>
    <row r="578" spans="1:10">
      <c r="A578" s="1"/>
      <c r="B578" s="1"/>
      <c r="C578" s="1"/>
      <c r="D578" s="1" t="s">
        <v>1864</v>
      </c>
      <c r="E578" s="1" t="s">
        <v>1785</v>
      </c>
      <c r="F578" s="1">
        <v>3101</v>
      </c>
      <c r="G578" s="1">
        <v>3102</v>
      </c>
      <c r="H578" s="1">
        <v>3101</v>
      </c>
      <c r="I578" s="1">
        <v>3102</v>
      </c>
      <c r="J578" s="1">
        <v>6200</v>
      </c>
    </row>
    <row r="579" spans="1:10">
      <c r="A579" s="1"/>
      <c r="B579" s="1"/>
      <c r="C579" s="1"/>
      <c r="D579" s="1" t="s">
        <v>1864</v>
      </c>
      <c r="E579" s="1" t="s">
        <v>1786</v>
      </c>
      <c r="F579" s="1">
        <v>3102</v>
      </c>
      <c r="G579" s="1">
        <v>3102</v>
      </c>
      <c r="H579" s="1">
        <v>3101</v>
      </c>
      <c r="I579" s="1">
        <v>3101</v>
      </c>
      <c r="J579" s="1">
        <v>49100</v>
      </c>
    </row>
    <row r="580" spans="1:10">
      <c r="A580" s="1"/>
      <c r="B580" s="1"/>
      <c r="C580" s="1"/>
      <c r="D580" s="1" t="s">
        <v>1864</v>
      </c>
      <c r="E580" s="1" t="s">
        <v>1787</v>
      </c>
      <c r="F580" s="1">
        <v>3101</v>
      </c>
      <c r="G580" s="1">
        <v>3101</v>
      </c>
      <c r="H580" s="1">
        <v>3101</v>
      </c>
      <c r="I580" s="1">
        <v>3101</v>
      </c>
      <c r="J580" s="1">
        <v>8900</v>
      </c>
    </row>
    <row r="581" spans="1:10">
      <c r="A581" s="1"/>
      <c r="B581" s="1"/>
      <c r="C581" s="1"/>
      <c r="D581" s="1" t="s">
        <v>1864</v>
      </c>
      <c r="E581" s="1" t="s">
        <v>1788</v>
      </c>
      <c r="F581" s="1">
        <v>3101</v>
      </c>
      <c r="G581" s="1">
        <v>3102</v>
      </c>
      <c r="H581" s="1">
        <v>3100</v>
      </c>
      <c r="I581" s="1">
        <v>3102</v>
      </c>
      <c r="J581" s="1">
        <v>40200</v>
      </c>
    </row>
    <row r="582" spans="1:10">
      <c r="A582" s="1"/>
      <c r="B582" s="1"/>
      <c r="C582" s="1"/>
      <c r="D582" s="1" t="s">
        <v>1864</v>
      </c>
      <c r="E582" s="1" t="s">
        <v>1789</v>
      </c>
      <c r="F582" s="1">
        <v>3101</v>
      </c>
      <c r="G582" s="1">
        <v>3101</v>
      </c>
      <c r="H582" s="1">
        <v>3100</v>
      </c>
      <c r="I582" s="1">
        <v>3100</v>
      </c>
      <c r="J582" s="1">
        <v>30000</v>
      </c>
    </row>
    <row r="583" spans="1:10">
      <c r="A583" s="1"/>
      <c r="B583" s="1"/>
      <c r="C583" s="1"/>
      <c r="D583" s="1" t="s">
        <v>1864</v>
      </c>
      <c r="E583" s="1" t="s">
        <v>1790</v>
      </c>
      <c r="F583" s="1">
        <v>3100</v>
      </c>
      <c r="G583" s="1">
        <v>3101</v>
      </c>
      <c r="H583" s="1">
        <v>3099</v>
      </c>
      <c r="I583" s="1">
        <v>3099</v>
      </c>
      <c r="J583" s="1">
        <v>21100</v>
      </c>
    </row>
    <row r="584" spans="1:10">
      <c r="A584" s="1"/>
      <c r="B584" s="1"/>
      <c r="C584" s="1"/>
      <c r="D584" s="1" t="s">
        <v>1864</v>
      </c>
      <c r="E584" s="1" t="s">
        <v>1791</v>
      </c>
      <c r="F584" s="1">
        <v>3099</v>
      </c>
      <c r="G584" s="1">
        <v>3100</v>
      </c>
      <c r="H584" s="1">
        <v>3099</v>
      </c>
      <c r="I584" s="1">
        <v>3099</v>
      </c>
      <c r="J584" s="1">
        <v>2800</v>
      </c>
    </row>
    <row r="585" spans="1:10">
      <c r="A585" s="1"/>
      <c r="B585" s="1"/>
      <c r="C585" s="1"/>
      <c r="D585" s="1" t="s">
        <v>1864</v>
      </c>
      <c r="E585" s="1" t="s">
        <v>1792</v>
      </c>
      <c r="F585" s="1">
        <v>3099</v>
      </c>
      <c r="G585" s="1">
        <v>3099</v>
      </c>
      <c r="H585" s="1">
        <v>3098</v>
      </c>
      <c r="I585" s="1">
        <v>3098</v>
      </c>
      <c r="J585" s="1">
        <v>40900</v>
      </c>
    </row>
    <row r="586" spans="1:10">
      <c r="A586" s="1"/>
      <c r="B586" s="1"/>
      <c r="C586" s="1"/>
      <c r="D586" s="1" t="s">
        <v>1864</v>
      </c>
      <c r="E586" s="1" t="s">
        <v>1793</v>
      </c>
      <c r="F586" s="1">
        <v>3097</v>
      </c>
      <c r="G586" s="1">
        <v>3097</v>
      </c>
      <c r="H586" s="1">
        <v>3095</v>
      </c>
      <c r="I586" s="1">
        <v>3095</v>
      </c>
      <c r="J586" s="1">
        <v>16700</v>
      </c>
    </row>
    <row r="587" spans="1:10">
      <c r="A587" s="1"/>
      <c r="B587" s="1"/>
      <c r="C587" s="1"/>
      <c r="D587" s="1" t="s">
        <v>1864</v>
      </c>
      <c r="E587" s="1" t="s">
        <v>1794</v>
      </c>
      <c r="F587" s="1">
        <v>3096</v>
      </c>
      <c r="G587" s="1">
        <v>3097</v>
      </c>
      <c r="H587" s="1">
        <v>3096</v>
      </c>
      <c r="I587" s="1">
        <v>3096</v>
      </c>
      <c r="J587" s="1">
        <v>20200</v>
      </c>
    </row>
    <row r="588" spans="1:10">
      <c r="A588" s="1"/>
      <c r="B588" s="1"/>
      <c r="C588" s="1"/>
      <c r="D588" s="1" t="s">
        <v>1864</v>
      </c>
      <c r="E588" s="1" t="s">
        <v>1795</v>
      </c>
      <c r="F588" s="1">
        <v>3097</v>
      </c>
      <c r="G588" s="1">
        <v>3097</v>
      </c>
      <c r="H588" s="1">
        <v>3096</v>
      </c>
      <c r="I588" s="1">
        <v>3097</v>
      </c>
      <c r="J588" s="1">
        <v>11900</v>
      </c>
    </row>
    <row r="589" spans="1:10">
      <c r="A589" s="1"/>
      <c r="B589" s="1"/>
      <c r="C589" s="1"/>
      <c r="D589" s="1" t="s">
        <v>1864</v>
      </c>
      <c r="E589" s="1" t="s">
        <v>1796</v>
      </c>
      <c r="F589" s="1">
        <v>3098</v>
      </c>
      <c r="G589" s="1">
        <v>3098</v>
      </c>
      <c r="H589" s="1">
        <v>3097</v>
      </c>
      <c r="I589" s="1">
        <v>3098</v>
      </c>
      <c r="J589" s="1">
        <v>4300</v>
      </c>
    </row>
    <row r="590" spans="1:10">
      <c r="A590" s="1"/>
      <c r="B590" s="1"/>
      <c r="C590" s="1"/>
      <c r="D590" s="1" t="s">
        <v>1864</v>
      </c>
      <c r="E590" s="1" t="s">
        <v>1797</v>
      </c>
      <c r="F590" s="1">
        <v>3097</v>
      </c>
      <c r="G590" s="1">
        <v>3097</v>
      </c>
      <c r="H590" s="1">
        <v>3096</v>
      </c>
      <c r="I590" s="1">
        <v>3096</v>
      </c>
      <c r="J590" s="1">
        <v>24500</v>
      </c>
    </row>
    <row r="591" spans="1:10">
      <c r="A591" s="1"/>
      <c r="B591" s="1"/>
      <c r="C591" s="1"/>
      <c r="D591" s="1" t="s">
        <v>1864</v>
      </c>
      <c r="E591" s="1" t="s">
        <v>1798</v>
      </c>
      <c r="F591" s="1">
        <v>3097</v>
      </c>
      <c r="G591" s="1">
        <v>3097</v>
      </c>
      <c r="H591" s="1">
        <v>3096</v>
      </c>
      <c r="I591" s="1">
        <v>3096</v>
      </c>
      <c r="J591" s="1">
        <v>3300</v>
      </c>
    </row>
    <row r="592" spans="1:10">
      <c r="A592" s="1"/>
      <c r="B592" s="1"/>
      <c r="C592" s="1"/>
      <c r="D592" s="1" t="s">
        <v>1864</v>
      </c>
      <c r="E592" s="1" t="s">
        <v>1799</v>
      </c>
      <c r="F592" s="1">
        <v>3096</v>
      </c>
      <c r="G592" s="1">
        <v>3096</v>
      </c>
      <c r="H592" s="1">
        <v>3093</v>
      </c>
      <c r="I592" s="1">
        <v>3094</v>
      </c>
      <c r="J592" s="1">
        <v>84400</v>
      </c>
    </row>
    <row r="593" spans="1:10">
      <c r="A593" s="1"/>
      <c r="B593" s="1"/>
      <c r="C593" s="1"/>
      <c r="D593" s="1" t="s">
        <v>1864</v>
      </c>
      <c r="E593" s="1" t="s">
        <v>1800</v>
      </c>
      <c r="F593" s="1">
        <v>3094</v>
      </c>
      <c r="G593" s="1">
        <v>3096</v>
      </c>
      <c r="H593" s="1">
        <v>3094</v>
      </c>
      <c r="I593" s="1">
        <v>3096</v>
      </c>
      <c r="J593" s="1">
        <v>6400</v>
      </c>
    </row>
    <row r="594" spans="1:10">
      <c r="A594" s="1"/>
      <c r="B594" s="1"/>
      <c r="C594" s="1"/>
      <c r="D594" s="1" t="s">
        <v>1864</v>
      </c>
      <c r="E594" s="1" t="s">
        <v>1801</v>
      </c>
      <c r="F594" s="1">
        <v>3095</v>
      </c>
      <c r="G594" s="1">
        <v>3098</v>
      </c>
      <c r="H594" s="1">
        <v>3094</v>
      </c>
      <c r="I594" s="1">
        <v>3096</v>
      </c>
      <c r="J594" s="1">
        <v>96700</v>
      </c>
    </row>
    <row r="595" spans="1:10">
      <c r="A595" s="1"/>
      <c r="B595" s="1"/>
      <c r="C595" s="1"/>
      <c r="D595" s="1" t="s">
        <v>1864</v>
      </c>
      <c r="E595" s="1" t="s">
        <v>1802</v>
      </c>
      <c r="F595" s="1">
        <v>3096</v>
      </c>
      <c r="G595" s="1">
        <v>3098</v>
      </c>
      <c r="H595" s="1">
        <v>3096</v>
      </c>
      <c r="I595" s="1">
        <v>3098</v>
      </c>
      <c r="J595" s="1">
        <v>22300</v>
      </c>
    </row>
    <row r="596" spans="1:10">
      <c r="A596" s="1"/>
      <c r="B596" s="1"/>
      <c r="C596" s="1"/>
      <c r="D596" s="1" t="s">
        <v>1864</v>
      </c>
      <c r="E596" s="1" t="s">
        <v>1803</v>
      </c>
      <c r="F596" s="1">
        <v>3098</v>
      </c>
      <c r="G596" s="1">
        <v>3099</v>
      </c>
      <c r="H596" s="1">
        <v>3097</v>
      </c>
      <c r="I596" s="1">
        <v>3099</v>
      </c>
      <c r="J596" s="1">
        <v>20100</v>
      </c>
    </row>
    <row r="597" spans="1:10">
      <c r="A597" s="1"/>
      <c r="B597" s="1"/>
      <c r="C597" s="1"/>
      <c r="D597" s="1" t="s">
        <v>1864</v>
      </c>
      <c r="E597" s="1" t="s">
        <v>1804</v>
      </c>
      <c r="F597" s="1">
        <v>3099</v>
      </c>
      <c r="G597" s="1">
        <v>3099</v>
      </c>
      <c r="H597" s="1">
        <v>3098</v>
      </c>
      <c r="I597" s="1">
        <v>3099</v>
      </c>
      <c r="J597" s="1">
        <v>30800</v>
      </c>
    </row>
    <row r="598" spans="1:10">
      <c r="A598" s="1"/>
      <c r="B598" s="1"/>
      <c r="C598" s="1"/>
      <c r="D598" s="1" t="s">
        <v>1864</v>
      </c>
      <c r="E598" s="1" t="s">
        <v>1805</v>
      </c>
      <c r="F598" s="1">
        <v>3100</v>
      </c>
      <c r="G598" s="1">
        <v>3100</v>
      </c>
      <c r="H598" s="1">
        <v>3099</v>
      </c>
      <c r="I598" s="1">
        <v>3100</v>
      </c>
      <c r="J598" s="1">
        <v>3000</v>
      </c>
    </row>
    <row r="599" spans="1:10">
      <c r="A599" s="1"/>
      <c r="B599" s="1"/>
      <c r="C599" s="1"/>
      <c r="D599" s="1" t="s">
        <v>1864</v>
      </c>
      <c r="E599" s="1" t="s">
        <v>1806</v>
      </c>
      <c r="F599" s="1">
        <v>3099</v>
      </c>
      <c r="G599" s="1">
        <v>3101</v>
      </c>
      <c r="H599" s="1">
        <v>3099</v>
      </c>
      <c r="I599" s="1">
        <v>3100</v>
      </c>
      <c r="J599" s="1">
        <v>49500</v>
      </c>
    </row>
    <row r="600" spans="1:10">
      <c r="A600" s="1"/>
      <c r="B600" s="1"/>
      <c r="C600" s="1"/>
      <c r="D600" s="1" t="s">
        <v>1864</v>
      </c>
      <c r="E600" s="1" t="s">
        <v>1807</v>
      </c>
      <c r="F600" s="1">
        <v>3100</v>
      </c>
      <c r="G600" s="1">
        <v>3100</v>
      </c>
      <c r="H600" s="1">
        <v>3099</v>
      </c>
      <c r="I600" s="1">
        <v>3099</v>
      </c>
      <c r="J600" s="1">
        <v>95700</v>
      </c>
    </row>
    <row r="601" spans="1:10">
      <c r="A601" s="1"/>
      <c r="B601" s="1"/>
      <c r="C601" s="1"/>
      <c r="D601" s="1" t="s">
        <v>1864</v>
      </c>
      <c r="E601" s="1" t="s">
        <v>1808</v>
      </c>
      <c r="F601" s="1">
        <v>3099</v>
      </c>
      <c r="G601" s="1">
        <v>3099</v>
      </c>
      <c r="H601" s="1">
        <v>3099</v>
      </c>
      <c r="I601" s="1">
        <v>3099</v>
      </c>
      <c r="J601" s="1">
        <v>25400</v>
      </c>
    </row>
    <row r="602" spans="1:10">
      <c r="A602" s="1"/>
      <c r="B602" s="1"/>
      <c r="C602" s="1"/>
      <c r="D602" s="1" t="s">
        <v>1864</v>
      </c>
      <c r="E602" s="1" t="s">
        <v>1809</v>
      </c>
      <c r="F602" s="1">
        <v>3100</v>
      </c>
      <c r="G602" s="1">
        <v>3100</v>
      </c>
      <c r="H602" s="1">
        <v>3099</v>
      </c>
      <c r="I602" s="1">
        <v>3099</v>
      </c>
      <c r="J602" s="1">
        <v>700</v>
      </c>
    </row>
    <row r="603" spans="1:10">
      <c r="A603" s="1"/>
      <c r="B603" s="1"/>
      <c r="C603" s="1"/>
      <c r="D603" s="1" t="s">
        <v>1864</v>
      </c>
      <c r="E603" s="1" t="s">
        <v>1810</v>
      </c>
      <c r="F603" s="1">
        <v>3100</v>
      </c>
      <c r="G603" s="1">
        <v>3102</v>
      </c>
      <c r="H603" s="1">
        <v>3100</v>
      </c>
      <c r="I603" s="1">
        <v>3102</v>
      </c>
      <c r="J603" s="1">
        <v>116900</v>
      </c>
    </row>
    <row r="604" spans="1:10">
      <c r="A604" s="1"/>
      <c r="B604" s="1"/>
      <c r="C604" s="1"/>
      <c r="D604" s="1" t="s">
        <v>1864</v>
      </c>
      <c r="E604" s="1" t="s">
        <v>1811</v>
      </c>
      <c r="F604" s="1">
        <v>3102</v>
      </c>
      <c r="G604" s="1">
        <v>3103</v>
      </c>
      <c r="H604" s="1">
        <v>3101</v>
      </c>
      <c r="I604" s="1">
        <v>3101</v>
      </c>
      <c r="J604" s="1">
        <v>22800</v>
      </c>
    </row>
    <row r="605" spans="1:10">
      <c r="A605" s="1"/>
      <c r="B605" s="1"/>
      <c r="C605" s="1"/>
      <c r="D605" s="1" t="s">
        <v>1864</v>
      </c>
      <c r="E605" s="1" t="s">
        <v>1812</v>
      </c>
      <c r="F605" s="1">
        <v>3101</v>
      </c>
      <c r="G605" s="1">
        <v>3102</v>
      </c>
      <c r="H605" s="1">
        <v>3100</v>
      </c>
      <c r="I605" s="1">
        <v>3101</v>
      </c>
      <c r="J605" s="1">
        <v>22800</v>
      </c>
    </row>
    <row r="606" spans="1:10">
      <c r="A606" s="1"/>
      <c r="B606" s="1"/>
      <c r="C606" s="1"/>
      <c r="D606" s="1" t="s">
        <v>1864</v>
      </c>
      <c r="E606" s="1" t="s">
        <v>1813</v>
      </c>
      <c r="F606" s="1">
        <v>3100</v>
      </c>
      <c r="G606" s="1">
        <v>3101</v>
      </c>
      <c r="H606" s="1">
        <v>3100</v>
      </c>
      <c r="I606" s="1">
        <v>3100</v>
      </c>
      <c r="J606" s="1">
        <v>600</v>
      </c>
    </row>
    <row r="607" spans="1:10">
      <c r="A607" s="1"/>
      <c r="B607" s="1"/>
      <c r="C607" s="1"/>
      <c r="D607" s="1" t="s">
        <v>1864</v>
      </c>
      <c r="E607" s="1" t="s">
        <v>1814</v>
      </c>
      <c r="F607" s="1">
        <v>3101</v>
      </c>
      <c r="G607" s="1">
        <v>3101</v>
      </c>
      <c r="H607" s="1">
        <v>3100</v>
      </c>
      <c r="I607" s="1">
        <v>3101</v>
      </c>
      <c r="J607" s="1">
        <v>20900</v>
      </c>
    </row>
    <row r="608" spans="1:10">
      <c r="A608" s="1"/>
      <c r="B608" s="1"/>
      <c r="C608" s="1"/>
      <c r="D608" s="1" t="s">
        <v>1864</v>
      </c>
      <c r="E608" s="1" t="s">
        <v>1815</v>
      </c>
      <c r="F608" s="1">
        <v>3100</v>
      </c>
      <c r="G608" s="1">
        <v>3101</v>
      </c>
      <c r="H608" s="1">
        <v>3100</v>
      </c>
      <c r="I608" s="1">
        <v>3100</v>
      </c>
      <c r="J608" s="1">
        <v>32000</v>
      </c>
    </row>
    <row r="609" spans="1:10">
      <c r="A609" s="1"/>
      <c r="B609" s="1"/>
      <c r="C609" s="1"/>
      <c r="D609" s="1" t="s">
        <v>1864</v>
      </c>
      <c r="E609" s="1" t="s">
        <v>1816</v>
      </c>
      <c r="F609" s="1">
        <v>3100</v>
      </c>
      <c r="G609" s="1">
        <v>3100</v>
      </c>
      <c r="H609" s="1">
        <v>3097</v>
      </c>
      <c r="I609" s="1">
        <v>3098</v>
      </c>
      <c r="J609" s="1">
        <v>82100</v>
      </c>
    </row>
    <row r="610" spans="1:10">
      <c r="A610" s="1"/>
      <c r="B610" s="1"/>
      <c r="C610" s="1"/>
      <c r="D610" s="1" t="s">
        <v>1864</v>
      </c>
      <c r="E610" s="1" t="s">
        <v>1817</v>
      </c>
      <c r="F610" s="1">
        <v>3098</v>
      </c>
      <c r="G610" s="1">
        <v>3099</v>
      </c>
      <c r="H610" s="1">
        <v>3098</v>
      </c>
      <c r="I610" s="1">
        <v>3099</v>
      </c>
      <c r="J610" s="1">
        <v>47400</v>
      </c>
    </row>
    <row r="611" spans="1:10">
      <c r="A611" s="1"/>
      <c r="B611" s="1"/>
      <c r="C611" s="1"/>
      <c r="D611" s="1" t="s">
        <v>1864</v>
      </c>
      <c r="E611" s="1" t="s">
        <v>1818</v>
      </c>
      <c r="F611" s="1">
        <v>3099</v>
      </c>
      <c r="G611" s="1">
        <v>3099</v>
      </c>
      <c r="H611" s="1">
        <v>3097</v>
      </c>
      <c r="I611" s="1">
        <v>3098</v>
      </c>
      <c r="J611" s="1">
        <v>20700</v>
      </c>
    </row>
    <row r="612" spans="1:10">
      <c r="A612" s="1"/>
      <c r="B612" s="1"/>
      <c r="C612" s="1"/>
      <c r="D612" s="1" t="s">
        <v>1864</v>
      </c>
      <c r="E612" s="1" t="s">
        <v>1819</v>
      </c>
      <c r="F612" s="1">
        <v>3098</v>
      </c>
      <c r="G612" s="1">
        <v>3100</v>
      </c>
      <c r="H612" s="1">
        <v>3098</v>
      </c>
      <c r="I612" s="1">
        <v>3099</v>
      </c>
      <c r="J612" s="1">
        <v>21900</v>
      </c>
    </row>
    <row r="613" spans="1:10">
      <c r="A613" s="1"/>
      <c r="B613" s="1"/>
      <c r="C613" s="1"/>
      <c r="D613" s="1" t="s">
        <v>1864</v>
      </c>
      <c r="E613" s="1" t="s">
        <v>1820</v>
      </c>
      <c r="F613" s="1">
        <v>3099</v>
      </c>
      <c r="G613" s="1">
        <v>3099</v>
      </c>
      <c r="H613" s="1">
        <v>3098</v>
      </c>
      <c r="I613" s="1">
        <v>3099</v>
      </c>
      <c r="J613" s="1">
        <v>17200</v>
      </c>
    </row>
    <row r="614" spans="1:10">
      <c r="A614" s="1"/>
      <c r="B614" s="1"/>
      <c r="C614" s="1"/>
      <c r="D614" s="1" t="s">
        <v>1864</v>
      </c>
      <c r="E614" s="1" t="s">
        <v>1821</v>
      </c>
      <c r="F614" s="1">
        <v>3100</v>
      </c>
      <c r="G614" s="1">
        <v>3101</v>
      </c>
      <c r="H614" s="1">
        <v>3100</v>
      </c>
      <c r="I614" s="1">
        <v>3101</v>
      </c>
      <c r="J614" s="1">
        <v>38300</v>
      </c>
    </row>
    <row r="615" spans="1:10">
      <c r="A615" s="1"/>
      <c r="B615" s="1"/>
      <c r="C615" s="1"/>
      <c r="D615" s="1" t="s">
        <v>1864</v>
      </c>
      <c r="E615" s="1" t="s">
        <v>1822</v>
      </c>
      <c r="F615" s="1">
        <v>3101</v>
      </c>
      <c r="G615" s="1">
        <v>3103</v>
      </c>
      <c r="H615" s="1">
        <v>3101</v>
      </c>
      <c r="I615" s="1">
        <v>3103</v>
      </c>
      <c r="J615" s="1">
        <v>25400</v>
      </c>
    </row>
    <row r="616" spans="1:10">
      <c r="A616" s="1"/>
      <c r="B616" s="1"/>
      <c r="C616" s="1"/>
      <c r="D616" s="1" t="s">
        <v>1864</v>
      </c>
      <c r="E616" s="1" t="s">
        <v>1823</v>
      </c>
      <c r="F616" s="1">
        <v>3102</v>
      </c>
      <c r="G616" s="1">
        <v>3103</v>
      </c>
      <c r="H616" s="1">
        <v>3102</v>
      </c>
      <c r="I616" s="1">
        <v>3102</v>
      </c>
      <c r="J616" s="1">
        <v>5900</v>
      </c>
    </row>
    <row r="617" spans="1:10">
      <c r="A617" s="1"/>
      <c r="B617" s="1"/>
      <c r="C617" s="1"/>
      <c r="D617" s="1" t="s">
        <v>1864</v>
      </c>
      <c r="E617" s="1" t="s">
        <v>1824</v>
      </c>
      <c r="F617" s="1">
        <v>3103</v>
      </c>
      <c r="G617" s="1">
        <v>3103</v>
      </c>
      <c r="H617" s="1">
        <v>3102</v>
      </c>
      <c r="I617" s="1">
        <v>3103</v>
      </c>
      <c r="J617" s="1">
        <v>1500</v>
      </c>
    </row>
    <row r="618" spans="1:10">
      <c r="A618" s="1"/>
      <c r="B618" s="1"/>
      <c r="C618" s="1"/>
      <c r="D618" s="1" t="s">
        <v>1864</v>
      </c>
      <c r="E618" s="1" t="s">
        <v>1825</v>
      </c>
      <c r="F618" s="1">
        <v>3103</v>
      </c>
      <c r="G618" s="1">
        <v>3103</v>
      </c>
      <c r="H618" s="1">
        <v>3102</v>
      </c>
      <c r="I618" s="1">
        <v>3103</v>
      </c>
      <c r="J618" s="1">
        <v>28100</v>
      </c>
    </row>
    <row r="619" spans="1:10">
      <c r="A619" s="1"/>
      <c r="B619" s="1"/>
      <c r="C619" s="1"/>
      <c r="D619" s="1" t="s">
        <v>1864</v>
      </c>
      <c r="E619" s="1" t="s">
        <v>1826</v>
      </c>
      <c r="F619" s="1">
        <v>3102</v>
      </c>
      <c r="G619" s="1">
        <v>3104</v>
      </c>
      <c r="H619" s="1">
        <v>3102</v>
      </c>
      <c r="I619" s="1">
        <v>3103</v>
      </c>
      <c r="J619" s="1">
        <v>70900</v>
      </c>
    </row>
    <row r="620" spans="1:10">
      <c r="A620" s="1"/>
      <c r="B620" s="1"/>
      <c r="C620" s="1"/>
      <c r="D620" s="1" t="s">
        <v>1864</v>
      </c>
      <c r="E620" s="1" t="s">
        <v>1827</v>
      </c>
      <c r="F620" s="1">
        <v>3103</v>
      </c>
      <c r="G620" s="1">
        <v>3104</v>
      </c>
      <c r="H620" s="1">
        <v>3102</v>
      </c>
      <c r="I620" s="1">
        <v>3102</v>
      </c>
      <c r="J620" s="1">
        <v>24300</v>
      </c>
    </row>
    <row r="621" spans="1:10">
      <c r="A621" s="1"/>
      <c r="B621" s="1"/>
      <c r="C621" s="1"/>
      <c r="D621" s="1" t="s">
        <v>1864</v>
      </c>
      <c r="E621" s="1" t="s">
        <v>1828</v>
      </c>
      <c r="F621" s="1">
        <v>3102</v>
      </c>
      <c r="G621" s="1">
        <v>3103</v>
      </c>
      <c r="H621" s="1">
        <v>3101</v>
      </c>
      <c r="I621" s="1">
        <v>3101</v>
      </c>
      <c r="J621" s="1">
        <v>37400</v>
      </c>
    </row>
    <row r="622" spans="1:10">
      <c r="A622" s="1"/>
      <c r="B622" s="1"/>
      <c r="C622" s="1"/>
      <c r="D622" s="1" t="s">
        <v>1864</v>
      </c>
      <c r="E622" s="1" t="s">
        <v>1829</v>
      </c>
      <c r="F622" s="1">
        <v>3101</v>
      </c>
      <c r="G622" s="1">
        <v>3101</v>
      </c>
      <c r="H622" s="1">
        <v>3101</v>
      </c>
      <c r="I622" s="1">
        <v>3101</v>
      </c>
      <c r="J622" s="1">
        <v>22400</v>
      </c>
    </row>
    <row r="623" spans="1:10">
      <c r="A623" s="1"/>
      <c r="B623" s="1"/>
      <c r="C623" s="1"/>
      <c r="D623" s="1" t="s">
        <v>1864</v>
      </c>
      <c r="E623" s="1" t="s">
        <v>1830</v>
      </c>
      <c r="F623" s="1">
        <v>3102</v>
      </c>
      <c r="G623" s="1">
        <v>3102</v>
      </c>
      <c r="H623" s="1">
        <v>3102</v>
      </c>
      <c r="I623" s="1">
        <v>3102</v>
      </c>
      <c r="J623" s="1">
        <v>27300</v>
      </c>
    </row>
    <row r="624" spans="1:10">
      <c r="A624" s="1"/>
      <c r="B624" s="1"/>
      <c r="C624" s="1"/>
      <c r="D624" s="1" t="s">
        <v>1864</v>
      </c>
      <c r="E624" s="1" t="s">
        <v>1831</v>
      </c>
      <c r="F624" s="1">
        <v>3102</v>
      </c>
      <c r="G624" s="1">
        <v>3103</v>
      </c>
      <c r="H624" s="1">
        <v>3101</v>
      </c>
      <c r="I624" s="1">
        <v>3102</v>
      </c>
      <c r="J624" s="1">
        <v>69200</v>
      </c>
    </row>
    <row r="625" spans="1:10">
      <c r="A625" s="1"/>
      <c r="B625" s="1"/>
      <c r="C625" s="1"/>
      <c r="D625" s="1" t="s">
        <v>1864</v>
      </c>
      <c r="E625" s="1" t="s">
        <v>1832</v>
      </c>
      <c r="F625" s="1">
        <v>3103</v>
      </c>
      <c r="G625" s="1">
        <v>3103</v>
      </c>
      <c r="H625" s="1">
        <v>3102</v>
      </c>
      <c r="I625" s="1">
        <v>3102</v>
      </c>
      <c r="J625" s="1">
        <v>35800</v>
      </c>
    </row>
    <row r="626" spans="1:10">
      <c r="A626" s="1"/>
      <c r="B626" s="1"/>
      <c r="C626" s="1"/>
      <c r="D626" s="1" t="s">
        <v>1864</v>
      </c>
      <c r="E626" s="1" t="s">
        <v>1833</v>
      </c>
      <c r="F626" s="1">
        <v>3101</v>
      </c>
      <c r="G626" s="1">
        <v>3101</v>
      </c>
      <c r="H626" s="1">
        <v>3100</v>
      </c>
      <c r="I626" s="1">
        <v>3101</v>
      </c>
      <c r="J626" s="1">
        <v>52200</v>
      </c>
    </row>
    <row r="627" spans="1:10">
      <c r="A627" s="1"/>
      <c r="B627" s="1"/>
      <c r="C627" s="1"/>
      <c r="D627" s="1" t="s">
        <v>1864</v>
      </c>
      <c r="E627" s="1" t="s">
        <v>1834</v>
      </c>
      <c r="F627" s="1">
        <v>3101</v>
      </c>
      <c r="G627" s="1">
        <v>3101</v>
      </c>
      <c r="H627" s="1">
        <v>3100</v>
      </c>
      <c r="I627" s="1">
        <v>3100</v>
      </c>
      <c r="J627" s="1">
        <v>19400</v>
      </c>
    </row>
    <row r="628" spans="1:10">
      <c r="A628" s="1"/>
      <c r="B628" s="1"/>
      <c r="C628" s="1"/>
      <c r="D628" s="1" t="s">
        <v>1864</v>
      </c>
      <c r="E628" s="1" t="s">
        <v>1835</v>
      </c>
      <c r="F628" s="1">
        <v>3100</v>
      </c>
      <c r="G628" s="1">
        <v>3100</v>
      </c>
      <c r="H628" s="1">
        <v>3097</v>
      </c>
      <c r="I628" s="1">
        <v>3098</v>
      </c>
      <c r="J628" s="1">
        <v>77700</v>
      </c>
    </row>
    <row r="629" spans="1:10">
      <c r="A629" s="1"/>
      <c r="B629" s="1"/>
      <c r="C629" s="1"/>
      <c r="D629" s="1" t="s">
        <v>1864</v>
      </c>
      <c r="E629" s="1" t="s">
        <v>1836</v>
      </c>
      <c r="F629" s="1">
        <v>3097</v>
      </c>
      <c r="G629" s="1">
        <v>3099</v>
      </c>
      <c r="H629" s="1">
        <v>3097</v>
      </c>
      <c r="I629" s="1">
        <v>3099</v>
      </c>
      <c r="J629" s="1">
        <v>14900</v>
      </c>
    </row>
    <row r="630" spans="1:10">
      <c r="A630" s="1"/>
      <c r="B630" s="1"/>
      <c r="C630" s="1"/>
      <c r="D630" s="1" t="s">
        <v>1864</v>
      </c>
      <c r="E630" s="1" t="s">
        <v>1837</v>
      </c>
      <c r="F630" s="1">
        <v>3100</v>
      </c>
      <c r="G630" s="1">
        <v>3100</v>
      </c>
      <c r="H630" s="1">
        <v>3099</v>
      </c>
      <c r="I630" s="1">
        <v>3100</v>
      </c>
      <c r="J630" s="1">
        <v>46100</v>
      </c>
    </row>
    <row r="631" spans="1:10">
      <c r="A631" s="1"/>
      <c r="B631" s="1"/>
      <c r="C631" s="1"/>
      <c r="D631" s="1" t="s">
        <v>1864</v>
      </c>
      <c r="E631" s="1" t="s">
        <v>1838</v>
      </c>
      <c r="F631" s="1">
        <v>3101</v>
      </c>
      <c r="G631" s="1">
        <v>3102</v>
      </c>
      <c r="H631" s="1">
        <v>3100</v>
      </c>
      <c r="I631" s="1">
        <v>3100</v>
      </c>
      <c r="J631" s="1">
        <v>104400</v>
      </c>
    </row>
    <row r="632" spans="1:10">
      <c r="A632" s="1"/>
      <c r="B632" s="1"/>
      <c r="C632" s="1"/>
      <c r="D632" s="1" t="s">
        <v>1864</v>
      </c>
      <c r="E632" s="1" t="s">
        <v>1839</v>
      </c>
      <c r="F632" s="1">
        <v>3100</v>
      </c>
      <c r="G632" s="1">
        <v>3101</v>
      </c>
      <c r="H632" s="1">
        <v>3100</v>
      </c>
      <c r="I632" s="1">
        <v>3100</v>
      </c>
      <c r="J632" s="1">
        <v>11700</v>
      </c>
    </row>
    <row r="633" spans="1:10">
      <c r="A633" s="1"/>
      <c r="B633" s="1"/>
      <c r="C633" s="1"/>
      <c r="D633" s="1" t="s">
        <v>1864</v>
      </c>
      <c r="E633" s="1" t="s">
        <v>1840</v>
      </c>
      <c r="F633" s="1">
        <v>3100</v>
      </c>
      <c r="G633" s="1">
        <v>3100</v>
      </c>
      <c r="H633" s="1">
        <v>3099</v>
      </c>
      <c r="I633" s="1">
        <v>3100</v>
      </c>
      <c r="J633" s="1">
        <v>60800</v>
      </c>
    </row>
    <row r="634" spans="1:10">
      <c r="A634" s="1"/>
      <c r="B634" s="1"/>
      <c r="C634" s="1"/>
      <c r="D634" s="1" t="s">
        <v>1864</v>
      </c>
      <c r="E634" s="1" t="s">
        <v>1841</v>
      </c>
      <c r="F634" s="1">
        <v>3100</v>
      </c>
      <c r="G634" s="1">
        <v>3100</v>
      </c>
      <c r="H634" s="1">
        <v>3097</v>
      </c>
      <c r="I634" s="1">
        <v>3097</v>
      </c>
      <c r="J634" s="1">
        <v>45900</v>
      </c>
    </row>
    <row r="635" spans="1:10">
      <c r="A635" s="1"/>
      <c r="B635" s="1"/>
      <c r="C635" s="1"/>
      <c r="D635" s="1" t="s">
        <v>1864</v>
      </c>
      <c r="E635" s="1" t="s">
        <v>1842</v>
      </c>
      <c r="F635" s="1">
        <v>3097</v>
      </c>
      <c r="G635" s="1">
        <v>3098</v>
      </c>
      <c r="H635" s="1">
        <v>3097</v>
      </c>
      <c r="I635" s="1">
        <v>3097</v>
      </c>
      <c r="J635" s="1">
        <v>6300</v>
      </c>
    </row>
    <row r="636" spans="1:10">
      <c r="A636" s="1"/>
      <c r="B636" s="1"/>
      <c r="C636" s="1"/>
      <c r="D636" s="1" t="s">
        <v>1864</v>
      </c>
      <c r="E636" s="1" t="s">
        <v>1843</v>
      </c>
      <c r="F636" s="1">
        <v>3098</v>
      </c>
      <c r="G636" s="1">
        <v>3098</v>
      </c>
      <c r="H636" s="1">
        <v>3097</v>
      </c>
      <c r="I636" s="1">
        <v>3097</v>
      </c>
      <c r="J636" s="1">
        <v>2800</v>
      </c>
    </row>
    <row r="637" spans="1:10">
      <c r="A637" s="1"/>
      <c r="B637" s="1"/>
      <c r="C637" s="1"/>
      <c r="D637" s="1" t="s">
        <v>1864</v>
      </c>
      <c r="E637" s="1" t="s">
        <v>1844</v>
      </c>
      <c r="F637" s="1">
        <v>3098</v>
      </c>
      <c r="G637" s="1">
        <v>3099</v>
      </c>
      <c r="H637" s="1">
        <v>3097</v>
      </c>
      <c r="I637" s="1">
        <v>3098</v>
      </c>
      <c r="J637" s="1">
        <v>111600</v>
      </c>
    </row>
    <row r="638" spans="1:10">
      <c r="A638" s="1"/>
      <c r="B638" s="1"/>
      <c r="C638" s="1"/>
      <c r="D638" s="1" t="s">
        <v>1864</v>
      </c>
      <c r="E638" s="1" t="s">
        <v>1845</v>
      </c>
      <c r="F638" s="1">
        <v>3097</v>
      </c>
      <c r="G638" s="1">
        <v>3098</v>
      </c>
      <c r="H638" s="1">
        <v>3096</v>
      </c>
      <c r="I638" s="1">
        <v>3096</v>
      </c>
      <c r="J638" s="1">
        <v>35000</v>
      </c>
    </row>
    <row r="639" spans="1:10">
      <c r="A639" s="1"/>
      <c r="B639" s="1"/>
      <c r="C639" s="1"/>
      <c r="D639" s="1" t="s">
        <v>1864</v>
      </c>
      <c r="E639" s="1" t="s">
        <v>1846</v>
      </c>
      <c r="F639" s="1">
        <v>3097</v>
      </c>
      <c r="G639" s="1">
        <v>3098</v>
      </c>
      <c r="H639" s="1">
        <v>3096</v>
      </c>
      <c r="I639" s="1">
        <v>3098</v>
      </c>
      <c r="J639" s="1">
        <v>45900</v>
      </c>
    </row>
    <row r="640" spans="1:10">
      <c r="A640" s="1"/>
      <c r="B640" s="1"/>
      <c r="C640" s="1"/>
      <c r="D640" s="1" t="s">
        <v>1864</v>
      </c>
      <c r="E640" s="1" t="s">
        <v>1847</v>
      </c>
      <c r="F640" s="1">
        <v>3098</v>
      </c>
      <c r="G640" s="1">
        <v>3098</v>
      </c>
      <c r="H640" s="1">
        <v>3097</v>
      </c>
      <c r="I640" s="1">
        <v>3097</v>
      </c>
      <c r="J640" s="1">
        <v>43700</v>
      </c>
    </row>
    <row r="641" spans="1:10">
      <c r="A641" s="1"/>
      <c r="B641" s="1"/>
      <c r="C641" s="1"/>
      <c r="D641" s="1" t="s">
        <v>1864</v>
      </c>
      <c r="E641" s="1" t="s">
        <v>1848</v>
      </c>
      <c r="F641" s="1">
        <v>3097</v>
      </c>
      <c r="G641" s="1">
        <v>3098</v>
      </c>
      <c r="H641" s="1">
        <v>3095</v>
      </c>
      <c r="I641" s="1">
        <v>3096</v>
      </c>
      <c r="J641" s="1">
        <v>57300</v>
      </c>
    </row>
    <row r="642" spans="1:10">
      <c r="A642" s="1"/>
      <c r="B642" s="1"/>
      <c r="C642" s="1"/>
      <c r="D642" s="1" t="s">
        <v>1864</v>
      </c>
      <c r="E642" s="1" t="s">
        <v>1849</v>
      </c>
      <c r="F642" s="1">
        <v>3095</v>
      </c>
      <c r="G642" s="1">
        <v>3098</v>
      </c>
      <c r="H642" s="1">
        <v>3095</v>
      </c>
      <c r="I642" s="1">
        <v>3098</v>
      </c>
      <c r="J642" s="1">
        <v>45000</v>
      </c>
    </row>
    <row r="643" spans="1:10">
      <c r="A643" s="1"/>
      <c r="B643" s="1"/>
      <c r="C643" s="1"/>
      <c r="D643" s="1" t="s">
        <v>1864</v>
      </c>
      <c r="E643" s="1" t="s">
        <v>1850</v>
      </c>
      <c r="F643" s="1">
        <v>3098</v>
      </c>
      <c r="G643" s="1">
        <v>3099</v>
      </c>
      <c r="H643" s="1">
        <v>3098</v>
      </c>
      <c r="I643" s="1">
        <v>3099</v>
      </c>
      <c r="J643" s="1">
        <v>58600</v>
      </c>
    </row>
    <row r="644" spans="1:10">
      <c r="A644" s="1"/>
      <c r="B644" s="1"/>
      <c r="C644" s="1"/>
      <c r="D644" s="1" t="s">
        <v>1864</v>
      </c>
      <c r="E644" s="1" t="s">
        <v>1851</v>
      </c>
      <c r="F644" s="1">
        <v>3099</v>
      </c>
      <c r="G644" s="1">
        <v>3100</v>
      </c>
      <c r="H644" s="1">
        <v>3098</v>
      </c>
      <c r="I644" s="1">
        <v>3100</v>
      </c>
      <c r="J644" s="1">
        <v>13100</v>
      </c>
    </row>
    <row r="645" spans="1:10">
      <c r="A645" s="1"/>
      <c r="B645" s="1"/>
      <c r="C645" s="1"/>
      <c r="D645" s="1" t="s">
        <v>1864</v>
      </c>
      <c r="E645" s="1" t="s">
        <v>1852</v>
      </c>
      <c r="F645" s="1">
        <v>3099</v>
      </c>
      <c r="G645" s="1">
        <v>3100</v>
      </c>
      <c r="H645" s="1">
        <v>3099</v>
      </c>
      <c r="I645" s="1">
        <v>3099</v>
      </c>
      <c r="J645" s="1">
        <v>10400</v>
      </c>
    </row>
    <row r="646" spans="1:10">
      <c r="A646" s="1"/>
      <c r="B646" s="1"/>
      <c r="C646" s="1"/>
      <c r="D646" s="1" t="s">
        <v>1864</v>
      </c>
      <c r="E646" s="1" t="s">
        <v>1853</v>
      </c>
      <c r="F646" s="1">
        <v>3099</v>
      </c>
      <c r="G646" s="1">
        <v>3100</v>
      </c>
      <c r="H646" s="1">
        <v>3099</v>
      </c>
      <c r="I646" s="1">
        <v>3099</v>
      </c>
      <c r="J646" s="1">
        <v>23200</v>
      </c>
    </row>
    <row r="647" spans="1:10">
      <c r="A647" s="1"/>
      <c r="B647" s="1"/>
      <c r="C647" s="1"/>
      <c r="D647" s="1" t="s">
        <v>1864</v>
      </c>
      <c r="E647" s="1" t="s">
        <v>1854</v>
      </c>
      <c r="F647" s="1">
        <v>3099</v>
      </c>
      <c r="G647" s="1">
        <v>3100</v>
      </c>
      <c r="H647" s="1">
        <v>3098</v>
      </c>
      <c r="I647" s="1">
        <v>3100</v>
      </c>
      <c r="J647" s="1">
        <v>80600</v>
      </c>
    </row>
    <row r="648" spans="1:10">
      <c r="A648" s="1"/>
      <c r="B648" s="1"/>
      <c r="C648" s="1"/>
      <c r="D648" s="1" t="s">
        <v>1864</v>
      </c>
      <c r="E648" s="1" t="s">
        <v>1855</v>
      </c>
      <c r="F648" s="1">
        <v>3099</v>
      </c>
      <c r="G648" s="1">
        <v>3100</v>
      </c>
      <c r="H648" s="1">
        <v>3099</v>
      </c>
      <c r="I648" s="1">
        <v>3099</v>
      </c>
      <c r="J648" s="1">
        <v>18500</v>
      </c>
    </row>
    <row r="649" spans="1:10">
      <c r="A649" s="1"/>
      <c r="B649" s="1"/>
      <c r="C649" s="1"/>
      <c r="D649" s="1" t="s">
        <v>1864</v>
      </c>
      <c r="E649" s="1" t="s">
        <v>1856</v>
      </c>
      <c r="F649" s="1">
        <v>3100</v>
      </c>
      <c r="G649" s="1">
        <v>3100</v>
      </c>
      <c r="H649" s="1">
        <v>3099</v>
      </c>
      <c r="I649" s="1">
        <v>3100</v>
      </c>
      <c r="J649" s="1">
        <v>13900</v>
      </c>
    </row>
    <row r="650" spans="1:10">
      <c r="A650" s="1"/>
      <c r="B650" s="1"/>
      <c r="C650" s="1"/>
      <c r="D650" s="1" t="s">
        <v>1864</v>
      </c>
      <c r="E650" s="1" t="s">
        <v>1857</v>
      </c>
      <c r="F650" s="1">
        <v>3099</v>
      </c>
      <c r="G650" s="1">
        <v>3100</v>
      </c>
      <c r="H650" s="1">
        <v>3099</v>
      </c>
      <c r="I650" s="1">
        <v>3099</v>
      </c>
      <c r="J650" s="1">
        <v>7400</v>
      </c>
    </row>
    <row r="651" spans="1:10">
      <c r="A651" s="1"/>
      <c r="B651" s="1"/>
      <c r="C651" s="1"/>
      <c r="D651" s="1" t="s">
        <v>1864</v>
      </c>
      <c r="E651" s="1" t="s">
        <v>1858</v>
      </c>
      <c r="F651" s="1">
        <v>3099</v>
      </c>
      <c r="G651" s="1">
        <v>3101</v>
      </c>
      <c r="H651" s="1">
        <v>3099</v>
      </c>
      <c r="I651" s="1">
        <v>3099</v>
      </c>
      <c r="J651" s="1">
        <v>66000</v>
      </c>
    </row>
    <row r="652" spans="1:10">
      <c r="A652" s="1"/>
      <c r="B652" s="1"/>
      <c r="C652" s="1"/>
      <c r="D652" s="1" t="s">
        <v>1864</v>
      </c>
      <c r="E652" s="1" t="s">
        <v>1859</v>
      </c>
      <c r="F652" s="1">
        <v>3099</v>
      </c>
      <c r="G652" s="1">
        <v>3100</v>
      </c>
      <c r="H652" s="1">
        <v>3099</v>
      </c>
      <c r="I652" s="1">
        <v>3100</v>
      </c>
      <c r="J652" s="1">
        <v>65200</v>
      </c>
    </row>
    <row r="653" spans="1:10">
      <c r="A653" s="1"/>
      <c r="B653" s="1"/>
      <c r="C653" s="1"/>
      <c r="D653" s="1" t="s">
        <v>1864</v>
      </c>
      <c r="E653" s="1" t="s">
        <v>1860</v>
      </c>
      <c r="F653" s="1">
        <v>3100</v>
      </c>
      <c r="G653" s="1">
        <v>3101</v>
      </c>
      <c r="H653" s="1">
        <v>3099</v>
      </c>
      <c r="I653" s="1">
        <v>3100</v>
      </c>
      <c r="J653" s="1">
        <v>58000</v>
      </c>
    </row>
    <row r="654" spans="1:10">
      <c r="A654" s="1"/>
      <c r="B654" s="1"/>
      <c r="C654" s="1"/>
      <c r="D654" s="1" t="s">
        <v>1864</v>
      </c>
      <c r="E654" s="1" t="s">
        <v>1861</v>
      </c>
      <c r="F654" s="1">
        <v>3100</v>
      </c>
      <c r="G654" s="1">
        <v>3101</v>
      </c>
      <c r="H654" s="1">
        <v>3096</v>
      </c>
      <c r="I654" s="1">
        <v>3096</v>
      </c>
      <c r="J654" s="1">
        <v>150900</v>
      </c>
    </row>
    <row r="655" spans="1:10">
      <c r="A655" s="1"/>
      <c r="B655" s="1"/>
      <c r="C655" s="1"/>
      <c r="D655" s="1" t="s">
        <v>1864</v>
      </c>
      <c r="E655" s="1" t="s">
        <v>1862</v>
      </c>
      <c r="F655" s="1">
        <v>3096</v>
      </c>
      <c r="G655" s="1">
        <v>3098</v>
      </c>
      <c r="H655" s="1">
        <v>3095</v>
      </c>
      <c r="I655" s="1">
        <v>3095</v>
      </c>
      <c r="J655" s="1">
        <v>84900</v>
      </c>
    </row>
    <row r="656" spans="1:10">
      <c r="A656" s="1"/>
      <c r="B656" s="1"/>
      <c r="C656" s="1"/>
      <c r="D656" s="1" t="s">
        <v>1864</v>
      </c>
      <c r="E656" s="1" t="s">
        <v>1863</v>
      </c>
      <c r="F656" s="1">
        <v>3095</v>
      </c>
      <c r="G656" s="1">
        <v>3096</v>
      </c>
      <c r="H656" s="1">
        <v>3094</v>
      </c>
      <c r="I656" s="1">
        <v>3095</v>
      </c>
      <c r="J656" s="1">
        <v>83200</v>
      </c>
    </row>
    <row r="657" spans="1:10">
      <c r="A657" s="1"/>
      <c r="B657" s="1"/>
      <c r="C657" s="1"/>
      <c r="D657" s="1" t="s">
        <v>1864</v>
      </c>
      <c r="E657" s="1" t="s">
        <v>1541</v>
      </c>
      <c r="F657" s="1">
        <v>3095</v>
      </c>
      <c r="G657" s="1">
        <v>3098</v>
      </c>
      <c r="H657" s="1">
        <v>3095</v>
      </c>
      <c r="I657" s="1">
        <v>3097</v>
      </c>
      <c r="J657" s="1">
        <v>93600</v>
      </c>
    </row>
    <row r="658" spans="1:10">
      <c r="A658" s="1"/>
      <c r="B658" s="1"/>
      <c r="C658" s="1"/>
      <c r="D658" s="1" t="s">
        <v>1864</v>
      </c>
      <c r="E658" s="1" t="s">
        <v>1542</v>
      </c>
      <c r="F658" s="1">
        <v>3097</v>
      </c>
      <c r="G658" s="1">
        <v>3099</v>
      </c>
      <c r="H658" s="1">
        <v>3094</v>
      </c>
      <c r="I658" s="1">
        <v>3096</v>
      </c>
      <c r="J658" s="1">
        <v>172000</v>
      </c>
    </row>
    <row r="659" spans="1:10">
      <c r="A659" s="1"/>
      <c r="B659" s="1"/>
      <c r="C659" s="1"/>
      <c r="D659" s="1" t="s">
        <v>1865</v>
      </c>
      <c r="E659" s="1" t="s">
        <v>1535</v>
      </c>
      <c r="F659" s="1" t="s">
        <v>35</v>
      </c>
      <c r="G659" s="1" t="s">
        <v>35</v>
      </c>
      <c r="H659" s="1" t="s">
        <v>35</v>
      </c>
      <c r="I659" s="1" t="s">
        <v>35</v>
      </c>
      <c r="J659" s="1">
        <v>0</v>
      </c>
    </row>
    <row r="660" spans="1:10">
      <c r="D660" t="s">
        <v>1865</v>
      </c>
      <c r="E660" t="s">
        <v>1536</v>
      </c>
      <c r="F660" t="s">
        <v>35</v>
      </c>
      <c r="G660" t="s">
        <v>35</v>
      </c>
      <c r="H660" t="s">
        <v>35</v>
      </c>
      <c r="I660" t="s">
        <v>35</v>
      </c>
      <c r="J660">
        <v>0</v>
      </c>
    </row>
    <row r="661" spans="1:10">
      <c r="D661" t="s">
        <v>1865</v>
      </c>
      <c r="E661" t="s">
        <v>1537</v>
      </c>
      <c r="F661" t="s">
        <v>35</v>
      </c>
      <c r="G661" t="s">
        <v>35</v>
      </c>
      <c r="H661" t="s">
        <v>35</v>
      </c>
      <c r="I661" t="s">
        <v>35</v>
      </c>
      <c r="J661">
        <v>0</v>
      </c>
    </row>
    <row r="662" spans="1:10">
      <c r="D662" t="s">
        <v>1865</v>
      </c>
      <c r="E662" t="s">
        <v>1538</v>
      </c>
      <c r="F662" t="s">
        <v>35</v>
      </c>
      <c r="G662" t="s">
        <v>35</v>
      </c>
      <c r="H662" t="s">
        <v>35</v>
      </c>
      <c r="I662" t="s">
        <v>35</v>
      </c>
      <c r="J662">
        <v>0</v>
      </c>
    </row>
    <row r="663" spans="1:10">
      <c r="D663" t="s">
        <v>1865</v>
      </c>
      <c r="E663" t="s">
        <v>1539</v>
      </c>
      <c r="F663" t="s">
        <v>35</v>
      </c>
      <c r="G663" t="s">
        <v>35</v>
      </c>
      <c r="H663" t="s">
        <v>35</v>
      </c>
      <c r="I663" t="s">
        <v>35</v>
      </c>
      <c r="J663">
        <v>0</v>
      </c>
    </row>
    <row r="664" spans="1:10">
      <c r="D664" t="s">
        <v>1865</v>
      </c>
      <c r="E664" t="s">
        <v>1540</v>
      </c>
      <c r="F664">
        <v>3105</v>
      </c>
      <c r="G664">
        <v>3105</v>
      </c>
      <c r="H664">
        <v>3105</v>
      </c>
      <c r="I664">
        <v>3105</v>
      </c>
      <c r="J664">
        <v>6972100</v>
      </c>
    </row>
    <row r="665" spans="1:10">
      <c r="A665" s="1" t="s">
        <v>78</v>
      </c>
      <c r="B665" s="1" t="s">
        <v>78</v>
      </c>
      <c r="C665" s="1" t="s">
        <v>78</v>
      </c>
      <c r="D665" s="1" t="s">
        <v>78</v>
      </c>
      <c r="E665" s="1" t="s">
        <v>78</v>
      </c>
      <c r="F665" s="1" t="s">
        <v>78</v>
      </c>
      <c r="G665" s="1" t="s">
        <v>78</v>
      </c>
      <c r="H665" s="1" t="s">
        <v>78</v>
      </c>
      <c r="I665" s="1" t="s">
        <v>78</v>
      </c>
      <c r="J665" s="1" t="s">
        <v>78</v>
      </c>
    </row>
    <row r="753" spans="1:10">
      <c r="A753" s="1"/>
      <c r="B753" s="1"/>
      <c r="C753" s="1"/>
      <c r="D753" s="1"/>
      <c r="E753" s="1"/>
      <c r="F753" s="1"/>
      <c r="G753" s="1"/>
      <c r="H753" s="1"/>
      <c r="I753" s="1"/>
      <c r="J753" s="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67E26-525E-4352-97FA-0CA3CB041D70}">
  <dimension ref="A2:J562"/>
  <sheetViews>
    <sheetView topLeftCell="A34" workbookViewId="0">
      <selection activeCell="F47" sqref="F47"/>
    </sheetView>
  </sheetViews>
  <sheetFormatPr defaultRowHeight="18.75"/>
  <cols>
    <col min="4" max="4" width="11.125" customWidth="1"/>
  </cols>
  <sheetData>
    <row r="2" spans="1:10">
      <c r="A2" t="s">
        <v>11</v>
      </c>
      <c r="B2" t="s">
        <v>13</v>
      </c>
      <c r="C2" t="s">
        <v>1185</v>
      </c>
      <c r="D2" t="s">
        <v>1186</v>
      </c>
      <c r="E2" t="s">
        <v>1187</v>
      </c>
      <c r="F2" t="s">
        <v>1188</v>
      </c>
      <c r="G2" t="s">
        <v>1189</v>
      </c>
      <c r="H2" t="s">
        <v>1190</v>
      </c>
      <c r="I2" t="s">
        <v>1191</v>
      </c>
      <c r="J2" t="s">
        <v>1192</v>
      </c>
    </row>
    <row r="3" spans="1:10">
      <c r="A3" s="1" t="s">
        <v>2026</v>
      </c>
      <c r="B3" s="1" t="s">
        <v>524</v>
      </c>
      <c r="C3" s="1" t="s">
        <v>2027</v>
      </c>
      <c r="D3" s="30">
        <v>46320</v>
      </c>
      <c r="E3" s="31" t="s">
        <v>2028</v>
      </c>
      <c r="F3" s="1">
        <v>3101</v>
      </c>
      <c r="G3" s="1">
        <v>3103</v>
      </c>
      <c r="H3" s="1">
        <v>3101</v>
      </c>
      <c r="I3" s="1">
        <v>3103</v>
      </c>
      <c r="J3" s="1">
        <v>25400</v>
      </c>
    </row>
    <row r="4" spans="1:10">
      <c r="A4" s="1"/>
      <c r="B4" s="1"/>
      <c r="C4" s="1" t="s">
        <v>2027</v>
      </c>
      <c r="D4" s="30">
        <v>46320</v>
      </c>
      <c r="E4" s="31" t="s">
        <v>2029</v>
      </c>
      <c r="F4" s="1">
        <v>3102</v>
      </c>
      <c r="G4" s="1">
        <v>3103</v>
      </c>
      <c r="H4" s="1">
        <v>3102</v>
      </c>
      <c r="I4" s="1">
        <v>3102</v>
      </c>
      <c r="J4" s="1">
        <v>5900</v>
      </c>
    </row>
    <row r="5" spans="1:10">
      <c r="A5" s="1"/>
      <c r="B5" s="1"/>
      <c r="C5" s="1" t="s">
        <v>2027</v>
      </c>
      <c r="D5" s="30">
        <v>46320</v>
      </c>
      <c r="E5" s="31" t="s">
        <v>2030</v>
      </c>
      <c r="F5" s="1">
        <v>3103</v>
      </c>
      <c r="G5" s="1">
        <v>3103</v>
      </c>
      <c r="H5" s="1">
        <v>3102</v>
      </c>
      <c r="I5" s="1">
        <v>3103</v>
      </c>
      <c r="J5" s="1">
        <v>1500</v>
      </c>
    </row>
    <row r="6" spans="1:10">
      <c r="C6" t="s">
        <v>2027</v>
      </c>
      <c r="D6" s="32">
        <v>46320</v>
      </c>
      <c r="E6" s="1" t="s">
        <v>2031</v>
      </c>
      <c r="F6">
        <v>3103</v>
      </c>
      <c r="G6">
        <v>3103</v>
      </c>
      <c r="H6">
        <v>3102</v>
      </c>
      <c r="I6">
        <v>3103</v>
      </c>
      <c r="J6">
        <v>28100</v>
      </c>
    </row>
    <row r="7" spans="1:10">
      <c r="C7" t="s">
        <v>2027</v>
      </c>
      <c r="D7" s="32">
        <v>46320</v>
      </c>
      <c r="E7" s="1" t="s">
        <v>2032</v>
      </c>
      <c r="F7">
        <v>3102</v>
      </c>
      <c r="G7">
        <v>3104</v>
      </c>
      <c r="H7">
        <v>3102</v>
      </c>
      <c r="I7">
        <v>3103</v>
      </c>
      <c r="J7">
        <v>70900</v>
      </c>
    </row>
    <row r="8" spans="1:10">
      <c r="C8" t="s">
        <v>2027</v>
      </c>
      <c r="D8" s="32">
        <v>46320</v>
      </c>
      <c r="E8" s="1" t="s">
        <v>2033</v>
      </c>
      <c r="F8">
        <v>3103</v>
      </c>
      <c r="G8">
        <v>3104</v>
      </c>
      <c r="H8">
        <v>3102</v>
      </c>
      <c r="I8">
        <v>3102</v>
      </c>
      <c r="J8">
        <v>24300</v>
      </c>
    </row>
    <row r="9" spans="1:10">
      <c r="C9" t="s">
        <v>2027</v>
      </c>
      <c r="D9" s="32">
        <v>46320</v>
      </c>
      <c r="E9" s="1" t="s">
        <v>2034</v>
      </c>
      <c r="F9">
        <v>3102</v>
      </c>
      <c r="G9">
        <v>3103</v>
      </c>
      <c r="H9">
        <v>3101</v>
      </c>
      <c r="I9">
        <v>3101</v>
      </c>
      <c r="J9">
        <v>37400</v>
      </c>
    </row>
    <row r="10" spans="1:10">
      <c r="C10" t="s">
        <v>2027</v>
      </c>
      <c r="D10" s="32">
        <v>46320</v>
      </c>
      <c r="E10" s="1" t="s">
        <v>2035</v>
      </c>
      <c r="F10">
        <v>3101</v>
      </c>
      <c r="G10">
        <v>3101</v>
      </c>
      <c r="H10">
        <v>3101</v>
      </c>
      <c r="I10">
        <v>3101</v>
      </c>
      <c r="J10">
        <v>22400</v>
      </c>
    </row>
    <row r="11" spans="1:10">
      <c r="C11" t="s">
        <v>2027</v>
      </c>
      <c r="D11" s="32">
        <v>46320</v>
      </c>
      <c r="E11" s="1" t="s">
        <v>2036</v>
      </c>
      <c r="F11">
        <v>3102</v>
      </c>
      <c r="G11">
        <v>3102</v>
      </c>
      <c r="H11">
        <v>3102</v>
      </c>
      <c r="I11">
        <v>3102</v>
      </c>
      <c r="J11">
        <v>27300</v>
      </c>
    </row>
    <row r="12" spans="1:10">
      <c r="C12" t="s">
        <v>2027</v>
      </c>
      <c r="D12" s="32">
        <v>46320</v>
      </c>
      <c r="E12" s="1" t="s">
        <v>2037</v>
      </c>
      <c r="F12">
        <v>3102</v>
      </c>
      <c r="G12">
        <v>3103</v>
      </c>
      <c r="H12">
        <v>3101</v>
      </c>
      <c r="I12">
        <v>3102</v>
      </c>
      <c r="J12">
        <v>69200</v>
      </c>
    </row>
    <row r="13" spans="1:10">
      <c r="C13" t="s">
        <v>2027</v>
      </c>
      <c r="D13" s="32">
        <v>46320</v>
      </c>
      <c r="E13" s="1" t="s">
        <v>2038</v>
      </c>
      <c r="F13">
        <v>3103</v>
      </c>
      <c r="G13">
        <v>3103</v>
      </c>
      <c r="H13">
        <v>3102</v>
      </c>
      <c r="I13">
        <v>3102</v>
      </c>
      <c r="J13">
        <v>35800</v>
      </c>
    </row>
    <row r="14" spans="1:10">
      <c r="C14" t="s">
        <v>2027</v>
      </c>
      <c r="D14" s="32">
        <v>46320</v>
      </c>
      <c r="E14" s="1" t="s">
        <v>2039</v>
      </c>
      <c r="F14">
        <v>3101</v>
      </c>
      <c r="G14">
        <v>3101</v>
      </c>
      <c r="H14">
        <v>3100</v>
      </c>
      <c r="I14">
        <v>3101</v>
      </c>
      <c r="J14">
        <v>52200</v>
      </c>
    </row>
    <row r="15" spans="1:10">
      <c r="C15" t="s">
        <v>2027</v>
      </c>
      <c r="D15" s="32">
        <v>46320</v>
      </c>
      <c r="E15" s="1" t="s">
        <v>2040</v>
      </c>
      <c r="F15">
        <v>3101</v>
      </c>
      <c r="G15">
        <v>3101</v>
      </c>
      <c r="H15">
        <v>3100</v>
      </c>
      <c r="I15">
        <v>3100</v>
      </c>
      <c r="J15">
        <v>19400</v>
      </c>
    </row>
    <row r="16" spans="1:10">
      <c r="A16" s="1"/>
      <c r="B16" s="1"/>
      <c r="C16" s="1" t="s">
        <v>2027</v>
      </c>
      <c r="D16" s="30">
        <v>46320</v>
      </c>
      <c r="E16" s="1" t="s">
        <v>2041</v>
      </c>
      <c r="F16" s="1">
        <v>3100</v>
      </c>
      <c r="G16" s="1">
        <v>3100</v>
      </c>
      <c r="H16" s="1">
        <v>3097</v>
      </c>
      <c r="I16" s="1">
        <v>3098</v>
      </c>
      <c r="J16" s="1">
        <v>77700</v>
      </c>
    </row>
    <row r="17" spans="3:10">
      <c r="C17" t="s">
        <v>2027</v>
      </c>
      <c r="D17" s="32">
        <v>46320</v>
      </c>
      <c r="E17" s="1" t="s">
        <v>2042</v>
      </c>
      <c r="F17">
        <v>3097</v>
      </c>
      <c r="G17">
        <v>3099</v>
      </c>
      <c r="H17">
        <v>3097</v>
      </c>
      <c r="I17">
        <v>3099</v>
      </c>
      <c r="J17">
        <v>14900</v>
      </c>
    </row>
    <row r="18" spans="3:10">
      <c r="C18" t="s">
        <v>2027</v>
      </c>
      <c r="D18" s="32">
        <v>46320</v>
      </c>
      <c r="E18" s="1" t="s">
        <v>2043</v>
      </c>
      <c r="F18">
        <v>3100</v>
      </c>
      <c r="G18">
        <v>3100</v>
      </c>
      <c r="H18">
        <v>3099</v>
      </c>
      <c r="I18">
        <v>3100</v>
      </c>
      <c r="J18">
        <v>46100</v>
      </c>
    </row>
    <row r="19" spans="3:10">
      <c r="C19" t="s">
        <v>2027</v>
      </c>
      <c r="D19" s="32">
        <v>46320</v>
      </c>
      <c r="E19" s="1" t="s">
        <v>2044</v>
      </c>
      <c r="F19">
        <v>3101</v>
      </c>
      <c r="G19">
        <v>3102</v>
      </c>
      <c r="H19">
        <v>3100</v>
      </c>
      <c r="I19">
        <v>3100</v>
      </c>
      <c r="J19">
        <v>104400</v>
      </c>
    </row>
    <row r="20" spans="3:10">
      <c r="C20" t="s">
        <v>2027</v>
      </c>
      <c r="D20" s="32">
        <v>46320</v>
      </c>
      <c r="E20" s="1" t="s">
        <v>2045</v>
      </c>
      <c r="F20">
        <v>3100</v>
      </c>
      <c r="G20">
        <v>3101</v>
      </c>
      <c r="H20">
        <v>3100</v>
      </c>
      <c r="I20">
        <v>3100</v>
      </c>
      <c r="J20">
        <v>11700</v>
      </c>
    </row>
    <row r="21" spans="3:10">
      <c r="C21" t="s">
        <v>2027</v>
      </c>
      <c r="D21" s="32">
        <v>46320</v>
      </c>
      <c r="E21" s="1" t="s">
        <v>2046</v>
      </c>
      <c r="F21">
        <v>3100</v>
      </c>
      <c r="G21">
        <v>3100</v>
      </c>
      <c r="H21">
        <v>3099</v>
      </c>
      <c r="I21">
        <v>3100</v>
      </c>
      <c r="J21">
        <v>60800</v>
      </c>
    </row>
    <row r="22" spans="3:10">
      <c r="C22" t="s">
        <v>2027</v>
      </c>
      <c r="D22" s="32">
        <v>46320</v>
      </c>
      <c r="E22" s="1" t="s">
        <v>2047</v>
      </c>
      <c r="F22">
        <v>3100</v>
      </c>
      <c r="G22">
        <v>3100</v>
      </c>
      <c r="H22">
        <v>3097</v>
      </c>
      <c r="I22">
        <v>3097</v>
      </c>
      <c r="J22">
        <v>45900</v>
      </c>
    </row>
    <row r="23" spans="3:10">
      <c r="C23" t="s">
        <v>2027</v>
      </c>
      <c r="D23" s="32">
        <v>46320</v>
      </c>
      <c r="E23" s="1" t="s">
        <v>2048</v>
      </c>
      <c r="F23">
        <v>3097</v>
      </c>
      <c r="G23">
        <v>3098</v>
      </c>
      <c r="H23">
        <v>3097</v>
      </c>
      <c r="I23">
        <v>3097</v>
      </c>
      <c r="J23">
        <v>6300</v>
      </c>
    </row>
    <row r="24" spans="3:10">
      <c r="C24" t="s">
        <v>2027</v>
      </c>
      <c r="D24" s="32">
        <v>46320</v>
      </c>
      <c r="E24" s="1" t="s">
        <v>2049</v>
      </c>
      <c r="F24">
        <v>3098</v>
      </c>
      <c r="G24">
        <v>3098</v>
      </c>
      <c r="H24">
        <v>3097</v>
      </c>
      <c r="I24">
        <v>3097</v>
      </c>
      <c r="J24">
        <v>2800</v>
      </c>
    </row>
    <row r="25" spans="3:10">
      <c r="C25" t="s">
        <v>2027</v>
      </c>
      <c r="D25" s="32">
        <v>46320</v>
      </c>
      <c r="E25" s="1" t="s">
        <v>2050</v>
      </c>
      <c r="F25">
        <v>3098</v>
      </c>
      <c r="G25">
        <v>3099</v>
      </c>
      <c r="H25">
        <v>3097</v>
      </c>
      <c r="I25">
        <v>3098</v>
      </c>
      <c r="J25">
        <v>111600</v>
      </c>
    </row>
    <row r="26" spans="3:10">
      <c r="C26" t="s">
        <v>2027</v>
      </c>
      <c r="D26" s="32">
        <v>46320</v>
      </c>
      <c r="E26" s="1" t="s">
        <v>2051</v>
      </c>
      <c r="F26">
        <v>3097</v>
      </c>
      <c r="G26">
        <v>3098</v>
      </c>
      <c r="H26">
        <v>3096</v>
      </c>
      <c r="I26">
        <v>3096</v>
      </c>
      <c r="J26">
        <v>35000</v>
      </c>
    </row>
    <row r="27" spans="3:10">
      <c r="C27" t="s">
        <v>2027</v>
      </c>
      <c r="D27" s="32">
        <v>46320</v>
      </c>
      <c r="E27" s="1" t="s">
        <v>2052</v>
      </c>
      <c r="F27">
        <v>3097</v>
      </c>
      <c r="G27">
        <v>3098</v>
      </c>
      <c r="H27">
        <v>3096</v>
      </c>
      <c r="I27">
        <v>3098</v>
      </c>
      <c r="J27">
        <v>45900</v>
      </c>
    </row>
    <row r="28" spans="3:10">
      <c r="C28" t="s">
        <v>2027</v>
      </c>
      <c r="D28" s="32">
        <v>46320</v>
      </c>
      <c r="E28" s="1" t="s">
        <v>2053</v>
      </c>
      <c r="F28">
        <v>3098</v>
      </c>
      <c r="G28">
        <v>3098</v>
      </c>
      <c r="H28">
        <v>3097</v>
      </c>
      <c r="I28">
        <v>3097</v>
      </c>
      <c r="J28">
        <v>43700</v>
      </c>
    </row>
    <row r="29" spans="3:10">
      <c r="C29" t="s">
        <v>2027</v>
      </c>
      <c r="D29" s="32">
        <v>46320</v>
      </c>
      <c r="E29" s="1" t="s">
        <v>2054</v>
      </c>
      <c r="F29">
        <v>3097</v>
      </c>
      <c r="G29">
        <v>3098</v>
      </c>
      <c r="H29">
        <v>3095</v>
      </c>
      <c r="I29">
        <v>3096</v>
      </c>
      <c r="J29">
        <v>57300</v>
      </c>
    </row>
    <row r="30" spans="3:10">
      <c r="C30" t="s">
        <v>2027</v>
      </c>
      <c r="D30" s="32">
        <v>46320</v>
      </c>
      <c r="E30" s="1" t="s">
        <v>2055</v>
      </c>
      <c r="F30">
        <v>3095</v>
      </c>
      <c r="G30">
        <v>3098</v>
      </c>
      <c r="H30">
        <v>3095</v>
      </c>
      <c r="I30">
        <v>3098</v>
      </c>
      <c r="J30">
        <v>45000</v>
      </c>
    </row>
    <row r="31" spans="3:10">
      <c r="C31" t="s">
        <v>2027</v>
      </c>
      <c r="D31" s="32">
        <v>46320</v>
      </c>
      <c r="E31" s="1" t="s">
        <v>2056</v>
      </c>
      <c r="F31">
        <v>3098</v>
      </c>
      <c r="G31">
        <v>3099</v>
      </c>
      <c r="H31">
        <v>3098</v>
      </c>
      <c r="I31">
        <v>3099</v>
      </c>
      <c r="J31">
        <v>58600</v>
      </c>
    </row>
    <row r="32" spans="3:10">
      <c r="C32" t="s">
        <v>2027</v>
      </c>
      <c r="D32" s="32">
        <v>46320</v>
      </c>
      <c r="E32" s="1" t="s">
        <v>2057</v>
      </c>
      <c r="F32">
        <v>3099</v>
      </c>
      <c r="G32">
        <v>3100</v>
      </c>
      <c r="H32">
        <v>3098</v>
      </c>
      <c r="I32">
        <v>3100</v>
      </c>
      <c r="J32">
        <v>13100</v>
      </c>
    </row>
    <row r="33" spans="3:10">
      <c r="C33" t="s">
        <v>2027</v>
      </c>
      <c r="D33" s="32">
        <v>46320</v>
      </c>
      <c r="E33" s="1" t="s">
        <v>2058</v>
      </c>
      <c r="F33">
        <v>3099</v>
      </c>
      <c r="G33">
        <v>3100</v>
      </c>
      <c r="H33">
        <v>3099</v>
      </c>
      <c r="I33">
        <v>3099</v>
      </c>
      <c r="J33">
        <v>10400</v>
      </c>
    </row>
    <row r="34" spans="3:10">
      <c r="C34" t="s">
        <v>2027</v>
      </c>
      <c r="D34" s="32">
        <v>46320</v>
      </c>
      <c r="E34" s="1" t="s">
        <v>2059</v>
      </c>
      <c r="F34">
        <v>3099</v>
      </c>
      <c r="G34">
        <v>3100</v>
      </c>
      <c r="H34">
        <v>3099</v>
      </c>
      <c r="I34">
        <v>3099</v>
      </c>
      <c r="J34">
        <v>23200</v>
      </c>
    </row>
    <row r="35" spans="3:10">
      <c r="C35" t="s">
        <v>2027</v>
      </c>
      <c r="D35" s="32">
        <v>46320</v>
      </c>
      <c r="E35" s="1" t="s">
        <v>2060</v>
      </c>
      <c r="F35">
        <v>3099</v>
      </c>
      <c r="G35">
        <v>3100</v>
      </c>
      <c r="H35">
        <v>3098</v>
      </c>
      <c r="I35">
        <v>3100</v>
      </c>
      <c r="J35">
        <v>80600</v>
      </c>
    </row>
    <row r="36" spans="3:10">
      <c r="C36" t="s">
        <v>2027</v>
      </c>
      <c r="D36" s="32">
        <v>46320</v>
      </c>
      <c r="E36" s="1" t="s">
        <v>2061</v>
      </c>
      <c r="F36">
        <v>3099</v>
      </c>
      <c r="G36">
        <v>3100</v>
      </c>
      <c r="H36">
        <v>3099</v>
      </c>
      <c r="I36">
        <v>3099</v>
      </c>
      <c r="J36">
        <v>18500</v>
      </c>
    </row>
    <row r="37" spans="3:10">
      <c r="C37" t="s">
        <v>2027</v>
      </c>
      <c r="D37" s="32">
        <v>46320</v>
      </c>
      <c r="E37" s="1" t="s">
        <v>2062</v>
      </c>
      <c r="F37">
        <v>3100</v>
      </c>
      <c r="G37">
        <v>3100</v>
      </c>
      <c r="H37">
        <v>3099</v>
      </c>
      <c r="I37">
        <v>3100</v>
      </c>
      <c r="J37">
        <v>13900</v>
      </c>
    </row>
    <row r="38" spans="3:10">
      <c r="C38" t="s">
        <v>2027</v>
      </c>
      <c r="D38" s="32">
        <v>46320</v>
      </c>
      <c r="E38" s="1" t="s">
        <v>2063</v>
      </c>
      <c r="F38">
        <v>3099</v>
      </c>
      <c r="G38">
        <v>3100</v>
      </c>
      <c r="H38">
        <v>3099</v>
      </c>
      <c r="I38">
        <v>3099</v>
      </c>
      <c r="J38">
        <v>7400</v>
      </c>
    </row>
    <row r="39" spans="3:10">
      <c r="C39" t="s">
        <v>2027</v>
      </c>
      <c r="D39" s="32">
        <v>46320</v>
      </c>
      <c r="E39" s="1" t="s">
        <v>2064</v>
      </c>
      <c r="F39">
        <v>3099</v>
      </c>
      <c r="G39">
        <v>3101</v>
      </c>
      <c r="H39">
        <v>3099</v>
      </c>
      <c r="I39">
        <v>3099</v>
      </c>
      <c r="J39">
        <v>66000</v>
      </c>
    </row>
    <row r="40" spans="3:10">
      <c r="C40" t="s">
        <v>2027</v>
      </c>
      <c r="D40" s="32">
        <v>46320</v>
      </c>
      <c r="E40" s="1" t="s">
        <v>2065</v>
      </c>
      <c r="F40">
        <v>3099</v>
      </c>
      <c r="G40">
        <v>3100</v>
      </c>
      <c r="H40">
        <v>3099</v>
      </c>
      <c r="I40">
        <v>3100</v>
      </c>
      <c r="J40">
        <v>65200</v>
      </c>
    </row>
    <row r="41" spans="3:10">
      <c r="C41" t="s">
        <v>2027</v>
      </c>
      <c r="D41" s="32">
        <v>46320</v>
      </c>
      <c r="E41" s="1" t="s">
        <v>2066</v>
      </c>
      <c r="F41">
        <v>3100</v>
      </c>
      <c r="G41">
        <v>3101</v>
      </c>
      <c r="H41">
        <v>3099</v>
      </c>
      <c r="I41">
        <v>3100</v>
      </c>
      <c r="J41">
        <v>58000</v>
      </c>
    </row>
    <row r="42" spans="3:10">
      <c r="C42" t="s">
        <v>2027</v>
      </c>
      <c r="D42" s="32">
        <v>46320</v>
      </c>
      <c r="E42" s="1" t="s">
        <v>2067</v>
      </c>
      <c r="F42">
        <v>3100</v>
      </c>
      <c r="G42">
        <v>3101</v>
      </c>
      <c r="H42">
        <v>3096</v>
      </c>
      <c r="I42">
        <v>3096</v>
      </c>
      <c r="J42">
        <v>150900</v>
      </c>
    </row>
    <row r="43" spans="3:10">
      <c r="C43" t="s">
        <v>2027</v>
      </c>
      <c r="D43" s="32">
        <v>46320</v>
      </c>
      <c r="E43" s="1" t="s">
        <v>2068</v>
      </c>
      <c r="F43">
        <v>3096</v>
      </c>
      <c r="G43">
        <v>3098</v>
      </c>
      <c r="H43">
        <v>3095</v>
      </c>
      <c r="I43">
        <v>3095</v>
      </c>
      <c r="J43">
        <v>84900</v>
      </c>
    </row>
    <row r="44" spans="3:10">
      <c r="C44" t="s">
        <v>2027</v>
      </c>
      <c r="D44" s="32">
        <v>46320</v>
      </c>
      <c r="E44" s="1" t="s">
        <v>2069</v>
      </c>
      <c r="F44">
        <v>3095</v>
      </c>
      <c r="G44">
        <v>3096</v>
      </c>
      <c r="H44">
        <v>3094</v>
      </c>
      <c r="I44">
        <v>3095</v>
      </c>
      <c r="J44">
        <v>83200</v>
      </c>
    </row>
    <row r="45" spans="3:10">
      <c r="C45" t="s">
        <v>2027</v>
      </c>
      <c r="D45" s="32">
        <v>46320</v>
      </c>
      <c r="E45" s="1" t="s">
        <v>2070</v>
      </c>
      <c r="F45">
        <v>3095</v>
      </c>
      <c r="G45">
        <v>3200</v>
      </c>
      <c r="H45">
        <v>3095</v>
      </c>
      <c r="I45">
        <v>3200</v>
      </c>
      <c r="J45">
        <v>93600</v>
      </c>
    </row>
    <row r="46" spans="3:10">
      <c r="C46" t="s">
        <v>2027</v>
      </c>
      <c r="D46" s="32">
        <v>46320</v>
      </c>
      <c r="E46" s="1" t="s">
        <v>2071</v>
      </c>
      <c r="F46">
        <v>3000</v>
      </c>
      <c r="G46">
        <v>3200</v>
      </c>
      <c r="H46">
        <v>3094</v>
      </c>
      <c r="I46">
        <v>3200</v>
      </c>
      <c r="J46">
        <v>172000</v>
      </c>
    </row>
    <row r="223" spans="1:10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>
      <c r="A226" s="1"/>
      <c r="B226" s="1"/>
      <c r="C226" s="1"/>
      <c r="D226" s="1"/>
      <c r="E226" s="1"/>
      <c r="F226" s="1"/>
      <c r="G226" s="1"/>
      <c r="H226" s="1"/>
      <c r="I226" s="1"/>
      <c r="J226" s="1"/>
    </row>
    <row r="227" spans="1:10">
      <c r="A227" s="1"/>
      <c r="B227" s="1"/>
      <c r="C227" s="1"/>
      <c r="D227" s="1"/>
      <c r="E227" s="1"/>
      <c r="F227" s="1"/>
      <c r="G227" s="1"/>
      <c r="H227" s="1"/>
      <c r="I227" s="1"/>
      <c r="J227" s="1"/>
    </row>
    <row r="228" spans="1:10">
      <c r="A228" s="1"/>
      <c r="B228" s="1"/>
      <c r="C228" s="1"/>
      <c r="D228" s="1"/>
      <c r="E228" s="1"/>
      <c r="F228" s="1"/>
      <c r="G228" s="1"/>
      <c r="H228" s="1"/>
      <c r="I228" s="1"/>
      <c r="J228" s="1"/>
    </row>
    <row r="229" spans="1:10">
      <c r="A229" s="1"/>
      <c r="B229" s="1"/>
      <c r="C229" s="1"/>
      <c r="D229" s="1"/>
      <c r="E229" s="1"/>
      <c r="F229" s="1"/>
      <c r="G229" s="1"/>
      <c r="H229" s="1"/>
      <c r="I229" s="1"/>
      <c r="J229" s="1"/>
    </row>
    <row r="230" spans="1:10">
      <c r="A230" s="1"/>
      <c r="B230" s="1"/>
      <c r="C230" s="1"/>
      <c r="D230" s="1"/>
      <c r="E230" s="1"/>
      <c r="F230" s="1"/>
      <c r="G230" s="1"/>
      <c r="H230" s="1"/>
      <c r="I230" s="1"/>
      <c r="J230" s="1"/>
    </row>
    <row r="231" spans="1:10">
      <c r="A231" s="1"/>
      <c r="B231" s="1"/>
      <c r="C231" s="1"/>
      <c r="D231" s="1"/>
      <c r="E231" s="1"/>
      <c r="F231" s="1"/>
      <c r="G231" s="1"/>
      <c r="H231" s="1"/>
      <c r="I231" s="1"/>
      <c r="J231" s="1"/>
    </row>
    <row r="232" spans="1:10">
      <c r="A232" s="1"/>
      <c r="B232" s="1"/>
      <c r="C232" s="1"/>
      <c r="D232" s="1"/>
      <c r="E232" s="1"/>
      <c r="F232" s="1"/>
      <c r="G232" s="1"/>
      <c r="H232" s="1"/>
      <c r="I232" s="1"/>
      <c r="J232" s="1"/>
    </row>
    <row r="233" spans="1:10">
      <c r="A233" s="1"/>
      <c r="B233" s="1"/>
      <c r="C233" s="1"/>
      <c r="D233" s="1"/>
      <c r="E233" s="1"/>
      <c r="F233" s="1"/>
      <c r="G233" s="1"/>
      <c r="H233" s="1"/>
      <c r="I233" s="1"/>
      <c r="J233" s="1"/>
    </row>
    <row r="234" spans="1:10">
      <c r="A234" s="1"/>
      <c r="B234" s="1"/>
      <c r="C234" s="1"/>
      <c r="D234" s="1"/>
      <c r="E234" s="1"/>
      <c r="F234" s="1"/>
      <c r="G234" s="1"/>
      <c r="H234" s="1"/>
      <c r="I234" s="1"/>
      <c r="J234" s="1"/>
    </row>
    <row r="235" spans="1:10">
      <c r="A235" s="1"/>
      <c r="B235" s="1"/>
      <c r="C235" s="1"/>
      <c r="D235" s="1"/>
      <c r="E235" s="1"/>
      <c r="F235" s="1"/>
      <c r="G235" s="1"/>
      <c r="H235" s="1"/>
      <c r="I235" s="1"/>
      <c r="J235" s="1"/>
    </row>
    <row r="241" spans="1:10">
      <c r="A241" s="1"/>
      <c r="B241" s="1"/>
      <c r="C241" s="1"/>
      <c r="D241" s="1"/>
      <c r="E241" s="1"/>
      <c r="F241" s="1"/>
      <c r="G241" s="1"/>
      <c r="H241" s="1"/>
      <c r="I241" s="1"/>
      <c r="J241" s="1"/>
    </row>
    <row r="381" spans="1:10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>
      <c r="A415" s="1"/>
      <c r="B415" s="1"/>
      <c r="C415" s="1"/>
      <c r="D415" s="1"/>
      <c r="E415" s="1"/>
      <c r="F415" s="1"/>
      <c r="G415" s="1"/>
      <c r="H415" s="1"/>
      <c r="I415" s="1"/>
      <c r="J415" s="1"/>
    </row>
    <row r="416" spans="1:10">
      <c r="A416" s="1"/>
      <c r="B416" s="1"/>
      <c r="C416" s="1"/>
      <c r="D416" s="1"/>
      <c r="E416" s="1"/>
      <c r="F416" s="1"/>
      <c r="G416" s="1"/>
      <c r="H416" s="1"/>
      <c r="I416" s="1"/>
      <c r="J416" s="1"/>
    </row>
    <row r="417" spans="1:10">
      <c r="A417" s="1"/>
      <c r="B417" s="1"/>
      <c r="C417" s="1"/>
      <c r="D417" s="1"/>
      <c r="E417" s="1"/>
      <c r="F417" s="1"/>
      <c r="G417" s="1"/>
      <c r="H417" s="1"/>
      <c r="I417" s="1"/>
      <c r="J417" s="1"/>
    </row>
    <row r="418" spans="1:10">
      <c r="A418" s="1"/>
      <c r="B418" s="1"/>
      <c r="C418" s="1"/>
      <c r="D418" s="1"/>
      <c r="E418" s="1"/>
      <c r="F418" s="1"/>
      <c r="G418" s="1"/>
      <c r="H418" s="1"/>
      <c r="I418" s="1"/>
      <c r="J418" s="1"/>
    </row>
    <row r="419" spans="1:10">
      <c r="A419" s="1"/>
      <c r="B419" s="1"/>
      <c r="C419" s="1"/>
      <c r="D419" s="1"/>
      <c r="E419" s="1"/>
      <c r="F419" s="1"/>
      <c r="G419" s="1"/>
      <c r="H419" s="1"/>
      <c r="I419" s="1"/>
      <c r="J419" s="1"/>
    </row>
    <row r="420" spans="1:10">
      <c r="A420" s="1"/>
      <c r="B420" s="1"/>
      <c r="C420" s="1"/>
      <c r="D420" s="1"/>
      <c r="E420" s="1"/>
      <c r="F420" s="1"/>
      <c r="G420" s="1"/>
      <c r="H420" s="1"/>
      <c r="I420" s="1"/>
      <c r="J420" s="1"/>
    </row>
    <row r="421" spans="1:10">
      <c r="A421" s="1"/>
      <c r="B421" s="1"/>
      <c r="C421" s="1"/>
      <c r="D421" s="1"/>
      <c r="E421" s="1"/>
      <c r="F421" s="1"/>
      <c r="G421" s="1"/>
      <c r="H421" s="1"/>
      <c r="I421" s="1"/>
      <c r="J421" s="1"/>
    </row>
    <row r="422" spans="1:10">
      <c r="A422" s="1"/>
      <c r="B422" s="1"/>
      <c r="C422" s="1"/>
      <c r="D422" s="1"/>
      <c r="E422" s="1"/>
      <c r="F422" s="1"/>
      <c r="G422" s="1"/>
      <c r="H422" s="1"/>
      <c r="I422" s="1"/>
      <c r="J422" s="1"/>
    </row>
    <row r="423" spans="1:10">
      <c r="A423" s="1"/>
      <c r="B423" s="1"/>
      <c r="C423" s="1"/>
      <c r="D423" s="1"/>
      <c r="E423" s="1"/>
      <c r="F423" s="1"/>
      <c r="G423" s="1"/>
      <c r="H423" s="1"/>
      <c r="I423" s="1"/>
      <c r="J423" s="1"/>
    </row>
    <row r="424" spans="1:10">
      <c r="A424" s="1"/>
      <c r="B424" s="1"/>
      <c r="C424" s="1"/>
      <c r="D424" s="1"/>
      <c r="E424" s="1"/>
      <c r="F424" s="1"/>
      <c r="G424" s="1"/>
      <c r="H424" s="1"/>
      <c r="I424" s="1"/>
      <c r="J424" s="1"/>
    </row>
    <row r="425" spans="1:10">
      <c r="A425" s="1"/>
      <c r="B425" s="1"/>
      <c r="C425" s="1"/>
      <c r="D425" s="1"/>
      <c r="E425" s="1"/>
      <c r="F425" s="1"/>
      <c r="G425" s="1"/>
      <c r="H425" s="1"/>
      <c r="I425" s="1"/>
      <c r="J425" s="1"/>
    </row>
    <row r="426" spans="1:10">
      <c r="A426" s="1"/>
      <c r="B426" s="1"/>
      <c r="C426" s="1"/>
      <c r="D426" s="1"/>
      <c r="E426" s="1"/>
      <c r="F426" s="1"/>
      <c r="G426" s="1"/>
      <c r="H426" s="1"/>
      <c r="I426" s="1"/>
      <c r="J426" s="1"/>
    </row>
    <row r="427" spans="1:10">
      <c r="A427" s="1"/>
      <c r="B427" s="1"/>
      <c r="C427" s="1"/>
      <c r="D427" s="1"/>
      <c r="E427" s="1"/>
      <c r="F427" s="1"/>
      <c r="G427" s="1"/>
      <c r="H427" s="1"/>
      <c r="I427" s="1"/>
      <c r="J427" s="1"/>
    </row>
    <row r="428" spans="1:10">
      <c r="A428" s="1"/>
      <c r="B428" s="1"/>
      <c r="C428" s="1"/>
      <c r="D428" s="1"/>
      <c r="E428" s="1"/>
      <c r="F428" s="1"/>
      <c r="G428" s="1"/>
      <c r="H428" s="1"/>
      <c r="I428" s="1"/>
      <c r="J428" s="1"/>
    </row>
    <row r="429" spans="1:10">
      <c r="A429" s="1"/>
      <c r="B429" s="1"/>
      <c r="C429" s="1"/>
      <c r="D429" s="1"/>
      <c r="E429" s="1"/>
      <c r="F429" s="1"/>
      <c r="G429" s="1"/>
      <c r="H429" s="1"/>
      <c r="I429" s="1"/>
      <c r="J429" s="1"/>
    </row>
    <row r="430" spans="1:10">
      <c r="A430" s="1"/>
      <c r="B430" s="1"/>
      <c r="C430" s="1"/>
      <c r="D430" s="1"/>
      <c r="E430" s="1"/>
      <c r="F430" s="1"/>
      <c r="G430" s="1"/>
      <c r="H430" s="1"/>
      <c r="I430" s="1"/>
      <c r="J430" s="1"/>
    </row>
    <row r="431" spans="1:10">
      <c r="A431" s="1"/>
      <c r="B431" s="1"/>
      <c r="C431" s="1"/>
      <c r="D431" s="1"/>
      <c r="E431" s="1"/>
      <c r="F431" s="1"/>
      <c r="G431" s="1"/>
      <c r="H431" s="1"/>
      <c r="I431" s="1"/>
      <c r="J431" s="1"/>
    </row>
    <row r="432" spans="1:10">
      <c r="A432" s="1"/>
      <c r="B432" s="1"/>
      <c r="C432" s="1"/>
      <c r="D432" s="1"/>
      <c r="E432" s="1"/>
      <c r="F432" s="1"/>
      <c r="G432" s="1"/>
      <c r="H432" s="1"/>
      <c r="I432" s="1"/>
      <c r="J432" s="1"/>
    </row>
    <row r="433" spans="1:10">
      <c r="A433" s="1"/>
      <c r="B433" s="1"/>
      <c r="C433" s="1"/>
      <c r="D433" s="1"/>
      <c r="E433" s="1"/>
      <c r="F433" s="1"/>
      <c r="G433" s="1"/>
      <c r="H433" s="1"/>
      <c r="I433" s="1"/>
      <c r="J433" s="1"/>
    </row>
    <row r="434" spans="1:10">
      <c r="A434" s="1"/>
      <c r="B434" s="1"/>
      <c r="C434" s="1"/>
      <c r="D434" s="1"/>
      <c r="E434" s="1"/>
      <c r="F434" s="1"/>
      <c r="G434" s="1"/>
      <c r="H434" s="1"/>
      <c r="I434" s="1"/>
      <c r="J434" s="1"/>
    </row>
    <row r="435" spans="1:10">
      <c r="A435" s="1"/>
      <c r="B435" s="1"/>
      <c r="C435" s="1"/>
      <c r="D435" s="1"/>
      <c r="E435" s="1"/>
      <c r="F435" s="1"/>
      <c r="G435" s="1"/>
      <c r="H435" s="1"/>
      <c r="I435" s="1"/>
      <c r="J435" s="1"/>
    </row>
    <row r="436" spans="1:10">
      <c r="A436" s="1"/>
      <c r="B436" s="1"/>
      <c r="C436" s="1"/>
      <c r="D436" s="1"/>
      <c r="E436" s="1"/>
      <c r="F436" s="1"/>
      <c r="G436" s="1"/>
      <c r="H436" s="1"/>
      <c r="I436" s="1"/>
      <c r="J436" s="1"/>
    </row>
    <row r="437" spans="1:10">
      <c r="A437" s="1"/>
      <c r="B437" s="1"/>
      <c r="C437" s="1"/>
      <c r="D437" s="1"/>
      <c r="E437" s="1"/>
      <c r="F437" s="1"/>
      <c r="G437" s="1"/>
      <c r="H437" s="1"/>
      <c r="I437" s="1"/>
      <c r="J437" s="1"/>
    </row>
    <row r="438" spans="1:10">
      <c r="A438" s="1"/>
      <c r="B438" s="1"/>
      <c r="C438" s="1"/>
      <c r="D438" s="1"/>
      <c r="E438" s="1"/>
      <c r="F438" s="1"/>
      <c r="G438" s="1"/>
      <c r="H438" s="1"/>
      <c r="I438" s="1"/>
      <c r="J438" s="1"/>
    </row>
    <row r="439" spans="1:10">
      <c r="A439" s="1"/>
      <c r="B439" s="1"/>
      <c r="C439" s="1"/>
      <c r="D439" s="1"/>
      <c r="E439" s="1"/>
      <c r="F439" s="1"/>
      <c r="G439" s="1"/>
      <c r="H439" s="1"/>
      <c r="I439" s="1"/>
      <c r="J439" s="1"/>
    </row>
    <row r="440" spans="1:10">
      <c r="A440" s="1"/>
      <c r="B440" s="1"/>
      <c r="C440" s="1"/>
      <c r="D440" s="1"/>
      <c r="E440" s="1"/>
      <c r="F440" s="1"/>
      <c r="G440" s="1"/>
      <c r="H440" s="1"/>
      <c r="I440" s="1"/>
      <c r="J440" s="1"/>
    </row>
    <row r="441" spans="1:10">
      <c r="A441" s="1"/>
      <c r="B441" s="1"/>
      <c r="C441" s="1"/>
      <c r="D441" s="1"/>
      <c r="E441" s="1"/>
      <c r="F441" s="1"/>
      <c r="G441" s="1"/>
      <c r="H441" s="1"/>
      <c r="I441" s="1"/>
      <c r="J441" s="1"/>
    </row>
    <row r="442" spans="1:10">
      <c r="A442" s="1"/>
      <c r="B442" s="1"/>
      <c r="C442" s="1"/>
      <c r="D442" s="1"/>
      <c r="E442" s="1"/>
      <c r="F442" s="1"/>
      <c r="G442" s="1"/>
      <c r="H442" s="1"/>
      <c r="I442" s="1"/>
      <c r="J442" s="1"/>
    </row>
    <row r="443" spans="1:10">
      <c r="A443" s="1"/>
      <c r="B443" s="1"/>
      <c r="C443" s="1"/>
      <c r="D443" s="1"/>
      <c r="E443" s="1"/>
      <c r="F443" s="1"/>
      <c r="G443" s="1"/>
      <c r="H443" s="1"/>
      <c r="I443" s="1"/>
      <c r="J443" s="1"/>
    </row>
    <row r="444" spans="1:10">
      <c r="A444" s="1"/>
      <c r="B444" s="1"/>
      <c r="C444" s="1"/>
      <c r="D444" s="1"/>
      <c r="E444" s="1"/>
      <c r="F444" s="1"/>
      <c r="G444" s="1"/>
      <c r="H444" s="1"/>
      <c r="I444" s="1"/>
      <c r="J444" s="1"/>
    </row>
    <row r="445" spans="1:10">
      <c r="A445" s="1"/>
      <c r="B445" s="1"/>
      <c r="C445" s="1"/>
      <c r="D445" s="1"/>
      <c r="E445" s="1"/>
      <c r="F445" s="1"/>
      <c r="G445" s="1"/>
      <c r="H445" s="1"/>
      <c r="I445" s="1"/>
      <c r="J445" s="1"/>
    </row>
    <row r="446" spans="1:10">
      <c r="A446" s="1"/>
      <c r="B446" s="1"/>
      <c r="C446" s="1"/>
      <c r="D446" s="1"/>
      <c r="E446" s="1"/>
      <c r="F446" s="1"/>
      <c r="G446" s="1"/>
      <c r="H446" s="1"/>
      <c r="I446" s="1"/>
      <c r="J446" s="1"/>
    </row>
    <row r="447" spans="1:10">
      <c r="A447" s="1"/>
      <c r="B447" s="1"/>
      <c r="C447" s="1"/>
      <c r="D447" s="1"/>
      <c r="E447" s="1"/>
      <c r="F447" s="1"/>
      <c r="G447" s="1"/>
      <c r="H447" s="1"/>
      <c r="I447" s="1"/>
      <c r="J447" s="1"/>
    </row>
    <row r="448" spans="1:10">
      <c r="A448" s="1"/>
      <c r="B448" s="1"/>
      <c r="C448" s="1"/>
      <c r="D448" s="1"/>
      <c r="E448" s="1"/>
      <c r="F448" s="1"/>
      <c r="G448" s="1"/>
      <c r="H448" s="1"/>
      <c r="I448" s="1"/>
      <c r="J448" s="1"/>
    </row>
    <row r="449" spans="1:10">
      <c r="A449" s="1"/>
      <c r="B449" s="1"/>
      <c r="C449" s="1"/>
      <c r="D449" s="1"/>
      <c r="E449" s="1"/>
      <c r="F449" s="1"/>
      <c r="G449" s="1"/>
      <c r="H449" s="1"/>
      <c r="I449" s="1"/>
      <c r="J449" s="1"/>
    </row>
    <row r="450" spans="1:10">
      <c r="A450" s="1"/>
      <c r="B450" s="1"/>
      <c r="C450" s="1"/>
      <c r="D450" s="1"/>
      <c r="E450" s="1"/>
      <c r="F450" s="1"/>
      <c r="G450" s="1"/>
      <c r="H450" s="1"/>
      <c r="I450" s="1"/>
      <c r="J450" s="1"/>
    </row>
    <row r="451" spans="1:10">
      <c r="A451" s="1"/>
      <c r="B451" s="1"/>
      <c r="C451" s="1"/>
      <c r="D451" s="1"/>
      <c r="E451" s="1"/>
      <c r="F451" s="1"/>
      <c r="G451" s="1"/>
      <c r="H451" s="1"/>
      <c r="I451" s="1"/>
      <c r="J451" s="1"/>
    </row>
    <row r="452" spans="1:10">
      <c r="A452" s="1"/>
      <c r="B452" s="1"/>
      <c r="C452" s="1"/>
      <c r="D452" s="1"/>
      <c r="E452" s="1"/>
      <c r="F452" s="1"/>
      <c r="G452" s="1"/>
      <c r="H452" s="1"/>
      <c r="I452" s="1"/>
      <c r="J452" s="1"/>
    </row>
    <row r="562" spans="1:10">
      <c r="A562" s="1"/>
      <c r="B562" s="1"/>
      <c r="C562" s="1"/>
      <c r="D562" s="1"/>
      <c r="E562" s="1"/>
      <c r="F562" s="1"/>
      <c r="G562" s="1"/>
      <c r="H562" s="1"/>
      <c r="I562" s="1"/>
      <c r="J562" s="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7F399-0C23-4D21-BC33-5BB337FB0839}">
  <dimension ref="A1:B2"/>
  <sheetViews>
    <sheetView workbookViewId="0">
      <selection activeCell="C13" sqref="C13"/>
    </sheetView>
  </sheetViews>
  <sheetFormatPr defaultRowHeight="18.75"/>
  <cols>
    <col min="2" max="2" width="21" customWidth="1"/>
  </cols>
  <sheetData>
    <row r="1" spans="1:2">
      <c r="A1" t="s">
        <v>683</v>
      </c>
      <c r="B1" t="s">
        <v>681</v>
      </c>
    </row>
    <row r="2" spans="1:2">
      <c r="A2">
        <v>102</v>
      </c>
      <c r="B2" cm="1">
        <f t="array" ref="B2">_xll.RssOrderStatus($A2)</f>
        <v>-1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80E0B-EC75-41BC-8754-92509A5FA21B}">
  <dimension ref="B1:D304"/>
  <sheetViews>
    <sheetView workbookViewId="0">
      <selection activeCell="P16" sqref="P16"/>
    </sheetView>
  </sheetViews>
  <sheetFormatPr defaultRowHeight="15.75"/>
  <cols>
    <col min="1" max="1" width="3.875" style="14" customWidth="1"/>
    <col min="2" max="4" width="9" style="14"/>
    <col min="5" max="5" width="3.375" style="14" customWidth="1"/>
    <col min="6" max="16384" width="9" style="14"/>
  </cols>
  <sheetData>
    <row r="1" spans="2:4">
      <c r="B1" s="14">
        <v>7203</v>
      </c>
      <c r="C1" s="14" t="str">
        <f>_xll.RssMarket($B$1,"銘柄名称")</f>
        <v/>
      </c>
    </row>
    <row r="2" spans="2:4">
      <c r="B2" s="14" t="s">
        <v>2022</v>
      </c>
    </row>
    <row r="3" spans="2:4">
      <c r="B3" s="15" t="s">
        <v>1157</v>
      </c>
      <c r="C3" s="15" t="s">
        <v>1158</v>
      </c>
      <c r="D3" s="15" t="s">
        <v>1159</v>
      </c>
    </row>
    <row r="4" spans="2:4">
      <c r="B4" s="15" t="s">
        <v>2021</v>
      </c>
      <c r="C4" s="15">
        <v>300</v>
      </c>
      <c r="D4" s="15">
        <v>3099</v>
      </c>
    </row>
    <row r="5" spans="2:4">
      <c r="B5" s="15" t="s">
        <v>2020</v>
      </c>
      <c r="C5" s="15">
        <v>300</v>
      </c>
      <c r="D5" s="15">
        <v>3099</v>
      </c>
    </row>
    <row r="6" spans="2:4">
      <c r="B6" s="15" t="s">
        <v>2019</v>
      </c>
      <c r="C6" s="15">
        <v>1300</v>
      </c>
      <c r="D6" s="15">
        <v>3100</v>
      </c>
    </row>
    <row r="7" spans="2:4">
      <c r="B7" s="15" t="s">
        <v>2017</v>
      </c>
      <c r="C7" s="15">
        <v>200</v>
      </c>
      <c r="D7" s="15">
        <v>3100</v>
      </c>
    </row>
    <row r="8" spans="2:4">
      <c r="B8" s="15" t="s">
        <v>2018</v>
      </c>
      <c r="C8" s="15">
        <v>300</v>
      </c>
      <c r="D8" s="15">
        <v>3099</v>
      </c>
    </row>
    <row r="9" spans="2:4">
      <c r="B9" s="15" t="s">
        <v>2018</v>
      </c>
      <c r="C9" s="15">
        <v>3900</v>
      </c>
      <c r="D9" s="15">
        <v>3099</v>
      </c>
    </row>
    <row r="10" spans="2:4">
      <c r="B10" s="15" t="s">
        <v>2015</v>
      </c>
      <c r="C10" s="15">
        <v>800</v>
      </c>
      <c r="D10" s="15">
        <v>3099</v>
      </c>
    </row>
    <row r="11" spans="2:4">
      <c r="B11" s="15" t="s">
        <v>2016</v>
      </c>
      <c r="C11" s="15">
        <v>100</v>
      </c>
      <c r="D11" s="15">
        <v>3100</v>
      </c>
    </row>
    <row r="12" spans="2:4">
      <c r="B12" s="15" t="s">
        <v>2014</v>
      </c>
      <c r="C12" s="15">
        <v>800</v>
      </c>
      <c r="D12" s="15">
        <v>3099</v>
      </c>
    </row>
    <row r="13" spans="2:4">
      <c r="B13" s="15" t="s">
        <v>2013</v>
      </c>
      <c r="C13" s="15">
        <v>400</v>
      </c>
      <c r="D13" s="15">
        <v>3100</v>
      </c>
    </row>
    <row r="14" spans="2:4">
      <c r="B14" s="15" t="s">
        <v>2013</v>
      </c>
      <c r="C14" s="15">
        <v>400</v>
      </c>
      <c r="D14" s="15">
        <v>3100</v>
      </c>
    </row>
    <row r="15" spans="2:4">
      <c r="B15" s="15" t="s">
        <v>2013</v>
      </c>
      <c r="C15" s="15">
        <v>1200</v>
      </c>
      <c r="D15" s="15">
        <v>3099</v>
      </c>
    </row>
    <row r="16" spans="2:4">
      <c r="B16" s="15" t="s">
        <v>2013</v>
      </c>
      <c r="C16" s="15">
        <v>100</v>
      </c>
      <c r="D16" s="15">
        <v>3100</v>
      </c>
    </row>
    <row r="17" spans="2:4">
      <c r="B17" s="15" t="s">
        <v>2013</v>
      </c>
      <c r="C17" s="15">
        <v>8500</v>
      </c>
      <c r="D17" s="15">
        <v>3100</v>
      </c>
    </row>
    <row r="18" spans="2:4">
      <c r="B18" s="15" t="s">
        <v>2013</v>
      </c>
      <c r="C18" s="15">
        <v>900</v>
      </c>
      <c r="D18" s="15">
        <v>3100</v>
      </c>
    </row>
    <row r="19" spans="2:4">
      <c r="B19" s="15" t="s">
        <v>2013</v>
      </c>
      <c r="C19" s="15">
        <v>100</v>
      </c>
      <c r="D19" s="15">
        <v>3100</v>
      </c>
    </row>
    <row r="20" spans="2:4">
      <c r="B20" s="15" t="s">
        <v>2013</v>
      </c>
      <c r="C20" s="15">
        <v>9200</v>
      </c>
      <c r="D20" s="15">
        <v>3101</v>
      </c>
    </row>
    <row r="21" spans="2:4">
      <c r="B21" s="15" t="s">
        <v>2013</v>
      </c>
      <c r="C21" s="15">
        <v>11100</v>
      </c>
      <c r="D21" s="15">
        <v>3100</v>
      </c>
    </row>
    <row r="22" spans="2:4">
      <c r="B22" s="15" t="s">
        <v>2013</v>
      </c>
      <c r="C22" s="15">
        <v>1900</v>
      </c>
      <c r="D22" s="15">
        <v>3100</v>
      </c>
    </row>
    <row r="23" spans="2:4">
      <c r="B23" s="15" t="s">
        <v>2012</v>
      </c>
      <c r="C23" s="15">
        <v>100</v>
      </c>
      <c r="D23" s="15">
        <v>3100</v>
      </c>
    </row>
    <row r="24" spans="2:4">
      <c r="B24" s="16" t="s">
        <v>2012</v>
      </c>
      <c r="C24" s="16">
        <v>600</v>
      </c>
      <c r="D24" s="16">
        <v>3100</v>
      </c>
    </row>
    <row r="25" spans="2:4">
      <c r="B25" s="14" t="s">
        <v>2012</v>
      </c>
      <c r="C25" s="14">
        <v>2300</v>
      </c>
      <c r="D25" s="14">
        <v>3100</v>
      </c>
    </row>
    <row r="26" spans="2:4">
      <c r="B26" s="14" t="s">
        <v>2012</v>
      </c>
      <c r="C26" s="14">
        <v>4000</v>
      </c>
      <c r="D26" s="14">
        <v>3100</v>
      </c>
    </row>
    <row r="27" spans="2:4">
      <c r="B27" s="14" t="s">
        <v>2012</v>
      </c>
      <c r="C27" s="14">
        <v>600</v>
      </c>
      <c r="D27" s="14">
        <v>3099</v>
      </c>
    </row>
    <row r="28" spans="2:4">
      <c r="B28" s="14" t="s">
        <v>2012</v>
      </c>
      <c r="C28" s="14">
        <v>4000</v>
      </c>
      <c r="D28" s="14">
        <v>3100</v>
      </c>
    </row>
    <row r="29" spans="2:4">
      <c r="B29" s="14" t="s">
        <v>2012</v>
      </c>
      <c r="C29" s="14">
        <v>12200</v>
      </c>
      <c r="D29" s="14">
        <v>3100</v>
      </c>
    </row>
    <row r="30" spans="2:4">
      <c r="B30" s="14" t="s">
        <v>2011</v>
      </c>
      <c r="C30" s="14">
        <v>400</v>
      </c>
      <c r="D30" s="14">
        <v>3099</v>
      </c>
    </row>
    <row r="31" spans="2:4">
      <c r="B31" s="14" t="s">
        <v>2010</v>
      </c>
      <c r="C31" s="14">
        <v>100</v>
      </c>
      <c r="D31" s="14">
        <v>3099</v>
      </c>
    </row>
    <row r="32" spans="2:4">
      <c r="B32" s="14" t="s">
        <v>2010</v>
      </c>
      <c r="C32" s="14">
        <v>100</v>
      </c>
      <c r="D32" s="14">
        <v>3099</v>
      </c>
    </row>
    <row r="33" spans="2:4">
      <c r="B33" s="14" t="s">
        <v>2010</v>
      </c>
      <c r="C33" s="14">
        <v>100</v>
      </c>
      <c r="D33" s="14">
        <v>3099</v>
      </c>
    </row>
    <row r="34" spans="2:4">
      <c r="B34" s="14" t="s">
        <v>2009</v>
      </c>
      <c r="C34" s="14">
        <v>100</v>
      </c>
      <c r="D34" s="14">
        <v>3100</v>
      </c>
    </row>
    <row r="35" spans="2:4">
      <c r="B35" s="14" t="s">
        <v>2009</v>
      </c>
      <c r="C35" s="14">
        <v>1900</v>
      </c>
      <c r="D35" s="14">
        <v>3099</v>
      </c>
    </row>
    <row r="36" spans="2:4">
      <c r="B36" s="14" t="s">
        <v>2008</v>
      </c>
      <c r="C36" s="14">
        <v>200</v>
      </c>
      <c r="D36" s="14">
        <v>3100</v>
      </c>
    </row>
    <row r="37" spans="2:4">
      <c r="B37" s="14" t="s">
        <v>2007</v>
      </c>
      <c r="C37" s="14">
        <v>100</v>
      </c>
      <c r="D37" s="14">
        <v>3099</v>
      </c>
    </row>
    <row r="38" spans="2:4">
      <c r="B38" s="14" t="s">
        <v>2006</v>
      </c>
      <c r="C38" s="14">
        <v>400</v>
      </c>
      <c r="D38" s="14">
        <v>3099</v>
      </c>
    </row>
    <row r="39" spans="2:4">
      <c r="B39" s="14" t="s">
        <v>2005</v>
      </c>
      <c r="C39" s="14">
        <v>100</v>
      </c>
      <c r="D39" s="14">
        <v>3100</v>
      </c>
    </row>
    <row r="40" spans="2:4">
      <c r="B40" s="14" t="s">
        <v>2004</v>
      </c>
      <c r="C40" s="14">
        <v>200</v>
      </c>
      <c r="D40" s="14">
        <v>3099</v>
      </c>
    </row>
    <row r="41" spans="2:4">
      <c r="B41" s="14" t="s">
        <v>2003</v>
      </c>
      <c r="C41" s="14">
        <v>1300</v>
      </c>
      <c r="D41" s="14">
        <v>3099</v>
      </c>
    </row>
    <row r="42" spans="2:4">
      <c r="B42" s="14" t="s">
        <v>2003</v>
      </c>
      <c r="C42" s="14">
        <v>200</v>
      </c>
      <c r="D42" s="14">
        <v>3099</v>
      </c>
    </row>
    <row r="43" spans="2:4">
      <c r="B43" s="14" t="s">
        <v>2002</v>
      </c>
      <c r="C43" s="14">
        <v>200</v>
      </c>
      <c r="D43" s="14">
        <v>3099</v>
      </c>
    </row>
    <row r="44" spans="2:4">
      <c r="B44" s="14" t="s">
        <v>2001</v>
      </c>
      <c r="C44" s="14">
        <v>400</v>
      </c>
      <c r="D44" s="14">
        <v>3099</v>
      </c>
    </row>
    <row r="45" spans="2:4">
      <c r="B45" s="14" t="s">
        <v>2000</v>
      </c>
      <c r="C45" s="14">
        <v>900</v>
      </c>
      <c r="D45" s="14">
        <v>3099</v>
      </c>
    </row>
    <row r="46" spans="2:4">
      <c r="B46" s="14" t="s">
        <v>1999</v>
      </c>
      <c r="C46" s="14">
        <v>100</v>
      </c>
      <c r="D46" s="14">
        <v>3099</v>
      </c>
    </row>
    <row r="47" spans="2:4">
      <c r="B47" s="14" t="s">
        <v>1998</v>
      </c>
      <c r="C47" s="14">
        <v>800</v>
      </c>
      <c r="D47" s="14">
        <v>3100</v>
      </c>
    </row>
    <row r="48" spans="2:4">
      <c r="B48" s="14" t="s">
        <v>1997</v>
      </c>
      <c r="C48" s="14">
        <v>100</v>
      </c>
      <c r="D48" s="14">
        <v>3099</v>
      </c>
    </row>
    <row r="49" spans="2:4">
      <c r="B49" s="14" t="s">
        <v>1996</v>
      </c>
      <c r="C49" s="14">
        <v>100</v>
      </c>
      <c r="D49" s="14">
        <v>3099</v>
      </c>
    </row>
    <row r="50" spans="2:4">
      <c r="B50" s="14" t="s">
        <v>1995</v>
      </c>
      <c r="C50" s="14">
        <v>200</v>
      </c>
      <c r="D50" s="14">
        <v>3100</v>
      </c>
    </row>
    <row r="51" spans="2:4">
      <c r="B51" s="14" t="s">
        <v>1994</v>
      </c>
      <c r="C51" s="14">
        <v>800</v>
      </c>
      <c r="D51" s="14">
        <v>3099</v>
      </c>
    </row>
    <row r="52" spans="2:4">
      <c r="B52" s="14" t="s">
        <v>1993</v>
      </c>
      <c r="C52" s="14">
        <v>100</v>
      </c>
      <c r="D52" s="14">
        <v>3100</v>
      </c>
    </row>
    <row r="53" spans="2:4">
      <c r="B53" s="14" t="s">
        <v>1991</v>
      </c>
      <c r="C53" s="14">
        <v>100</v>
      </c>
      <c r="D53" s="14">
        <v>3099</v>
      </c>
    </row>
    <row r="54" spans="2:4">
      <c r="B54" s="14" t="s">
        <v>1991</v>
      </c>
      <c r="C54" s="14">
        <v>100</v>
      </c>
      <c r="D54" s="14">
        <v>3099</v>
      </c>
    </row>
    <row r="55" spans="2:4">
      <c r="B55" s="14" t="s">
        <v>1992</v>
      </c>
      <c r="C55" s="14">
        <v>200</v>
      </c>
      <c r="D55" s="14">
        <v>3099</v>
      </c>
    </row>
    <row r="56" spans="2:4">
      <c r="B56" s="14" t="s">
        <v>1992</v>
      </c>
      <c r="C56" s="14">
        <v>100</v>
      </c>
      <c r="D56" s="14">
        <v>3099</v>
      </c>
    </row>
    <row r="57" spans="2:4">
      <c r="B57" s="14" t="s">
        <v>1990</v>
      </c>
      <c r="C57" s="14">
        <v>500</v>
      </c>
      <c r="D57" s="14">
        <v>3099</v>
      </c>
    </row>
    <row r="58" spans="2:4">
      <c r="B58" s="14" t="s">
        <v>1989</v>
      </c>
      <c r="C58" s="14">
        <v>100</v>
      </c>
      <c r="D58" s="14">
        <v>3100</v>
      </c>
    </row>
    <row r="59" spans="2:4">
      <c r="B59" s="14" t="s">
        <v>1989</v>
      </c>
      <c r="C59" s="14">
        <v>100</v>
      </c>
      <c r="D59" s="14">
        <v>3099</v>
      </c>
    </row>
    <row r="60" spans="2:4">
      <c r="B60" s="14" t="s">
        <v>1989</v>
      </c>
      <c r="C60" s="14">
        <v>100</v>
      </c>
      <c r="D60" s="14">
        <v>3099</v>
      </c>
    </row>
    <row r="61" spans="2:4">
      <c r="B61" s="14" t="s">
        <v>1989</v>
      </c>
      <c r="C61" s="14">
        <v>100</v>
      </c>
      <c r="D61" s="14">
        <v>3099</v>
      </c>
    </row>
    <row r="62" spans="2:4">
      <c r="B62" s="14" t="s">
        <v>1989</v>
      </c>
      <c r="C62" s="14">
        <v>100</v>
      </c>
      <c r="D62" s="14">
        <v>3099</v>
      </c>
    </row>
    <row r="63" spans="2:4">
      <c r="B63" s="14" t="s">
        <v>1989</v>
      </c>
      <c r="C63" s="14">
        <v>100</v>
      </c>
      <c r="D63" s="14">
        <v>3099</v>
      </c>
    </row>
    <row r="64" spans="2:4">
      <c r="B64" s="14" t="s">
        <v>1989</v>
      </c>
      <c r="C64" s="14">
        <v>500</v>
      </c>
      <c r="D64" s="14">
        <v>3099</v>
      </c>
    </row>
    <row r="65" spans="2:4">
      <c r="B65" s="14" t="s">
        <v>1989</v>
      </c>
      <c r="C65" s="14">
        <v>400</v>
      </c>
      <c r="D65" s="14">
        <v>3099</v>
      </c>
    </row>
    <row r="66" spans="2:4">
      <c r="B66" s="14" t="s">
        <v>1989</v>
      </c>
      <c r="C66" s="14">
        <v>400</v>
      </c>
      <c r="D66" s="14">
        <v>3099</v>
      </c>
    </row>
    <row r="67" spans="2:4">
      <c r="B67" s="14" t="s">
        <v>1989</v>
      </c>
      <c r="C67" s="14">
        <v>6700</v>
      </c>
      <c r="D67" s="14">
        <v>3099</v>
      </c>
    </row>
    <row r="68" spans="2:4">
      <c r="B68" s="14" t="s">
        <v>1988</v>
      </c>
      <c r="C68" s="14">
        <v>100</v>
      </c>
      <c r="D68" s="14">
        <v>3099</v>
      </c>
    </row>
    <row r="69" spans="2:4">
      <c r="B69" s="14" t="s">
        <v>1987</v>
      </c>
      <c r="C69" s="14">
        <v>1500</v>
      </c>
      <c r="D69" s="14">
        <v>3100</v>
      </c>
    </row>
    <row r="70" spans="2:4">
      <c r="B70" s="14" t="s">
        <v>1986</v>
      </c>
      <c r="C70" s="14">
        <v>500</v>
      </c>
      <c r="D70" s="14">
        <v>3099</v>
      </c>
    </row>
    <row r="71" spans="2:4">
      <c r="B71" s="14" t="s">
        <v>1985</v>
      </c>
      <c r="C71" s="14">
        <v>400</v>
      </c>
      <c r="D71" s="14">
        <v>3099</v>
      </c>
    </row>
    <row r="72" spans="2:4">
      <c r="B72" s="14" t="s">
        <v>1984</v>
      </c>
      <c r="C72" s="14">
        <v>100</v>
      </c>
      <c r="D72" s="14">
        <v>3099</v>
      </c>
    </row>
    <row r="73" spans="2:4">
      <c r="B73" s="14" t="s">
        <v>1983</v>
      </c>
      <c r="C73" s="14">
        <v>200</v>
      </c>
      <c r="D73" s="14">
        <v>3099</v>
      </c>
    </row>
    <row r="74" spans="2:4">
      <c r="B74" s="14" t="s">
        <v>1982</v>
      </c>
      <c r="C74" s="14">
        <v>400</v>
      </c>
      <c r="D74" s="14">
        <v>3100</v>
      </c>
    </row>
    <row r="75" spans="2:4">
      <c r="B75" s="14" t="s">
        <v>1981</v>
      </c>
      <c r="C75" s="14">
        <v>100</v>
      </c>
      <c r="D75" s="14">
        <v>3099</v>
      </c>
    </row>
    <row r="76" spans="2:4">
      <c r="B76" s="14" t="s">
        <v>1980</v>
      </c>
      <c r="C76" s="14">
        <v>100</v>
      </c>
      <c r="D76" s="14">
        <v>3099</v>
      </c>
    </row>
    <row r="77" spans="2:4">
      <c r="B77" s="14" t="s">
        <v>1979</v>
      </c>
      <c r="C77" s="14">
        <v>100</v>
      </c>
      <c r="D77" s="14">
        <v>3099</v>
      </c>
    </row>
    <row r="78" spans="2:4">
      <c r="B78" s="14" t="s">
        <v>1978</v>
      </c>
      <c r="C78" s="14">
        <v>100</v>
      </c>
      <c r="D78" s="14">
        <v>3099</v>
      </c>
    </row>
    <row r="79" spans="2:4">
      <c r="B79" s="14" t="s">
        <v>1978</v>
      </c>
      <c r="C79" s="14">
        <v>100</v>
      </c>
      <c r="D79" s="14">
        <v>3099</v>
      </c>
    </row>
    <row r="80" spans="2:4">
      <c r="B80" s="14" t="s">
        <v>1978</v>
      </c>
      <c r="C80" s="14">
        <v>100</v>
      </c>
      <c r="D80" s="14">
        <v>3099</v>
      </c>
    </row>
    <row r="81" spans="2:4">
      <c r="B81" s="14" t="s">
        <v>1978</v>
      </c>
      <c r="C81" s="14">
        <v>100</v>
      </c>
      <c r="D81" s="14">
        <v>3099</v>
      </c>
    </row>
    <row r="82" spans="2:4">
      <c r="B82" s="14" t="s">
        <v>1978</v>
      </c>
      <c r="C82" s="14">
        <v>100</v>
      </c>
      <c r="D82" s="14">
        <v>3099</v>
      </c>
    </row>
    <row r="83" spans="2:4">
      <c r="B83" s="14" t="s">
        <v>1978</v>
      </c>
      <c r="C83" s="14">
        <v>100</v>
      </c>
      <c r="D83" s="14">
        <v>3099</v>
      </c>
    </row>
    <row r="84" spans="2:4">
      <c r="B84" s="14" t="s">
        <v>1978</v>
      </c>
      <c r="C84" s="14">
        <v>100</v>
      </c>
      <c r="D84" s="14">
        <v>3099</v>
      </c>
    </row>
    <row r="85" spans="2:4">
      <c r="B85" s="14" t="s">
        <v>1978</v>
      </c>
      <c r="C85" s="14">
        <v>100</v>
      </c>
      <c r="D85" s="14">
        <v>3099</v>
      </c>
    </row>
    <row r="86" spans="2:4">
      <c r="B86" s="14" t="s">
        <v>1978</v>
      </c>
      <c r="C86" s="14">
        <v>100</v>
      </c>
      <c r="D86" s="14">
        <v>3099</v>
      </c>
    </row>
    <row r="87" spans="2:4">
      <c r="B87" s="14" t="s">
        <v>1978</v>
      </c>
      <c r="C87" s="14">
        <v>13400</v>
      </c>
      <c r="D87" s="14">
        <v>3099</v>
      </c>
    </row>
    <row r="88" spans="2:4">
      <c r="B88" s="14" t="s">
        <v>1977</v>
      </c>
      <c r="C88" s="14">
        <v>500</v>
      </c>
      <c r="D88" s="14">
        <v>3099</v>
      </c>
    </row>
    <row r="89" spans="2:4">
      <c r="B89" s="14" t="s">
        <v>1976</v>
      </c>
      <c r="C89" s="14">
        <v>400</v>
      </c>
      <c r="D89" s="14">
        <v>3099</v>
      </c>
    </row>
    <row r="90" spans="2:4">
      <c r="B90" s="14" t="s">
        <v>1975</v>
      </c>
      <c r="C90" s="14">
        <v>100</v>
      </c>
      <c r="D90" s="14">
        <v>3100</v>
      </c>
    </row>
    <row r="91" spans="2:4">
      <c r="B91" s="14" t="s">
        <v>1975</v>
      </c>
      <c r="C91" s="14">
        <v>100</v>
      </c>
      <c r="D91" s="14">
        <v>3100</v>
      </c>
    </row>
    <row r="92" spans="2:4">
      <c r="B92" s="14" t="s">
        <v>1974</v>
      </c>
      <c r="C92" s="14">
        <v>900</v>
      </c>
      <c r="D92" s="14">
        <v>3099</v>
      </c>
    </row>
    <row r="93" spans="2:4">
      <c r="B93" s="14" t="s">
        <v>1973</v>
      </c>
      <c r="C93" s="14">
        <v>100</v>
      </c>
      <c r="D93" s="14">
        <v>3100</v>
      </c>
    </row>
    <row r="94" spans="2:4">
      <c r="B94" s="14" t="s">
        <v>1972</v>
      </c>
      <c r="C94" s="14">
        <v>100</v>
      </c>
      <c r="D94" s="14">
        <v>3100</v>
      </c>
    </row>
    <row r="95" spans="2:4">
      <c r="B95" s="14" t="s">
        <v>1971</v>
      </c>
      <c r="C95" s="14">
        <v>1000</v>
      </c>
      <c r="D95" s="14">
        <v>3099</v>
      </c>
    </row>
    <row r="96" spans="2:4">
      <c r="B96" s="14" t="s">
        <v>1970</v>
      </c>
      <c r="C96" s="14">
        <v>700</v>
      </c>
      <c r="D96" s="14">
        <v>3099</v>
      </c>
    </row>
    <row r="97" spans="2:4">
      <c r="B97" s="14" t="s">
        <v>1969</v>
      </c>
      <c r="C97" s="14">
        <v>100</v>
      </c>
      <c r="D97" s="14">
        <v>3100</v>
      </c>
    </row>
    <row r="98" spans="2:4">
      <c r="B98" s="14" t="s">
        <v>1968</v>
      </c>
      <c r="C98" s="14">
        <v>400</v>
      </c>
      <c r="D98" s="14">
        <v>3099</v>
      </c>
    </row>
    <row r="99" spans="2:4">
      <c r="B99" s="14" t="s">
        <v>1967</v>
      </c>
      <c r="C99" s="14">
        <v>100</v>
      </c>
      <c r="D99" s="14">
        <v>3099</v>
      </c>
    </row>
    <row r="100" spans="2:4">
      <c r="B100" s="14" t="s">
        <v>1967</v>
      </c>
      <c r="C100" s="14">
        <v>18400</v>
      </c>
      <c r="D100" s="14">
        <v>3100</v>
      </c>
    </row>
    <row r="101" spans="2:4">
      <c r="B101" s="14" t="s">
        <v>1967</v>
      </c>
      <c r="C101" s="14">
        <v>200</v>
      </c>
      <c r="D101" s="14">
        <v>3100</v>
      </c>
    </row>
    <row r="102" spans="2:4">
      <c r="B102" s="14" t="s">
        <v>1966</v>
      </c>
      <c r="C102" s="14">
        <v>400</v>
      </c>
      <c r="D102" s="14">
        <v>3098</v>
      </c>
    </row>
    <row r="103" spans="2:4">
      <c r="B103" s="14" t="s">
        <v>1965</v>
      </c>
      <c r="C103" s="14">
        <v>3100</v>
      </c>
      <c r="D103" s="14">
        <v>3099</v>
      </c>
    </row>
    <row r="104" spans="2:4">
      <c r="B104" s="16" t="s">
        <v>1965</v>
      </c>
      <c r="C104" s="16">
        <v>1400</v>
      </c>
      <c r="D104" s="16">
        <v>3099</v>
      </c>
    </row>
    <row r="105" spans="2:4">
      <c r="B105" s="14" t="s">
        <v>1965</v>
      </c>
      <c r="C105" s="14">
        <v>200</v>
      </c>
      <c r="D105" s="14">
        <v>3099</v>
      </c>
    </row>
    <row r="106" spans="2:4">
      <c r="B106" s="14" t="s">
        <v>1965</v>
      </c>
      <c r="C106" s="14">
        <v>6000</v>
      </c>
      <c r="D106" s="14">
        <v>3099</v>
      </c>
    </row>
    <row r="107" spans="2:4">
      <c r="B107" s="14" t="s">
        <v>1965</v>
      </c>
      <c r="C107" s="14">
        <v>700</v>
      </c>
      <c r="D107" s="14">
        <v>3099</v>
      </c>
    </row>
    <row r="108" spans="2:4">
      <c r="B108" s="14" t="s">
        <v>1965</v>
      </c>
      <c r="C108" s="14">
        <v>400</v>
      </c>
      <c r="D108" s="14">
        <v>3099</v>
      </c>
    </row>
    <row r="109" spans="2:4">
      <c r="B109" s="14" t="s">
        <v>1965</v>
      </c>
      <c r="C109" s="14">
        <v>900</v>
      </c>
      <c r="D109" s="14">
        <v>3099</v>
      </c>
    </row>
    <row r="110" spans="2:4">
      <c r="B110" s="14" t="s">
        <v>1965</v>
      </c>
      <c r="C110" s="14">
        <v>4000</v>
      </c>
      <c r="D110" s="14">
        <v>3099</v>
      </c>
    </row>
    <row r="111" spans="2:4">
      <c r="B111" s="14" t="s">
        <v>1965</v>
      </c>
      <c r="C111" s="14">
        <v>9800</v>
      </c>
      <c r="D111" s="14">
        <v>3099</v>
      </c>
    </row>
    <row r="112" spans="2:4">
      <c r="B112" s="14" t="s">
        <v>1965</v>
      </c>
      <c r="C112" s="14">
        <v>12400</v>
      </c>
      <c r="D112" s="14">
        <v>3099</v>
      </c>
    </row>
    <row r="113" spans="2:4">
      <c r="B113" s="14" t="s">
        <v>1964</v>
      </c>
      <c r="C113" s="14">
        <v>100</v>
      </c>
      <c r="D113" s="14">
        <v>3099</v>
      </c>
    </row>
    <row r="114" spans="2:4">
      <c r="B114" s="14" t="s">
        <v>1963</v>
      </c>
      <c r="C114" s="14">
        <v>100</v>
      </c>
      <c r="D114" s="14">
        <v>3100</v>
      </c>
    </row>
    <row r="115" spans="2:4">
      <c r="B115" s="14" t="s">
        <v>1962</v>
      </c>
      <c r="C115" s="14">
        <v>5000</v>
      </c>
      <c r="D115" s="14">
        <v>3100</v>
      </c>
    </row>
    <row r="116" spans="2:4">
      <c r="B116" s="14" t="s">
        <v>1954</v>
      </c>
      <c r="C116" s="14">
        <v>100</v>
      </c>
      <c r="D116" s="14">
        <v>3099</v>
      </c>
    </row>
    <row r="117" spans="2:4">
      <c r="B117" s="14" t="s">
        <v>1955</v>
      </c>
      <c r="C117" s="14">
        <v>100</v>
      </c>
      <c r="D117" s="14">
        <v>3099</v>
      </c>
    </row>
    <row r="118" spans="2:4">
      <c r="B118" s="14" t="s">
        <v>1956</v>
      </c>
      <c r="C118" s="14">
        <v>1700</v>
      </c>
      <c r="D118" s="14">
        <v>3099</v>
      </c>
    </row>
    <row r="119" spans="2:4">
      <c r="B119" s="14" t="s">
        <v>1957</v>
      </c>
      <c r="C119" s="14">
        <v>500</v>
      </c>
      <c r="D119" s="14">
        <v>3099</v>
      </c>
    </row>
    <row r="120" spans="2:4">
      <c r="B120" s="14" t="s">
        <v>1958</v>
      </c>
      <c r="C120" s="14">
        <v>100</v>
      </c>
      <c r="D120" s="14">
        <v>3099</v>
      </c>
    </row>
    <row r="121" spans="2:4">
      <c r="B121" s="14" t="s">
        <v>1959</v>
      </c>
      <c r="C121" s="14">
        <v>1400</v>
      </c>
      <c r="D121" s="14">
        <v>3099</v>
      </c>
    </row>
    <row r="122" spans="2:4">
      <c r="B122" s="14" t="s">
        <v>1959</v>
      </c>
      <c r="C122" s="14">
        <v>2900</v>
      </c>
      <c r="D122" s="14">
        <v>3100</v>
      </c>
    </row>
    <row r="123" spans="2:4">
      <c r="B123" s="14" t="s">
        <v>1959</v>
      </c>
      <c r="C123" s="14">
        <v>10000</v>
      </c>
      <c r="D123" s="14">
        <v>3100</v>
      </c>
    </row>
    <row r="124" spans="2:4">
      <c r="B124" s="14" t="s">
        <v>1960</v>
      </c>
      <c r="C124" s="14">
        <v>100</v>
      </c>
      <c r="D124" s="14">
        <v>3099</v>
      </c>
    </row>
    <row r="125" spans="2:4">
      <c r="B125" s="14" t="s">
        <v>1961</v>
      </c>
      <c r="C125" s="14">
        <v>100</v>
      </c>
      <c r="D125" s="14">
        <v>3099</v>
      </c>
    </row>
    <row r="126" spans="2:4">
      <c r="B126" s="14" t="s">
        <v>1951</v>
      </c>
      <c r="C126" s="14">
        <v>400</v>
      </c>
      <c r="D126" s="14">
        <v>3099</v>
      </c>
    </row>
    <row r="127" spans="2:4">
      <c r="B127" s="14" t="s">
        <v>1952</v>
      </c>
      <c r="C127" s="14">
        <v>100</v>
      </c>
      <c r="D127" s="14">
        <v>3099</v>
      </c>
    </row>
    <row r="128" spans="2:4">
      <c r="B128" s="14" t="s">
        <v>1949</v>
      </c>
      <c r="C128" s="14">
        <v>200</v>
      </c>
      <c r="D128" s="14">
        <v>3099</v>
      </c>
    </row>
    <row r="129" spans="2:4">
      <c r="B129" s="14" t="s">
        <v>1949</v>
      </c>
      <c r="C129" s="14">
        <v>1400</v>
      </c>
      <c r="D129" s="14">
        <v>3099</v>
      </c>
    </row>
    <row r="130" spans="2:4">
      <c r="B130" s="14" t="s">
        <v>1950</v>
      </c>
      <c r="C130" s="14">
        <v>300</v>
      </c>
      <c r="D130" s="14">
        <v>3099</v>
      </c>
    </row>
    <row r="131" spans="2:4">
      <c r="B131" s="14" t="s">
        <v>1950</v>
      </c>
      <c r="C131" s="14">
        <v>100</v>
      </c>
      <c r="D131" s="14">
        <v>3100</v>
      </c>
    </row>
    <row r="132" spans="2:4">
      <c r="B132" s="14" t="s">
        <v>1950</v>
      </c>
      <c r="C132" s="14">
        <v>10000</v>
      </c>
      <c r="D132" s="14">
        <v>3099</v>
      </c>
    </row>
    <row r="133" spans="2:4">
      <c r="B133" s="14" t="s">
        <v>1948</v>
      </c>
      <c r="C133" s="14">
        <v>100</v>
      </c>
      <c r="D133" s="14">
        <v>3099</v>
      </c>
    </row>
    <row r="134" spans="2:4">
      <c r="B134" s="14" t="s">
        <v>1947</v>
      </c>
      <c r="C134" s="14">
        <v>800</v>
      </c>
      <c r="D134" s="14">
        <v>3099</v>
      </c>
    </row>
    <row r="135" spans="2:4">
      <c r="B135" s="14" t="s">
        <v>1946</v>
      </c>
      <c r="C135" s="14">
        <v>200</v>
      </c>
      <c r="D135" s="14">
        <v>3100</v>
      </c>
    </row>
    <row r="136" spans="2:4">
      <c r="B136" s="14" t="s">
        <v>1946</v>
      </c>
      <c r="C136" s="14">
        <v>100</v>
      </c>
      <c r="D136" s="14">
        <v>3099</v>
      </c>
    </row>
    <row r="137" spans="2:4">
      <c r="B137" s="14" t="s">
        <v>1945</v>
      </c>
      <c r="C137" s="14">
        <v>100</v>
      </c>
      <c r="D137" s="14">
        <v>3100</v>
      </c>
    </row>
    <row r="138" spans="2:4">
      <c r="B138" s="14" t="s">
        <v>1944</v>
      </c>
      <c r="C138" s="14">
        <v>100</v>
      </c>
      <c r="D138" s="14">
        <v>3099</v>
      </c>
    </row>
    <row r="139" spans="2:4">
      <c r="B139" s="14" t="s">
        <v>1943</v>
      </c>
      <c r="C139" s="14">
        <v>300</v>
      </c>
      <c r="D139" s="14">
        <v>3099</v>
      </c>
    </row>
    <row r="140" spans="2:4">
      <c r="B140" s="14" t="s">
        <v>1943</v>
      </c>
      <c r="C140" s="14">
        <v>100</v>
      </c>
      <c r="D140" s="14">
        <v>3099</v>
      </c>
    </row>
    <row r="141" spans="2:4">
      <c r="B141" s="14" t="s">
        <v>1943</v>
      </c>
      <c r="C141" s="14">
        <v>3800</v>
      </c>
      <c r="D141" s="14">
        <v>3099</v>
      </c>
    </row>
    <row r="142" spans="2:4">
      <c r="B142" s="14" t="s">
        <v>1942</v>
      </c>
      <c r="C142" s="14">
        <v>100</v>
      </c>
      <c r="D142" s="14">
        <v>3100</v>
      </c>
    </row>
    <row r="143" spans="2:4">
      <c r="B143" s="14" t="s">
        <v>1942</v>
      </c>
      <c r="C143" s="14">
        <v>600</v>
      </c>
      <c r="D143" s="14">
        <v>3099</v>
      </c>
    </row>
    <row r="144" spans="2:4">
      <c r="B144" s="14" t="s">
        <v>1941</v>
      </c>
      <c r="C144" s="14">
        <v>100</v>
      </c>
      <c r="D144" s="14">
        <v>3099</v>
      </c>
    </row>
    <row r="145" spans="2:4">
      <c r="B145" s="14" t="s">
        <v>1941</v>
      </c>
      <c r="C145" s="14">
        <v>100</v>
      </c>
      <c r="D145" s="14">
        <v>3099</v>
      </c>
    </row>
    <row r="146" spans="2:4">
      <c r="B146" s="14" t="s">
        <v>1940</v>
      </c>
      <c r="C146" s="14">
        <v>1300</v>
      </c>
      <c r="D146" s="14">
        <v>3099</v>
      </c>
    </row>
    <row r="147" spans="2:4">
      <c r="B147" s="14" t="s">
        <v>1940</v>
      </c>
      <c r="C147" s="14">
        <v>600</v>
      </c>
      <c r="D147" s="14">
        <v>3099</v>
      </c>
    </row>
    <row r="148" spans="2:4">
      <c r="B148" s="14" t="s">
        <v>1940</v>
      </c>
      <c r="C148" s="14">
        <v>900</v>
      </c>
      <c r="D148" s="14">
        <v>3099</v>
      </c>
    </row>
    <row r="149" spans="2:4">
      <c r="B149" s="14" t="s">
        <v>1939</v>
      </c>
      <c r="C149" s="14">
        <v>500</v>
      </c>
      <c r="D149" s="14">
        <v>3099</v>
      </c>
    </row>
    <row r="150" spans="2:4">
      <c r="B150" s="14" t="s">
        <v>1938</v>
      </c>
      <c r="C150" s="14">
        <v>100</v>
      </c>
      <c r="D150" s="14">
        <v>3099</v>
      </c>
    </row>
    <row r="151" spans="2:4">
      <c r="B151" s="14" t="s">
        <v>1937</v>
      </c>
      <c r="C151" s="14">
        <v>700</v>
      </c>
      <c r="D151" s="14">
        <v>3099</v>
      </c>
    </row>
    <row r="152" spans="2:4">
      <c r="B152" s="14" t="s">
        <v>1936</v>
      </c>
      <c r="C152" s="14">
        <v>100</v>
      </c>
      <c r="D152" s="14">
        <v>3099</v>
      </c>
    </row>
    <row r="153" spans="2:4">
      <c r="B153" s="14" t="s">
        <v>1935</v>
      </c>
      <c r="C153" s="14">
        <v>100</v>
      </c>
      <c r="D153" s="14">
        <v>3099</v>
      </c>
    </row>
    <row r="154" spans="2:4">
      <c r="B154" s="14" t="s">
        <v>1934</v>
      </c>
      <c r="C154" s="14">
        <v>1300</v>
      </c>
      <c r="D154" s="14">
        <v>3099</v>
      </c>
    </row>
    <row r="155" spans="2:4">
      <c r="B155" s="14" t="s">
        <v>1934</v>
      </c>
      <c r="C155" s="14">
        <v>7500</v>
      </c>
      <c r="D155" s="14">
        <v>3099</v>
      </c>
    </row>
    <row r="156" spans="2:4">
      <c r="B156" s="14" t="s">
        <v>1933</v>
      </c>
      <c r="C156" s="14">
        <v>800</v>
      </c>
      <c r="D156" s="14">
        <v>3100</v>
      </c>
    </row>
    <row r="157" spans="2:4">
      <c r="B157" s="14" t="s">
        <v>1932</v>
      </c>
      <c r="C157" s="14">
        <v>100</v>
      </c>
      <c r="D157" s="14">
        <v>3099</v>
      </c>
    </row>
    <row r="158" spans="2:4">
      <c r="B158" s="14" t="s">
        <v>1931</v>
      </c>
      <c r="C158" s="14">
        <v>100</v>
      </c>
      <c r="D158" s="14">
        <v>3099</v>
      </c>
    </row>
    <row r="159" spans="2:4">
      <c r="B159" s="14" t="s">
        <v>1930</v>
      </c>
      <c r="C159" s="14">
        <v>200</v>
      </c>
      <c r="D159" s="14">
        <v>3099</v>
      </c>
    </row>
    <row r="160" spans="2:4">
      <c r="B160" s="14" t="s">
        <v>1929</v>
      </c>
      <c r="C160" s="14">
        <v>100</v>
      </c>
      <c r="D160" s="14">
        <v>3100</v>
      </c>
    </row>
    <row r="161" spans="2:4">
      <c r="B161" s="14" t="s">
        <v>1928</v>
      </c>
      <c r="C161" s="14">
        <v>100</v>
      </c>
      <c r="D161" s="14">
        <v>3099</v>
      </c>
    </row>
    <row r="162" spans="2:4">
      <c r="B162" s="14" t="s">
        <v>1927</v>
      </c>
      <c r="C162" s="14">
        <v>700</v>
      </c>
      <c r="D162" s="14">
        <v>3100</v>
      </c>
    </row>
    <row r="163" spans="2:4">
      <c r="B163" s="14" t="s">
        <v>1925</v>
      </c>
      <c r="C163" s="14">
        <v>300</v>
      </c>
      <c r="D163" s="14">
        <v>3099</v>
      </c>
    </row>
    <row r="164" spans="2:4">
      <c r="B164" s="14" t="s">
        <v>1926</v>
      </c>
      <c r="C164" s="14">
        <v>800</v>
      </c>
      <c r="D164" s="14">
        <v>3099</v>
      </c>
    </row>
    <row r="165" spans="2:4">
      <c r="B165" s="14" t="s">
        <v>1923</v>
      </c>
      <c r="C165" s="14">
        <v>1400</v>
      </c>
      <c r="D165" s="14">
        <v>3099</v>
      </c>
    </row>
    <row r="166" spans="2:4">
      <c r="B166" s="14" t="s">
        <v>1923</v>
      </c>
      <c r="C166" s="14">
        <v>800</v>
      </c>
      <c r="D166" s="14">
        <v>3099</v>
      </c>
    </row>
    <row r="167" spans="2:4">
      <c r="B167" s="14" t="s">
        <v>1923</v>
      </c>
      <c r="C167" s="14">
        <v>100</v>
      </c>
      <c r="D167" s="14">
        <v>3100</v>
      </c>
    </row>
    <row r="168" spans="2:4">
      <c r="B168" s="14" t="s">
        <v>1924</v>
      </c>
      <c r="C168" s="14">
        <v>800</v>
      </c>
      <c r="D168" s="14">
        <v>3099</v>
      </c>
    </row>
    <row r="169" spans="2:4">
      <c r="B169" s="14" t="s">
        <v>1924</v>
      </c>
      <c r="C169" s="14">
        <v>6500</v>
      </c>
      <c r="D169" s="14">
        <v>3099</v>
      </c>
    </row>
    <row r="170" spans="2:4">
      <c r="B170" s="14" t="s">
        <v>1924</v>
      </c>
      <c r="C170" s="14">
        <v>100</v>
      </c>
      <c r="D170" s="14">
        <v>3099</v>
      </c>
    </row>
    <row r="171" spans="2:4">
      <c r="B171" s="14" t="s">
        <v>1924</v>
      </c>
      <c r="C171" s="14">
        <v>900</v>
      </c>
      <c r="D171" s="14">
        <v>3099</v>
      </c>
    </row>
    <row r="172" spans="2:4">
      <c r="B172" s="14" t="s">
        <v>1922</v>
      </c>
      <c r="C172" s="14">
        <v>300</v>
      </c>
      <c r="D172" s="14">
        <v>3099</v>
      </c>
    </row>
    <row r="173" spans="2:4">
      <c r="B173" s="14" t="s">
        <v>1921</v>
      </c>
      <c r="C173" s="14">
        <v>300</v>
      </c>
      <c r="D173" s="14">
        <v>3098</v>
      </c>
    </row>
    <row r="174" spans="2:4">
      <c r="B174" s="14" t="s">
        <v>1920</v>
      </c>
      <c r="C174" s="14">
        <v>100</v>
      </c>
      <c r="D174" s="14">
        <v>3099</v>
      </c>
    </row>
    <row r="175" spans="2:4">
      <c r="B175" s="14" t="s">
        <v>1919</v>
      </c>
      <c r="C175" s="14">
        <v>800</v>
      </c>
      <c r="D175" s="14">
        <v>3099</v>
      </c>
    </row>
    <row r="176" spans="2:4">
      <c r="B176" s="14" t="s">
        <v>1918</v>
      </c>
      <c r="C176" s="14">
        <v>1700</v>
      </c>
      <c r="D176" s="14">
        <v>3098</v>
      </c>
    </row>
    <row r="177" spans="2:4">
      <c r="B177" s="14" t="s">
        <v>1917</v>
      </c>
      <c r="C177" s="14">
        <v>200</v>
      </c>
      <c r="D177" s="14">
        <v>3098</v>
      </c>
    </row>
    <row r="178" spans="2:4">
      <c r="B178" s="14" t="s">
        <v>1916</v>
      </c>
      <c r="C178" s="14">
        <v>2200</v>
      </c>
      <c r="D178" s="14">
        <v>3098</v>
      </c>
    </row>
    <row r="179" spans="2:4">
      <c r="B179" s="14" t="s">
        <v>1916</v>
      </c>
      <c r="C179" s="14">
        <v>1400</v>
      </c>
      <c r="D179" s="14">
        <v>3098</v>
      </c>
    </row>
    <row r="180" spans="2:4">
      <c r="B180" s="14" t="s">
        <v>1915</v>
      </c>
      <c r="C180" s="14">
        <v>500</v>
      </c>
      <c r="D180" s="14">
        <v>3099</v>
      </c>
    </row>
    <row r="181" spans="2:4">
      <c r="B181" s="14" t="s">
        <v>1915</v>
      </c>
      <c r="C181" s="14">
        <v>100</v>
      </c>
      <c r="D181" s="14">
        <v>3099</v>
      </c>
    </row>
    <row r="182" spans="2:4">
      <c r="B182" s="14" t="s">
        <v>1914</v>
      </c>
      <c r="C182" s="14">
        <v>200</v>
      </c>
      <c r="D182" s="14">
        <v>3099</v>
      </c>
    </row>
    <row r="183" spans="2:4">
      <c r="B183" s="14" t="s">
        <v>1913</v>
      </c>
      <c r="C183" s="14">
        <v>200</v>
      </c>
      <c r="D183" s="14">
        <v>3098</v>
      </c>
    </row>
    <row r="184" spans="2:4">
      <c r="B184" s="14" t="s">
        <v>1912</v>
      </c>
      <c r="C184" s="14">
        <v>1500</v>
      </c>
      <c r="D184" s="14">
        <v>3099</v>
      </c>
    </row>
    <row r="185" spans="2:4">
      <c r="B185" s="14" t="s">
        <v>1911</v>
      </c>
      <c r="C185" s="14">
        <v>600</v>
      </c>
      <c r="D185" s="14">
        <v>3099</v>
      </c>
    </row>
    <row r="186" spans="2:4">
      <c r="B186" s="14" t="s">
        <v>1909</v>
      </c>
      <c r="C186" s="14">
        <v>1000</v>
      </c>
      <c r="D186" s="14">
        <v>3099</v>
      </c>
    </row>
    <row r="187" spans="2:4">
      <c r="B187" s="14" t="s">
        <v>1909</v>
      </c>
      <c r="C187" s="14">
        <v>300</v>
      </c>
      <c r="D187" s="14">
        <v>3099</v>
      </c>
    </row>
    <row r="188" spans="2:4">
      <c r="B188" s="14" t="s">
        <v>1909</v>
      </c>
      <c r="C188" s="14">
        <v>300</v>
      </c>
      <c r="D188" s="14">
        <v>3099</v>
      </c>
    </row>
    <row r="189" spans="2:4">
      <c r="B189" s="14" t="s">
        <v>1909</v>
      </c>
      <c r="C189" s="14">
        <v>100</v>
      </c>
      <c r="D189" s="14">
        <v>3099</v>
      </c>
    </row>
    <row r="190" spans="2:4">
      <c r="B190" s="14" t="s">
        <v>1909</v>
      </c>
      <c r="C190" s="14">
        <v>800</v>
      </c>
      <c r="D190" s="14">
        <v>3099</v>
      </c>
    </row>
    <row r="191" spans="2:4">
      <c r="B191" s="14" t="s">
        <v>1909</v>
      </c>
      <c r="C191" s="14">
        <v>300</v>
      </c>
      <c r="D191" s="14">
        <v>3099</v>
      </c>
    </row>
    <row r="192" spans="2:4">
      <c r="B192" s="14" t="s">
        <v>1909</v>
      </c>
      <c r="C192" s="14">
        <v>100</v>
      </c>
      <c r="D192" s="14">
        <v>3099</v>
      </c>
    </row>
    <row r="193" spans="2:4">
      <c r="B193" s="14" t="s">
        <v>1909</v>
      </c>
      <c r="C193" s="14">
        <v>200</v>
      </c>
      <c r="D193" s="14">
        <v>3099</v>
      </c>
    </row>
    <row r="194" spans="2:4">
      <c r="B194" s="14" t="s">
        <v>1909</v>
      </c>
      <c r="C194" s="14">
        <v>1200</v>
      </c>
      <c r="D194" s="14">
        <v>3099</v>
      </c>
    </row>
    <row r="195" spans="2:4">
      <c r="B195" s="14" t="s">
        <v>1909</v>
      </c>
      <c r="C195" s="14">
        <v>500</v>
      </c>
      <c r="D195" s="14">
        <v>3099</v>
      </c>
    </row>
    <row r="196" spans="2:4">
      <c r="B196" s="14" t="s">
        <v>1910</v>
      </c>
      <c r="C196" s="14">
        <v>300</v>
      </c>
      <c r="D196" s="14">
        <v>3099</v>
      </c>
    </row>
    <row r="197" spans="2:4">
      <c r="B197" s="14" t="s">
        <v>1910</v>
      </c>
      <c r="C197" s="14">
        <v>9000</v>
      </c>
      <c r="D197" s="14">
        <v>3099</v>
      </c>
    </row>
    <row r="198" spans="2:4">
      <c r="B198" s="14" t="s">
        <v>1908</v>
      </c>
      <c r="C198" s="14">
        <v>2600</v>
      </c>
      <c r="D198" s="14">
        <v>3098</v>
      </c>
    </row>
    <row r="199" spans="2:4">
      <c r="B199" s="14" t="s">
        <v>1907</v>
      </c>
      <c r="C199" s="14">
        <v>100</v>
      </c>
      <c r="D199" s="14">
        <v>3098</v>
      </c>
    </row>
    <row r="200" spans="2:4">
      <c r="B200" s="14" t="s">
        <v>1907</v>
      </c>
      <c r="C200" s="14">
        <v>500</v>
      </c>
      <c r="D200" s="14">
        <v>3098</v>
      </c>
    </row>
    <row r="201" spans="2:4">
      <c r="B201" s="14" t="s">
        <v>1907</v>
      </c>
      <c r="C201" s="14">
        <v>200</v>
      </c>
      <c r="D201" s="14">
        <v>3098</v>
      </c>
    </row>
    <row r="202" spans="2:4">
      <c r="B202" s="14" t="s">
        <v>1907</v>
      </c>
      <c r="C202" s="14">
        <v>100</v>
      </c>
      <c r="D202" s="14">
        <v>3098</v>
      </c>
    </row>
    <row r="203" spans="2:4">
      <c r="B203" s="14" t="s">
        <v>1907</v>
      </c>
      <c r="C203" s="14">
        <v>1100</v>
      </c>
      <c r="D203" s="14">
        <v>3098</v>
      </c>
    </row>
    <row r="204" spans="2:4">
      <c r="B204" s="16" t="s">
        <v>1907</v>
      </c>
      <c r="C204" s="16">
        <v>16700</v>
      </c>
      <c r="D204" s="16">
        <v>3098</v>
      </c>
    </row>
    <row r="205" spans="2:4">
      <c r="B205" s="14" t="s">
        <v>1907</v>
      </c>
      <c r="C205" s="14">
        <v>3000</v>
      </c>
      <c r="D205" s="14">
        <v>3098</v>
      </c>
    </row>
    <row r="206" spans="2:4">
      <c r="B206" s="14" t="s">
        <v>1907</v>
      </c>
      <c r="C206" s="14">
        <v>10000</v>
      </c>
      <c r="D206" s="14">
        <v>3098</v>
      </c>
    </row>
    <row r="207" spans="2:4">
      <c r="B207" s="14" t="s">
        <v>1906</v>
      </c>
      <c r="C207" s="14">
        <v>800</v>
      </c>
      <c r="D207" s="14">
        <v>3098</v>
      </c>
    </row>
    <row r="208" spans="2:4">
      <c r="B208" s="14" t="s">
        <v>1905</v>
      </c>
      <c r="C208" s="14">
        <v>7400</v>
      </c>
      <c r="D208" s="14">
        <v>3098</v>
      </c>
    </row>
    <row r="209" spans="2:4">
      <c r="B209" s="14" t="s">
        <v>1905</v>
      </c>
      <c r="C209" s="14">
        <v>2200</v>
      </c>
      <c r="D209" s="14">
        <v>3098</v>
      </c>
    </row>
    <row r="210" spans="2:4">
      <c r="B210" s="14" t="s">
        <v>1904</v>
      </c>
      <c r="C210" s="14">
        <v>400</v>
      </c>
      <c r="D210" s="14">
        <v>3097</v>
      </c>
    </row>
    <row r="211" spans="2:4">
      <c r="B211" s="14" t="s">
        <v>1903</v>
      </c>
      <c r="C211" s="14">
        <v>100</v>
      </c>
      <c r="D211" s="14">
        <v>3097</v>
      </c>
    </row>
    <row r="212" spans="2:4">
      <c r="B212" s="14" t="s">
        <v>1903</v>
      </c>
      <c r="C212" s="14">
        <v>400</v>
      </c>
      <c r="D212" s="14">
        <v>3097</v>
      </c>
    </row>
    <row r="213" spans="2:4">
      <c r="B213" s="14" t="s">
        <v>1903</v>
      </c>
      <c r="C213" s="14">
        <v>400</v>
      </c>
      <c r="D213" s="14">
        <v>3097</v>
      </c>
    </row>
    <row r="214" spans="2:4">
      <c r="B214" s="14" t="s">
        <v>1903</v>
      </c>
      <c r="C214" s="14">
        <v>200</v>
      </c>
      <c r="D214" s="14">
        <v>3097</v>
      </c>
    </row>
    <row r="215" spans="2:4">
      <c r="B215" s="14" t="s">
        <v>1903</v>
      </c>
      <c r="C215" s="14">
        <v>300</v>
      </c>
      <c r="D215" s="14">
        <v>3097</v>
      </c>
    </row>
    <row r="216" spans="2:4">
      <c r="B216" s="14" t="s">
        <v>1903</v>
      </c>
      <c r="C216" s="14">
        <v>500</v>
      </c>
      <c r="D216" s="14">
        <v>3097</v>
      </c>
    </row>
    <row r="217" spans="2:4">
      <c r="B217" s="14" t="s">
        <v>1903</v>
      </c>
      <c r="C217" s="14">
        <v>500</v>
      </c>
      <c r="D217" s="14">
        <v>3097</v>
      </c>
    </row>
    <row r="218" spans="2:4">
      <c r="B218" s="14" t="s">
        <v>1903</v>
      </c>
      <c r="C218" s="14">
        <v>1900</v>
      </c>
      <c r="D218" s="14">
        <v>3097</v>
      </c>
    </row>
    <row r="219" spans="2:4">
      <c r="B219" s="14" t="s">
        <v>1903</v>
      </c>
      <c r="C219" s="14">
        <v>100</v>
      </c>
      <c r="D219" s="14">
        <v>3097</v>
      </c>
    </row>
    <row r="220" spans="2:4">
      <c r="B220" s="14" t="s">
        <v>1903</v>
      </c>
      <c r="C220" s="14">
        <v>400</v>
      </c>
      <c r="D220" s="14">
        <v>3097</v>
      </c>
    </row>
    <row r="221" spans="2:4">
      <c r="B221" s="14" t="s">
        <v>1903</v>
      </c>
      <c r="C221" s="14">
        <v>200</v>
      </c>
      <c r="D221" s="14">
        <v>3097</v>
      </c>
    </row>
    <row r="222" spans="2:4">
      <c r="B222" s="14" t="s">
        <v>1903</v>
      </c>
      <c r="C222" s="14">
        <v>200</v>
      </c>
      <c r="D222" s="14">
        <v>3097</v>
      </c>
    </row>
    <row r="223" spans="2:4">
      <c r="B223" s="14" t="s">
        <v>1903</v>
      </c>
      <c r="C223" s="14">
        <v>300</v>
      </c>
      <c r="D223" s="14">
        <v>3097</v>
      </c>
    </row>
    <row r="224" spans="2:4">
      <c r="B224" s="14" t="s">
        <v>1903</v>
      </c>
      <c r="C224" s="14">
        <v>300</v>
      </c>
      <c r="D224" s="14">
        <v>3097</v>
      </c>
    </row>
    <row r="225" spans="2:4">
      <c r="B225" s="14" t="s">
        <v>1903</v>
      </c>
      <c r="C225" s="14">
        <v>200</v>
      </c>
      <c r="D225" s="14">
        <v>3097</v>
      </c>
    </row>
    <row r="226" spans="2:4">
      <c r="B226" s="14" t="s">
        <v>1903</v>
      </c>
      <c r="C226" s="14">
        <v>15300</v>
      </c>
      <c r="D226" s="14">
        <v>3097</v>
      </c>
    </row>
    <row r="227" spans="2:4">
      <c r="B227" s="14" t="s">
        <v>1902</v>
      </c>
      <c r="C227" s="14">
        <v>100</v>
      </c>
      <c r="D227" s="14">
        <v>3096</v>
      </c>
    </row>
    <row r="228" spans="2:4">
      <c r="B228" s="14" t="s">
        <v>1901</v>
      </c>
      <c r="C228" s="14">
        <v>1400</v>
      </c>
      <c r="D228" s="14">
        <v>3096</v>
      </c>
    </row>
    <row r="229" spans="2:4">
      <c r="B229" s="14" t="s">
        <v>1901</v>
      </c>
      <c r="C229" s="14">
        <v>900</v>
      </c>
      <c r="D229" s="14">
        <v>3096</v>
      </c>
    </row>
    <row r="230" spans="2:4">
      <c r="B230" s="14" t="s">
        <v>1901</v>
      </c>
      <c r="C230" s="14">
        <v>7100</v>
      </c>
      <c r="D230" s="14">
        <v>3096</v>
      </c>
    </row>
    <row r="231" spans="2:4">
      <c r="B231" s="14" t="s">
        <v>1901</v>
      </c>
      <c r="C231" s="14">
        <v>900</v>
      </c>
      <c r="D231" s="14">
        <v>3096</v>
      </c>
    </row>
    <row r="232" spans="2:4">
      <c r="B232" s="14" t="s">
        <v>1901</v>
      </c>
      <c r="C232" s="14">
        <v>100</v>
      </c>
      <c r="D232" s="14">
        <v>3095</v>
      </c>
    </row>
    <row r="233" spans="2:4">
      <c r="B233" s="14" t="s">
        <v>1900</v>
      </c>
      <c r="C233" s="14">
        <v>300</v>
      </c>
      <c r="D233" s="14">
        <v>3096</v>
      </c>
    </row>
    <row r="234" spans="2:4">
      <c r="B234" s="14" t="s">
        <v>1899</v>
      </c>
      <c r="C234" s="14">
        <v>500</v>
      </c>
      <c r="D234" s="14">
        <v>3096</v>
      </c>
    </row>
    <row r="235" spans="2:4">
      <c r="B235" s="14" t="s">
        <v>1898</v>
      </c>
      <c r="C235" s="14">
        <v>2400</v>
      </c>
      <c r="D235" s="14">
        <v>3095</v>
      </c>
    </row>
    <row r="236" spans="2:4">
      <c r="B236" s="14" t="s">
        <v>1897</v>
      </c>
      <c r="C236" s="14">
        <v>900</v>
      </c>
      <c r="D236" s="14">
        <v>3096</v>
      </c>
    </row>
    <row r="237" spans="2:4">
      <c r="B237" s="14" t="s">
        <v>1896</v>
      </c>
      <c r="C237" s="14">
        <v>100</v>
      </c>
      <c r="D237" s="14">
        <v>3096</v>
      </c>
    </row>
    <row r="238" spans="2:4">
      <c r="B238" s="14" t="s">
        <v>1895</v>
      </c>
      <c r="C238" s="14">
        <v>200</v>
      </c>
      <c r="D238" s="14">
        <v>3095</v>
      </c>
    </row>
    <row r="239" spans="2:4">
      <c r="B239" s="14" t="s">
        <v>1895</v>
      </c>
      <c r="C239" s="14">
        <v>200</v>
      </c>
      <c r="D239" s="14">
        <v>3095</v>
      </c>
    </row>
    <row r="240" spans="2:4">
      <c r="B240" s="14" t="s">
        <v>1894</v>
      </c>
      <c r="C240" s="14">
        <v>800</v>
      </c>
      <c r="D240" s="14">
        <v>3096</v>
      </c>
    </row>
    <row r="241" spans="2:4">
      <c r="B241" s="14" t="s">
        <v>1894</v>
      </c>
      <c r="C241" s="14">
        <v>900</v>
      </c>
      <c r="D241" s="14">
        <v>3096</v>
      </c>
    </row>
    <row r="242" spans="2:4">
      <c r="B242" s="14" t="s">
        <v>1894</v>
      </c>
      <c r="C242" s="14">
        <v>27100</v>
      </c>
      <c r="D242" s="14">
        <v>3096</v>
      </c>
    </row>
    <row r="243" spans="2:4">
      <c r="B243" s="14" t="s">
        <v>1894</v>
      </c>
      <c r="C243" s="14">
        <v>100</v>
      </c>
      <c r="D243" s="14">
        <v>3096</v>
      </c>
    </row>
    <row r="244" spans="2:4">
      <c r="B244" s="14" t="s">
        <v>1893</v>
      </c>
      <c r="C244" s="14">
        <v>100</v>
      </c>
      <c r="D244" s="14">
        <v>3096</v>
      </c>
    </row>
    <row r="245" spans="2:4">
      <c r="B245" s="14" t="s">
        <v>1893</v>
      </c>
      <c r="C245" s="14">
        <v>1000</v>
      </c>
      <c r="D245" s="14">
        <v>3096</v>
      </c>
    </row>
    <row r="246" spans="2:4">
      <c r="B246" s="14" t="s">
        <v>1892</v>
      </c>
      <c r="C246" s="14">
        <v>200</v>
      </c>
      <c r="D246" s="14">
        <v>3097</v>
      </c>
    </row>
    <row r="247" spans="2:4">
      <c r="B247" s="14" t="s">
        <v>1890</v>
      </c>
      <c r="C247" s="14">
        <v>1500</v>
      </c>
      <c r="D247" s="14">
        <v>3097</v>
      </c>
    </row>
    <row r="248" spans="2:4">
      <c r="B248" s="14" t="s">
        <v>1890</v>
      </c>
      <c r="C248" s="14">
        <v>200</v>
      </c>
      <c r="D248" s="14">
        <v>3097</v>
      </c>
    </row>
    <row r="249" spans="2:4">
      <c r="B249" s="14" t="s">
        <v>1890</v>
      </c>
      <c r="C249" s="14">
        <v>2300</v>
      </c>
      <c r="D249" s="14">
        <v>3097</v>
      </c>
    </row>
    <row r="250" spans="2:4">
      <c r="B250" s="14" t="s">
        <v>1891</v>
      </c>
      <c r="C250" s="14">
        <v>600</v>
      </c>
      <c r="D250" s="14">
        <v>3097</v>
      </c>
    </row>
    <row r="251" spans="2:4">
      <c r="B251" s="14" t="s">
        <v>1889</v>
      </c>
      <c r="C251" s="14">
        <v>1500</v>
      </c>
      <c r="D251" s="14">
        <v>3097</v>
      </c>
    </row>
    <row r="252" spans="2:4">
      <c r="B252" s="14" t="s">
        <v>1889</v>
      </c>
      <c r="C252" s="14">
        <v>300</v>
      </c>
      <c r="D252" s="14">
        <v>3097</v>
      </c>
    </row>
    <row r="253" spans="2:4">
      <c r="B253" s="14" t="s">
        <v>1889</v>
      </c>
      <c r="C253" s="14">
        <v>500</v>
      </c>
      <c r="D253" s="14">
        <v>3097</v>
      </c>
    </row>
    <row r="254" spans="2:4">
      <c r="B254" s="14" t="s">
        <v>1889</v>
      </c>
      <c r="C254" s="14">
        <v>400</v>
      </c>
      <c r="D254" s="14">
        <v>3097</v>
      </c>
    </row>
    <row r="255" spans="2:4">
      <c r="B255" s="14" t="s">
        <v>1889</v>
      </c>
      <c r="C255" s="14">
        <v>9300</v>
      </c>
      <c r="D255" s="14">
        <v>3097</v>
      </c>
    </row>
    <row r="256" spans="2:4">
      <c r="B256" s="14" t="s">
        <v>1889</v>
      </c>
      <c r="C256" s="14">
        <v>3700</v>
      </c>
      <c r="D256" s="14">
        <v>3097</v>
      </c>
    </row>
    <row r="257" spans="2:4">
      <c r="B257" s="14" t="s">
        <v>1888</v>
      </c>
      <c r="C257" s="14">
        <v>500</v>
      </c>
      <c r="D257" s="14">
        <v>3097</v>
      </c>
    </row>
    <row r="258" spans="2:4">
      <c r="B258" s="14" t="s">
        <v>1887</v>
      </c>
      <c r="C258" s="14">
        <v>100</v>
      </c>
      <c r="D258" s="14">
        <v>3098</v>
      </c>
    </row>
    <row r="259" spans="2:4">
      <c r="B259" s="14" t="s">
        <v>1886</v>
      </c>
      <c r="C259" s="14">
        <v>100</v>
      </c>
      <c r="D259" s="14">
        <v>3097</v>
      </c>
    </row>
    <row r="260" spans="2:4">
      <c r="B260" s="14" t="s">
        <v>1886</v>
      </c>
      <c r="C260" s="14">
        <v>100</v>
      </c>
      <c r="D260" s="14">
        <v>3097</v>
      </c>
    </row>
    <row r="261" spans="2:4">
      <c r="B261" s="14" t="s">
        <v>1886</v>
      </c>
      <c r="C261" s="14">
        <v>100</v>
      </c>
      <c r="D261" s="14">
        <v>3097</v>
      </c>
    </row>
    <row r="262" spans="2:4">
      <c r="B262" s="14" t="s">
        <v>1886</v>
      </c>
      <c r="C262" s="14">
        <v>100</v>
      </c>
      <c r="D262" s="14">
        <v>3097</v>
      </c>
    </row>
    <row r="263" spans="2:4">
      <c r="B263" s="14" t="s">
        <v>1886</v>
      </c>
      <c r="C263" s="14">
        <v>1100</v>
      </c>
      <c r="D263" s="14">
        <v>3097</v>
      </c>
    </row>
    <row r="264" spans="2:4">
      <c r="B264" s="14" t="s">
        <v>1886</v>
      </c>
      <c r="C264" s="14">
        <v>600</v>
      </c>
      <c r="D264" s="14">
        <v>3097</v>
      </c>
    </row>
    <row r="265" spans="2:4">
      <c r="B265" s="14" t="s">
        <v>1886</v>
      </c>
      <c r="C265" s="14">
        <v>700</v>
      </c>
      <c r="D265" s="14">
        <v>3097</v>
      </c>
    </row>
    <row r="266" spans="2:4">
      <c r="B266" s="14" t="s">
        <v>1886</v>
      </c>
      <c r="C266" s="14">
        <v>2000</v>
      </c>
      <c r="D266" s="14">
        <v>3097</v>
      </c>
    </row>
    <row r="267" spans="2:4">
      <c r="B267" s="14" t="s">
        <v>1885</v>
      </c>
      <c r="C267" s="14">
        <v>900</v>
      </c>
      <c r="D267" s="14">
        <v>3097</v>
      </c>
    </row>
    <row r="268" spans="2:4">
      <c r="B268" s="14" t="s">
        <v>1885</v>
      </c>
      <c r="C268" s="14">
        <v>1200</v>
      </c>
      <c r="D268" s="14">
        <v>3097</v>
      </c>
    </row>
    <row r="269" spans="2:4">
      <c r="B269" s="14" t="s">
        <v>1884</v>
      </c>
      <c r="C269" s="14">
        <v>300</v>
      </c>
      <c r="D269" s="14">
        <v>3098</v>
      </c>
    </row>
    <row r="270" spans="2:4">
      <c r="B270" s="14" t="s">
        <v>1884</v>
      </c>
      <c r="C270" s="14">
        <v>2600</v>
      </c>
      <c r="D270" s="14">
        <v>3098</v>
      </c>
    </row>
    <row r="271" spans="2:4">
      <c r="B271" s="14" t="s">
        <v>1883</v>
      </c>
      <c r="C271" s="14">
        <v>1800</v>
      </c>
      <c r="D271" s="14">
        <v>3098</v>
      </c>
    </row>
    <row r="272" spans="2:4">
      <c r="B272" s="14" t="s">
        <v>1883</v>
      </c>
      <c r="C272" s="14">
        <v>300</v>
      </c>
      <c r="D272" s="14">
        <v>3098</v>
      </c>
    </row>
    <row r="273" spans="2:4">
      <c r="B273" s="14" t="s">
        <v>1882</v>
      </c>
      <c r="C273" s="14">
        <v>4500</v>
      </c>
      <c r="D273" s="14">
        <v>3098</v>
      </c>
    </row>
    <row r="274" spans="2:4">
      <c r="B274" s="14" t="s">
        <v>1881</v>
      </c>
      <c r="C274" s="14">
        <v>300</v>
      </c>
      <c r="D274" s="14">
        <v>3097</v>
      </c>
    </row>
    <row r="275" spans="2:4">
      <c r="B275" s="14" t="s">
        <v>1881</v>
      </c>
      <c r="C275" s="14">
        <v>800</v>
      </c>
      <c r="D275" s="14">
        <v>3097</v>
      </c>
    </row>
    <row r="276" spans="2:4">
      <c r="B276" s="14" t="s">
        <v>1880</v>
      </c>
      <c r="C276" s="14">
        <v>100</v>
      </c>
      <c r="D276" s="14">
        <v>3097</v>
      </c>
    </row>
    <row r="277" spans="2:4">
      <c r="B277" s="14" t="s">
        <v>1878</v>
      </c>
      <c r="C277" s="14">
        <v>400</v>
      </c>
      <c r="D277" s="14">
        <v>3097</v>
      </c>
    </row>
    <row r="278" spans="2:4">
      <c r="B278" s="14" t="s">
        <v>1879</v>
      </c>
      <c r="C278" s="14">
        <v>1000</v>
      </c>
      <c r="D278" s="14">
        <v>3097</v>
      </c>
    </row>
    <row r="279" spans="2:4">
      <c r="B279" s="14" t="s">
        <v>1877</v>
      </c>
      <c r="C279" s="14">
        <v>3300</v>
      </c>
      <c r="D279" s="14">
        <v>3098</v>
      </c>
    </row>
    <row r="280" spans="2:4">
      <c r="B280" s="14" t="s">
        <v>1877</v>
      </c>
      <c r="C280" s="14">
        <v>600</v>
      </c>
      <c r="D280" s="14">
        <v>3097</v>
      </c>
    </row>
    <row r="281" spans="2:4">
      <c r="B281" s="14" t="s">
        <v>1876</v>
      </c>
      <c r="C281" s="14">
        <v>3500</v>
      </c>
      <c r="D281" s="14">
        <v>3098</v>
      </c>
    </row>
    <row r="282" spans="2:4">
      <c r="B282" s="14" t="s">
        <v>1876</v>
      </c>
      <c r="C282" s="14">
        <v>100</v>
      </c>
      <c r="D282" s="14">
        <v>3098</v>
      </c>
    </row>
    <row r="283" spans="2:4">
      <c r="B283" s="14" t="s">
        <v>1876</v>
      </c>
      <c r="C283" s="14">
        <v>21800</v>
      </c>
      <c r="D283" s="14">
        <v>3098</v>
      </c>
    </row>
    <row r="284" spans="2:4">
      <c r="B284" s="14" t="s">
        <v>1875</v>
      </c>
      <c r="C284" s="14">
        <v>100</v>
      </c>
      <c r="D284" s="14">
        <v>3098</v>
      </c>
    </row>
    <row r="285" spans="2:4">
      <c r="B285" s="14" t="s">
        <v>1874</v>
      </c>
      <c r="C285" s="14">
        <v>100</v>
      </c>
      <c r="D285" s="14">
        <v>3098</v>
      </c>
    </row>
    <row r="286" spans="2:4">
      <c r="B286" s="14" t="s">
        <v>1873</v>
      </c>
      <c r="C286" s="14">
        <v>100</v>
      </c>
      <c r="D286" s="14">
        <v>3098</v>
      </c>
    </row>
    <row r="287" spans="2:4">
      <c r="B287" s="14" t="s">
        <v>1873</v>
      </c>
      <c r="C287" s="14">
        <v>3200</v>
      </c>
      <c r="D287" s="14">
        <v>3098</v>
      </c>
    </row>
    <row r="288" spans="2:4">
      <c r="B288" s="14" t="s">
        <v>1872</v>
      </c>
      <c r="C288" s="14">
        <v>16200</v>
      </c>
      <c r="D288" s="14">
        <v>3098</v>
      </c>
    </row>
    <row r="289" spans="2:4">
      <c r="B289" s="14" t="s">
        <v>1872</v>
      </c>
      <c r="C289" s="14">
        <v>3700</v>
      </c>
      <c r="D289" s="14">
        <v>3097</v>
      </c>
    </row>
    <row r="290" spans="2:4">
      <c r="B290" s="14" t="s">
        <v>1871</v>
      </c>
      <c r="C290" s="14">
        <v>100</v>
      </c>
      <c r="D290" s="14">
        <v>3097</v>
      </c>
    </row>
    <row r="291" spans="2:4">
      <c r="B291" s="14" t="s">
        <v>1871</v>
      </c>
      <c r="C291" s="14">
        <v>100</v>
      </c>
      <c r="D291" s="14">
        <v>3097</v>
      </c>
    </row>
    <row r="292" spans="2:4">
      <c r="B292" s="14" t="s">
        <v>1871</v>
      </c>
      <c r="C292" s="14">
        <v>500</v>
      </c>
      <c r="D292" s="14">
        <v>3097</v>
      </c>
    </row>
    <row r="293" spans="2:4">
      <c r="B293" s="14" t="s">
        <v>1871</v>
      </c>
      <c r="C293" s="14">
        <v>100</v>
      </c>
      <c r="D293" s="14">
        <v>3097</v>
      </c>
    </row>
    <row r="294" spans="2:4">
      <c r="B294" s="14" t="s">
        <v>1871</v>
      </c>
      <c r="C294" s="14">
        <v>100</v>
      </c>
      <c r="D294" s="14">
        <v>3097</v>
      </c>
    </row>
    <row r="295" spans="2:4">
      <c r="B295" s="14" t="s">
        <v>1871</v>
      </c>
      <c r="C295" s="14">
        <v>300</v>
      </c>
      <c r="D295" s="14">
        <v>3097</v>
      </c>
    </row>
    <row r="296" spans="2:4">
      <c r="B296" s="14" t="s">
        <v>1871</v>
      </c>
      <c r="C296" s="14">
        <v>2500</v>
      </c>
      <c r="D296" s="14">
        <v>3097</v>
      </c>
    </row>
    <row r="297" spans="2:4">
      <c r="B297" s="14" t="s">
        <v>1871</v>
      </c>
      <c r="C297" s="14">
        <v>2300</v>
      </c>
      <c r="D297" s="14">
        <v>3097</v>
      </c>
    </row>
    <row r="298" spans="2:4">
      <c r="B298" s="14" t="s">
        <v>1871</v>
      </c>
      <c r="C298" s="14">
        <v>1100</v>
      </c>
      <c r="D298" s="14">
        <v>3097</v>
      </c>
    </row>
    <row r="299" spans="2:4">
      <c r="B299" s="14" t="s">
        <v>1870</v>
      </c>
      <c r="C299" s="14">
        <v>600</v>
      </c>
      <c r="D299" s="14">
        <v>3097</v>
      </c>
    </row>
    <row r="300" spans="2:4">
      <c r="B300" s="14" t="s">
        <v>1869</v>
      </c>
      <c r="C300" s="14">
        <v>300</v>
      </c>
      <c r="D300" s="14">
        <v>3097</v>
      </c>
    </row>
    <row r="301" spans="2:4">
      <c r="B301" s="14" t="s">
        <v>1867</v>
      </c>
      <c r="C301" s="14">
        <v>14400</v>
      </c>
      <c r="D301" s="14">
        <v>3097</v>
      </c>
    </row>
    <row r="302" spans="2:4">
      <c r="B302" s="14" t="s">
        <v>1868</v>
      </c>
      <c r="C302" s="14">
        <v>100</v>
      </c>
      <c r="D302" s="14">
        <v>3097</v>
      </c>
    </row>
    <row r="303" spans="2:4">
      <c r="B303" s="14" t="s">
        <v>1866</v>
      </c>
      <c r="C303" s="14">
        <v>100</v>
      </c>
      <c r="D303" s="14">
        <v>3096</v>
      </c>
    </row>
    <row r="304" spans="2:4">
      <c r="B304" s="16" t="s">
        <v>78</v>
      </c>
      <c r="C304" s="16" t="s">
        <v>78</v>
      </c>
      <c r="D304" s="16" t="s">
        <v>78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5D040-2826-446F-BF14-09F2551ECC8E}">
  <dimension ref="A1:K1"/>
  <sheetViews>
    <sheetView tabSelected="1" workbookViewId="0">
      <selection activeCell="B3" sqref="B3"/>
    </sheetView>
  </sheetViews>
  <sheetFormatPr defaultRowHeight="18.75"/>
  <cols>
    <col min="4" max="4" width="12.875" customWidth="1"/>
  </cols>
  <sheetData>
    <row r="1" spans="1:11">
      <c r="A1" t="s">
        <v>82</v>
      </c>
      <c r="B1" t="s">
        <v>83</v>
      </c>
      <c r="C1" t="s">
        <v>504</v>
      </c>
      <c r="D1" t="s">
        <v>678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</sheetData>
  <phoneticPr fontId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7D6B-0687-442A-BE9C-2A992A2A1041}">
  <dimension ref="A1:L10"/>
  <sheetViews>
    <sheetView workbookViewId="0">
      <selection activeCell="A2" sqref="A2:XFD4"/>
    </sheetView>
  </sheetViews>
  <sheetFormatPr defaultRowHeight="18.75"/>
  <sheetData>
    <row r="1" spans="1:12">
      <c r="A1" t="s">
        <v>82</v>
      </c>
      <c r="B1" t="s">
        <v>720</v>
      </c>
      <c r="C1" t="s">
        <v>83</v>
      </c>
      <c r="D1" t="s">
        <v>504</v>
      </c>
      <c r="E1" t="s">
        <v>678</v>
      </c>
      <c r="F1" t="s">
        <v>506</v>
      </c>
      <c r="G1" t="s">
        <v>507</v>
      </c>
      <c r="H1" t="s">
        <v>508</v>
      </c>
      <c r="I1" t="s">
        <v>509</v>
      </c>
      <c r="J1" t="s">
        <v>84</v>
      </c>
      <c r="K1" t="s">
        <v>510</v>
      </c>
      <c r="L1" t="s">
        <v>511</v>
      </c>
    </row>
    <row r="2" spans="1:12">
      <c r="A2" s="29" t="s">
        <v>1199</v>
      </c>
      <c r="B2" t="str">
        <f>_xll.RssMarket($A2,B$1)</f>
        <v/>
      </c>
      <c r="C2" t="str">
        <f>_xll.RssMarket($A2,C$1)</f>
        <v/>
      </c>
      <c r="D2" t="str">
        <f>_xll.RssMarket($A2,D$1)</f>
        <v/>
      </c>
      <c r="E2" t="str">
        <f>_xll.RssMarket($A2,E$1)</f>
        <v/>
      </c>
      <c r="F2" t="str">
        <f>_xll.RssMarket($A2,F$1)</f>
        <v/>
      </c>
      <c r="G2" t="str">
        <f>_xll.RssMarket($A2,G$1)</f>
        <v/>
      </c>
      <c r="H2" t="str">
        <f>_xll.RssMarket($A2,H$1)</f>
        <v/>
      </c>
      <c r="I2" t="str">
        <f>_xll.RssMarket($A2,I$1)</f>
        <v/>
      </c>
      <c r="J2" t="str">
        <f>_xll.RssMarket($A2,J$1)</f>
        <v/>
      </c>
      <c r="K2" t="str">
        <f>_xll.RssMarket($A2,K$1)</f>
        <v/>
      </c>
      <c r="L2" t="str">
        <f>_xll.RssMarket($A2,L$1)</f>
        <v/>
      </c>
    </row>
    <row r="3" spans="1:12">
      <c r="A3" s="29" t="s">
        <v>1198</v>
      </c>
      <c r="B3" t="str">
        <f>_xll.RssMarket($A3,B$1)</f>
        <v/>
      </c>
      <c r="C3" t="str">
        <f>_xll.RssMarket($A3,C$1)</f>
        <v/>
      </c>
      <c r="D3" t="str">
        <f>_xll.RssMarket($A3,D$1)</f>
        <v/>
      </c>
      <c r="E3" t="str">
        <f>_xll.RssMarket($A3,E$1)</f>
        <v/>
      </c>
      <c r="F3" t="str">
        <f>_xll.RssMarket($A3,F$1)</f>
        <v/>
      </c>
      <c r="G3" t="str">
        <f>_xll.RssMarket($A3,G$1)</f>
        <v/>
      </c>
      <c r="H3" t="str">
        <f>_xll.RssMarket($A3,H$1)</f>
        <v/>
      </c>
      <c r="I3" t="str">
        <f>_xll.RssMarket($A3,I$1)</f>
        <v/>
      </c>
      <c r="J3" t="str">
        <f>_xll.RssMarket($A3,J$1)</f>
        <v/>
      </c>
      <c r="K3" t="str">
        <f>_xll.RssMarket($A3,K$1)</f>
        <v/>
      </c>
      <c r="L3" t="str">
        <f>_xll.RssMarket($A3,L$1)</f>
        <v/>
      </c>
    </row>
    <row r="4" spans="1:12">
      <c r="A4" s="29" t="s">
        <v>1196</v>
      </c>
      <c r="B4" t="str">
        <f>_xll.RssMarket($A4,B$1)</f>
        <v/>
      </c>
      <c r="C4" t="str">
        <f>_xll.RssMarket($A4,C$1)</f>
        <v/>
      </c>
      <c r="D4" t="str">
        <f>_xll.RssMarket($A4,D$1)</f>
        <v/>
      </c>
      <c r="E4" t="str">
        <f>_xll.RssMarket($A4,E$1)</f>
        <v/>
      </c>
      <c r="F4" t="str">
        <f>_xll.RssMarket($A4,F$1)</f>
        <v/>
      </c>
      <c r="G4" t="str">
        <f>_xll.RssMarket($A4,G$1)</f>
        <v/>
      </c>
      <c r="H4" t="str">
        <f>_xll.RssMarket($A4,H$1)</f>
        <v/>
      </c>
      <c r="I4" t="str">
        <f>_xll.RssMarket($A4,I$1)</f>
        <v/>
      </c>
      <c r="J4" t="str">
        <f>_xll.RssMarket($A4,J$1)</f>
        <v/>
      </c>
      <c r="K4" t="str">
        <f>_xll.RssMarket($A4,K$1)</f>
        <v/>
      </c>
      <c r="L4" t="str">
        <f>_xll.RssMarket($A4,L$1)</f>
        <v/>
      </c>
    </row>
    <row r="5" spans="1:12">
      <c r="A5" s="29" t="s">
        <v>1197</v>
      </c>
      <c r="B5" t="str">
        <f>_xll.RssMarket($A5,B$1)</f>
        <v/>
      </c>
      <c r="C5" t="str">
        <f>_xll.RssMarket($A5,C$1)</f>
        <v/>
      </c>
      <c r="D5" t="str">
        <f>_xll.RssMarket($A5,D$1)</f>
        <v/>
      </c>
      <c r="E5" t="str">
        <f>_xll.RssMarket($A5,E$1)</f>
        <v/>
      </c>
      <c r="F5" t="str">
        <f>_xll.RssMarket($A5,F$1)</f>
        <v/>
      </c>
      <c r="G5" t="str">
        <f>_xll.RssMarket($A5,G$1)</f>
        <v/>
      </c>
      <c r="H5" t="str">
        <f>_xll.RssMarket($A5,H$1)</f>
        <v/>
      </c>
      <c r="I5" t="str">
        <f>_xll.RssMarket($A5,I$1)</f>
        <v/>
      </c>
      <c r="J5" t="str">
        <f>_xll.RssMarket($A5,J$1)</f>
        <v/>
      </c>
      <c r="K5" t="str">
        <f>_xll.RssMarket($A5,K$1)</f>
        <v/>
      </c>
      <c r="L5" t="str">
        <f>_xll.RssMarket($A5,L$1)</f>
        <v/>
      </c>
    </row>
    <row r="6" spans="1:12">
      <c r="A6" s="29" t="s">
        <v>1195</v>
      </c>
      <c r="B6" t="str">
        <f>_xll.RssMarket($A6,B$1)</f>
        <v/>
      </c>
      <c r="C6" t="str">
        <f>_xll.RssMarket($A6,C$1)</f>
        <v/>
      </c>
      <c r="D6" t="str">
        <f>_xll.RssMarket($A6,D$1)</f>
        <v/>
      </c>
      <c r="E6" t="str">
        <f>_xll.RssMarket($A6,E$1)</f>
        <v/>
      </c>
      <c r="F6" t="str">
        <f>_xll.RssMarket($A6,F$1)</f>
        <v/>
      </c>
      <c r="G6" t="str">
        <f>_xll.RssMarket($A6,G$1)</f>
        <v/>
      </c>
      <c r="H6" t="str">
        <f>_xll.RssMarket($A6,H$1)</f>
        <v/>
      </c>
      <c r="I6" t="str">
        <f>_xll.RssMarket($A6,I$1)</f>
        <v/>
      </c>
      <c r="J6" t="str">
        <f>_xll.RssMarket($A6,J$1)</f>
        <v/>
      </c>
      <c r="K6" t="str">
        <f>_xll.RssMarket($A6,K$1)</f>
        <v/>
      </c>
      <c r="L6" t="str">
        <f>_xll.RssMarket($A6,L$1)</f>
        <v/>
      </c>
    </row>
    <row r="7" spans="1:12">
      <c r="A7" s="29" t="s">
        <v>1193</v>
      </c>
      <c r="B7" t="str">
        <f>_xll.RssMarket($A7,B$1)</f>
        <v/>
      </c>
      <c r="C7" t="str">
        <f>_xll.RssMarket($A7,C$1)</f>
        <v/>
      </c>
      <c r="D7" t="str">
        <f>_xll.RssMarket($A7,D$1)</f>
        <v/>
      </c>
      <c r="E7" t="str">
        <f>_xll.RssMarket($A7,E$1)</f>
        <v/>
      </c>
      <c r="F7" t="str">
        <f>_xll.RssMarket($A7,F$1)</f>
        <v/>
      </c>
      <c r="G7" t="str">
        <f>_xll.RssMarket($A7,G$1)</f>
        <v/>
      </c>
      <c r="H7" t="str">
        <f>_xll.RssMarket($A7,H$1)</f>
        <v/>
      </c>
      <c r="I7" t="str">
        <f>_xll.RssMarket($A7,I$1)</f>
        <v/>
      </c>
      <c r="J7" t="str">
        <f>_xll.RssMarket($A7,J$1)</f>
        <v/>
      </c>
      <c r="K7" t="str">
        <f>_xll.RssMarket($A7,K$1)</f>
        <v/>
      </c>
      <c r="L7" t="str">
        <f>_xll.RssMarket($A7,L$1)</f>
        <v/>
      </c>
    </row>
    <row r="8" spans="1:12">
      <c r="A8" s="29" t="s">
        <v>1194</v>
      </c>
      <c r="B8" t="str">
        <f>_xll.RssMarket($A8,B$1)</f>
        <v/>
      </c>
      <c r="C8" t="str">
        <f>_xll.RssMarket($A8,C$1)</f>
        <v/>
      </c>
      <c r="D8" t="str">
        <f>_xll.RssMarket($A8,D$1)</f>
        <v/>
      </c>
      <c r="E8" t="str">
        <f>_xll.RssMarket($A8,E$1)</f>
        <v/>
      </c>
      <c r="F8" t="str">
        <f>_xll.RssMarket($A8,F$1)</f>
        <v/>
      </c>
      <c r="G8" t="str">
        <f>_xll.RssMarket($A8,G$1)</f>
        <v/>
      </c>
      <c r="H8" t="str">
        <f>_xll.RssMarket($A8,H$1)</f>
        <v/>
      </c>
      <c r="I8" t="str">
        <f>_xll.RssMarket($A8,I$1)</f>
        <v/>
      </c>
      <c r="J8" t="str">
        <f>_xll.RssMarket($A8,J$1)</f>
        <v/>
      </c>
      <c r="K8" t="str">
        <f>_xll.RssMarket($A8,K$1)</f>
        <v/>
      </c>
      <c r="L8" t="str">
        <f>_xll.RssMarket($A8,L$1)</f>
        <v/>
      </c>
    </row>
    <row r="9" spans="1:12">
      <c r="A9" s="29" t="s">
        <v>1200</v>
      </c>
      <c r="B9" t="str">
        <f>_xll.RssMarket($A9,B$1)</f>
        <v/>
      </c>
      <c r="C9" t="str">
        <f>_xll.RssMarket($A9,C$1)</f>
        <v/>
      </c>
      <c r="D9" t="str">
        <f>_xll.RssMarket($A9,D$1)</f>
        <v/>
      </c>
      <c r="E9" t="str">
        <f>_xll.RssMarket($A9,E$1)</f>
        <v/>
      </c>
      <c r="F9" t="str">
        <f>_xll.RssMarket($A9,F$1)</f>
        <v/>
      </c>
      <c r="G9" t="str">
        <f>_xll.RssMarket($A9,G$1)</f>
        <v/>
      </c>
      <c r="H9" t="str">
        <f>_xll.RssMarket($A9,H$1)</f>
        <v/>
      </c>
      <c r="I9" t="str">
        <f>_xll.RssMarket($A9,I$1)</f>
        <v/>
      </c>
      <c r="J9" t="str">
        <f>_xll.RssMarket($A9,J$1)</f>
        <v/>
      </c>
      <c r="K9" t="str">
        <f>_xll.RssMarket($A9,K$1)</f>
        <v/>
      </c>
      <c r="L9" t="str">
        <f>_xll.RssMarket($A9,L$1)</f>
        <v/>
      </c>
    </row>
    <row r="10" spans="1:12">
      <c r="A10" s="29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F430-9EC9-40D5-86C4-2E10FA771AAA}">
  <dimension ref="B3:E12"/>
  <sheetViews>
    <sheetView workbookViewId="0">
      <selection activeCell="D8" sqref="D8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3" spans="2:5">
      <c r="B3" s="1"/>
      <c r="C3" s="1"/>
      <c r="D3" s="1"/>
      <c r="E3" s="1"/>
    </row>
    <row r="4" spans="2:5">
      <c r="B4" s="1"/>
    </row>
    <row r="5" spans="2:5">
      <c r="B5" s="1"/>
      <c r="C5" s="1"/>
      <c r="D5" s="1"/>
      <c r="E5" s="1"/>
    </row>
    <row r="6" spans="2:5">
      <c r="B6" s="1"/>
      <c r="C6" s="1"/>
      <c r="D6" s="1"/>
      <c r="E6" s="1"/>
    </row>
    <row r="9" spans="2:5">
      <c r="C9" s="1"/>
      <c r="D9" s="1"/>
      <c r="E9" s="1"/>
    </row>
    <row r="12" spans="2:5">
      <c r="C12" s="1"/>
      <c r="D12" s="1"/>
      <c r="E12" s="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27"/>
  <sheetViews>
    <sheetView workbookViewId="0">
      <selection activeCell="C16" sqref="C16"/>
    </sheetView>
  </sheetViews>
  <sheetFormatPr defaultRowHeight="18.75"/>
  <cols>
    <col min="1" max="1" width="9" style="3"/>
    <col min="2" max="2" width="35" style="3" customWidth="1"/>
    <col min="3" max="3" width="22.25" style="3" customWidth="1"/>
    <col min="4" max="4" width="9" style="3"/>
    <col min="5" max="5" width="11" style="3" customWidth="1"/>
    <col min="6" max="6" width="71" style="3" customWidth="1"/>
    <col min="7" max="16384" width="9" style="3"/>
  </cols>
  <sheetData>
    <row r="1" spans="1:6">
      <c r="A1" s="3" t="s">
        <v>741</v>
      </c>
    </row>
    <row r="2" spans="1:6">
      <c r="A2" s="3" t="s">
        <v>682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</row>
    <row r="3" spans="1:6">
      <c r="A3" s="4">
        <v>10770</v>
      </c>
      <c r="B3" s="4" t="s">
        <v>1183</v>
      </c>
      <c r="C3" s="27">
        <v>46311</v>
      </c>
      <c r="D3" s="28">
        <v>0.89307870370370368</v>
      </c>
      <c r="E3" s="4">
        <v>20770</v>
      </c>
      <c r="F3" s="4" t="s">
        <v>70</v>
      </c>
    </row>
    <row r="4" spans="1:6">
      <c r="A4" s="4">
        <v>10780</v>
      </c>
      <c r="B4" s="4" t="s">
        <v>1183</v>
      </c>
      <c r="C4" s="27">
        <v>46311</v>
      </c>
      <c r="D4" s="28">
        <v>0.89377314814814812</v>
      </c>
      <c r="E4" s="4">
        <v>20780</v>
      </c>
      <c r="F4" s="4" t="s">
        <v>70</v>
      </c>
    </row>
    <row r="5" spans="1:6">
      <c r="A5" s="4">
        <v>10790</v>
      </c>
      <c r="B5" s="4" t="s">
        <v>1183</v>
      </c>
      <c r="C5" s="27">
        <v>46311</v>
      </c>
      <c r="D5" s="28">
        <v>0.89394675925925926</v>
      </c>
      <c r="E5" s="4">
        <v>20790</v>
      </c>
      <c r="F5" s="4" t="s">
        <v>70</v>
      </c>
    </row>
    <row r="6" spans="1:6">
      <c r="A6" s="4">
        <v>10800</v>
      </c>
      <c r="B6" s="4" t="s">
        <v>1183</v>
      </c>
      <c r="C6" s="27">
        <v>46311</v>
      </c>
      <c r="D6" s="28">
        <v>0.89423611111111112</v>
      </c>
      <c r="E6" s="4">
        <v>20800</v>
      </c>
      <c r="F6" s="4" t="s">
        <v>70</v>
      </c>
    </row>
    <row r="7" spans="1:6">
      <c r="A7" s="4">
        <v>10810</v>
      </c>
      <c r="B7" s="4" t="s">
        <v>1183</v>
      </c>
      <c r="C7" s="27">
        <v>46313</v>
      </c>
      <c r="D7" s="28">
        <v>0.89922453703703709</v>
      </c>
      <c r="E7" s="4">
        <v>20810</v>
      </c>
      <c r="F7" s="4" t="s">
        <v>70</v>
      </c>
    </row>
    <row r="8" spans="1:6">
      <c r="A8" s="4">
        <v>10820</v>
      </c>
      <c r="B8" s="4" t="s">
        <v>1183</v>
      </c>
      <c r="C8" s="27">
        <v>46313</v>
      </c>
      <c r="D8" s="28">
        <v>0.89962962962962967</v>
      </c>
      <c r="E8" s="4">
        <v>20820</v>
      </c>
      <c r="F8" s="4" t="s">
        <v>70</v>
      </c>
    </row>
    <row r="9" spans="1:6">
      <c r="A9" s="4">
        <v>11230</v>
      </c>
      <c r="B9" s="4" t="s">
        <v>1183</v>
      </c>
      <c r="C9" s="27">
        <v>46319</v>
      </c>
      <c r="D9" s="28">
        <v>5.2106481481481483E-2</v>
      </c>
      <c r="E9" s="4">
        <v>21230</v>
      </c>
      <c r="F9" s="4" t="s">
        <v>70</v>
      </c>
    </row>
    <row r="10" spans="1:6">
      <c r="A10" s="4">
        <v>11240</v>
      </c>
      <c r="B10" s="4" t="s">
        <v>1183</v>
      </c>
      <c r="C10" s="27">
        <v>46319</v>
      </c>
      <c r="D10" s="28">
        <v>5.5185185185185184E-2</v>
      </c>
      <c r="E10" s="4">
        <v>21240</v>
      </c>
      <c r="F10" s="4" t="s">
        <v>70</v>
      </c>
    </row>
    <row r="11" spans="1:6">
      <c r="A11" s="4">
        <v>11250</v>
      </c>
      <c r="B11" s="4" t="s">
        <v>1183</v>
      </c>
      <c r="C11" s="27">
        <v>46319</v>
      </c>
      <c r="D11" s="28">
        <v>8.8032407407407406E-2</v>
      </c>
      <c r="E11" s="4">
        <v>21250</v>
      </c>
      <c r="F11" s="4" t="s">
        <v>70</v>
      </c>
    </row>
    <row r="12" spans="1:6">
      <c r="A12" s="4">
        <v>11260</v>
      </c>
      <c r="B12" s="4" t="s">
        <v>1183</v>
      </c>
      <c r="C12" s="27">
        <v>46319</v>
      </c>
      <c r="D12" s="28">
        <v>9.1111111111111115E-2</v>
      </c>
      <c r="E12" s="4">
        <v>21260</v>
      </c>
      <c r="F12" s="4" t="s">
        <v>70</v>
      </c>
    </row>
    <row r="13" spans="1:6">
      <c r="A13" s="4">
        <v>11270</v>
      </c>
      <c r="B13" s="4" t="s">
        <v>1183</v>
      </c>
      <c r="C13" s="27">
        <v>46319</v>
      </c>
      <c r="D13" s="28">
        <v>9.1898148148148145E-2</v>
      </c>
      <c r="E13" s="4">
        <v>21270</v>
      </c>
      <c r="F13" s="4" t="s">
        <v>70</v>
      </c>
    </row>
    <row r="14" spans="1:6">
      <c r="A14" s="4">
        <v>11280</v>
      </c>
      <c r="B14" s="4" t="s">
        <v>1183</v>
      </c>
      <c r="C14" s="27">
        <v>46319</v>
      </c>
      <c r="D14" s="28">
        <v>9.4259259259259265E-2</v>
      </c>
      <c r="E14" s="4">
        <v>21280</v>
      </c>
      <c r="F14" s="4" t="s">
        <v>70</v>
      </c>
    </row>
    <row r="15" spans="1:6">
      <c r="A15" s="4">
        <v>11290</v>
      </c>
      <c r="B15" s="4" t="s">
        <v>1183</v>
      </c>
      <c r="C15" s="27">
        <v>46319</v>
      </c>
      <c r="D15" s="28">
        <v>9.6782407407407414E-2</v>
      </c>
      <c r="E15" s="4">
        <v>21290</v>
      </c>
      <c r="F15" s="4" t="s">
        <v>70</v>
      </c>
    </row>
    <row r="16" spans="1:6">
      <c r="A16" s="4">
        <v>11300</v>
      </c>
      <c r="B16" s="4" t="s">
        <v>1183</v>
      </c>
      <c r="C16" s="27">
        <v>46319</v>
      </c>
      <c r="D16" s="28">
        <v>9.7245370370370371E-2</v>
      </c>
      <c r="E16" s="4">
        <v>21300</v>
      </c>
      <c r="F16" s="4" t="s">
        <v>70</v>
      </c>
    </row>
    <row r="17" spans="1:6">
      <c r="A17" s="4">
        <v>11310</v>
      </c>
      <c r="B17" s="4" t="s">
        <v>1183</v>
      </c>
      <c r="C17" s="27">
        <v>46319</v>
      </c>
      <c r="D17" s="28">
        <v>0.65871527777777783</v>
      </c>
      <c r="E17" s="4">
        <v>21310</v>
      </c>
      <c r="F17" s="4" t="s">
        <v>70</v>
      </c>
    </row>
    <row r="18" spans="1:6">
      <c r="A18" s="4">
        <v>11320</v>
      </c>
      <c r="B18" s="4" t="s">
        <v>1183</v>
      </c>
      <c r="C18" s="27">
        <v>46319</v>
      </c>
      <c r="D18" s="28">
        <v>0.65925925925925921</v>
      </c>
      <c r="E18" s="4">
        <v>21320</v>
      </c>
      <c r="F18" s="4" t="s">
        <v>70</v>
      </c>
    </row>
    <row r="19" spans="1:6">
      <c r="A19" s="4">
        <v>11330</v>
      </c>
      <c r="B19" s="4" t="s">
        <v>1183</v>
      </c>
      <c r="C19" s="27">
        <v>46319</v>
      </c>
      <c r="D19" s="28">
        <v>0.7580324074074074</v>
      </c>
      <c r="E19" s="4">
        <v>21330</v>
      </c>
      <c r="F19" s="4" t="s">
        <v>70</v>
      </c>
    </row>
    <row r="20" spans="1:6">
      <c r="A20" s="4">
        <v>11340</v>
      </c>
      <c r="B20" s="4" t="s">
        <v>1183</v>
      </c>
      <c r="C20" s="27">
        <v>46319</v>
      </c>
      <c r="D20" s="28">
        <v>0.77060185185185182</v>
      </c>
      <c r="E20" s="4">
        <v>21340</v>
      </c>
      <c r="F20" s="4" t="s">
        <v>70</v>
      </c>
    </row>
    <row r="21" spans="1:6">
      <c r="A21" s="4">
        <v>11350</v>
      </c>
      <c r="B21" s="4" t="s">
        <v>1183</v>
      </c>
      <c r="C21" s="27">
        <v>46319</v>
      </c>
      <c r="D21" s="28">
        <v>0.80206018518518518</v>
      </c>
      <c r="E21" s="4">
        <v>21350</v>
      </c>
      <c r="F21" s="4" t="s">
        <v>70</v>
      </c>
    </row>
    <row r="22" spans="1:6">
      <c r="A22" s="4">
        <v>11360</v>
      </c>
      <c r="B22" s="4" t="s">
        <v>1183</v>
      </c>
      <c r="C22" s="27">
        <v>46319</v>
      </c>
      <c r="D22" s="28">
        <v>0.80276620370370366</v>
      </c>
      <c r="E22" s="4">
        <v>21360</v>
      </c>
      <c r="F22" s="4" t="s">
        <v>70</v>
      </c>
    </row>
    <row r="23" spans="1:6">
      <c r="A23" s="4">
        <v>11370</v>
      </c>
      <c r="B23" s="4" t="s">
        <v>1183</v>
      </c>
      <c r="C23" s="27">
        <v>46319</v>
      </c>
      <c r="D23" s="28">
        <v>0.97577546296296291</v>
      </c>
      <c r="E23" s="4">
        <v>21370</v>
      </c>
      <c r="F23" s="4" t="s">
        <v>70</v>
      </c>
    </row>
    <row r="24" spans="1:6">
      <c r="A24" s="4">
        <v>11380</v>
      </c>
      <c r="B24" s="4" t="s">
        <v>1183</v>
      </c>
      <c r="C24" s="27">
        <v>46319</v>
      </c>
      <c r="D24" s="28">
        <v>0.97981481481481481</v>
      </c>
      <c r="E24" s="4">
        <v>21380</v>
      </c>
      <c r="F24" s="4" t="s">
        <v>70</v>
      </c>
    </row>
    <row r="25" spans="1:6">
      <c r="A25" s="4">
        <v>11390</v>
      </c>
      <c r="B25" s="4" t="s">
        <v>1183</v>
      </c>
      <c r="C25" s="27">
        <v>46319</v>
      </c>
      <c r="D25" s="28">
        <v>0.98206018518518523</v>
      </c>
      <c r="E25" s="4">
        <v>21390</v>
      </c>
      <c r="F25" s="4" t="s">
        <v>70</v>
      </c>
    </row>
    <row r="26" spans="1:6">
      <c r="A26" s="4">
        <v>11400</v>
      </c>
      <c r="B26" s="4" t="s">
        <v>1183</v>
      </c>
      <c r="C26" s="27">
        <v>46320</v>
      </c>
      <c r="D26" s="28">
        <v>1.5844907407407408E-2</v>
      </c>
      <c r="E26" s="4">
        <v>21400</v>
      </c>
      <c r="F26" s="4" t="s">
        <v>70</v>
      </c>
    </row>
    <row r="27" spans="1:6">
      <c r="A27" s="4" t="s">
        <v>64</v>
      </c>
      <c r="B27" s="4" t="s">
        <v>64</v>
      </c>
      <c r="C27" s="4" t="s">
        <v>64</v>
      </c>
      <c r="D27" s="4" t="s">
        <v>64</v>
      </c>
      <c r="E27" s="4" t="s">
        <v>64</v>
      </c>
      <c r="F27" s="4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1147-15F3-45F2-B612-FAD342CCE77E}">
  <sheetPr codeName="Sheet3"/>
  <dimension ref="A1:AD27"/>
  <sheetViews>
    <sheetView workbookViewId="0">
      <selection activeCell="A3" sqref="A3:XFD5"/>
    </sheetView>
  </sheetViews>
  <sheetFormatPr defaultRowHeight="18.75"/>
  <cols>
    <col min="1" max="1" width="14.875" customWidth="1"/>
    <col min="3" max="3" width="14" customWidth="1"/>
    <col min="12" max="12" width="17.375" customWidth="1"/>
  </cols>
  <sheetData>
    <row r="1" spans="1:30">
      <c r="A1" t="s">
        <v>705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742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20770</v>
      </c>
      <c r="B3" s="1" t="s">
        <v>1181</v>
      </c>
      <c r="C3" s="1" t="s">
        <v>519</v>
      </c>
      <c r="D3" s="1"/>
      <c r="E3" s="1"/>
      <c r="F3" s="1">
        <v>7203</v>
      </c>
      <c r="G3" s="1" t="s">
        <v>520</v>
      </c>
      <c r="H3" s="1" t="s">
        <v>36</v>
      </c>
      <c r="I3" s="1" t="s">
        <v>37</v>
      </c>
      <c r="J3" s="1" t="s">
        <v>38</v>
      </c>
      <c r="K3" s="1" t="s">
        <v>522</v>
      </c>
      <c r="L3" s="6">
        <v>46311.893078703702</v>
      </c>
      <c r="M3" s="1" t="s">
        <v>1182</v>
      </c>
      <c r="N3" s="1" t="s">
        <v>521</v>
      </c>
      <c r="O3" s="1" t="s">
        <v>214</v>
      </c>
      <c r="P3" s="1">
        <v>20261016</v>
      </c>
      <c r="Q3" s="1">
        <v>100</v>
      </c>
      <c r="R3" s="1">
        <v>100</v>
      </c>
      <c r="S3" s="1">
        <v>3040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>
      <c r="A4" s="1">
        <v>20780</v>
      </c>
      <c r="B4" s="1" t="s">
        <v>1181</v>
      </c>
      <c r="C4" s="1" t="s">
        <v>519</v>
      </c>
      <c r="D4" s="1"/>
      <c r="E4" s="1"/>
      <c r="F4" s="1">
        <v>7203</v>
      </c>
      <c r="G4" s="1" t="s">
        <v>520</v>
      </c>
      <c r="H4" s="1" t="s">
        <v>36</v>
      </c>
      <c r="I4" s="1" t="s">
        <v>37</v>
      </c>
      <c r="J4" s="1" t="s">
        <v>38</v>
      </c>
      <c r="K4" s="1" t="s">
        <v>522</v>
      </c>
      <c r="L4" s="6">
        <v>46311.893773148149</v>
      </c>
      <c r="M4" s="1" t="s">
        <v>1184</v>
      </c>
      <c r="N4" s="1" t="s">
        <v>523</v>
      </c>
      <c r="O4" s="1" t="s">
        <v>214</v>
      </c>
      <c r="P4" s="1">
        <v>20261016</v>
      </c>
      <c r="Q4" s="1">
        <v>100</v>
      </c>
      <c r="R4" s="1">
        <v>100</v>
      </c>
      <c r="S4" s="1">
        <v>3040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20790</v>
      </c>
      <c r="B5" s="1" t="s">
        <v>1181</v>
      </c>
      <c r="C5" s="1" t="s">
        <v>519</v>
      </c>
      <c r="D5" s="1"/>
      <c r="E5" s="1"/>
      <c r="F5" s="1">
        <v>7203</v>
      </c>
      <c r="G5" s="1" t="s">
        <v>520</v>
      </c>
      <c r="H5" s="1" t="s">
        <v>36</v>
      </c>
      <c r="I5" s="1" t="s">
        <v>37</v>
      </c>
      <c r="J5" s="1" t="s">
        <v>38</v>
      </c>
      <c r="K5" s="1" t="s">
        <v>522</v>
      </c>
      <c r="L5" s="6">
        <v>46311.893946759257</v>
      </c>
      <c r="M5" s="1" t="s">
        <v>1182</v>
      </c>
      <c r="N5" s="1" t="s">
        <v>521</v>
      </c>
      <c r="O5" s="1" t="s">
        <v>214</v>
      </c>
      <c r="P5" s="1">
        <v>20261016</v>
      </c>
      <c r="Q5" s="1">
        <v>100</v>
      </c>
      <c r="R5" s="1">
        <v>100</v>
      </c>
      <c r="S5" s="1">
        <v>3010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>
      <c r="A6" s="1">
        <v>20800</v>
      </c>
      <c r="B6" s="1" t="s">
        <v>1181</v>
      </c>
      <c r="C6" s="1" t="s">
        <v>519</v>
      </c>
      <c r="D6" s="1"/>
      <c r="E6" s="1"/>
      <c r="F6" s="1">
        <v>7203</v>
      </c>
      <c r="G6" s="1" t="s">
        <v>520</v>
      </c>
      <c r="H6" s="1" t="s">
        <v>36</v>
      </c>
      <c r="I6" s="1" t="s">
        <v>37</v>
      </c>
      <c r="J6" s="1" t="s">
        <v>38</v>
      </c>
      <c r="K6" s="1" t="s">
        <v>522</v>
      </c>
      <c r="L6" s="6">
        <v>46311.894224537034</v>
      </c>
      <c r="M6" s="1" t="s">
        <v>1184</v>
      </c>
      <c r="N6" s="1" t="s">
        <v>523</v>
      </c>
      <c r="O6" s="1" t="s">
        <v>214</v>
      </c>
      <c r="P6" s="1">
        <v>20261016</v>
      </c>
      <c r="Q6" s="1">
        <v>100</v>
      </c>
      <c r="R6" s="1">
        <v>100</v>
      </c>
      <c r="S6" s="1">
        <v>3000</v>
      </c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>
      <c r="A7" s="1">
        <v>20810</v>
      </c>
      <c r="B7" s="1" t="s">
        <v>1181</v>
      </c>
      <c r="C7" s="1" t="s">
        <v>519</v>
      </c>
      <c r="D7" s="1"/>
      <c r="E7" s="1"/>
      <c r="F7" s="1">
        <v>7203</v>
      </c>
      <c r="G7" s="1" t="s">
        <v>520</v>
      </c>
      <c r="H7" s="1" t="s">
        <v>36</v>
      </c>
      <c r="I7" s="1" t="s">
        <v>37</v>
      </c>
      <c r="J7" s="1" t="s">
        <v>38</v>
      </c>
      <c r="K7" s="1" t="s">
        <v>522</v>
      </c>
      <c r="L7" s="6">
        <v>46313.899224537039</v>
      </c>
      <c r="M7" s="1" t="s">
        <v>1182</v>
      </c>
      <c r="N7" s="1" t="s">
        <v>521</v>
      </c>
      <c r="O7" s="1" t="s">
        <v>214</v>
      </c>
      <c r="P7" s="1">
        <v>20261018</v>
      </c>
      <c r="Q7" s="1">
        <v>100</v>
      </c>
      <c r="R7" s="1">
        <v>100</v>
      </c>
      <c r="S7" s="1">
        <v>3000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>
      <c r="A8" s="1">
        <v>20820</v>
      </c>
      <c r="B8" s="1" t="s">
        <v>1181</v>
      </c>
      <c r="C8" s="1" t="s">
        <v>519</v>
      </c>
      <c r="D8" s="1"/>
      <c r="E8" s="1"/>
      <c r="F8" s="1">
        <v>7203</v>
      </c>
      <c r="G8" s="1" t="s">
        <v>520</v>
      </c>
      <c r="H8" s="1" t="s">
        <v>36</v>
      </c>
      <c r="I8" s="1" t="s">
        <v>37</v>
      </c>
      <c r="J8" s="1" t="s">
        <v>38</v>
      </c>
      <c r="K8" s="1" t="s">
        <v>522</v>
      </c>
      <c r="L8" s="6">
        <v>46313.899629629632</v>
      </c>
      <c r="M8" s="1" t="s">
        <v>1184</v>
      </c>
      <c r="N8" s="1" t="s">
        <v>523</v>
      </c>
      <c r="O8" s="1" t="s">
        <v>214</v>
      </c>
      <c r="P8" s="1">
        <v>20261018</v>
      </c>
      <c r="Q8" s="1">
        <v>100</v>
      </c>
      <c r="R8" s="1">
        <v>100</v>
      </c>
      <c r="S8" s="1">
        <v>3040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>
      <c r="A9" s="1">
        <v>21230</v>
      </c>
      <c r="B9" s="1" t="s">
        <v>1181</v>
      </c>
      <c r="C9" s="1" t="s">
        <v>519</v>
      </c>
      <c r="D9" s="1"/>
      <c r="E9" s="1"/>
      <c r="F9" s="1">
        <v>7203</v>
      </c>
      <c r="G9" s="1" t="s">
        <v>520</v>
      </c>
      <c r="H9" s="1" t="s">
        <v>36</v>
      </c>
      <c r="I9" s="1" t="s">
        <v>37</v>
      </c>
      <c r="J9" s="1" t="s">
        <v>38</v>
      </c>
      <c r="K9" s="1" t="s">
        <v>522</v>
      </c>
      <c r="L9" s="6">
        <v>46319.052094907405</v>
      </c>
      <c r="M9" s="1" t="s">
        <v>674</v>
      </c>
      <c r="N9" s="1" t="s">
        <v>521</v>
      </c>
      <c r="O9" s="1" t="s">
        <v>214</v>
      </c>
      <c r="P9" s="1">
        <v>20261024</v>
      </c>
      <c r="Q9" s="1">
        <v>100</v>
      </c>
      <c r="R9" s="1">
        <v>100</v>
      </c>
      <c r="S9" s="1">
        <v>1262</v>
      </c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>
      <c r="A10" s="1">
        <v>21240</v>
      </c>
      <c r="B10" s="1" t="s">
        <v>1181</v>
      </c>
      <c r="C10" s="1" t="s">
        <v>519</v>
      </c>
      <c r="D10" s="1"/>
      <c r="E10" s="1"/>
      <c r="F10" s="1">
        <v>7203</v>
      </c>
      <c r="G10" s="1" t="s">
        <v>520</v>
      </c>
      <c r="H10" s="1" t="s">
        <v>36</v>
      </c>
      <c r="I10" s="1" t="s">
        <v>37</v>
      </c>
      <c r="J10" s="1" t="s">
        <v>38</v>
      </c>
      <c r="K10" s="1" t="s">
        <v>522</v>
      </c>
      <c r="L10" s="6">
        <v>46319.055173611108</v>
      </c>
      <c r="M10" s="1" t="s">
        <v>679</v>
      </c>
      <c r="N10" s="1" t="s">
        <v>523</v>
      </c>
      <c r="O10" s="1" t="s">
        <v>214</v>
      </c>
      <c r="P10" s="1">
        <v>20261024</v>
      </c>
      <c r="Q10" s="1">
        <v>100</v>
      </c>
      <c r="R10" s="1">
        <v>100</v>
      </c>
      <c r="S10" s="1">
        <v>1516</v>
      </c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>
      <c r="A11" s="1">
        <v>21250</v>
      </c>
      <c r="B11" s="1" t="s">
        <v>1181</v>
      </c>
      <c r="C11" s="1" t="s">
        <v>519</v>
      </c>
      <c r="D11" s="1"/>
      <c r="E11" s="1"/>
      <c r="F11" s="1">
        <v>7203</v>
      </c>
      <c r="G11" s="1" t="s">
        <v>520</v>
      </c>
      <c r="H11" s="1" t="s">
        <v>36</v>
      </c>
      <c r="I11" s="1" t="s">
        <v>37</v>
      </c>
      <c r="J11" s="1" t="s">
        <v>38</v>
      </c>
      <c r="K11" s="1" t="s">
        <v>522</v>
      </c>
      <c r="L11" s="6">
        <v>46319.08803240741</v>
      </c>
      <c r="M11" s="1" t="s">
        <v>674</v>
      </c>
      <c r="N11" s="1" t="s">
        <v>521</v>
      </c>
      <c r="O11" s="1" t="s">
        <v>214</v>
      </c>
      <c r="P11" s="1">
        <v>20261024</v>
      </c>
      <c r="Q11" s="1">
        <v>100</v>
      </c>
      <c r="R11" s="1">
        <v>100</v>
      </c>
      <c r="S11" s="1">
        <v>3100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>
      <c r="A12" s="1">
        <v>21260</v>
      </c>
      <c r="B12" s="1" t="s">
        <v>1181</v>
      </c>
      <c r="C12" s="1" t="s">
        <v>519</v>
      </c>
      <c r="D12" s="1"/>
      <c r="E12" s="1"/>
      <c r="F12" s="1">
        <v>7203</v>
      </c>
      <c r="G12" s="1" t="s">
        <v>520</v>
      </c>
      <c r="H12" s="1" t="s">
        <v>36</v>
      </c>
      <c r="I12" s="1" t="s">
        <v>37</v>
      </c>
      <c r="J12" s="1" t="s">
        <v>38</v>
      </c>
      <c r="K12" s="1" t="s">
        <v>522</v>
      </c>
      <c r="L12" s="6">
        <v>46319.091111111113</v>
      </c>
      <c r="M12" s="1" t="s">
        <v>679</v>
      </c>
      <c r="N12" s="1" t="s">
        <v>523</v>
      </c>
      <c r="O12" s="1" t="s">
        <v>214</v>
      </c>
      <c r="P12" s="1">
        <v>20261024</v>
      </c>
      <c r="Q12" s="1">
        <v>100</v>
      </c>
      <c r="R12" s="1">
        <v>100</v>
      </c>
      <c r="S12" s="1">
        <v>3100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>
      <c r="A13" s="1">
        <v>21270</v>
      </c>
      <c r="B13" s="1" t="s">
        <v>1181</v>
      </c>
      <c r="C13" s="1" t="s">
        <v>519</v>
      </c>
      <c r="D13" s="1"/>
      <c r="E13" s="1"/>
      <c r="F13" s="1">
        <v>7203</v>
      </c>
      <c r="G13" s="1" t="s">
        <v>520</v>
      </c>
      <c r="H13" s="1" t="s">
        <v>36</v>
      </c>
      <c r="I13" s="1" t="s">
        <v>37</v>
      </c>
      <c r="J13" s="1" t="s">
        <v>38</v>
      </c>
      <c r="K13" s="1" t="s">
        <v>522</v>
      </c>
      <c r="L13" s="6">
        <v>46319.091898148145</v>
      </c>
      <c r="M13" s="1" t="s">
        <v>674</v>
      </c>
      <c r="N13" s="1" t="s">
        <v>521</v>
      </c>
      <c r="O13" s="1" t="s">
        <v>214</v>
      </c>
      <c r="P13" s="1">
        <v>20261024</v>
      </c>
      <c r="Q13" s="1">
        <v>100</v>
      </c>
      <c r="R13" s="1">
        <v>100</v>
      </c>
      <c r="S13" s="1">
        <v>3100</v>
      </c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>
      <c r="A14" s="1">
        <v>21280</v>
      </c>
      <c r="B14" s="1" t="s">
        <v>1181</v>
      </c>
      <c r="C14" s="1" t="s">
        <v>519</v>
      </c>
      <c r="D14" s="1"/>
      <c r="E14" s="1"/>
      <c r="F14" s="1">
        <v>7203</v>
      </c>
      <c r="G14" s="1" t="s">
        <v>520</v>
      </c>
      <c r="H14" s="1" t="s">
        <v>36</v>
      </c>
      <c r="I14" s="1" t="s">
        <v>37</v>
      </c>
      <c r="J14" s="1" t="s">
        <v>38</v>
      </c>
      <c r="K14" s="1" t="s">
        <v>522</v>
      </c>
      <c r="L14" s="6">
        <v>46319.094247685185</v>
      </c>
      <c r="M14" s="1" t="s">
        <v>679</v>
      </c>
      <c r="N14" s="1" t="s">
        <v>523</v>
      </c>
      <c r="O14" s="1" t="s">
        <v>214</v>
      </c>
      <c r="P14" s="1">
        <v>20261024</v>
      </c>
      <c r="Q14" s="1">
        <v>100</v>
      </c>
      <c r="R14" s="1">
        <v>100</v>
      </c>
      <c r="S14" s="1">
        <v>3100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>
      <c r="A15" s="1">
        <v>21290</v>
      </c>
      <c r="B15" s="1" t="s">
        <v>1181</v>
      </c>
      <c r="C15" s="1" t="s">
        <v>519</v>
      </c>
      <c r="D15" s="1"/>
      <c r="E15" s="1"/>
      <c r="F15" s="1">
        <v>7203</v>
      </c>
      <c r="G15" s="1" t="s">
        <v>520</v>
      </c>
      <c r="H15" s="1" t="s">
        <v>36</v>
      </c>
      <c r="I15" s="1" t="s">
        <v>37</v>
      </c>
      <c r="J15" s="1" t="s">
        <v>38</v>
      </c>
      <c r="K15" s="1" t="s">
        <v>522</v>
      </c>
      <c r="L15" s="6">
        <v>46319.096782407411</v>
      </c>
      <c r="M15" s="1" t="s">
        <v>674</v>
      </c>
      <c r="N15" s="1" t="s">
        <v>521</v>
      </c>
      <c r="O15" s="1" t="s">
        <v>214</v>
      </c>
      <c r="P15" s="1">
        <v>20261024</v>
      </c>
      <c r="Q15" s="1">
        <v>100</v>
      </c>
      <c r="R15" s="1">
        <v>100</v>
      </c>
      <c r="S15" s="1">
        <v>3096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>
      <c r="A16" s="1">
        <v>21300</v>
      </c>
      <c r="B16" s="1" t="s">
        <v>1181</v>
      </c>
      <c r="C16" s="1" t="s">
        <v>519</v>
      </c>
      <c r="D16" s="1"/>
      <c r="E16" s="1"/>
      <c r="F16" s="1">
        <v>7203</v>
      </c>
      <c r="G16" s="1" t="s">
        <v>520</v>
      </c>
      <c r="H16" s="1" t="s">
        <v>36</v>
      </c>
      <c r="I16" s="1" t="s">
        <v>37</v>
      </c>
      <c r="J16" s="1" t="s">
        <v>38</v>
      </c>
      <c r="K16" s="1" t="s">
        <v>522</v>
      </c>
      <c r="L16" s="6">
        <v>46319.097245370373</v>
      </c>
      <c r="M16" s="1" t="s">
        <v>679</v>
      </c>
      <c r="N16" s="1" t="s">
        <v>523</v>
      </c>
      <c r="O16" s="1" t="s">
        <v>214</v>
      </c>
      <c r="P16" s="1">
        <v>20261024</v>
      </c>
      <c r="Q16" s="1">
        <v>100</v>
      </c>
      <c r="R16" s="1">
        <v>100</v>
      </c>
      <c r="S16" s="1">
        <v>3099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>
      <c r="A17" s="1">
        <v>21310</v>
      </c>
      <c r="B17" s="1" t="s">
        <v>1181</v>
      </c>
      <c r="C17" s="1" t="s">
        <v>519</v>
      </c>
      <c r="D17" s="1"/>
      <c r="E17" s="1"/>
      <c r="F17" s="1">
        <v>7203</v>
      </c>
      <c r="G17" s="1" t="s">
        <v>520</v>
      </c>
      <c r="H17" s="1" t="s">
        <v>36</v>
      </c>
      <c r="I17" s="1" t="s">
        <v>37</v>
      </c>
      <c r="J17" s="1" t="s">
        <v>38</v>
      </c>
      <c r="K17" s="1" t="s">
        <v>522</v>
      </c>
      <c r="L17" s="6">
        <v>46319.658715277779</v>
      </c>
      <c r="M17" s="1" t="s">
        <v>674</v>
      </c>
      <c r="N17" s="1" t="s">
        <v>521</v>
      </c>
      <c r="O17" s="1" t="s">
        <v>214</v>
      </c>
      <c r="P17" s="1">
        <v>20261024</v>
      </c>
      <c r="Q17" s="1">
        <v>100</v>
      </c>
      <c r="R17" s="1">
        <v>100</v>
      </c>
      <c r="S17" s="1">
        <v>3096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>
      <c r="A18" s="1">
        <v>21320</v>
      </c>
      <c r="B18" s="1" t="s">
        <v>1181</v>
      </c>
      <c r="C18" s="1" t="s">
        <v>519</v>
      </c>
      <c r="D18" s="1"/>
      <c r="E18" s="1"/>
      <c r="F18" s="1">
        <v>7203</v>
      </c>
      <c r="G18" s="1" t="s">
        <v>520</v>
      </c>
      <c r="H18" s="1" t="s">
        <v>36</v>
      </c>
      <c r="I18" s="1" t="s">
        <v>37</v>
      </c>
      <c r="J18" s="1" t="s">
        <v>38</v>
      </c>
      <c r="K18" s="1" t="s">
        <v>522</v>
      </c>
      <c r="L18" s="6">
        <v>46319.659259259257</v>
      </c>
      <c r="M18" s="1" t="s">
        <v>679</v>
      </c>
      <c r="N18" s="1" t="s">
        <v>523</v>
      </c>
      <c r="O18" s="1" t="s">
        <v>214</v>
      </c>
      <c r="P18" s="1">
        <v>20261024</v>
      </c>
      <c r="Q18" s="1">
        <v>100</v>
      </c>
      <c r="R18" s="1">
        <v>100</v>
      </c>
      <c r="S18" s="1">
        <v>3100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>
      <c r="A19" s="1">
        <v>21330</v>
      </c>
      <c r="B19" s="1" t="s">
        <v>1181</v>
      </c>
      <c r="C19" s="1" t="s">
        <v>519</v>
      </c>
      <c r="D19" s="1"/>
      <c r="E19" s="1"/>
      <c r="F19" s="1">
        <v>7203</v>
      </c>
      <c r="G19" s="1" t="s">
        <v>520</v>
      </c>
      <c r="H19" s="1" t="s">
        <v>36</v>
      </c>
      <c r="I19" s="1" t="s">
        <v>37</v>
      </c>
      <c r="J19" s="1" t="s">
        <v>38</v>
      </c>
      <c r="K19" s="1" t="s">
        <v>522</v>
      </c>
      <c r="L19" s="6">
        <v>46319.758032407408</v>
      </c>
      <c r="M19" s="1" t="s">
        <v>674</v>
      </c>
      <c r="N19" s="1" t="s">
        <v>521</v>
      </c>
      <c r="O19" s="1" t="s">
        <v>214</v>
      </c>
      <c r="P19" s="1">
        <v>20261024</v>
      </c>
      <c r="Q19" s="1">
        <v>100</v>
      </c>
      <c r="R19" s="1">
        <v>100</v>
      </c>
      <c r="S19" s="1">
        <v>3095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>
      <c r="A20" s="1">
        <v>21340</v>
      </c>
      <c r="B20" s="1" t="s">
        <v>1181</v>
      </c>
      <c r="C20" s="1" t="s">
        <v>519</v>
      </c>
      <c r="D20" s="1"/>
      <c r="E20" s="1"/>
      <c r="F20" s="1">
        <v>7203</v>
      </c>
      <c r="G20" s="1" t="s">
        <v>520</v>
      </c>
      <c r="H20" s="1" t="s">
        <v>36</v>
      </c>
      <c r="I20" s="1" t="s">
        <v>37</v>
      </c>
      <c r="J20" s="1" t="s">
        <v>38</v>
      </c>
      <c r="K20" s="1" t="s">
        <v>522</v>
      </c>
      <c r="L20" s="6">
        <v>46319.770601851851</v>
      </c>
      <c r="M20" s="1" t="s">
        <v>679</v>
      </c>
      <c r="N20" s="1" t="s">
        <v>523</v>
      </c>
      <c r="O20" s="1" t="s">
        <v>214</v>
      </c>
      <c r="P20" s="1">
        <v>20261024</v>
      </c>
      <c r="Q20" s="1">
        <v>100</v>
      </c>
      <c r="R20" s="1">
        <v>100</v>
      </c>
      <c r="S20" s="1">
        <v>3097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>
      <c r="A21" s="1">
        <v>21350</v>
      </c>
      <c r="B21" s="1" t="s">
        <v>1181</v>
      </c>
      <c r="C21" s="1" t="s">
        <v>519</v>
      </c>
      <c r="D21" s="1"/>
      <c r="E21" s="1"/>
      <c r="F21" s="1">
        <v>7203</v>
      </c>
      <c r="G21" s="1" t="s">
        <v>520</v>
      </c>
      <c r="H21" s="1" t="s">
        <v>36</v>
      </c>
      <c r="I21" s="1" t="s">
        <v>37</v>
      </c>
      <c r="J21" s="1" t="s">
        <v>38</v>
      </c>
      <c r="K21" s="1" t="s">
        <v>522</v>
      </c>
      <c r="L21" s="6">
        <v>46319.802060185182</v>
      </c>
      <c r="M21" s="1" t="s">
        <v>674</v>
      </c>
      <c r="N21" s="1" t="s">
        <v>521</v>
      </c>
      <c r="O21" s="1" t="s">
        <v>214</v>
      </c>
      <c r="P21" s="1">
        <v>20261024</v>
      </c>
      <c r="Q21" s="1">
        <v>100</v>
      </c>
      <c r="R21" s="1">
        <v>100</v>
      </c>
      <c r="S21" s="1">
        <v>3096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>
      <c r="A22" s="1">
        <v>21360</v>
      </c>
      <c r="B22" s="1" t="s">
        <v>1181</v>
      </c>
      <c r="C22" s="1" t="s">
        <v>519</v>
      </c>
      <c r="D22" s="1"/>
      <c r="E22" s="1"/>
      <c r="F22" s="1">
        <v>7203</v>
      </c>
      <c r="G22" s="1" t="s">
        <v>520</v>
      </c>
      <c r="H22" s="1" t="s">
        <v>36</v>
      </c>
      <c r="I22" s="1" t="s">
        <v>37</v>
      </c>
      <c r="J22" s="1" t="s">
        <v>38</v>
      </c>
      <c r="K22" s="1" t="s">
        <v>522</v>
      </c>
      <c r="L22" s="6">
        <v>46319.802766203706</v>
      </c>
      <c r="M22" s="1" t="s">
        <v>679</v>
      </c>
      <c r="N22" s="1" t="s">
        <v>523</v>
      </c>
      <c r="O22" s="1" t="s">
        <v>214</v>
      </c>
      <c r="P22" s="1">
        <v>20261024</v>
      </c>
      <c r="Q22" s="1">
        <v>100</v>
      </c>
      <c r="R22" s="1">
        <v>100</v>
      </c>
      <c r="S22" s="1">
        <v>3099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>
      <c r="A23" s="1">
        <v>21370</v>
      </c>
      <c r="B23" s="1" t="s">
        <v>1181</v>
      </c>
      <c r="C23" s="1" t="s">
        <v>519</v>
      </c>
      <c r="D23" s="1"/>
      <c r="E23" s="1"/>
      <c r="F23" s="1">
        <v>7203</v>
      </c>
      <c r="G23" s="1" t="s">
        <v>520</v>
      </c>
      <c r="H23" s="1" t="s">
        <v>36</v>
      </c>
      <c r="I23" s="1" t="s">
        <v>37</v>
      </c>
      <c r="J23" s="1" t="s">
        <v>38</v>
      </c>
      <c r="K23" s="1" t="s">
        <v>522</v>
      </c>
      <c r="L23" s="6">
        <v>46319.975775462961</v>
      </c>
      <c r="M23" s="1" t="s">
        <v>674</v>
      </c>
      <c r="N23" s="1" t="s">
        <v>521</v>
      </c>
      <c r="O23" s="1" t="s">
        <v>214</v>
      </c>
      <c r="P23" s="1">
        <v>20261024</v>
      </c>
      <c r="Q23" s="1">
        <v>100</v>
      </c>
      <c r="R23" s="1">
        <v>100</v>
      </c>
      <c r="S23" s="1">
        <v>3095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>
      <c r="A24" s="1">
        <v>21380</v>
      </c>
      <c r="B24" s="1" t="s">
        <v>1181</v>
      </c>
      <c r="C24" s="1" t="s">
        <v>519</v>
      </c>
      <c r="D24" s="1"/>
      <c r="E24" s="1"/>
      <c r="F24" s="1">
        <v>7203</v>
      </c>
      <c r="G24" s="1" t="s">
        <v>520</v>
      </c>
      <c r="H24" s="1" t="s">
        <v>36</v>
      </c>
      <c r="I24" s="1" t="s">
        <v>37</v>
      </c>
      <c r="J24" s="1" t="s">
        <v>38</v>
      </c>
      <c r="K24" s="1" t="s">
        <v>522</v>
      </c>
      <c r="L24" s="6">
        <v>46319.979814814818</v>
      </c>
      <c r="M24" s="1" t="s">
        <v>679</v>
      </c>
      <c r="N24" s="1" t="s">
        <v>523</v>
      </c>
      <c r="O24" s="1" t="s">
        <v>214</v>
      </c>
      <c r="P24" s="1">
        <v>20261024</v>
      </c>
      <c r="Q24" s="1">
        <v>100</v>
      </c>
      <c r="R24" s="1">
        <v>100</v>
      </c>
      <c r="S24" s="1">
        <v>3095</v>
      </c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>
      <c r="A25" s="1">
        <v>21390</v>
      </c>
      <c r="B25" s="1" t="s">
        <v>1181</v>
      </c>
      <c r="C25" s="1" t="s">
        <v>519</v>
      </c>
      <c r="D25" s="1"/>
      <c r="E25" s="1"/>
      <c r="F25" s="1">
        <v>7203</v>
      </c>
      <c r="G25" s="1" t="s">
        <v>520</v>
      </c>
      <c r="H25" s="1" t="s">
        <v>36</v>
      </c>
      <c r="I25" s="1" t="s">
        <v>37</v>
      </c>
      <c r="J25" s="1" t="s">
        <v>38</v>
      </c>
      <c r="K25" s="1" t="s">
        <v>522</v>
      </c>
      <c r="L25" s="6">
        <v>46319.982060185182</v>
      </c>
      <c r="M25" s="1" t="s">
        <v>674</v>
      </c>
      <c r="N25" s="1" t="s">
        <v>521</v>
      </c>
      <c r="O25" s="1" t="s">
        <v>214</v>
      </c>
      <c r="P25" s="1">
        <v>20261024</v>
      </c>
      <c r="Q25" s="1">
        <v>100</v>
      </c>
      <c r="R25" s="1">
        <v>100</v>
      </c>
      <c r="S25" s="1">
        <v>3097</v>
      </c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>
      <c r="A26" s="1">
        <v>21400</v>
      </c>
      <c r="B26" s="1" t="s">
        <v>1181</v>
      </c>
      <c r="C26" s="1" t="s">
        <v>519</v>
      </c>
      <c r="D26" s="1"/>
      <c r="E26" s="1"/>
      <c r="F26" s="1">
        <v>7203</v>
      </c>
      <c r="G26" s="1" t="s">
        <v>520</v>
      </c>
      <c r="H26" s="1" t="s">
        <v>36</v>
      </c>
      <c r="I26" s="1" t="s">
        <v>37</v>
      </c>
      <c r="J26" s="1" t="s">
        <v>38</v>
      </c>
      <c r="K26" s="1" t="s">
        <v>522</v>
      </c>
      <c r="L26" s="6">
        <v>46320.015844907408</v>
      </c>
      <c r="M26" s="1" t="s">
        <v>679</v>
      </c>
      <c r="N26" s="1" t="s">
        <v>523</v>
      </c>
      <c r="O26" s="1" t="s">
        <v>214</v>
      </c>
      <c r="P26" s="1">
        <v>20261025</v>
      </c>
      <c r="Q26" s="1">
        <v>100</v>
      </c>
      <c r="R26" s="1">
        <v>100</v>
      </c>
      <c r="S26" s="1">
        <v>3097</v>
      </c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>
      <c r="A27" s="1" t="s">
        <v>64</v>
      </c>
      <c r="B27" s="1" t="s">
        <v>64</v>
      </c>
      <c r="C27" s="1" t="s">
        <v>64</v>
      </c>
      <c r="D27" s="1" t="s">
        <v>64</v>
      </c>
      <c r="E27" s="1" t="s">
        <v>64</v>
      </c>
      <c r="F27" s="1" t="s">
        <v>64</v>
      </c>
      <c r="G27" s="1" t="s">
        <v>64</v>
      </c>
      <c r="H27" s="1" t="s">
        <v>64</v>
      </c>
      <c r="I27" s="1" t="s">
        <v>64</v>
      </c>
      <c r="J27" s="1" t="s">
        <v>64</v>
      </c>
      <c r="K27" s="1" t="s">
        <v>64</v>
      </c>
      <c r="L27" s="1" t="s">
        <v>64</v>
      </c>
      <c r="M27" s="1" t="s">
        <v>64</v>
      </c>
      <c r="N27" s="1" t="s">
        <v>64</v>
      </c>
      <c r="O27" s="1" t="s">
        <v>64</v>
      </c>
      <c r="P27" s="1" t="s">
        <v>64</v>
      </c>
      <c r="Q27" s="1" t="s">
        <v>64</v>
      </c>
      <c r="R27" s="1" t="s">
        <v>64</v>
      </c>
      <c r="S27" s="1" t="s">
        <v>64</v>
      </c>
      <c r="T27" s="1" t="s">
        <v>64</v>
      </c>
      <c r="U27" s="1" t="s">
        <v>64</v>
      </c>
      <c r="V27" s="1" t="s">
        <v>64</v>
      </c>
      <c r="W27" s="1" t="s">
        <v>64</v>
      </c>
      <c r="X27" s="1" t="s">
        <v>64</v>
      </c>
      <c r="Y27" s="1" t="s">
        <v>64</v>
      </c>
      <c r="Z27" s="1" t="s">
        <v>64</v>
      </c>
      <c r="AA27" s="1" t="s">
        <v>64</v>
      </c>
      <c r="AB27" s="1" t="s">
        <v>64</v>
      </c>
      <c r="AC27" s="1" t="s">
        <v>64</v>
      </c>
      <c r="AD27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F6A2A-102C-4C09-BED6-7CC88446CEB1}">
  <dimension ref="A1:O27"/>
  <sheetViews>
    <sheetView workbookViewId="0">
      <selection activeCell="D15" sqref="D15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879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>
        <v>46311.893078703702</v>
      </c>
      <c r="B3" s="1">
        <v>20261020</v>
      </c>
      <c r="C3" s="1">
        <v>7203</v>
      </c>
      <c r="D3" s="1" t="s">
        <v>520</v>
      </c>
      <c r="E3" s="1" t="s">
        <v>36</v>
      </c>
      <c r="F3" s="1" t="s">
        <v>706</v>
      </c>
      <c r="G3" s="1" t="s">
        <v>38</v>
      </c>
      <c r="H3" s="1" t="s">
        <v>522</v>
      </c>
      <c r="I3" s="1" t="s">
        <v>521</v>
      </c>
      <c r="J3" s="1" t="s">
        <v>1182</v>
      </c>
      <c r="K3" s="1">
        <v>100</v>
      </c>
      <c r="L3" s="1">
        <v>3040</v>
      </c>
      <c r="M3" s="1">
        <v>304000</v>
      </c>
      <c r="N3" s="1" t="s">
        <v>675</v>
      </c>
      <c r="O3" s="1">
        <v>0</v>
      </c>
    </row>
    <row r="4" spans="1:15">
      <c r="A4" s="6">
        <v>46311.893773148149</v>
      </c>
      <c r="B4" s="1">
        <v>20261020</v>
      </c>
      <c r="C4" s="1">
        <v>7203</v>
      </c>
      <c r="D4" s="1" t="s">
        <v>520</v>
      </c>
      <c r="E4" s="1" t="s">
        <v>36</v>
      </c>
      <c r="F4" s="1" t="s">
        <v>706</v>
      </c>
      <c r="G4" s="1" t="s">
        <v>38</v>
      </c>
      <c r="H4" s="1" t="s">
        <v>522</v>
      </c>
      <c r="I4" s="1" t="s">
        <v>523</v>
      </c>
      <c r="J4" s="1" t="s">
        <v>1184</v>
      </c>
      <c r="K4" s="1">
        <v>100</v>
      </c>
      <c r="L4" s="1">
        <v>3040</v>
      </c>
      <c r="M4" s="1">
        <v>304000</v>
      </c>
      <c r="N4" s="1" t="s">
        <v>675</v>
      </c>
      <c r="O4" s="1">
        <v>0</v>
      </c>
    </row>
    <row r="5" spans="1:15">
      <c r="A5" s="6">
        <v>46311.893958333334</v>
      </c>
      <c r="B5" s="1">
        <v>20261020</v>
      </c>
      <c r="C5" s="1">
        <v>7203</v>
      </c>
      <c r="D5" s="1" t="s">
        <v>520</v>
      </c>
      <c r="E5" s="1" t="s">
        <v>36</v>
      </c>
      <c r="F5" s="1" t="s">
        <v>706</v>
      </c>
      <c r="G5" s="1" t="s">
        <v>38</v>
      </c>
      <c r="H5" s="1" t="s">
        <v>522</v>
      </c>
      <c r="I5" s="1" t="s">
        <v>521</v>
      </c>
      <c r="J5" s="1" t="s">
        <v>1182</v>
      </c>
      <c r="K5" s="1">
        <v>100</v>
      </c>
      <c r="L5" s="1">
        <v>3010</v>
      </c>
      <c r="M5" s="1">
        <v>301000</v>
      </c>
      <c r="N5" s="1" t="s">
        <v>675</v>
      </c>
      <c r="O5" s="1">
        <v>0</v>
      </c>
    </row>
    <row r="6" spans="1:15">
      <c r="A6" s="6">
        <v>46311.894236111111</v>
      </c>
      <c r="B6" s="1">
        <v>20261020</v>
      </c>
      <c r="C6" s="1">
        <v>7203</v>
      </c>
      <c r="D6" s="1" t="s">
        <v>520</v>
      </c>
      <c r="E6" s="1" t="s">
        <v>36</v>
      </c>
      <c r="F6" s="1" t="s">
        <v>706</v>
      </c>
      <c r="G6" s="1" t="s">
        <v>38</v>
      </c>
      <c r="H6" s="1" t="s">
        <v>522</v>
      </c>
      <c r="I6" s="1" t="s">
        <v>523</v>
      </c>
      <c r="J6" s="1" t="s">
        <v>1184</v>
      </c>
      <c r="K6" s="1">
        <v>100</v>
      </c>
      <c r="L6" s="1">
        <v>3000</v>
      </c>
      <c r="M6" s="1">
        <v>300000</v>
      </c>
      <c r="N6" s="1" t="s">
        <v>675</v>
      </c>
      <c r="O6" s="1">
        <v>0</v>
      </c>
    </row>
    <row r="7" spans="1:15">
      <c r="A7" s="6">
        <v>46313.899224537039</v>
      </c>
      <c r="B7" s="1">
        <v>20261022</v>
      </c>
      <c r="C7" s="1">
        <v>7203</v>
      </c>
      <c r="D7" s="1" t="s">
        <v>520</v>
      </c>
      <c r="E7" s="1" t="s">
        <v>36</v>
      </c>
      <c r="F7" s="1" t="s">
        <v>706</v>
      </c>
      <c r="G7" s="1" t="s">
        <v>38</v>
      </c>
      <c r="H7" s="1" t="s">
        <v>522</v>
      </c>
      <c r="I7" s="1" t="s">
        <v>521</v>
      </c>
      <c r="J7" s="1" t="s">
        <v>1182</v>
      </c>
      <c r="K7" s="1">
        <v>100</v>
      </c>
      <c r="L7" s="1">
        <v>3000</v>
      </c>
      <c r="M7" s="1">
        <v>300000</v>
      </c>
      <c r="N7" s="1" t="s">
        <v>675</v>
      </c>
      <c r="O7" s="1">
        <v>0</v>
      </c>
    </row>
    <row r="8" spans="1:15">
      <c r="A8" s="6">
        <v>46313.899641203701</v>
      </c>
      <c r="B8" s="1">
        <v>20261022</v>
      </c>
      <c r="C8" s="1">
        <v>7203</v>
      </c>
      <c r="D8" s="1" t="s">
        <v>520</v>
      </c>
      <c r="E8" s="1" t="s">
        <v>36</v>
      </c>
      <c r="F8" s="1" t="s">
        <v>706</v>
      </c>
      <c r="G8" s="1" t="s">
        <v>38</v>
      </c>
      <c r="H8" s="1" t="s">
        <v>522</v>
      </c>
      <c r="I8" s="1" t="s">
        <v>523</v>
      </c>
      <c r="J8" s="1" t="s">
        <v>1184</v>
      </c>
      <c r="K8" s="1">
        <v>100</v>
      </c>
      <c r="L8" s="1">
        <v>3040</v>
      </c>
      <c r="M8" s="1">
        <v>304000</v>
      </c>
      <c r="N8" s="1" t="s">
        <v>675</v>
      </c>
      <c r="O8" s="1">
        <v>0</v>
      </c>
    </row>
    <row r="9" spans="1:15">
      <c r="A9" s="6">
        <v>46319.052106481482</v>
      </c>
      <c r="B9" s="1">
        <v>20261028</v>
      </c>
      <c r="C9" s="1">
        <v>7203</v>
      </c>
      <c r="D9" s="1" t="s">
        <v>520</v>
      </c>
      <c r="E9" s="1" t="s">
        <v>36</v>
      </c>
      <c r="F9" s="1" t="s">
        <v>706</v>
      </c>
      <c r="G9" s="1" t="s">
        <v>38</v>
      </c>
      <c r="H9" s="1" t="s">
        <v>522</v>
      </c>
      <c r="I9" s="1" t="s">
        <v>521</v>
      </c>
      <c r="J9" s="1" t="s">
        <v>674</v>
      </c>
      <c r="K9" s="1">
        <v>100</v>
      </c>
      <c r="L9" s="1">
        <v>1262</v>
      </c>
      <c r="M9" s="1">
        <v>126200</v>
      </c>
      <c r="N9" s="1" t="s">
        <v>675</v>
      </c>
      <c r="O9" s="1">
        <v>0</v>
      </c>
    </row>
    <row r="10" spans="1:15">
      <c r="A10" s="6">
        <v>46319.055185185185</v>
      </c>
      <c r="B10" s="1">
        <v>20261028</v>
      </c>
      <c r="C10" s="1">
        <v>7203</v>
      </c>
      <c r="D10" s="1" t="s">
        <v>520</v>
      </c>
      <c r="E10" s="1" t="s">
        <v>36</v>
      </c>
      <c r="F10" s="1" t="s">
        <v>706</v>
      </c>
      <c r="G10" s="1" t="s">
        <v>38</v>
      </c>
      <c r="H10" s="1" t="s">
        <v>522</v>
      </c>
      <c r="I10" s="1" t="s">
        <v>523</v>
      </c>
      <c r="J10" s="1" t="s">
        <v>679</v>
      </c>
      <c r="K10" s="1">
        <v>100</v>
      </c>
      <c r="L10" s="1">
        <v>1516</v>
      </c>
      <c r="M10" s="1">
        <v>151600</v>
      </c>
      <c r="N10" s="1" t="s">
        <v>675</v>
      </c>
      <c r="O10" s="1">
        <v>0</v>
      </c>
    </row>
    <row r="11" spans="1:15">
      <c r="A11" s="6">
        <v>46319.08803240741</v>
      </c>
      <c r="B11" s="1">
        <v>20261028</v>
      </c>
      <c r="C11" s="1">
        <v>7203</v>
      </c>
      <c r="D11" s="1" t="s">
        <v>520</v>
      </c>
      <c r="E11" s="1" t="s">
        <v>36</v>
      </c>
      <c r="F11" s="1" t="s">
        <v>706</v>
      </c>
      <c r="G11" s="1" t="s">
        <v>38</v>
      </c>
      <c r="H11" s="1" t="s">
        <v>522</v>
      </c>
      <c r="I11" s="1" t="s">
        <v>521</v>
      </c>
      <c r="J11" s="1" t="s">
        <v>674</v>
      </c>
      <c r="K11" s="1">
        <v>100</v>
      </c>
      <c r="L11" s="1">
        <v>3100</v>
      </c>
      <c r="M11" s="1">
        <v>310000</v>
      </c>
      <c r="N11" s="1" t="s">
        <v>675</v>
      </c>
      <c r="O11" s="1">
        <v>0</v>
      </c>
    </row>
    <row r="12" spans="1:15">
      <c r="A12" s="6">
        <v>46319.091111111113</v>
      </c>
      <c r="B12" s="1">
        <v>20261028</v>
      </c>
      <c r="C12" s="1">
        <v>7203</v>
      </c>
      <c r="D12" s="1" t="s">
        <v>520</v>
      </c>
      <c r="E12" s="1" t="s">
        <v>36</v>
      </c>
      <c r="F12" s="1" t="s">
        <v>706</v>
      </c>
      <c r="G12" s="1" t="s">
        <v>38</v>
      </c>
      <c r="H12" s="1" t="s">
        <v>522</v>
      </c>
      <c r="I12" s="1" t="s">
        <v>523</v>
      </c>
      <c r="J12" s="1" t="s">
        <v>679</v>
      </c>
      <c r="K12" s="1">
        <v>100</v>
      </c>
      <c r="L12" s="1">
        <v>3100</v>
      </c>
      <c r="M12" s="1">
        <v>310000</v>
      </c>
      <c r="N12" s="1" t="s">
        <v>675</v>
      </c>
      <c r="O12" s="1">
        <v>0</v>
      </c>
    </row>
    <row r="13" spans="1:15">
      <c r="A13" s="6">
        <v>46319.091909722221</v>
      </c>
      <c r="B13" s="1">
        <v>20261028</v>
      </c>
      <c r="C13" s="1">
        <v>7203</v>
      </c>
      <c r="D13" s="1" t="s">
        <v>520</v>
      </c>
      <c r="E13" s="1" t="s">
        <v>36</v>
      </c>
      <c r="F13" s="1" t="s">
        <v>706</v>
      </c>
      <c r="G13" s="1" t="s">
        <v>38</v>
      </c>
      <c r="H13" s="1" t="s">
        <v>522</v>
      </c>
      <c r="I13" s="1" t="s">
        <v>521</v>
      </c>
      <c r="J13" s="1" t="s">
        <v>674</v>
      </c>
      <c r="K13" s="1">
        <v>100</v>
      </c>
      <c r="L13" s="1">
        <v>3100</v>
      </c>
      <c r="M13" s="1">
        <v>310000</v>
      </c>
      <c r="N13" s="1" t="s">
        <v>675</v>
      </c>
      <c r="O13" s="1">
        <v>0</v>
      </c>
    </row>
    <row r="14" spans="1:15">
      <c r="A14" s="6">
        <v>46319.094259259262</v>
      </c>
      <c r="B14" s="1">
        <v>20261028</v>
      </c>
      <c r="C14" s="1">
        <v>7203</v>
      </c>
      <c r="D14" s="1" t="s">
        <v>520</v>
      </c>
      <c r="E14" s="1" t="s">
        <v>36</v>
      </c>
      <c r="F14" s="1" t="s">
        <v>706</v>
      </c>
      <c r="G14" s="1" t="s">
        <v>38</v>
      </c>
      <c r="H14" s="1" t="s">
        <v>522</v>
      </c>
      <c r="I14" s="1" t="s">
        <v>523</v>
      </c>
      <c r="J14" s="1" t="s">
        <v>679</v>
      </c>
      <c r="K14" s="1">
        <v>100</v>
      </c>
      <c r="L14" s="1">
        <v>3100</v>
      </c>
      <c r="M14" s="1">
        <v>310000</v>
      </c>
      <c r="N14" s="1" t="s">
        <v>675</v>
      </c>
      <c r="O14" s="1">
        <v>0</v>
      </c>
    </row>
    <row r="15" spans="1:15">
      <c r="A15" s="6">
        <v>46319.096782407411</v>
      </c>
      <c r="B15" s="1">
        <v>20261028</v>
      </c>
      <c r="C15" s="1">
        <v>7203</v>
      </c>
      <c r="D15" s="1" t="s">
        <v>520</v>
      </c>
      <c r="E15" s="1" t="s">
        <v>36</v>
      </c>
      <c r="F15" s="1" t="s">
        <v>706</v>
      </c>
      <c r="G15" s="1" t="s">
        <v>38</v>
      </c>
      <c r="H15" s="1" t="s">
        <v>522</v>
      </c>
      <c r="I15" s="1" t="s">
        <v>521</v>
      </c>
      <c r="J15" s="1" t="s">
        <v>674</v>
      </c>
      <c r="K15" s="1">
        <v>100</v>
      </c>
      <c r="L15" s="1">
        <v>3096</v>
      </c>
      <c r="M15" s="1">
        <v>309600</v>
      </c>
      <c r="N15" s="1" t="s">
        <v>675</v>
      </c>
      <c r="O15" s="1">
        <v>0</v>
      </c>
    </row>
    <row r="16" spans="1:15">
      <c r="A16" s="6">
        <v>46319.097245370373</v>
      </c>
      <c r="B16" s="1">
        <v>20261028</v>
      </c>
      <c r="C16" s="1">
        <v>7203</v>
      </c>
      <c r="D16" s="1" t="s">
        <v>520</v>
      </c>
      <c r="E16" s="1" t="s">
        <v>36</v>
      </c>
      <c r="F16" s="1" t="s">
        <v>706</v>
      </c>
      <c r="G16" s="1" t="s">
        <v>38</v>
      </c>
      <c r="H16" s="1" t="s">
        <v>522</v>
      </c>
      <c r="I16" s="1" t="s">
        <v>523</v>
      </c>
      <c r="J16" s="1" t="s">
        <v>679</v>
      </c>
      <c r="K16" s="1">
        <v>100</v>
      </c>
      <c r="L16" s="1">
        <v>3099</v>
      </c>
      <c r="M16" s="1">
        <v>309900</v>
      </c>
      <c r="N16" s="1" t="s">
        <v>675</v>
      </c>
      <c r="O16" s="1">
        <v>0</v>
      </c>
    </row>
    <row r="17" spans="1:15">
      <c r="A17" s="6">
        <v>46319.658715277779</v>
      </c>
      <c r="B17" s="1">
        <v>20261028</v>
      </c>
      <c r="C17" s="1">
        <v>7203</v>
      </c>
      <c r="D17" s="1" t="s">
        <v>520</v>
      </c>
      <c r="E17" s="1" t="s">
        <v>36</v>
      </c>
      <c r="F17" s="1" t="s">
        <v>706</v>
      </c>
      <c r="G17" s="1" t="s">
        <v>38</v>
      </c>
      <c r="H17" s="1" t="s">
        <v>522</v>
      </c>
      <c r="I17" s="1" t="s">
        <v>521</v>
      </c>
      <c r="J17" s="1" t="s">
        <v>674</v>
      </c>
      <c r="K17" s="1">
        <v>100</v>
      </c>
      <c r="L17" s="1">
        <v>3096</v>
      </c>
      <c r="M17" s="1">
        <v>309600</v>
      </c>
      <c r="N17" s="1" t="s">
        <v>675</v>
      </c>
      <c r="O17" s="1">
        <v>0</v>
      </c>
    </row>
    <row r="18" spans="1:15">
      <c r="A18" s="6">
        <v>46319.659270833334</v>
      </c>
      <c r="B18" s="1">
        <v>20261028</v>
      </c>
      <c r="C18" s="1">
        <v>7203</v>
      </c>
      <c r="D18" s="1" t="s">
        <v>520</v>
      </c>
      <c r="E18" s="1" t="s">
        <v>36</v>
      </c>
      <c r="F18" s="1" t="s">
        <v>706</v>
      </c>
      <c r="G18" s="1" t="s">
        <v>38</v>
      </c>
      <c r="H18" s="1" t="s">
        <v>522</v>
      </c>
      <c r="I18" s="1" t="s">
        <v>523</v>
      </c>
      <c r="J18" s="1" t="s">
        <v>679</v>
      </c>
      <c r="K18" s="1">
        <v>100</v>
      </c>
      <c r="L18" s="1">
        <v>3100</v>
      </c>
      <c r="M18" s="1">
        <v>310000</v>
      </c>
      <c r="N18" s="1" t="s">
        <v>675</v>
      </c>
      <c r="O18" s="1">
        <v>0</v>
      </c>
    </row>
    <row r="19" spans="1:15">
      <c r="A19" s="6">
        <v>46319.758032407408</v>
      </c>
      <c r="B19" s="1">
        <v>20261028</v>
      </c>
      <c r="C19" s="1">
        <v>7203</v>
      </c>
      <c r="D19" s="1" t="s">
        <v>520</v>
      </c>
      <c r="E19" s="1" t="s">
        <v>36</v>
      </c>
      <c r="F19" s="1" t="s">
        <v>706</v>
      </c>
      <c r="G19" s="1" t="s">
        <v>38</v>
      </c>
      <c r="H19" s="1" t="s">
        <v>522</v>
      </c>
      <c r="I19" s="1" t="s">
        <v>521</v>
      </c>
      <c r="J19" s="1" t="s">
        <v>674</v>
      </c>
      <c r="K19" s="1">
        <v>100</v>
      </c>
      <c r="L19" s="1">
        <v>3095</v>
      </c>
      <c r="M19" s="1">
        <v>309500</v>
      </c>
      <c r="N19" s="1" t="s">
        <v>675</v>
      </c>
      <c r="O19" s="1">
        <v>0</v>
      </c>
    </row>
    <row r="20" spans="1:15">
      <c r="A20" s="6">
        <v>46319.770601851851</v>
      </c>
      <c r="B20" s="1">
        <v>20261028</v>
      </c>
      <c r="C20" s="1">
        <v>7203</v>
      </c>
      <c r="D20" s="1" t="s">
        <v>520</v>
      </c>
      <c r="E20" s="1" t="s">
        <v>36</v>
      </c>
      <c r="F20" s="1" t="s">
        <v>706</v>
      </c>
      <c r="G20" s="1" t="s">
        <v>38</v>
      </c>
      <c r="H20" s="1" t="s">
        <v>522</v>
      </c>
      <c r="I20" s="1" t="s">
        <v>523</v>
      </c>
      <c r="J20" s="1" t="s">
        <v>679</v>
      </c>
      <c r="K20" s="1">
        <v>100</v>
      </c>
      <c r="L20" s="1">
        <v>3097</v>
      </c>
      <c r="M20" s="1">
        <v>309700</v>
      </c>
      <c r="N20" s="1" t="s">
        <v>675</v>
      </c>
      <c r="O20" s="1">
        <v>0</v>
      </c>
    </row>
    <row r="21" spans="1:15">
      <c r="A21" s="6">
        <v>46319.802060185182</v>
      </c>
      <c r="B21" s="1">
        <v>20261028</v>
      </c>
      <c r="C21" s="1">
        <v>7203</v>
      </c>
      <c r="D21" s="1" t="s">
        <v>520</v>
      </c>
      <c r="E21" s="1" t="s">
        <v>36</v>
      </c>
      <c r="F21" s="1" t="s">
        <v>706</v>
      </c>
      <c r="G21" s="1" t="s">
        <v>38</v>
      </c>
      <c r="H21" s="1" t="s">
        <v>522</v>
      </c>
      <c r="I21" s="1" t="s">
        <v>521</v>
      </c>
      <c r="J21" s="1" t="s">
        <v>674</v>
      </c>
      <c r="K21" s="1">
        <v>100</v>
      </c>
      <c r="L21" s="1">
        <v>3096</v>
      </c>
      <c r="M21" s="1">
        <v>309600</v>
      </c>
      <c r="N21" s="1" t="s">
        <v>675</v>
      </c>
      <c r="O21" s="1">
        <v>0</v>
      </c>
    </row>
    <row r="22" spans="1:15">
      <c r="A22" s="6">
        <v>46319.802766203706</v>
      </c>
      <c r="B22" s="1">
        <v>20261028</v>
      </c>
      <c r="C22" s="1">
        <v>7203</v>
      </c>
      <c r="D22" s="1" t="s">
        <v>520</v>
      </c>
      <c r="E22" s="1" t="s">
        <v>36</v>
      </c>
      <c r="F22" s="1" t="s">
        <v>706</v>
      </c>
      <c r="G22" s="1" t="s">
        <v>38</v>
      </c>
      <c r="H22" s="1" t="s">
        <v>522</v>
      </c>
      <c r="I22" s="1" t="s">
        <v>523</v>
      </c>
      <c r="J22" s="1" t="s">
        <v>679</v>
      </c>
      <c r="K22" s="1">
        <v>100</v>
      </c>
      <c r="L22" s="1">
        <v>3099</v>
      </c>
      <c r="M22" s="1">
        <v>309900</v>
      </c>
      <c r="N22" s="1" t="s">
        <v>675</v>
      </c>
      <c r="O22" s="1">
        <v>0</v>
      </c>
    </row>
    <row r="23" spans="1:15">
      <c r="A23" s="6">
        <v>46319.975787037038</v>
      </c>
      <c r="B23" s="1">
        <v>20261028</v>
      </c>
      <c r="C23" s="1">
        <v>7203</v>
      </c>
      <c r="D23" s="1" t="s">
        <v>520</v>
      </c>
      <c r="E23" s="1" t="s">
        <v>36</v>
      </c>
      <c r="F23" s="1" t="s">
        <v>706</v>
      </c>
      <c r="G23" s="1" t="s">
        <v>38</v>
      </c>
      <c r="H23" s="1" t="s">
        <v>522</v>
      </c>
      <c r="I23" s="1" t="s">
        <v>521</v>
      </c>
      <c r="J23" s="1" t="s">
        <v>674</v>
      </c>
      <c r="K23" s="1">
        <v>100</v>
      </c>
      <c r="L23" s="1">
        <v>3095</v>
      </c>
      <c r="M23" s="1">
        <v>309500</v>
      </c>
      <c r="N23" s="1" t="s">
        <v>675</v>
      </c>
      <c r="O23" s="1">
        <v>0</v>
      </c>
    </row>
    <row r="24" spans="1:15">
      <c r="A24" s="6">
        <v>46319.979814814818</v>
      </c>
      <c r="B24" s="1">
        <v>20261028</v>
      </c>
      <c r="C24" s="1">
        <v>7203</v>
      </c>
      <c r="D24" s="1" t="s">
        <v>520</v>
      </c>
      <c r="E24" s="1" t="s">
        <v>36</v>
      </c>
      <c r="F24" s="1" t="s">
        <v>706</v>
      </c>
      <c r="G24" s="1" t="s">
        <v>38</v>
      </c>
      <c r="H24" s="1" t="s">
        <v>522</v>
      </c>
      <c r="I24" s="1" t="s">
        <v>523</v>
      </c>
      <c r="J24" s="1" t="s">
        <v>679</v>
      </c>
      <c r="K24" s="1">
        <v>100</v>
      </c>
      <c r="L24" s="1">
        <v>3095</v>
      </c>
      <c r="M24" s="1">
        <v>309500</v>
      </c>
      <c r="N24" s="1" t="s">
        <v>675</v>
      </c>
      <c r="O24" s="1">
        <v>0</v>
      </c>
    </row>
    <row r="25" spans="1:15">
      <c r="A25" s="6">
        <v>46319.982060185182</v>
      </c>
      <c r="B25" s="1">
        <v>20261028</v>
      </c>
      <c r="C25" s="1">
        <v>7203</v>
      </c>
      <c r="D25" s="1" t="s">
        <v>520</v>
      </c>
      <c r="E25" s="1" t="s">
        <v>36</v>
      </c>
      <c r="F25" s="1" t="s">
        <v>706</v>
      </c>
      <c r="G25" s="1" t="s">
        <v>38</v>
      </c>
      <c r="H25" s="1" t="s">
        <v>522</v>
      </c>
      <c r="I25" s="1" t="s">
        <v>521</v>
      </c>
      <c r="J25" s="1" t="s">
        <v>674</v>
      </c>
      <c r="K25" s="1">
        <v>100</v>
      </c>
      <c r="L25" s="1">
        <v>3097</v>
      </c>
      <c r="M25" s="1">
        <v>309700</v>
      </c>
      <c r="N25" s="1" t="s">
        <v>675</v>
      </c>
      <c r="O25" s="1">
        <v>0</v>
      </c>
    </row>
    <row r="26" spans="1:15">
      <c r="A26" s="6">
        <v>46320.015844907408</v>
      </c>
      <c r="B26" s="1">
        <v>20261029</v>
      </c>
      <c r="C26" s="1">
        <v>7203</v>
      </c>
      <c r="D26" s="1" t="s">
        <v>520</v>
      </c>
      <c r="E26" s="1" t="s">
        <v>36</v>
      </c>
      <c r="F26" s="1" t="s">
        <v>706</v>
      </c>
      <c r="G26" s="1" t="s">
        <v>38</v>
      </c>
      <c r="H26" s="1" t="s">
        <v>522</v>
      </c>
      <c r="I26" s="1" t="s">
        <v>523</v>
      </c>
      <c r="J26" s="1" t="s">
        <v>679</v>
      </c>
      <c r="K26" s="1">
        <v>100</v>
      </c>
      <c r="L26" s="1">
        <v>3097</v>
      </c>
      <c r="M26" s="1">
        <v>309700</v>
      </c>
      <c r="N26" s="1" t="s">
        <v>675</v>
      </c>
      <c r="O26" s="1">
        <v>0</v>
      </c>
    </row>
    <row r="27" spans="1:15">
      <c r="A27" s="1" t="s">
        <v>78</v>
      </c>
      <c r="B27" s="1" t="s">
        <v>78</v>
      </c>
      <c r="C27" s="1" t="s">
        <v>78</v>
      </c>
      <c r="D27" s="1" t="s">
        <v>78</v>
      </c>
      <c r="E27" s="1" t="s">
        <v>78</v>
      </c>
      <c r="F27" s="1" t="s">
        <v>78</v>
      </c>
      <c r="G27" s="1" t="s">
        <v>78</v>
      </c>
      <c r="H27" s="1" t="s">
        <v>78</v>
      </c>
      <c r="I27" s="1" t="s">
        <v>78</v>
      </c>
      <c r="J27" s="1" t="s">
        <v>78</v>
      </c>
      <c r="K27" s="1" t="s">
        <v>78</v>
      </c>
      <c r="L27" s="1" t="s">
        <v>78</v>
      </c>
      <c r="M27" s="1" t="s">
        <v>78</v>
      </c>
      <c r="N27" s="1" t="s">
        <v>78</v>
      </c>
      <c r="O27" s="1" t="s">
        <v>78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F425-41EE-4CD2-A5EA-A9D89683FD85}">
  <dimension ref="A1:T10"/>
  <sheetViews>
    <sheetView workbookViewId="0">
      <selection activeCell="E20" sqref="E20"/>
    </sheetView>
  </sheetViews>
  <sheetFormatPr defaultRowHeight="18.75"/>
  <cols>
    <col min="11" max="11" width="10.5" customWidth="1"/>
  </cols>
  <sheetData>
    <row r="1" spans="1:20">
      <c r="A1" t="str">
        <f>_xll.RssMarginPositionList($A$2:$T$2,"","A",0,0,0)</f>
        <v>=@RssMarginPositionList($A$2:$T$2,"","A",0,0,0) =&gt; 接続待ち</v>
      </c>
    </row>
    <row r="2" spans="1:20">
      <c r="A2" t="s">
        <v>82</v>
      </c>
      <c r="B2" t="s">
        <v>720</v>
      </c>
      <c r="C2" t="s">
        <v>726</v>
      </c>
      <c r="D2" t="s">
        <v>727</v>
      </c>
      <c r="E2" t="s">
        <v>728</v>
      </c>
      <c r="F2" t="s">
        <v>729</v>
      </c>
      <c r="G2" t="s">
        <v>662</v>
      </c>
      <c r="H2" t="s">
        <v>730</v>
      </c>
      <c r="I2" t="s">
        <v>731</v>
      </c>
      <c r="J2" t="s">
        <v>732</v>
      </c>
      <c r="K2" t="s">
        <v>733</v>
      </c>
      <c r="L2" t="s">
        <v>734</v>
      </c>
      <c r="M2" t="s">
        <v>735</v>
      </c>
      <c r="N2" t="s">
        <v>507</v>
      </c>
      <c r="O2" t="s">
        <v>508</v>
      </c>
      <c r="P2" t="s">
        <v>736</v>
      </c>
      <c r="Q2" t="s">
        <v>737</v>
      </c>
      <c r="R2" t="s">
        <v>738</v>
      </c>
      <c r="S2" t="s">
        <v>739</v>
      </c>
      <c r="T2" t="s">
        <v>740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2830.5</v>
      </c>
      <c r="N3" s="1">
        <v>-86.5</v>
      </c>
      <c r="O3" s="1">
        <v>-2.97</v>
      </c>
      <c r="P3" s="1">
        <v>283050</v>
      </c>
      <c r="Q3" s="1">
        <v>-290299</v>
      </c>
      <c r="R3" s="1">
        <v>-51.347636999999999</v>
      </c>
      <c r="S3" s="1">
        <v>30</v>
      </c>
      <c r="T3" s="1">
        <v>0</v>
      </c>
    </row>
    <row r="4" spans="1:20">
      <c r="A4" s="1">
        <v>5016</v>
      </c>
      <c r="B4" s="1" t="s">
        <v>719</v>
      </c>
      <c r="C4" s="1" t="s">
        <v>36</v>
      </c>
      <c r="D4" s="1" t="s">
        <v>706</v>
      </c>
      <c r="E4" s="1" t="s">
        <v>685</v>
      </c>
      <c r="F4" s="1" t="s">
        <v>686</v>
      </c>
      <c r="G4" s="1" t="s">
        <v>674</v>
      </c>
      <c r="H4" s="1">
        <v>100</v>
      </c>
      <c r="I4" s="1">
        <v>0</v>
      </c>
      <c r="J4" s="1">
        <v>5702.3</v>
      </c>
      <c r="K4" s="1">
        <v>20260511</v>
      </c>
      <c r="L4" s="1">
        <v>20261110</v>
      </c>
      <c r="M4" s="1">
        <v>2830.5</v>
      </c>
      <c r="N4" s="1">
        <v>-86.5</v>
      </c>
      <c r="O4" s="1">
        <v>-2.97</v>
      </c>
      <c r="P4" s="1">
        <v>283050</v>
      </c>
      <c r="Q4" s="1">
        <v>-294683</v>
      </c>
      <c r="R4" s="1">
        <v>-51.677919000000003</v>
      </c>
      <c r="S4" s="1">
        <v>30</v>
      </c>
      <c r="T4" s="1">
        <v>0</v>
      </c>
    </row>
    <row r="5" spans="1:20">
      <c r="A5" s="1">
        <v>5016</v>
      </c>
      <c r="B5" s="1" t="s">
        <v>719</v>
      </c>
      <c r="C5" s="1" t="s">
        <v>36</v>
      </c>
      <c r="D5" s="1" t="s">
        <v>706</v>
      </c>
      <c r="E5" s="1" t="s">
        <v>685</v>
      </c>
      <c r="F5" s="1" t="s">
        <v>686</v>
      </c>
      <c r="G5" s="1" t="s">
        <v>674</v>
      </c>
      <c r="H5" s="1">
        <v>100</v>
      </c>
      <c r="I5" s="1">
        <v>0</v>
      </c>
      <c r="J5" s="1">
        <v>5315</v>
      </c>
      <c r="K5" s="1">
        <v>20260622</v>
      </c>
      <c r="L5" s="1">
        <v>20261221</v>
      </c>
      <c r="M5" s="1">
        <v>2830.5</v>
      </c>
      <c r="N5" s="1">
        <v>-86.5</v>
      </c>
      <c r="O5" s="1">
        <v>-2.97</v>
      </c>
      <c r="P5" s="1">
        <v>283050</v>
      </c>
      <c r="Q5" s="1">
        <v>-254178</v>
      </c>
      <c r="R5" s="1">
        <v>-47.822766000000001</v>
      </c>
      <c r="S5" s="1">
        <v>30</v>
      </c>
      <c r="T5" s="1">
        <v>0</v>
      </c>
    </row>
    <row r="6" spans="1:20">
      <c r="A6" s="1">
        <v>5803</v>
      </c>
      <c r="B6" s="1" t="s">
        <v>490</v>
      </c>
      <c r="C6" s="1" t="s">
        <v>36</v>
      </c>
      <c r="D6" s="1" t="s">
        <v>706</v>
      </c>
      <c r="E6" s="1" t="s">
        <v>685</v>
      </c>
      <c r="F6" s="1" t="s">
        <v>686</v>
      </c>
      <c r="G6" s="1" t="s">
        <v>674</v>
      </c>
      <c r="H6" s="1">
        <v>100</v>
      </c>
      <c r="I6" s="1">
        <v>0</v>
      </c>
      <c r="J6" s="1">
        <v>6452.8</v>
      </c>
      <c r="K6" s="1">
        <v>20260624</v>
      </c>
      <c r="L6" s="1">
        <v>20261223</v>
      </c>
      <c r="M6" s="1">
        <v>4037</v>
      </c>
      <c r="N6" s="1">
        <v>-41</v>
      </c>
      <c r="O6" s="1">
        <v>-1.01</v>
      </c>
      <c r="P6" s="1">
        <v>403700</v>
      </c>
      <c r="Q6" s="1">
        <v>-247886</v>
      </c>
      <c r="R6" s="1">
        <v>-38.415261999999998</v>
      </c>
      <c r="S6" s="1">
        <v>30</v>
      </c>
      <c r="T6" s="1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5525.6</v>
      </c>
      <c r="K7">
        <v>20261008</v>
      </c>
      <c r="L7">
        <v>20270407</v>
      </c>
      <c r="M7">
        <v>4037</v>
      </c>
      <c r="N7">
        <v>-41</v>
      </c>
      <c r="O7">
        <v>-1.01</v>
      </c>
      <c r="P7">
        <v>403700</v>
      </c>
      <c r="Q7">
        <v>-149538</v>
      </c>
      <c r="R7">
        <v>-27.062761999999999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5399.7</v>
      </c>
      <c r="K8">
        <v>20261014</v>
      </c>
      <c r="L8">
        <v>20270413</v>
      </c>
      <c r="M8">
        <v>4276</v>
      </c>
      <c r="N8">
        <v>-29</v>
      </c>
      <c r="O8">
        <v>-0.67</v>
      </c>
      <c r="P8">
        <v>427600</v>
      </c>
      <c r="Q8">
        <v>-112908</v>
      </c>
      <c r="R8">
        <v>-20.910050999999999</v>
      </c>
      <c r="S8">
        <v>30</v>
      </c>
      <c r="T8">
        <v>0</v>
      </c>
    </row>
    <row r="9" spans="1:20">
      <c r="A9" s="1" t="s">
        <v>64</v>
      </c>
      <c r="B9" s="1" t="s">
        <v>64</v>
      </c>
      <c r="C9" s="1" t="s">
        <v>64</v>
      </c>
      <c r="D9" s="1" t="s">
        <v>64</v>
      </c>
      <c r="E9" s="1" t="s">
        <v>64</v>
      </c>
      <c r="F9" s="1" t="s">
        <v>64</v>
      </c>
      <c r="G9" s="1" t="s">
        <v>64</v>
      </c>
      <c r="H9" s="1" t="s">
        <v>64</v>
      </c>
      <c r="I9" s="1" t="s">
        <v>64</v>
      </c>
      <c r="J9" s="1" t="s">
        <v>64</v>
      </c>
      <c r="K9" s="1" t="s">
        <v>64</v>
      </c>
      <c r="L9" s="1" t="s">
        <v>64</v>
      </c>
      <c r="M9" s="1" t="s">
        <v>64</v>
      </c>
      <c r="N9" s="1" t="s">
        <v>64</v>
      </c>
      <c r="O9" s="1" t="s">
        <v>64</v>
      </c>
      <c r="P9" s="1" t="s">
        <v>64</v>
      </c>
      <c r="Q9" s="1" t="s">
        <v>64</v>
      </c>
      <c r="R9" s="1" t="s">
        <v>64</v>
      </c>
      <c r="S9" s="1" t="s">
        <v>64</v>
      </c>
      <c r="T9" s="1" t="s">
        <v>64</v>
      </c>
    </row>
    <row r="10" spans="1:20">
      <c r="A10" s="1" t="s">
        <v>78</v>
      </c>
      <c r="B10" s="1" t="s">
        <v>78</v>
      </c>
      <c r="C10" s="1" t="s">
        <v>78</v>
      </c>
      <c r="D10" s="1" t="s">
        <v>78</v>
      </c>
      <c r="E10" s="1" t="s">
        <v>78</v>
      </c>
      <c r="F10" s="1" t="s">
        <v>78</v>
      </c>
      <c r="G10" s="1" t="s">
        <v>78</v>
      </c>
      <c r="H10" s="1" t="s">
        <v>78</v>
      </c>
      <c r="I10" s="1" t="s">
        <v>78</v>
      </c>
      <c r="J10" s="1" t="s">
        <v>78</v>
      </c>
      <c r="K10" s="1" t="s">
        <v>78</v>
      </c>
      <c r="L10" s="1" t="s">
        <v>78</v>
      </c>
      <c r="M10" s="1" t="s">
        <v>78</v>
      </c>
      <c r="N10" s="1" t="s">
        <v>78</v>
      </c>
      <c r="O10" s="1" t="s">
        <v>78</v>
      </c>
      <c r="P10" s="1" t="s">
        <v>78</v>
      </c>
      <c r="Q10" s="1" t="s">
        <v>78</v>
      </c>
      <c r="R10" s="1" t="s">
        <v>78</v>
      </c>
      <c r="S10" s="1" t="s">
        <v>78</v>
      </c>
      <c r="T10" s="1" t="s">
        <v>78</v>
      </c>
    </row>
  </sheetData>
  <phoneticPr fontId="1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E3F6-4DF6-4340-B853-A3FAE0A4D5EE}">
  <dimension ref="A1:T14"/>
  <sheetViews>
    <sheetView workbookViewId="0">
      <selection activeCell="G12" sqref="G12"/>
    </sheetView>
  </sheetViews>
  <sheetFormatPr defaultRowHeight="18.75"/>
  <cols>
    <col min="12" max="12" width="12.875" customWidth="1"/>
  </cols>
  <sheetData>
    <row r="1" spans="1:20">
      <c r="A1" t="s">
        <v>880</v>
      </c>
    </row>
    <row r="2" spans="1:20">
      <c r="A2" t="s">
        <v>10</v>
      </c>
      <c r="B2" t="s">
        <v>720</v>
      </c>
      <c r="C2" t="s">
        <v>12</v>
      </c>
      <c r="D2" t="s">
        <v>711</v>
      </c>
      <c r="E2" t="s">
        <v>14</v>
      </c>
      <c r="F2" t="s">
        <v>15</v>
      </c>
      <c r="G2" t="s">
        <v>16</v>
      </c>
      <c r="H2" t="s">
        <v>712</v>
      </c>
      <c r="I2" t="s">
        <v>472</v>
      </c>
      <c r="J2" t="s">
        <v>713</v>
      </c>
      <c r="K2" t="s">
        <v>714</v>
      </c>
      <c r="L2" t="s">
        <v>715</v>
      </c>
      <c r="M2" t="s">
        <v>474</v>
      </c>
      <c r="N2" t="s">
        <v>475</v>
      </c>
      <c r="O2" t="s">
        <v>476</v>
      </c>
      <c r="P2" t="s">
        <v>477</v>
      </c>
      <c r="Q2" t="s">
        <v>478</v>
      </c>
      <c r="R2" t="s">
        <v>479</v>
      </c>
      <c r="S2" t="s">
        <v>716</v>
      </c>
      <c r="T2" t="s">
        <v>717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3909</v>
      </c>
      <c r="N3" s="1">
        <v>183</v>
      </c>
      <c r="O3" s="1">
        <v>4.91</v>
      </c>
      <c r="P3" s="1">
        <v>390900</v>
      </c>
      <c r="Q3" s="1">
        <v>-180136</v>
      </c>
      <c r="R3" s="1">
        <v>-31.86</v>
      </c>
      <c r="S3" s="1">
        <v>30</v>
      </c>
      <c r="T3" s="1">
        <v>0</v>
      </c>
    </row>
    <row r="4" spans="1:20">
      <c r="A4">
        <v>5016</v>
      </c>
      <c r="B4" t="s">
        <v>719</v>
      </c>
      <c r="C4" t="s">
        <v>36</v>
      </c>
      <c r="D4" t="s">
        <v>706</v>
      </c>
      <c r="E4" t="s">
        <v>685</v>
      </c>
      <c r="F4" t="s">
        <v>686</v>
      </c>
      <c r="G4" t="s">
        <v>674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3909</v>
      </c>
      <c r="N4">
        <v>183</v>
      </c>
      <c r="O4">
        <v>4.91</v>
      </c>
      <c r="P4">
        <v>390900</v>
      </c>
      <c r="Q4">
        <v>-184722</v>
      </c>
      <c r="R4">
        <v>-32.39</v>
      </c>
      <c r="S4">
        <v>30</v>
      </c>
      <c r="T4">
        <v>0</v>
      </c>
    </row>
    <row r="5" spans="1:20">
      <c r="A5">
        <v>5016</v>
      </c>
      <c r="B5" t="s">
        <v>719</v>
      </c>
      <c r="C5" t="s">
        <v>36</v>
      </c>
      <c r="D5" t="s">
        <v>706</v>
      </c>
      <c r="E5" t="s">
        <v>685</v>
      </c>
      <c r="F5" t="s">
        <v>686</v>
      </c>
      <c r="G5" t="s">
        <v>674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3909</v>
      </c>
      <c r="N5">
        <v>183</v>
      </c>
      <c r="O5">
        <v>4.91</v>
      </c>
      <c r="P5">
        <v>390900</v>
      </c>
      <c r="Q5">
        <v>-144137</v>
      </c>
      <c r="R5">
        <v>-27.11</v>
      </c>
      <c r="S5">
        <v>30</v>
      </c>
      <c r="T5">
        <v>0</v>
      </c>
    </row>
    <row r="6" spans="1:20">
      <c r="A6" s="1">
        <v>5803</v>
      </c>
      <c r="B6" s="1" t="s">
        <v>490</v>
      </c>
      <c r="C6" s="1" t="s">
        <v>36</v>
      </c>
      <c r="D6" s="1" t="s">
        <v>706</v>
      </c>
      <c r="E6" s="1" t="s">
        <v>685</v>
      </c>
      <c r="F6" s="1" t="s">
        <v>686</v>
      </c>
      <c r="G6" s="1" t="s">
        <v>674</v>
      </c>
      <c r="H6" s="1">
        <v>100</v>
      </c>
      <c r="I6" s="1">
        <v>0</v>
      </c>
      <c r="J6" s="1">
        <v>6449.9</v>
      </c>
      <c r="K6" s="1">
        <v>20260624</v>
      </c>
      <c r="L6" s="1">
        <v>20261223</v>
      </c>
      <c r="M6" s="1">
        <v>5493</v>
      </c>
      <c r="N6" s="1">
        <v>410</v>
      </c>
      <c r="O6" s="1">
        <v>8.07</v>
      </c>
      <c r="P6" s="1">
        <v>549300</v>
      </c>
      <c r="Q6" s="1">
        <v>-99769</v>
      </c>
      <c r="R6" s="1">
        <v>-15.46</v>
      </c>
      <c r="S6" s="1">
        <v>30</v>
      </c>
      <c r="T6" s="1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6452.8</v>
      </c>
      <c r="K7">
        <v>20260624</v>
      </c>
      <c r="L7">
        <v>20261223</v>
      </c>
      <c r="M7">
        <v>5493</v>
      </c>
      <c r="N7">
        <v>410</v>
      </c>
      <c r="O7">
        <v>8.07</v>
      </c>
      <c r="P7">
        <v>549300</v>
      </c>
      <c r="Q7">
        <v>-99842</v>
      </c>
      <c r="R7">
        <v>-15.47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7240.1</v>
      </c>
      <c r="K8">
        <v>20260622</v>
      </c>
      <c r="L8">
        <v>20261221</v>
      </c>
      <c r="M8">
        <v>6810</v>
      </c>
      <c r="N8">
        <v>254</v>
      </c>
      <c r="O8">
        <v>3.87</v>
      </c>
      <c r="P8">
        <v>681000</v>
      </c>
      <c r="Q8">
        <v>-47674</v>
      </c>
      <c r="R8">
        <v>-6.5847160000000002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6782.4</v>
      </c>
      <c r="K9" s="1">
        <v>20260909</v>
      </c>
      <c r="L9" s="1">
        <v>20270308</v>
      </c>
      <c r="M9" s="1">
        <v>6810</v>
      </c>
      <c r="N9" s="1">
        <v>254</v>
      </c>
      <c r="O9" s="1">
        <v>3.87</v>
      </c>
      <c r="P9" s="1">
        <v>681000</v>
      </c>
      <c r="Q9" s="1">
        <v>2707</v>
      </c>
      <c r="R9" s="1">
        <v>0.399121</v>
      </c>
      <c r="S9" s="1">
        <v>30</v>
      </c>
      <c r="T9" s="1">
        <v>0</v>
      </c>
    </row>
    <row r="10" spans="1:20">
      <c r="A10" s="1" t="s">
        <v>78</v>
      </c>
      <c r="B10" s="1" t="s">
        <v>78</v>
      </c>
      <c r="C10" s="1" t="s">
        <v>78</v>
      </c>
      <c r="D10" s="1" t="s">
        <v>78</v>
      </c>
      <c r="E10" s="1" t="s">
        <v>78</v>
      </c>
      <c r="F10" s="1" t="s">
        <v>78</v>
      </c>
      <c r="G10" s="1" t="s">
        <v>78</v>
      </c>
      <c r="H10" s="1" t="s">
        <v>78</v>
      </c>
      <c r="I10" s="1" t="s">
        <v>78</v>
      </c>
      <c r="J10" s="1" t="s">
        <v>78</v>
      </c>
      <c r="K10" s="1" t="s">
        <v>78</v>
      </c>
      <c r="L10" s="1" t="s">
        <v>78</v>
      </c>
      <c r="M10" s="1" t="s">
        <v>78</v>
      </c>
      <c r="N10" s="1" t="s">
        <v>78</v>
      </c>
      <c r="O10" s="1" t="s">
        <v>78</v>
      </c>
      <c r="P10" s="1" t="s">
        <v>78</v>
      </c>
      <c r="Q10" s="1" t="s">
        <v>78</v>
      </c>
      <c r="R10" s="1" t="s">
        <v>78</v>
      </c>
      <c r="S10" s="1" t="s">
        <v>78</v>
      </c>
      <c r="T10" s="1" t="s">
        <v>78</v>
      </c>
    </row>
    <row r="11" spans="1:20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>
        <v>5803</v>
      </c>
      <c r="B14" t="s">
        <v>490</v>
      </c>
      <c r="C14" t="s">
        <v>36</v>
      </c>
      <c r="D14" t="s">
        <v>706</v>
      </c>
      <c r="E14" t="s">
        <v>685</v>
      </c>
      <c r="F14" t="s">
        <v>686</v>
      </c>
      <c r="G14" t="s">
        <v>674</v>
      </c>
      <c r="H14">
        <v>100</v>
      </c>
      <c r="I14">
        <v>0</v>
      </c>
      <c r="J14">
        <v>5162.8</v>
      </c>
      <c r="K14">
        <v>20260908</v>
      </c>
      <c r="L14">
        <v>20270305</v>
      </c>
      <c r="M14">
        <v>5083</v>
      </c>
      <c r="N14">
        <v>-158</v>
      </c>
      <c r="O14">
        <v>-3.01</v>
      </c>
      <c r="P14">
        <v>508300</v>
      </c>
      <c r="Q14">
        <v>-8060</v>
      </c>
      <c r="R14">
        <v>-1.5611679999999999</v>
      </c>
      <c r="S14">
        <v>30</v>
      </c>
      <c r="T14">
        <v>0</v>
      </c>
    </row>
  </sheetData>
  <phoneticPr fontId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F7B6-AADD-404D-80E3-63A05F925972}">
  <dimension ref="A1:F18"/>
  <sheetViews>
    <sheetView workbookViewId="0">
      <selection activeCell="D18" sqref="D18"/>
    </sheetView>
  </sheetViews>
  <sheetFormatPr defaultRowHeight="18.75"/>
  <cols>
    <col min="3" max="3" width="12.25" customWidth="1"/>
    <col min="5" max="5" width="10.75" customWidth="1"/>
    <col min="6" max="6" width="20.875" customWidth="1"/>
  </cols>
  <sheetData>
    <row r="1" spans="1:6">
      <c r="A1" t="s">
        <v>81</v>
      </c>
    </row>
    <row r="2" spans="1: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>
      <c r="A3" s="1" t="s">
        <v>64</v>
      </c>
      <c r="B3" s="1" t="s">
        <v>64</v>
      </c>
      <c r="C3" s="1" t="s">
        <v>64</v>
      </c>
      <c r="D3" s="1" t="s">
        <v>64</v>
      </c>
      <c r="E3" s="1" t="s">
        <v>64</v>
      </c>
      <c r="F3" s="1" t="s">
        <v>64</v>
      </c>
    </row>
    <row r="5" spans="1:6">
      <c r="A5" s="1">
        <v>1</v>
      </c>
      <c r="B5" s="1" t="s">
        <v>65</v>
      </c>
      <c r="C5" s="1" t="s">
        <v>66</v>
      </c>
      <c r="D5" s="1" t="s">
        <v>67</v>
      </c>
      <c r="E5" s="1" t="s">
        <v>34</v>
      </c>
      <c r="F5" s="1" t="s">
        <v>68</v>
      </c>
    </row>
    <row r="6" spans="1:6">
      <c r="A6" s="1">
        <v>2</v>
      </c>
      <c r="B6" s="1" t="s">
        <v>65</v>
      </c>
      <c r="C6" s="1" t="s">
        <v>66</v>
      </c>
      <c r="D6" s="1" t="s">
        <v>69</v>
      </c>
      <c r="E6" s="1">
        <v>54053073</v>
      </c>
      <c r="F6" s="1" t="s">
        <v>70</v>
      </c>
    </row>
    <row r="8" spans="1:6" s="3" customFormat="1">
      <c r="A8" s="4">
        <v>344</v>
      </c>
      <c r="B8" s="4" t="s">
        <v>198</v>
      </c>
      <c r="C8" s="4" t="s">
        <v>200</v>
      </c>
      <c r="D8" s="4" t="s">
        <v>201</v>
      </c>
      <c r="E8" s="4" t="s">
        <v>47</v>
      </c>
      <c r="F8" s="4" t="s">
        <v>202</v>
      </c>
    </row>
    <row r="9" spans="1:6" s="3" customFormat="1">
      <c r="A9" s="3">
        <v>345</v>
      </c>
      <c r="B9" s="3" t="s">
        <v>198</v>
      </c>
      <c r="C9" s="3" t="s">
        <v>200</v>
      </c>
      <c r="D9" s="3" t="s">
        <v>203</v>
      </c>
      <c r="E9" s="3" t="s">
        <v>47</v>
      </c>
      <c r="F9" s="3" t="s">
        <v>204</v>
      </c>
    </row>
    <row r="10" spans="1:6" s="3" customFormat="1">
      <c r="A10" s="3">
        <v>351</v>
      </c>
      <c r="B10" s="3" t="s">
        <v>198</v>
      </c>
      <c r="C10" s="3" t="s">
        <v>200</v>
      </c>
      <c r="D10" s="3" t="s">
        <v>205</v>
      </c>
      <c r="E10" s="3" t="s">
        <v>47</v>
      </c>
      <c r="F10" s="3" t="s">
        <v>206</v>
      </c>
    </row>
    <row r="11" spans="1:6" s="3" customFormat="1">
      <c r="A11" s="3">
        <v>352</v>
      </c>
      <c r="B11" s="3" t="s">
        <v>198</v>
      </c>
      <c r="C11" s="3" t="s">
        <v>200</v>
      </c>
      <c r="D11" s="3" t="s">
        <v>207</v>
      </c>
      <c r="E11" s="3" t="s">
        <v>47</v>
      </c>
      <c r="F11" s="3" t="s">
        <v>206</v>
      </c>
    </row>
    <row r="12" spans="1:6" s="3" customFormat="1" ht="112.5">
      <c r="A12" s="4">
        <v>353</v>
      </c>
      <c r="B12" s="4" t="s">
        <v>197</v>
      </c>
      <c r="C12" s="4" t="s">
        <v>199</v>
      </c>
      <c r="D12" s="4" t="s">
        <v>208</v>
      </c>
      <c r="E12" s="4" t="s">
        <v>34</v>
      </c>
      <c r="F12" s="5" t="s">
        <v>209</v>
      </c>
    </row>
    <row r="13" spans="1:6" s="3" customFormat="1">
      <c r="A13" s="4">
        <v>354</v>
      </c>
      <c r="B13" s="4" t="s">
        <v>197</v>
      </c>
      <c r="C13" s="4" t="s">
        <v>199</v>
      </c>
      <c r="D13" s="4" t="s">
        <v>210</v>
      </c>
      <c r="E13" s="4">
        <v>51051621</v>
      </c>
      <c r="F13" s="4" t="s">
        <v>70</v>
      </c>
    </row>
    <row r="14" spans="1:6" s="3" customFormat="1">
      <c r="A14" s="4">
        <v>355</v>
      </c>
      <c r="B14" s="4" t="s">
        <v>197</v>
      </c>
      <c r="C14" s="4" t="s">
        <v>199</v>
      </c>
      <c r="D14" s="4" t="s">
        <v>459</v>
      </c>
      <c r="E14" s="4">
        <v>51051926</v>
      </c>
      <c r="F14" s="4" t="s">
        <v>70</v>
      </c>
    </row>
    <row r="15" spans="1:6" s="3" customFormat="1">
      <c r="A15" s="4">
        <v>357</v>
      </c>
      <c r="B15" s="4" t="s">
        <v>197</v>
      </c>
      <c r="C15" s="4" t="s">
        <v>199</v>
      </c>
      <c r="D15" s="4" t="s">
        <v>464</v>
      </c>
      <c r="E15" s="4">
        <v>51053912</v>
      </c>
      <c r="F15" s="4" t="s">
        <v>70</v>
      </c>
    </row>
    <row r="18" spans="1:6" s="3" customFormat="1">
      <c r="A18" s="4">
        <v>104</v>
      </c>
      <c r="B18" s="4" t="s">
        <v>197</v>
      </c>
      <c r="C18" s="4" t="s">
        <v>680</v>
      </c>
      <c r="D18" s="4" t="s">
        <v>688</v>
      </c>
      <c r="E18" s="4" t="s">
        <v>34</v>
      </c>
      <c r="F18" s="4" t="s">
        <v>689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AD589-8B96-4BA9-A545-6179123737A2}">
  <dimension ref="A1:AD189"/>
  <sheetViews>
    <sheetView topLeftCell="A166" workbookViewId="0">
      <selection activeCell="I5" sqref="I5"/>
    </sheetView>
  </sheetViews>
  <sheetFormatPr defaultRowHeight="18.75"/>
  <cols>
    <col min="12" max="12" width="22.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 t="s">
        <v>78</v>
      </c>
      <c r="B3" s="1" t="s">
        <v>78</v>
      </c>
      <c r="C3" s="1" t="s">
        <v>78</v>
      </c>
      <c r="D3" s="1" t="s">
        <v>78</v>
      </c>
      <c r="E3" s="1" t="s">
        <v>78</v>
      </c>
      <c r="F3" s="1" t="s">
        <v>78</v>
      </c>
      <c r="G3" s="1" t="s">
        <v>78</v>
      </c>
      <c r="H3" s="1" t="s">
        <v>78</v>
      </c>
      <c r="I3" s="1" t="s">
        <v>78</v>
      </c>
      <c r="J3" s="1" t="s">
        <v>78</v>
      </c>
      <c r="K3" s="1" t="s">
        <v>78</v>
      </c>
      <c r="L3" s="1" t="s">
        <v>78</v>
      </c>
      <c r="M3" s="1" t="s">
        <v>78</v>
      </c>
      <c r="N3" s="1" t="s">
        <v>78</v>
      </c>
      <c r="O3" s="1" t="s">
        <v>78</v>
      </c>
      <c r="P3" s="1" t="s">
        <v>78</v>
      </c>
      <c r="Q3" s="1" t="s">
        <v>78</v>
      </c>
      <c r="R3" s="1" t="s">
        <v>78</v>
      </c>
      <c r="S3" s="1" t="s">
        <v>78</v>
      </c>
      <c r="T3" s="1" t="s">
        <v>78</v>
      </c>
      <c r="U3" s="1" t="s">
        <v>78</v>
      </c>
      <c r="V3" s="1" t="s">
        <v>78</v>
      </c>
      <c r="W3" s="1" t="s">
        <v>78</v>
      </c>
      <c r="X3" s="1" t="s">
        <v>78</v>
      </c>
      <c r="Y3" s="1" t="s">
        <v>78</v>
      </c>
      <c r="Z3" s="1" t="s">
        <v>78</v>
      </c>
      <c r="AA3" s="1" t="s">
        <v>78</v>
      </c>
      <c r="AB3" s="1" t="s">
        <v>78</v>
      </c>
      <c r="AC3" s="1" t="s">
        <v>78</v>
      </c>
      <c r="AD3" s="1" t="s">
        <v>78</v>
      </c>
    </row>
    <row r="4" spans="1:30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1">
        <v>53248847</v>
      </c>
      <c r="B5" s="1" t="s">
        <v>52</v>
      </c>
      <c r="C5" s="1" t="s">
        <v>53</v>
      </c>
      <c r="D5" s="1" t="s">
        <v>47</v>
      </c>
      <c r="E5" s="1" t="s">
        <v>35</v>
      </c>
      <c r="F5" s="1">
        <v>9432</v>
      </c>
      <c r="G5" s="1" t="s">
        <v>54</v>
      </c>
      <c r="H5" s="1" t="s">
        <v>45</v>
      </c>
      <c r="I5" s="1" t="s">
        <v>48</v>
      </c>
      <c r="J5" s="1" t="s">
        <v>35</v>
      </c>
      <c r="K5" s="1" t="s">
        <v>35</v>
      </c>
      <c r="L5" s="1" t="s">
        <v>56</v>
      </c>
      <c r="M5" s="1" t="s">
        <v>57</v>
      </c>
      <c r="N5" s="1" t="s">
        <v>58</v>
      </c>
      <c r="O5" s="1" t="s">
        <v>60</v>
      </c>
      <c r="P5" s="1">
        <v>20260724</v>
      </c>
      <c r="Q5" s="1">
        <v>100</v>
      </c>
      <c r="R5" s="1">
        <v>0</v>
      </c>
      <c r="S5" s="1">
        <v>146.9</v>
      </c>
      <c r="T5" s="1" t="s">
        <v>49</v>
      </c>
      <c r="U5" s="1" t="s">
        <v>47</v>
      </c>
      <c r="V5" s="1" t="s">
        <v>47</v>
      </c>
      <c r="W5" s="1" t="s">
        <v>47</v>
      </c>
      <c r="X5" s="1" t="s">
        <v>35</v>
      </c>
      <c r="Y5" s="1" t="s">
        <v>47</v>
      </c>
      <c r="Z5" s="1" t="s">
        <v>35</v>
      </c>
      <c r="AA5" s="1" t="s">
        <v>50</v>
      </c>
      <c r="AB5" s="1" t="s">
        <v>35</v>
      </c>
      <c r="AC5" s="1" t="s">
        <v>56</v>
      </c>
      <c r="AD5" s="1" t="s">
        <v>62</v>
      </c>
    </row>
    <row r="6" spans="1:30">
      <c r="A6" t="s">
        <v>63</v>
      </c>
    </row>
    <row r="7" spans="1:30">
      <c r="A7" s="1">
        <v>53248847</v>
      </c>
      <c r="B7" s="1" t="s">
        <v>51</v>
      </c>
      <c r="C7" s="1" t="s">
        <v>44</v>
      </c>
      <c r="D7" s="1" t="s">
        <v>34</v>
      </c>
      <c r="E7" s="1" t="s">
        <v>35</v>
      </c>
      <c r="F7" s="1">
        <v>9432</v>
      </c>
      <c r="G7" s="1" t="s">
        <v>41</v>
      </c>
      <c r="H7" s="1" t="s">
        <v>36</v>
      </c>
      <c r="I7" s="1" t="s">
        <v>37</v>
      </c>
      <c r="J7" s="1" t="s">
        <v>35</v>
      </c>
      <c r="K7" s="1" t="s">
        <v>35</v>
      </c>
      <c r="L7" s="1" t="s">
        <v>55</v>
      </c>
      <c r="M7" s="1" t="s">
        <v>42</v>
      </c>
      <c r="N7" s="1" t="s">
        <v>43</v>
      </c>
      <c r="O7" s="1" t="s">
        <v>59</v>
      </c>
      <c r="P7" s="1">
        <v>20260724</v>
      </c>
      <c r="Q7" s="1">
        <v>100</v>
      </c>
      <c r="R7" s="1">
        <v>0</v>
      </c>
      <c r="S7" s="1">
        <v>146.9</v>
      </c>
      <c r="T7" s="1" t="s">
        <v>39</v>
      </c>
      <c r="U7" s="1" t="s">
        <v>34</v>
      </c>
      <c r="V7" s="1" t="s">
        <v>34</v>
      </c>
      <c r="W7" s="1" t="s">
        <v>34</v>
      </c>
      <c r="X7" s="1" t="s">
        <v>35</v>
      </c>
      <c r="Y7" s="1" t="s">
        <v>34</v>
      </c>
      <c r="Z7" s="1" t="s">
        <v>35</v>
      </c>
      <c r="AA7" s="1" t="s">
        <v>40</v>
      </c>
      <c r="AB7" s="1" t="s">
        <v>35</v>
      </c>
      <c r="AC7" s="1" t="s">
        <v>55</v>
      </c>
      <c r="AD7" s="1" t="s">
        <v>61</v>
      </c>
    </row>
    <row r="11" spans="1:30">
      <c r="A11" s="1">
        <v>54053073</v>
      </c>
      <c r="B11" s="1" t="s">
        <v>71</v>
      </c>
      <c r="C11" s="1" t="s">
        <v>72</v>
      </c>
      <c r="D11" s="1" t="s">
        <v>47</v>
      </c>
      <c r="E11" s="1" t="s">
        <v>35</v>
      </c>
      <c r="F11" s="1">
        <v>9432</v>
      </c>
      <c r="G11" s="1" t="s">
        <v>54</v>
      </c>
      <c r="H11" s="1" t="s">
        <v>46</v>
      </c>
      <c r="I11" s="1" t="s">
        <v>48</v>
      </c>
      <c r="J11" s="1" t="s">
        <v>35</v>
      </c>
      <c r="K11" s="1" t="s">
        <v>35</v>
      </c>
      <c r="L11" s="1" t="s">
        <v>73</v>
      </c>
      <c r="M11" s="1" t="s">
        <v>57</v>
      </c>
      <c r="N11" s="1" t="s">
        <v>58</v>
      </c>
      <c r="O11" s="1" t="s">
        <v>60</v>
      </c>
      <c r="P11" s="1">
        <v>20260724</v>
      </c>
      <c r="Q11" s="1">
        <v>100</v>
      </c>
      <c r="R11" s="1">
        <v>0</v>
      </c>
      <c r="S11" s="1">
        <v>145</v>
      </c>
      <c r="T11" s="1" t="s">
        <v>49</v>
      </c>
      <c r="U11" s="1" t="s">
        <v>47</v>
      </c>
      <c r="V11" s="1" t="s">
        <v>47</v>
      </c>
      <c r="W11" s="1" t="s">
        <v>47</v>
      </c>
      <c r="X11" s="1" t="s">
        <v>35</v>
      </c>
      <c r="Y11" s="1" t="s">
        <v>47</v>
      </c>
      <c r="Z11" s="1" t="s">
        <v>35</v>
      </c>
      <c r="AA11" s="1" t="s">
        <v>50</v>
      </c>
      <c r="AB11" s="1" t="s">
        <v>35</v>
      </c>
      <c r="AC11" s="1" t="s">
        <v>73</v>
      </c>
      <c r="AD11" s="1" t="s">
        <v>74</v>
      </c>
    </row>
    <row r="12" spans="1:30">
      <c r="A12" t="s">
        <v>63</v>
      </c>
    </row>
    <row r="13" spans="1:30">
      <c r="A13" s="1">
        <v>54053073</v>
      </c>
      <c r="B13" s="1" t="s">
        <v>75</v>
      </c>
      <c r="C13" s="1" t="s">
        <v>44</v>
      </c>
      <c r="D13" s="1" t="s">
        <v>34</v>
      </c>
      <c r="E13" s="1" t="s">
        <v>35</v>
      </c>
      <c r="F13" s="1">
        <v>9432</v>
      </c>
      <c r="G13" s="1" t="s">
        <v>41</v>
      </c>
      <c r="H13" s="1" t="s">
        <v>827</v>
      </c>
      <c r="I13" s="1" t="s">
        <v>37</v>
      </c>
      <c r="J13" s="1" t="s">
        <v>35</v>
      </c>
      <c r="K13" s="1" t="s">
        <v>35</v>
      </c>
      <c r="L13" s="1" t="s">
        <v>76</v>
      </c>
      <c r="M13" s="1" t="s">
        <v>42</v>
      </c>
      <c r="N13" s="1" t="s">
        <v>43</v>
      </c>
      <c r="O13" s="1" t="s">
        <v>59</v>
      </c>
      <c r="P13" s="1">
        <v>20260724</v>
      </c>
      <c r="Q13" s="1">
        <v>100</v>
      </c>
      <c r="R13" s="1">
        <v>0</v>
      </c>
      <c r="S13" s="1">
        <v>145</v>
      </c>
      <c r="T13" s="1" t="s">
        <v>39</v>
      </c>
      <c r="U13" s="1" t="s">
        <v>34</v>
      </c>
      <c r="V13" s="1" t="s">
        <v>34</v>
      </c>
      <c r="W13" s="1" t="s">
        <v>34</v>
      </c>
      <c r="X13" s="1" t="s">
        <v>35</v>
      </c>
      <c r="Y13" s="1" t="s">
        <v>34</v>
      </c>
      <c r="Z13" s="1" t="s">
        <v>35</v>
      </c>
      <c r="AA13" s="1" t="s">
        <v>40</v>
      </c>
      <c r="AB13" s="1" t="s">
        <v>35</v>
      </c>
      <c r="AC13" s="1" t="s">
        <v>76</v>
      </c>
      <c r="AD13" s="1" t="s">
        <v>77</v>
      </c>
    </row>
    <row r="16" spans="1:30">
      <c r="A16" s="1">
        <v>55097302</v>
      </c>
      <c r="B16" s="1" t="s">
        <v>211</v>
      </c>
      <c r="C16" s="1" t="s">
        <v>212</v>
      </c>
      <c r="D16" s="1" t="s">
        <v>47</v>
      </c>
      <c r="E16" s="1" t="s">
        <v>35</v>
      </c>
      <c r="F16" s="1">
        <v>5016</v>
      </c>
      <c r="G16" s="1" t="s">
        <v>139</v>
      </c>
      <c r="H16" s="1" t="s">
        <v>45</v>
      </c>
      <c r="I16" s="1" t="s">
        <v>48</v>
      </c>
      <c r="J16" s="1" t="s">
        <v>46</v>
      </c>
      <c r="K16" s="1" t="s">
        <v>116</v>
      </c>
      <c r="L16" s="1" t="s">
        <v>213</v>
      </c>
      <c r="M16" s="1" t="s">
        <v>118</v>
      </c>
      <c r="N16" s="1" t="s">
        <v>117</v>
      </c>
      <c r="O16" s="1" t="s">
        <v>215</v>
      </c>
      <c r="P16" s="1">
        <v>20260814</v>
      </c>
      <c r="Q16" s="1">
        <v>100</v>
      </c>
      <c r="R16" s="1">
        <v>100</v>
      </c>
      <c r="S16" s="1" t="s">
        <v>217</v>
      </c>
      <c r="T16" s="1" t="s">
        <v>49</v>
      </c>
      <c r="U16" s="1" t="s">
        <v>47</v>
      </c>
      <c r="V16" s="1" t="s">
        <v>47</v>
      </c>
      <c r="W16" s="1" t="s">
        <v>47</v>
      </c>
      <c r="X16" s="1" t="s">
        <v>35</v>
      </c>
      <c r="Y16" s="1" t="s">
        <v>47</v>
      </c>
      <c r="Z16" s="1" t="s">
        <v>35</v>
      </c>
      <c r="AA16" s="1" t="s">
        <v>50</v>
      </c>
      <c r="AB16" s="1" t="s">
        <v>35</v>
      </c>
      <c r="AC16" s="1" t="s">
        <v>213</v>
      </c>
      <c r="AD16" s="1" t="s">
        <v>218</v>
      </c>
    </row>
    <row r="17" spans="1:30">
      <c r="A17">
        <v>55099117</v>
      </c>
      <c r="B17" t="s">
        <v>219</v>
      </c>
      <c r="C17" t="s">
        <v>212</v>
      </c>
      <c r="D17" t="s">
        <v>47</v>
      </c>
      <c r="E17" t="s">
        <v>35</v>
      </c>
      <c r="F17">
        <v>5803</v>
      </c>
      <c r="G17" t="s">
        <v>176</v>
      </c>
      <c r="H17" t="s">
        <v>45</v>
      </c>
      <c r="I17" t="s">
        <v>48</v>
      </c>
      <c r="J17" t="s">
        <v>46</v>
      </c>
      <c r="K17" t="s">
        <v>116</v>
      </c>
      <c r="L17" t="s">
        <v>220</v>
      </c>
      <c r="M17" t="s">
        <v>118</v>
      </c>
      <c r="N17" t="s">
        <v>117</v>
      </c>
      <c r="O17" t="s">
        <v>215</v>
      </c>
      <c r="P17">
        <v>20260814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35</v>
      </c>
      <c r="Y17" t="s">
        <v>47</v>
      </c>
      <c r="Z17" t="s">
        <v>35</v>
      </c>
      <c r="AA17" t="s">
        <v>50</v>
      </c>
      <c r="AB17" t="s">
        <v>35</v>
      </c>
      <c r="AC17" t="s">
        <v>220</v>
      </c>
      <c r="AD17" t="s">
        <v>221</v>
      </c>
    </row>
    <row r="18" spans="1:30">
      <c r="A18">
        <v>55112035</v>
      </c>
      <c r="B18" t="s">
        <v>222</v>
      </c>
      <c r="C18" t="s">
        <v>212</v>
      </c>
      <c r="D18" t="s">
        <v>47</v>
      </c>
      <c r="E18" t="s">
        <v>35</v>
      </c>
      <c r="F18">
        <v>9984</v>
      </c>
      <c r="G18" t="s">
        <v>191</v>
      </c>
      <c r="H18" t="s">
        <v>45</v>
      </c>
      <c r="I18" t="s">
        <v>48</v>
      </c>
      <c r="J18" t="s">
        <v>223</v>
      </c>
      <c r="K18" t="s">
        <v>224</v>
      </c>
      <c r="L18" t="s">
        <v>225</v>
      </c>
      <c r="M18" t="s">
        <v>124</v>
      </c>
      <c r="N18" t="s">
        <v>123</v>
      </c>
      <c r="O18" t="s">
        <v>215</v>
      </c>
      <c r="P18">
        <v>20260814</v>
      </c>
      <c r="Q18">
        <v>100</v>
      </c>
      <c r="R18">
        <v>100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225</v>
      </c>
      <c r="AD18" t="s">
        <v>226</v>
      </c>
    </row>
    <row r="19" spans="1:30">
      <c r="A19">
        <v>55113031</v>
      </c>
      <c r="B19" t="s">
        <v>227</v>
      </c>
      <c r="C19" t="s">
        <v>212</v>
      </c>
      <c r="D19" t="s">
        <v>47</v>
      </c>
      <c r="E19" t="s">
        <v>35</v>
      </c>
      <c r="F19">
        <v>9984</v>
      </c>
      <c r="G19" t="s">
        <v>191</v>
      </c>
      <c r="H19" t="s">
        <v>45</v>
      </c>
      <c r="I19" t="s">
        <v>48</v>
      </c>
      <c r="J19" t="s">
        <v>46</v>
      </c>
      <c r="K19" t="s">
        <v>116</v>
      </c>
      <c r="L19" t="s">
        <v>228</v>
      </c>
      <c r="M19" t="s">
        <v>118</v>
      </c>
      <c r="N19" t="s">
        <v>117</v>
      </c>
      <c r="O19" t="s">
        <v>215</v>
      </c>
      <c r="P19">
        <v>20260814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229</v>
      </c>
      <c r="AD19" t="s">
        <v>230</v>
      </c>
    </row>
    <row r="20" spans="1:30">
      <c r="A20">
        <v>55114915</v>
      </c>
      <c r="B20" t="s">
        <v>231</v>
      </c>
      <c r="C20" t="s">
        <v>212</v>
      </c>
      <c r="D20" t="s">
        <v>232</v>
      </c>
      <c r="E20" t="s">
        <v>35</v>
      </c>
      <c r="F20">
        <v>9984</v>
      </c>
      <c r="G20" t="s">
        <v>191</v>
      </c>
      <c r="H20" t="s">
        <v>45</v>
      </c>
      <c r="I20" t="s">
        <v>48</v>
      </c>
      <c r="J20" t="s">
        <v>46</v>
      </c>
      <c r="K20" t="s">
        <v>116</v>
      </c>
      <c r="L20" t="s">
        <v>233</v>
      </c>
      <c r="M20" t="s">
        <v>124</v>
      </c>
      <c r="N20" t="s">
        <v>123</v>
      </c>
      <c r="O20" t="s">
        <v>215</v>
      </c>
      <c r="P20">
        <v>20260814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233</v>
      </c>
      <c r="AD20" t="s">
        <v>234</v>
      </c>
    </row>
    <row r="21" spans="1:30">
      <c r="A21">
        <v>55115721</v>
      </c>
      <c r="B21" t="s">
        <v>235</v>
      </c>
      <c r="C21" t="s">
        <v>212</v>
      </c>
      <c r="D21" t="s">
        <v>47</v>
      </c>
      <c r="E21" t="s">
        <v>35</v>
      </c>
      <c r="F21">
        <v>9984</v>
      </c>
      <c r="G21" t="s">
        <v>191</v>
      </c>
      <c r="H21" t="s">
        <v>45</v>
      </c>
      <c r="I21" t="s">
        <v>48</v>
      </c>
      <c r="J21" t="s">
        <v>46</v>
      </c>
      <c r="K21" t="s">
        <v>116</v>
      </c>
      <c r="L21" t="s">
        <v>236</v>
      </c>
      <c r="M21" t="s">
        <v>118</v>
      </c>
      <c r="N21" t="s">
        <v>117</v>
      </c>
      <c r="O21" t="s">
        <v>215</v>
      </c>
      <c r="P21">
        <v>20260814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236</v>
      </c>
      <c r="AD21" t="s">
        <v>237</v>
      </c>
    </row>
    <row r="22" spans="1:30">
      <c r="A22">
        <v>55118261</v>
      </c>
      <c r="B22" t="s">
        <v>238</v>
      </c>
      <c r="C22" t="s">
        <v>212</v>
      </c>
      <c r="D22" t="s">
        <v>232</v>
      </c>
      <c r="E22" t="s">
        <v>35</v>
      </c>
      <c r="F22">
        <v>9984</v>
      </c>
      <c r="G22" t="s">
        <v>191</v>
      </c>
      <c r="H22" t="s">
        <v>45</v>
      </c>
      <c r="I22" t="s">
        <v>48</v>
      </c>
      <c r="J22" t="s">
        <v>46</v>
      </c>
      <c r="K22" t="s">
        <v>116</v>
      </c>
      <c r="L22" t="s">
        <v>239</v>
      </c>
      <c r="M22" t="s">
        <v>124</v>
      </c>
      <c r="N22" t="s">
        <v>123</v>
      </c>
      <c r="O22" t="s">
        <v>215</v>
      </c>
      <c r="P22">
        <v>20260814</v>
      </c>
      <c r="Q22">
        <v>100</v>
      </c>
      <c r="R22">
        <v>100</v>
      </c>
      <c r="S22" t="s">
        <v>217</v>
      </c>
      <c r="T22" t="s">
        <v>49</v>
      </c>
      <c r="U22" t="s">
        <v>47</v>
      </c>
      <c r="V22" t="s">
        <v>47</v>
      </c>
      <c r="W22" t="s">
        <v>47</v>
      </c>
      <c r="X22" t="s">
        <v>125</v>
      </c>
      <c r="Y22" t="s">
        <v>47</v>
      </c>
      <c r="Z22" t="s">
        <v>35</v>
      </c>
      <c r="AA22" t="s">
        <v>50</v>
      </c>
      <c r="AB22" t="s">
        <v>35</v>
      </c>
      <c r="AC22" t="s">
        <v>239</v>
      </c>
      <c r="AD22" t="s">
        <v>240</v>
      </c>
    </row>
    <row r="23" spans="1:30">
      <c r="A23">
        <v>55120795</v>
      </c>
      <c r="B23" t="s">
        <v>241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242</v>
      </c>
      <c r="M23" t="s">
        <v>118</v>
      </c>
      <c r="N23" t="s">
        <v>117</v>
      </c>
      <c r="O23" t="s">
        <v>215</v>
      </c>
      <c r="P23">
        <v>20260814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35</v>
      </c>
      <c r="Y23" t="s">
        <v>47</v>
      </c>
      <c r="Z23" t="s">
        <v>35</v>
      </c>
      <c r="AA23" t="s">
        <v>50</v>
      </c>
      <c r="AB23" t="s">
        <v>35</v>
      </c>
      <c r="AC23" t="s">
        <v>242</v>
      </c>
      <c r="AD23" t="s">
        <v>243</v>
      </c>
    </row>
    <row r="24" spans="1:30">
      <c r="A24">
        <v>55123176</v>
      </c>
      <c r="B24" t="s">
        <v>244</v>
      </c>
      <c r="C24" t="s">
        <v>212</v>
      </c>
      <c r="D24" t="s">
        <v>232</v>
      </c>
      <c r="E24" t="s">
        <v>35</v>
      </c>
      <c r="F24">
        <v>3436</v>
      </c>
      <c r="G24" t="s">
        <v>152</v>
      </c>
      <c r="H24" t="s">
        <v>45</v>
      </c>
      <c r="I24" t="s">
        <v>48</v>
      </c>
      <c r="J24" t="s">
        <v>46</v>
      </c>
      <c r="K24" t="s">
        <v>116</v>
      </c>
      <c r="L24" t="s">
        <v>245</v>
      </c>
      <c r="M24" t="s">
        <v>124</v>
      </c>
      <c r="N24" t="s">
        <v>123</v>
      </c>
      <c r="O24" t="s">
        <v>215</v>
      </c>
      <c r="P24">
        <v>20260814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125</v>
      </c>
      <c r="Y24" t="s">
        <v>47</v>
      </c>
      <c r="Z24" t="s">
        <v>35</v>
      </c>
      <c r="AA24" t="s">
        <v>50</v>
      </c>
      <c r="AB24" t="s">
        <v>35</v>
      </c>
      <c r="AC24" t="s">
        <v>245</v>
      </c>
      <c r="AD24" t="s">
        <v>246</v>
      </c>
    </row>
    <row r="25" spans="1:30">
      <c r="A25">
        <v>55124666</v>
      </c>
      <c r="B25" t="s">
        <v>247</v>
      </c>
      <c r="C25" t="s">
        <v>212</v>
      </c>
      <c r="D25" t="s">
        <v>47</v>
      </c>
      <c r="E25" t="s">
        <v>35</v>
      </c>
      <c r="F25">
        <v>6613</v>
      </c>
      <c r="G25" t="s">
        <v>165</v>
      </c>
      <c r="H25" t="s">
        <v>45</v>
      </c>
      <c r="I25" t="s">
        <v>48</v>
      </c>
      <c r="J25" t="s">
        <v>46</v>
      </c>
      <c r="K25" t="s">
        <v>116</v>
      </c>
      <c r="L25" t="s">
        <v>248</v>
      </c>
      <c r="M25" t="s">
        <v>118</v>
      </c>
      <c r="N25" t="s">
        <v>117</v>
      </c>
      <c r="O25" t="s">
        <v>215</v>
      </c>
      <c r="P25">
        <v>20260814</v>
      </c>
      <c r="Q25">
        <v>100</v>
      </c>
      <c r="R25">
        <v>100</v>
      </c>
      <c r="S25" t="s">
        <v>217</v>
      </c>
      <c r="T25" t="s">
        <v>49</v>
      </c>
      <c r="U25" t="s">
        <v>47</v>
      </c>
      <c r="V25" t="s">
        <v>47</v>
      </c>
      <c r="W25" t="s">
        <v>47</v>
      </c>
      <c r="X25" t="s">
        <v>35</v>
      </c>
      <c r="Y25" t="s">
        <v>47</v>
      </c>
      <c r="Z25" t="s">
        <v>35</v>
      </c>
      <c r="AA25" t="s">
        <v>50</v>
      </c>
      <c r="AB25" t="s">
        <v>35</v>
      </c>
      <c r="AC25" t="s">
        <v>248</v>
      </c>
      <c r="AD25" t="s">
        <v>249</v>
      </c>
    </row>
    <row r="26" spans="1:30">
      <c r="A26">
        <v>55130431</v>
      </c>
      <c r="B26" t="s">
        <v>250</v>
      </c>
      <c r="C26" t="s">
        <v>212</v>
      </c>
      <c r="D26" t="s">
        <v>47</v>
      </c>
      <c r="E26" t="s">
        <v>35</v>
      </c>
      <c r="F26">
        <v>6613</v>
      </c>
      <c r="G26" t="s">
        <v>165</v>
      </c>
      <c r="H26" t="s">
        <v>45</v>
      </c>
      <c r="I26" t="s">
        <v>48</v>
      </c>
      <c r="J26" t="s">
        <v>46</v>
      </c>
      <c r="K26" t="s">
        <v>116</v>
      </c>
      <c r="L26" t="s">
        <v>251</v>
      </c>
      <c r="M26" t="s">
        <v>124</v>
      </c>
      <c r="N26" t="s">
        <v>123</v>
      </c>
      <c r="O26" t="s">
        <v>215</v>
      </c>
      <c r="P26">
        <v>20260814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125</v>
      </c>
      <c r="Y26" t="s">
        <v>47</v>
      </c>
      <c r="Z26" t="s">
        <v>35</v>
      </c>
      <c r="AA26" t="s">
        <v>50</v>
      </c>
      <c r="AB26" t="s">
        <v>35</v>
      </c>
      <c r="AC26" t="s">
        <v>251</v>
      </c>
      <c r="AD26" t="s">
        <v>252</v>
      </c>
    </row>
    <row r="27" spans="1:30">
      <c r="A27">
        <v>55130795</v>
      </c>
      <c r="B27" t="s">
        <v>253</v>
      </c>
      <c r="C27" t="s">
        <v>212</v>
      </c>
      <c r="D27" t="s">
        <v>47</v>
      </c>
      <c r="E27" t="s">
        <v>35</v>
      </c>
      <c r="F27">
        <v>9984</v>
      </c>
      <c r="G27" t="s">
        <v>191</v>
      </c>
      <c r="H27" t="s">
        <v>45</v>
      </c>
      <c r="I27" t="s">
        <v>48</v>
      </c>
      <c r="J27" t="s">
        <v>46</v>
      </c>
      <c r="K27" t="s">
        <v>116</v>
      </c>
      <c r="L27" t="s">
        <v>254</v>
      </c>
      <c r="M27" t="s">
        <v>118</v>
      </c>
      <c r="N27" t="s">
        <v>117</v>
      </c>
      <c r="O27" t="s">
        <v>215</v>
      </c>
      <c r="P27">
        <v>20260814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35</v>
      </c>
      <c r="Y27" t="s">
        <v>47</v>
      </c>
      <c r="Z27" t="s">
        <v>35</v>
      </c>
      <c r="AA27" t="s">
        <v>50</v>
      </c>
      <c r="AB27" t="s">
        <v>35</v>
      </c>
      <c r="AC27" t="s">
        <v>254</v>
      </c>
      <c r="AD27" t="s">
        <v>255</v>
      </c>
    </row>
    <row r="28" spans="1:30">
      <c r="A28">
        <v>55131941</v>
      </c>
      <c r="B28" t="s">
        <v>256</v>
      </c>
      <c r="C28" t="s">
        <v>212</v>
      </c>
      <c r="D28" t="s">
        <v>47</v>
      </c>
      <c r="E28" t="s">
        <v>35</v>
      </c>
      <c r="F28">
        <v>9984</v>
      </c>
      <c r="G28" t="s">
        <v>191</v>
      </c>
      <c r="H28" t="s">
        <v>45</v>
      </c>
      <c r="I28" t="s">
        <v>48</v>
      </c>
      <c r="J28" t="s">
        <v>46</v>
      </c>
      <c r="K28" t="s">
        <v>116</v>
      </c>
      <c r="L28" t="s">
        <v>257</v>
      </c>
      <c r="M28" t="s">
        <v>124</v>
      </c>
      <c r="N28" t="s">
        <v>123</v>
      </c>
      <c r="O28" t="s">
        <v>215</v>
      </c>
      <c r="P28">
        <v>20260814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257</v>
      </c>
      <c r="AD28" t="s">
        <v>258</v>
      </c>
    </row>
    <row r="29" spans="1:30">
      <c r="A29">
        <v>55135851</v>
      </c>
      <c r="B29" t="s">
        <v>259</v>
      </c>
      <c r="C29" t="s">
        <v>212</v>
      </c>
      <c r="D29" t="s">
        <v>47</v>
      </c>
      <c r="E29" t="s">
        <v>35</v>
      </c>
      <c r="F29">
        <v>5803</v>
      </c>
      <c r="G29" t="s">
        <v>176</v>
      </c>
      <c r="H29" t="s">
        <v>45</v>
      </c>
      <c r="I29" t="s">
        <v>48</v>
      </c>
      <c r="J29" t="s">
        <v>46</v>
      </c>
      <c r="K29" t="s">
        <v>116</v>
      </c>
      <c r="L29" t="s">
        <v>260</v>
      </c>
      <c r="M29" t="s">
        <v>118</v>
      </c>
      <c r="N29" t="s">
        <v>117</v>
      </c>
      <c r="O29" t="s">
        <v>215</v>
      </c>
      <c r="P29">
        <v>20260814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260</v>
      </c>
      <c r="AD29" t="s">
        <v>261</v>
      </c>
    </row>
    <row r="30" spans="1:30">
      <c r="A30">
        <v>55143414</v>
      </c>
      <c r="B30" t="s">
        <v>262</v>
      </c>
      <c r="C30" t="s">
        <v>212</v>
      </c>
      <c r="D30" t="s">
        <v>47</v>
      </c>
      <c r="E30" t="s">
        <v>35</v>
      </c>
      <c r="F30">
        <v>5803</v>
      </c>
      <c r="G30" t="s">
        <v>176</v>
      </c>
      <c r="H30" t="s">
        <v>45</v>
      </c>
      <c r="I30" t="s">
        <v>48</v>
      </c>
      <c r="J30" t="s">
        <v>46</v>
      </c>
      <c r="K30" t="s">
        <v>116</v>
      </c>
      <c r="L30" t="s">
        <v>263</v>
      </c>
      <c r="M30" t="s">
        <v>124</v>
      </c>
      <c r="N30" t="s">
        <v>123</v>
      </c>
      <c r="O30" t="s">
        <v>215</v>
      </c>
      <c r="P30">
        <v>20260814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125</v>
      </c>
      <c r="Y30" t="s">
        <v>47</v>
      </c>
      <c r="Z30" t="s">
        <v>35</v>
      </c>
      <c r="AA30" t="s">
        <v>50</v>
      </c>
      <c r="AB30" t="s">
        <v>35</v>
      </c>
      <c r="AC30" t="s">
        <v>263</v>
      </c>
      <c r="AD30" t="s">
        <v>264</v>
      </c>
    </row>
    <row r="31" spans="1:30">
      <c r="A31">
        <v>55145092</v>
      </c>
      <c r="B31" t="s">
        <v>265</v>
      </c>
      <c r="C31" t="s">
        <v>212</v>
      </c>
      <c r="D31" t="s">
        <v>47</v>
      </c>
      <c r="E31" t="s">
        <v>35</v>
      </c>
      <c r="F31">
        <v>5016</v>
      </c>
      <c r="G31" t="s">
        <v>139</v>
      </c>
      <c r="H31" t="s">
        <v>45</v>
      </c>
      <c r="I31" t="s">
        <v>48</v>
      </c>
      <c r="J31" t="s">
        <v>46</v>
      </c>
      <c r="K31" t="s">
        <v>116</v>
      </c>
      <c r="L31" t="s">
        <v>266</v>
      </c>
      <c r="M31" t="s">
        <v>118</v>
      </c>
      <c r="N31" t="s">
        <v>117</v>
      </c>
      <c r="O31" t="s">
        <v>215</v>
      </c>
      <c r="P31">
        <v>20260814</v>
      </c>
      <c r="Q31">
        <v>100</v>
      </c>
      <c r="R31">
        <v>100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35</v>
      </c>
      <c r="Y31" t="s">
        <v>47</v>
      </c>
      <c r="Z31" t="s">
        <v>35</v>
      </c>
      <c r="AA31" t="s">
        <v>50</v>
      </c>
      <c r="AB31" t="s">
        <v>35</v>
      </c>
      <c r="AC31" t="s">
        <v>266</v>
      </c>
      <c r="AD31" t="s">
        <v>267</v>
      </c>
    </row>
    <row r="32" spans="1:30">
      <c r="A32">
        <v>55147070</v>
      </c>
      <c r="B32" t="s">
        <v>268</v>
      </c>
      <c r="C32" t="s">
        <v>212</v>
      </c>
      <c r="D32" t="s">
        <v>47</v>
      </c>
      <c r="E32" t="s">
        <v>35</v>
      </c>
      <c r="F32">
        <v>5016</v>
      </c>
      <c r="G32" t="s">
        <v>139</v>
      </c>
      <c r="H32" t="s">
        <v>45</v>
      </c>
      <c r="I32" t="s">
        <v>48</v>
      </c>
      <c r="J32" t="s">
        <v>46</v>
      </c>
      <c r="K32" t="s">
        <v>116</v>
      </c>
      <c r="L32" t="s">
        <v>269</v>
      </c>
      <c r="M32" t="s">
        <v>124</v>
      </c>
      <c r="N32" t="s">
        <v>123</v>
      </c>
      <c r="O32" t="s">
        <v>215</v>
      </c>
      <c r="P32">
        <v>20260814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125</v>
      </c>
      <c r="Y32" t="s">
        <v>47</v>
      </c>
      <c r="Z32" t="s">
        <v>35</v>
      </c>
      <c r="AA32" t="s">
        <v>50</v>
      </c>
      <c r="AB32" t="s">
        <v>35</v>
      </c>
      <c r="AC32" t="s">
        <v>269</v>
      </c>
      <c r="AD32" t="s">
        <v>267</v>
      </c>
    </row>
    <row r="33" spans="1:30">
      <c r="A33">
        <v>55147887</v>
      </c>
      <c r="B33" t="s">
        <v>270</v>
      </c>
      <c r="C33" t="s">
        <v>212</v>
      </c>
      <c r="D33" t="s">
        <v>47</v>
      </c>
      <c r="E33" t="s">
        <v>35</v>
      </c>
      <c r="F33">
        <v>5016</v>
      </c>
      <c r="G33" t="s">
        <v>139</v>
      </c>
      <c r="H33" t="s">
        <v>45</v>
      </c>
      <c r="I33" t="s">
        <v>48</v>
      </c>
      <c r="J33" t="s">
        <v>46</v>
      </c>
      <c r="K33" t="s">
        <v>116</v>
      </c>
      <c r="L33" t="s">
        <v>271</v>
      </c>
      <c r="M33" t="s">
        <v>118</v>
      </c>
      <c r="N33" t="s">
        <v>117</v>
      </c>
      <c r="O33" t="s">
        <v>215</v>
      </c>
      <c r="P33">
        <v>20260814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271</v>
      </c>
      <c r="AD33" t="s">
        <v>272</v>
      </c>
    </row>
    <row r="34" spans="1:30">
      <c r="A34">
        <v>55160502</v>
      </c>
      <c r="B34" t="s">
        <v>273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274</v>
      </c>
      <c r="M34" t="s">
        <v>118</v>
      </c>
      <c r="N34" t="s">
        <v>117</v>
      </c>
      <c r="O34" t="s">
        <v>215</v>
      </c>
      <c r="P34">
        <v>20260814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274</v>
      </c>
      <c r="AD34" t="s">
        <v>275</v>
      </c>
    </row>
    <row r="35" spans="1:30">
      <c r="A35">
        <v>55161885</v>
      </c>
      <c r="B35" t="s">
        <v>276</v>
      </c>
      <c r="C35" t="s">
        <v>212</v>
      </c>
      <c r="D35" t="s">
        <v>47</v>
      </c>
      <c r="E35" t="s">
        <v>35</v>
      </c>
      <c r="F35">
        <v>5803</v>
      </c>
      <c r="G35" t="s">
        <v>176</v>
      </c>
      <c r="H35" t="s">
        <v>45</v>
      </c>
      <c r="I35" t="s">
        <v>48</v>
      </c>
      <c r="J35" t="s">
        <v>46</v>
      </c>
      <c r="K35" t="s">
        <v>116</v>
      </c>
      <c r="L35" t="s">
        <v>277</v>
      </c>
      <c r="M35" t="s">
        <v>124</v>
      </c>
      <c r="N35" t="s">
        <v>123</v>
      </c>
      <c r="O35" t="s">
        <v>215</v>
      </c>
      <c r="P35">
        <v>20260814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277</v>
      </c>
      <c r="AD35" t="s">
        <v>278</v>
      </c>
    </row>
    <row r="36" spans="1:30">
      <c r="A36">
        <v>55163487</v>
      </c>
      <c r="B36" t="s">
        <v>279</v>
      </c>
      <c r="C36" t="s">
        <v>212</v>
      </c>
      <c r="D36" t="s">
        <v>47</v>
      </c>
      <c r="E36" t="s">
        <v>35</v>
      </c>
      <c r="F36">
        <v>6613</v>
      </c>
      <c r="G36" t="s">
        <v>165</v>
      </c>
      <c r="H36" t="s">
        <v>45</v>
      </c>
      <c r="I36" t="s">
        <v>48</v>
      </c>
      <c r="J36" t="s">
        <v>46</v>
      </c>
      <c r="K36" t="s">
        <v>116</v>
      </c>
      <c r="L36" t="s">
        <v>280</v>
      </c>
      <c r="M36" t="s">
        <v>124</v>
      </c>
      <c r="N36" t="s">
        <v>123</v>
      </c>
      <c r="O36" t="s">
        <v>215</v>
      </c>
      <c r="P36">
        <v>20260814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125</v>
      </c>
      <c r="Y36" t="s">
        <v>47</v>
      </c>
      <c r="Z36" t="s">
        <v>35</v>
      </c>
      <c r="AA36" t="s">
        <v>50</v>
      </c>
      <c r="AB36" t="s">
        <v>35</v>
      </c>
      <c r="AC36" t="s">
        <v>280</v>
      </c>
      <c r="AD36" t="s">
        <v>281</v>
      </c>
    </row>
    <row r="37" spans="1:30">
      <c r="A37">
        <v>55165362</v>
      </c>
      <c r="B37" t="s">
        <v>282</v>
      </c>
      <c r="C37" t="s">
        <v>212</v>
      </c>
      <c r="D37" t="s">
        <v>47</v>
      </c>
      <c r="E37" t="s">
        <v>35</v>
      </c>
      <c r="F37">
        <v>5016</v>
      </c>
      <c r="G37" t="s">
        <v>139</v>
      </c>
      <c r="H37" t="s">
        <v>45</v>
      </c>
      <c r="I37" t="s">
        <v>48</v>
      </c>
      <c r="J37" t="s">
        <v>46</v>
      </c>
      <c r="K37" t="s">
        <v>116</v>
      </c>
      <c r="L37" t="s">
        <v>283</v>
      </c>
      <c r="M37" t="s">
        <v>118</v>
      </c>
      <c r="N37" t="s">
        <v>117</v>
      </c>
      <c r="O37" t="s">
        <v>215</v>
      </c>
      <c r="P37">
        <v>20260814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35</v>
      </c>
      <c r="Y37" t="s">
        <v>47</v>
      </c>
      <c r="Z37" t="s">
        <v>35</v>
      </c>
      <c r="AA37" t="s">
        <v>50</v>
      </c>
      <c r="AB37" t="s">
        <v>35</v>
      </c>
      <c r="AC37" t="s">
        <v>283</v>
      </c>
      <c r="AD37" t="s">
        <v>284</v>
      </c>
    </row>
    <row r="38" spans="1:30">
      <c r="A38">
        <v>55167713</v>
      </c>
      <c r="B38" t="s">
        <v>285</v>
      </c>
      <c r="C38" t="s">
        <v>212</v>
      </c>
      <c r="D38" t="s">
        <v>47</v>
      </c>
      <c r="E38" t="s">
        <v>35</v>
      </c>
      <c r="F38">
        <v>5803</v>
      </c>
      <c r="G38" t="s">
        <v>176</v>
      </c>
      <c r="H38" t="s">
        <v>45</v>
      </c>
      <c r="I38" t="s">
        <v>48</v>
      </c>
      <c r="J38" t="s">
        <v>46</v>
      </c>
      <c r="K38" t="s">
        <v>116</v>
      </c>
      <c r="L38" t="s">
        <v>286</v>
      </c>
      <c r="M38" t="s">
        <v>118</v>
      </c>
      <c r="N38" t="s">
        <v>117</v>
      </c>
      <c r="O38" t="s">
        <v>215</v>
      </c>
      <c r="P38">
        <v>20260814</v>
      </c>
      <c r="Q38">
        <v>100</v>
      </c>
      <c r="R38">
        <v>100</v>
      </c>
      <c r="S38">
        <v>5753</v>
      </c>
      <c r="T38" t="s">
        <v>49</v>
      </c>
      <c r="U38" t="s">
        <v>47</v>
      </c>
      <c r="V38" t="s">
        <v>47</v>
      </c>
      <c r="W38" t="s">
        <v>47</v>
      </c>
      <c r="X38" t="s">
        <v>35</v>
      </c>
      <c r="Y38" t="s">
        <v>47</v>
      </c>
      <c r="Z38" t="s">
        <v>35</v>
      </c>
      <c r="AA38" t="s">
        <v>50</v>
      </c>
      <c r="AB38" t="s">
        <v>35</v>
      </c>
      <c r="AC38" t="s">
        <v>287</v>
      </c>
      <c r="AD38" t="s">
        <v>288</v>
      </c>
    </row>
    <row r="39" spans="1:30">
      <c r="A39">
        <v>55182279</v>
      </c>
      <c r="B39" t="s">
        <v>289</v>
      </c>
      <c r="C39" t="s">
        <v>290</v>
      </c>
      <c r="D39" t="s">
        <v>47</v>
      </c>
      <c r="E39" t="s">
        <v>35</v>
      </c>
      <c r="F39">
        <v>5803</v>
      </c>
      <c r="G39" t="s">
        <v>176</v>
      </c>
      <c r="H39" t="s">
        <v>45</v>
      </c>
      <c r="I39" t="s">
        <v>48</v>
      </c>
      <c r="J39" t="s">
        <v>46</v>
      </c>
      <c r="K39" t="s">
        <v>116</v>
      </c>
      <c r="L39" t="s">
        <v>291</v>
      </c>
      <c r="M39" t="s">
        <v>124</v>
      </c>
      <c r="N39" t="s">
        <v>123</v>
      </c>
      <c r="O39" t="s">
        <v>215</v>
      </c>
      <c r="P39">
        <v>20260814</v>
      </c>
      <c r="Q39">
        <v>100</v>
      </c>
      <c r="R39">
        <v>0</v>
      </c>
      <c r="S39">
        <v>5742</v>
      </c>
      <c r="T39" t="s">
        <v>49</v>
      </c>
      <c r="U39" t="s">
        <v>47</v>
      </c>
      <c r="V39" t="s">
        <v>47</v>
      </c>
      <c r="W39" t="s">
        <v>47</v>
      </c>
      <c r="X39" t="s">
        <v>125</v>
      </c>
      <c r="Y39" t="s">
        <v>47</v>
      </c>
      <c r="Z39" t="s">
        <v>35</v>
      </c>
      <c r="AA39" t="s">
        <v>50</v>
      </c>
      <c r="AB39" t="s">
        <v>35</v>
      </c>
      <c r="AC39" t="s">
        <v>291</v>
      </c>
      <c r="AD39" t="s">
        <v>292</v>
      </c>
    </row>
    <row r="40" spans="1:30">
      <c r="A40">
        <v>55184002</v>
      </c>
      <c r="B40" t="s">
        <v>293</v>
      </c>
      <c r="C40" t="s">
        <v>212</v>
      </c>
      <c r="D40" t="s">
        <v>47</v>
      </c>
      <c r="E40" t="s">
        <v>35</v>
      </c>
      <c r="F40">
        <v>5803</v>
      </c>
      <c r="G40" t="s">
        <v>176</v>
      </c>
      <c r="H40" t="s">
        <v>45</v>
      </c>
      <c r="I40" t="s">
        <v>48</v>
      </c>
      <c r="J40" t="s">
        <v>46</v>
      </c>
      <c r="K40" t="s">
        <v>116</v>
      </c>
      <c r="L40" t="s">
        <v>294</v>
      </c>
      <c r="M40" t="s">
        <v>124</v>
      </c>
      <c r="N40" t="s">
        <v>123</v>
      </c>
      <c r="O40" t="s">
        <v>215</v>
      </c>
      <c r="P40">
        <v>20260814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294</v>
      </c>
      <c r="AD40" t="s">
        <v>295</v>
      </c>
    </row>
    <row r="41" spans="1:30">
      <c r="A41">
        <v>55185966</v>
      </c>
      <c r="B41" t="s">
        <v>296</v>
      </c>
      <c r="C41" t="s">
        <v>212</v>
      </c>
      <c r="D41" t="s">
        <v>47</v>
      </c>
      <c r="E41" t="s">
        <v>35</v>
      </c>
      <c r="F41">
        <v>5016</v>
      </c>
      <c r="G41" t="s">
        <v>139</v>
      </c>
      <c r="H41" t="s">
        <v>45</v>
      </c>
      <c r="I41" t="s">
        <v>48</v>
      </c>
      <c r="J41" t="s">
        <v>46</v>
      </c>
      <c r="K41" t="s">
        <v>116</v>
      </c>
      <c r="L41" t="s">
        <v>297</v>
      </c>
      <c r="M41" t="s">
        <v>124</v>
      </c>
      <c r="N41" t="s">
        <v>123</v>
      </c>
      <c r="O41" t="s">
        <v>215</v>
      </c>
      <c r="P41">
        <v>20260814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125</v>
      </c>
      <c r="Y41" t="s">
        <v>47</v>
      </c>
      <c r="Z41" t="s">
        <v>35</v>
      </c>
      <c r="AA41" t="s">
        <v>50</v>
      </c>
      <c r="AB41" t="s">
        <v>35</v>
      </c>
      <c r="AC41" t="s">
        <v>297</v>
      </c>
      <c r="AD41" t="s">
        <v>298</v>
      </c>
    </row>
    <row r="42" spans="1:30">
      <c r="A42">
        <v>55186137</v>
      </c>
      <c r="B42" t="s">
        <v>299</v>
      </c>
      <c r="C42" t="s">
        <v>212</v>
      </c>
      <c r="D42" t="s">
        <v>47</v>
      </c>
      <c r="E42" t="s">
        <v>35</v>
      </c>
      <c r="F42">
        <v>5803</v>
      </c>
      <c r="G42" t="s">
        <v>176</v>
      </c>
      <c r="H42" t="s">
        <v>45</v>
      </c>
      <c r="I42" t="s">
        <v>48</v>
      </c>
      <c r="J42" t="s">
        <v>46</v>
      </c>
      <c r="K42" t="s">
        <v>116</v>
      </c>
      <c r="L42" t="s">
        <v>300</v>
      </c>
      <c r="M42" t="s">
        <v>118</v>
      </c>
      <c r="N42" t="s">
        <v>117</v>
      </c>
      <c r="O42" t="s">
        <v>215</v>
      </c>
      <c r="P42">
        <v>20260814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300</v>
      </c>
      <c r="AD42" t="s">
        <v>301</v>
      </c>
    </row>
    <row r="43" spans="1:30">
      <c r="A43">
        <v>55189216</v>
      </c>
      <c r="B43" t="s">
        <v>302</v>
      </c>
      <c r="C43" t="s">
        <v>212</v>
      </c>
      <c r="D43" t="s">
        <v>47</v>
      </c>
      <c r="E43" t="s">
        <v>35</v>
      </c>
      <c r="F43">
        <v>5803</v>
      </c>
      <c r="G43" t="s">
        <v>176</v>
      </c>
      <c r="H43" t="s">
        <v>45</v>
      </c>
      <c r="I43" t="s">
        <v>48</v>
      </c>
      <c r="J43" t="s">
        <v>46</v>
      </c>
      <c r="K43" t="s">
        <v>116</v>
      </c>
      <c r="L43" t="s">
        <v>303</v>
      </c>
      <c r="M43" t="s">
        <v>124</v>
      </c>
      <c r="N43" t="s">
        <v>123</v>
      </c>
      <c r="O43" t="s">
        <v>215</v>
      </c>
      <c r="P43">
        <v>20260814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303</v>
      </c>
      <c r="AD43" t="s">
        <v>292</v>
      </c>
    </row>
    <row r="44" spans="1:30">
      <c r="A44">
        <v>55190871</v>
      </c>
      <c r="B44" t="s">
        <v>304</v>
      </c>
      <c r="C44" t="s">
        <v>212</v>
      </c>
      <c r="D44" t="s">
        <v>47</v>
      </c>
      <c r="E44" t="s">
        <v>35</v>
      </c>
      <c r="F44">
        <v>5803</v>
      </c>
      <c r="G44" t="s">
        <v>176</v>
      </c>
      <c r="H44" t="s">
        <v>45</v>
      </c>
      <c r="I44" t="s">
        <v>48</v>
      </c>
      <c r="J44" t="s">
        <v>46</v>
      </c>
      <c r="K44" t="s">
        <v>116</v>
      </c>
      <c r="L44" t="s">
        <v>305</v>
      </c>
      <c r="M44" t="s">
        <v>118</v>
      </c>
      <c r="N44" t="s">
        <v>117</v>
      </c>
      <c r="O44" t="s">
        <v>215</v>
      </c>
      <c r="P44">
        <v>20260814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305</v>
      </c>
      <c r="AD44" t="s">
        <v>306</v>
      </c>
    </row>
    <row r="45" spans="1:30">
      <c r="A45">
        <v>55193078</v>
      </c>
      <c r="B45" t="s">
        <v>307</v>
      </c>
      <c r="C45" t="s">
        <v>212</v>
      </c>
      <c r="D45" t="s">
        <v>47</v>
      </c>
      <c r="E45" t="s">
        <v>35</v>
      </c>
      <c r="F45">
        <v>5803</v>
      </c>
      <c r="G45" t="s">
        <v>176</v>
      </c>
      <c r="H45" t="s">
        <v>45</v>
      </c>
      <c r="I45" t="s">
        <v>48</v>
      </c>
      <c r="J45" t="s">
        <v>46</v>
      </c>
      <c r="K45" t="s">
        <v>116</v>
      </c>
      <c r="L45" t="s">
        <v>308</v>
      </c>
      <c r="M45" t="s">
        <v>124</v>
      </c>
      <c r="N45" t="s">
        <v>123</v>
      </c>
      <c r="O45" t="s">
        <v>215</v>
      </c>
      <c r="P45">
        <v>20260814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308</v>
      </c>
      <c r="AD45" t="s">
        <v>309</v>
      </c>
    </row>
    <row r="46" spans="1:30">
      <c r="A46">
        <v>55193693</v>
      </c>
      <c r="B46" t="s">
        <v>310</v>
      </c>
      <c r="C46" t="s">
        <v>212</v>
      </c>
      <c r="D46" t="s">
        <v>47</v>
      </c>
      <c r="E46" t="s">
        <v>35</v>
      </c>
      <c r="F46">
        <v>5803</v>
      </c>
      <c r="G46" t="s">
        <v>176</v>
      </c>
      <c r="H46" t="s">
        <v>45</v>
      </c>
      <c r="I46" t="s">
        <v>48</v>
      </c>
      <c r="J46" t="s">
        <v>46</v>
      </c>
      <c r="K46" t="s">
        <v>116</v>
      </c>
      <c r="L46" t="s">
        <v>311</v>
      </c>
      <c r="M46" t="s">
        <v>118</v>
      </c>
      <c r="N46" t="s">
        <v>117</v>
      </c>
      <c r="O46" t="s">
        <v>215</v>
      </c>
      <c r="P46">
        <v>20260814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35</v>
      </c>
      <c r="Y46" t="s">
        <v>47</v>
      </c>
      <c r="Z46" t="s">
        <v>35</v>
      </c>
      <c r="AA46" t="s">
        <v>50</v>
      </c>
      <c r="AB46" t="s">
        <v>35</v>
      </c>
      <c r="AC46" t="s">
        <v>312</v>
      </c>
      <c r="AD46" t="s">
        <v>313</v>
      </c>
    </row>
    <row r="47" spans="1:30">
      <c r="A47">
        <v>55195337</v>
      </c>
      <c r="B47" t="s">
        <v>314</v>
      </c>
      <c r="C47" t="s">
        <v>212</v>
      </c>
      <c r="D47" t="s">
        <v>47</v>
      </c>
      <c r="E47" t="s">
        <v>35</v>
      </c>
      <c r="F47">
        <v>5803</v>
      </c>
      <c r="G47" t="s">
        <v>176</v>
      </c>
      <c r="H47" t="s">
        <v>45</v>
      </c>
      <c r="I47" t="s">
        <v>48</v>
      </c>
      <c r="J47" t="s">
        <v>46</v>
      </c>
      <c r="K47" t="s">
        <v>116</v>
      </c>
      <c r="L47" t="s">
        <v>315</v>
      </c>
      <c r="M47" t="s">
        <v>124</v>
      </c>
      <c r="N47" t="s">
        <v>123</v>
      </c>
      <c r="O47" t="s">
        <v>215</v>
      </c>
      <c r="P47">
        <v>20260814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125</v>
      </c>
      <c r="Y47" t="s">
        <v>47</v>
      </c>
      <c r="Z47" t="s">
        <v>35</v>
      </c>
      <c r="AA47" t="s">
        <v>50</v>
      </c>
      <c r="AB47" t="s">
        <v>35</v>
      </c>
      <c r="AC47" t="s">
        <v>315</v>
      </c>
      <c r="AD47" t="s">
        <v>316</v>
      </c>
    </row>
    <row r="48" spans="1:30">
      <c r="A48">
        <v>55196511</v>
      </c>
      <c r="B48" t="s">
        <v>317</v>
      </c>
      <c r="C48" t="s">
        <v>212</v>
      </c>
      <c r="D48" t="s">
        <v>47</v>
      </c>
      <c r="E48" t="s">
        <v>35</v>
      </c>
      <c r="F48">
        <v>5016</v>
      </c>
      <c r="G48" t="s">
        <v>139</v>
      </c>
      <c r="H48" t="s">
        <v>45</v>
      </c>
      <c r="I48" t="s">
        <v>48</v>
      </c>
      <c r="J48" t="s">
        <v>46</v>
      </c>
      <c r="K48" t="s">
        <v>116</v>
      </c>
      <c r="L48" t="s">
        <v>318</v>
      </c>
      <c r="M48" t="s">
        <v>124</v>
      </c>
      <c r="N48" t="s">
        <v>123</v>
      </c>
      <c r="O48" t="s">
        <v>215</v>
      </c>
      <c r="P48">
        <v>20260814</v>
      </c>
      <c r="Q48">
        <v>200</v>
      </c>
      <c r="R48">
        <v>200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125</v>
      </c>
      <c r="Y48" t="s">
        <v>47</v>
      </c>
      <c r="Z48" t="s">
        <v>35</v>
      </c>
      <c r="AA48" t="s">
        <v>50</v>
      </c>
      <c r="AB48" t="s">
        <v>35</v>
      </c>
      <c r="AC48" t="s">
        <v>318</v>
      </c>
      <c r="AD48" t="s">
        <v>319</v>
      </c>
    </row>
    <row r="49" spans="1:30">
      <c r="A49">
        <v>55197512</v>
      </c>
      <c r="B49" t="s">
        <v>320</v>
      </c>
      <c r="C49" t="s">
        <v>212</v>
      </c>
      <c r="D49" t="s">
        <v>47</v>
      </c>
      <c r="E49" t="s">
        <v>35</v>
      </c>
      <c r="F49">
        <v>5803</v>
      </c>
      <c r="G49" t="s">
        <v>176</v>
      </c>
      <c r="H49" t="s">
        <v>45</v>
      </c>
      <c r="I49" t="s">
        <v>48</v>
      </c>
      <c r="J49" t="s">
        <v>46</v>
      </c>
      <c r="K49" t="s">
        <v>116</v>
      </c>
      <c r="L49" t="s">
        <v>321</v>
      </c>
      <c r="M49" t="s">
        <v>118</v>
      </c>
      <c r="N49" t="s">
        <v>117</v>
      </c>
      <c r="O49" t="s">
        <v>215</v>
      </c>
      <c r="P49">
        <v>20260814</v>
      </c>
      <c r="Q49">
        <v>100</v>
      </c>
      <c r="R49">
        <v>100</v>
      </c>
      <c r="S49" t="s">
        <v>217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321</v>
      </c>
      <c r="AD49" t="s">
        <v>322</v>
      </c>
    </row>
    <row r="50" spans="1:30">
      <c r="A50">
        <v>55199058</v>
      </c>
      <c r="B50" t="s">
        <v>323</v>
      </c>
      <c r="C50" t="s">
        <v>212</v>
      </c>
      <c r="D50" t="s">
        <v>47</v>
      </c>
      <c r="E50" t="s">
        <v>35</v>
      </c>
      <c r="F50">
        <v>5803</v>
      </c>
      <c r="G50" t="s">
        <v>176</v>
      </c>
      <c r="H50" t="s">
        <v>45</v>
      </c>
      <c r="I50" t="s">
        <v>48</v>
      </c>
      <c r="J50" t="s">
        <v>46</v>
      </c>
      <c r="K50" t="s">
        <v>116</v>
      </c>
      <c r="L50" t="s">
        <v>324</v>
      </c>
      <c r="M50" t="s">
        <v>118</v>
      </c>
      <c r="N50" t="s">
        <v>117</v>
      </c>
      <c r="O50" t="s">
        <v>215</v>
      </c>
      <c r="P50">
        <v>20260814</v>
      </c>
      <c r="Q50">
        <v>100</v>
      </c>
      <c r="R50">
        <v>100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35</v>
      </c>
      <c r="Y50" t="s">
        <v>47</v>
      </c>
      <c r="Z50" t="s">
        <v>35</v>
      </c>
      <c r="AA50" t="s">
        <v>50</v>
      </c>
      <c r="AB50" t="s">
        <v>35</v>
      </c>
      <c r="AC50" t="s">
        <v>324</v>
      </c>
      <c r="AD50" t="s">
        <v>325</v>
      </c>
    </row>
    <row r="51" spans="1:30">
      <c r="A51">
        <v>55201601</v>
      </c>
      <c r="B51" t="s">
        <v>326</v>
      </c>
      <c r="C51" t="s">
        <v>212</v>
      </c>
      <c r="D51" t="s">
        <v>47</v>
      </c>
      <c r="E51" t="s">
        <v>35</v>
      </c>
      <c r="F51">
        <v>5016</v>
      </c>
      <c r="G51" t="s">
        <v>139</v>
      </c>
      <c r="H51" t="s">
        <v>45</v>
      </c>
      <c r="I51" t="s">
        <v>48</v>
      </c>
      <c r="J51" t="s">
        <v>46</v>
      </c>
      <c r="K51" t="s">
        <v>116</v>
      </c>
      <c r="L51" t="s">
        <v>327</v>
      </c>
      <c r="M51" t="s">
        <v>118</v>
      </c>
      <c r="N51" t="s">
        <v>117</v>
      </c>
      <c r="O51" t="s">
        <v>215</v>
      </c>
      <c r="P51">
        <v>20260814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327</v>
      </c>
      <c r="AD51" t="s">
        <v>328</v>
      </c>
    </row>
    <row r="52" spans="1:30">
      <c r="A52">
        <v>55203563</v>
      </c>
      <c r="B52" t="s">
        <v>329</v>
      </c>
      <c r="C52" t="s">
        <v>212</v>
      </c>
      <c r="D52" t="s">
        <v>47</v>
      </c>
      <c r="E52" t="s">
        <v>35</v>
      </c>
      <c r="F52">
        <v>5803</v>
      </c>
      <c r="G52" t="s">
        <v>176</v>
      </c>
      <c r="H52" t="s">
        <v>45</v>
      </c>
      <c r="I52" t="s">
        <v>48</v>
      </c>
      <c r="J52" t="s">
        <v>46</v>
      </c>
      <c r="K52" t="s">
        <v>116</v>
      </c>
      <c r="L52" t="s">
        <v>330</v>
      </c>
      <c r="M52" t="s">
        <v>124</v>
      </c>
      <c r="N52" t="s">
        <v>123</v>
      </c>
      <c r="O52" t="s">
        <v>215</v>
      </c>
      <c r="P52">
        <v>20260814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330</v>
      </c>
      <c r="AD52" t="s">
        <v>331</v>
      </c>
    </row>
    <row r="53" spans="1:30">
      <c r="A53">
        <v>55203834</v>
      </c>
      <c r="B53" t="s">
        <v>332</v>
      </c>
      <c r="C53" t="s">
        <v>212</v>
      </c>
      <c r="D53" t="s">
        <v>47</v>
      </c>
      <c r="E53" t="s">
        <v>35</v>
      </c>
      <c r="F53">
        <v>5016</v>
      </c>
      <c r="G53" t="s">
        <v>139</v>
      </c>
      <c r="H53" t="s">
        <v>45</v>
      </c>
      <c r="I53" t="s">
        <v>48</v>
      </c>
      <c r="J53" t="s">
        <v>46</v>
      </c>
      <c r="K53" t="s">
        <v>116</v>
      </c>
      <c r="L53" t="s">
        <v>333</v>
      </c>
      <c r="M53" t="s">
        <v>118</v>
      </c>
      <c r="N53" t="s">
        <v>117</v>
      </c>
      <c r="O53" t="s">
        <v>215</v>
      </c>
      <c r="P53">
        <v>20260814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333</v>
      </c>
      <c r="AD53" t="s">
        <v>334</v>
      </c>
    </row>
    <row r="54" spans="1:30">
      <c r="A54">
        <v>55210451</v>
      </c>
      <c r="B54" t="s">
        <v>335</v>
      </c>
      <c r="C54" t="s">
        <v>212</v>
      </c>
      <c r="D54" t="s">
        <v>47</v>
      </c>
      <c r="E54" t="s">
        <v>35</v>
      </c>
      <c r="F54">
        <v>6613</v>
      </c>
      <c r="G54" t="s">
        <v>165</v>
      </c>
      <c r="H54" t="s">
        <v>45</v>
      </c>
      <c r="I54" t="s">
        <v>48</v>
      </c>
      <c r="J54" t="s">
        <v>46</v>
      </c>
      <c r="K54" t="s">
        <v>116</v>
      </c>
      <c r="L54" t="s">
        <v>336</v>
      </c>
      <c r="M54" t="s">
        <v>118</v>
      </c>
      <c r="N54" t="s">
        <v>117</v>
      </c>
      <c r="O54" t="s">
        <v>215</v>
      </c>
      <c r="P54">
        <v>20260814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336</v>
      </c>
      <c r="AD54" t="s">
        <v>337</v>
      </c>
    </row>
    <row r="55" spans="1:30">
      <c r="A55">
        <v>55215596</v>
      </c>
      <c r="B55" t="s">
        <v>338</v>
      </c>
      <c r="C55" t="s">
        <v>212</v>
      </c>
      <c r="D55" t="s">
        <v>47</v>
      </c>
      <c r="E55" t="s">
        <v>35</v>
      </c>
      <c r="F55">
        <v>5803</v>
      </c>
      <c r="G55" t="s">
        <v>176</v>
      </c>
      <c r="H55" t="s">
        <v>45</v>
      </c>
      <c r="I55" t="s">
        <v>48</v>
      </c>
      <c r="J55" t="s">
        <v>46</v>
      </c>
      <c r="K55" t="s">
        <v>116</v>
      </c>
      <c r="L55" t="s">
        <v>339</v>
      </c>
      <c r="M55" t="s">
        <v>124</v>
      </c>
      <c r="N55" t="s">
        <v>123</v>
      </c>
      <c r="O55" t="s">
        <v>215</v>
      </c>
      <c r="P55">
        <v>20260814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339</v>
      </c>
      <c r="AD55" t="s">
        <v>340</v>
      </c>
    </row>
    <row r="56" spans="1:30">
      <c r="A56">
        <v>55216493</v>
      </c>
      <c r="B56" t="s">
        <v>341</v>
      </c>
      <c r="C56" t="s">
        <v>212</v>
      </c>
      <c r="D56" t="s">
        <v>47</v>
      </c>
      <c r="E56" t="s">
        <v>35</v>
      </c>
      <c r="F56">
        <v>5803</v>
      </c>
      <c r="G56" t="s">
        <v>176</v>
      </c>
      <c r="H56" t="s">
        <v>45</v>
      </c>
      <c r="I56" t="s">
        <v>48</v>
      </c>
      <c r="J56" t="s">
        <v>46</v>
      </c>
      <c r="K56" t="s">
        <v>116</v>
      </c>
      <c r="L56" t="s">
        <v>342</v>
      </c>
      <c r="M56" t="s">
        <v>118</v>
      </c>
      <c r="N56" t="s">
        <v>117</v>
      </c>
      <c r="O56" t="s">
        <v>215</v>
      </c>
      <c r="P56">
        <v>20260814</v>
      </c>
      <c r="Q56">
        <v>100</v>
      </c>
      <c r="R56">
        <v>100</v>
      </c>
      <c r="S56">
        <v>5690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342</v>
      </c>
      <c r="AD56" t="s">
        <v>343</v>
      </c>
    </row>
    <row r="57" spans="1:30">
      <c r="A57">
        <v>55221293</v>
      </c>
      <c r="B57" t="s">
        <v>344</v>
      </c>
      <c r="C57" t="s">
        <v>212</v>
      </c>
      <c r="D57" t="s">
        <v>47</v>
      </c>
      <c r="E57" t="s">
        <v>35</v>
      </c>
      <c r="F57">
        <v>5803</v>
      </c>
      <c r="G57" t="s">
        <v>176</v>
      </c>
      <c r="H57" t="s">
        <v>45</v>
      </c>
      <c r="I57" t="s">
        <v>48</v>
      </c>
      <c r="J57" t="s">
        <v>46</v>
      </c>
      <c r="K57" t="s">
        <v>116</v>
      </c>
      <c r="L57" t="s">
        <v>345</v>
      </c>
      <c r="M57" t="s">
        <v>124</v>
      </c>
      <c r="N57" t="s">
        <v>123</v>
      </c>
      <c r="O57" t="s">
        <v>215</v>
      </c>
      <c r="P57">
        <v>20260814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345</v>
      </c>
      <c r="AD57" t="s">
        <v>346</v>
      </c>
    </row>
    <row r="58" spans="1:30">
      <c r="A58">
        <v>55221955</v>
      </c>
      <c r="B58" t="s">
        <v>347</v>
      </c>
      <c r="C58" t="s">
        <v>212</v>
      </c>
      <c r="D58" t="s">
        <v>47</v>
      </c>
      <c r="E58" t="s">
        <v>35</v>
      </c>
      <c r="F58">
        <v>5803</v>
      </c>
      <c r="G58" t="s">
        <v>176</v>
      </c>
      <c r="H58" t="s">
        <v>45</v>
      </c>
      <c r="I58" t="s">
        <v>48</v>
      </c>
      <c r="J58" t="s">
        <v>46</v>
      </c>
      <c r="K58" t="s">
        <v>116</v>
      </c>
      <c r="L58" t="s">
        <v>348</v>
      </c>
      <c r="M58" t="s">
        <v>118</v>
      </c>
      <c r="N58" t="s">
        <v>117</v>
      </c>
      <c r="O58" t="s">
        <v>215</v>
      </c>
      <c r="P58">
        <v>20260814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35</v>
      </c>
      <c r="Y58" t="s">
        <v>47</v>
      </c>
      <c r="Z58" t="s">
        <v>35</v>
      </c>
      <c r="AA58" t="s">
        <v>50</v>
      </c>
      <c r="AB58" t="s">
        <v>35</v>
      </c>
      <c r="AC58" t="s">
        <v>348</v>
      </c>
      <c r="AD58" t="s">
        <v>349</v>
      </c>
    </row>
    <row r="59" spans="1:30">
      <c r="A59">
        <v>55234682</v>
      </c>
      <c r="B59" t="s">
        <v>350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351</v>
      </c>
      <c r="M59" t="s">
        <v>124</v>
      </c>
      <c r="N59" t="s">
        <v>123</v>
      </c>
      <c r="O59" t="s">
        <v>215</v>
      </c>
      <c r="P59">
        <v>20260814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351</v>
      </c>
      <c r="AD59" t="s">
        <v>352</v>
      </c>
    </row>
    <row r="60" spans="1:30">
      <c r="A60">
        <v>55235031</v>
      </c>
      <c r="B60" t="s">
        <v>353</v>
      </c>
      <c r="C60" t="s">
        <v>212</v>
      </c>
      <c r="D60" t="s">
        <v>47</v>
      </c>
      <c r="E60" t="s">
        <v>35</v>
      </c>
      <c r="F60">
        <v>5803</v>
      </c>
      <c r="G60" t="s">
        <v>176</v>
      </c>
      <c r="H60" t="s">
        <v>45</v>
      </c>
      <c r="I60" t="s">
        <v>48</v>
      </c>
      <c r="J60" t="s">
        <v>46</v>
      </c>
      <c r="K60" t="s">
        <v>116</v>
      </c>
      <c r="L60" t="s">
        <v>354</v>
      </c>
      <c r="M60" t="s">
        <v>124</v>
      </c>
      <c r="N60" t="s">
        <v>123</v>
      </c>
      <c r="O60" t="s">
        <v>215</v>
      </c>
      <c r="P60">
        <v>20260814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125</v>
      </c>
      <c r="Y60" t="s">
        <v>47</v>
      </c>
      <c r="Z60" t="s">
        <v>35</v>
      </c>
      <c r="AA60" t="s">
        <v>50</v>
      </c>
      <c r="AB60" t="s">
        <v>35</v>
      </c>
      <c r="AC60" t="s">
        <v>354</v>
      </c>
      <c r="AD60" t="s">
        <v>355</v>
      </c>
    </row>
    <row r="61" spans="1:30">
      <c r="A61">
        <v>55235159</v>
      </c>
      <c r="B61" t="s">
        <v>356</v>
      </c>
      <c r="C61" t="s">
        <v>212</v>
      </c>
      <c r="D61" t="s">
        <v>47</v>
      </c>
      <c r="E61" t="s">
        <v>35</v>
      </c>
      <c r="F61">
        <v>3436</v>
      </c>
      <c r="G61" t="s">
        <v>152</v>
      </c>
      <c r="H61" t="s">
        <v>45</v>
      </c>
      <c r="I61" t="s">
        <v>48</v>
      </c>
      <c r="J61" t="s">
        <v>46</v>
      </c>
      <c r="K61" t="s">
        <v>116</v>
      </c>
      <c r="L61" t="s">
        <v>357</v>
      </c>
      <c r="M61" t="s">
        <v>118</v>
      </c>
      <c r="N61" t="s">
        <v>117</v>
      </c>
      <c r="O61" t="s">
        <v>215</v>
      </c>
      <c r="P61">
        <v>20260814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357</v>
      </c>
      <c r="AD61" t="s">
        <v>358</v>
      </c>
    </row>
    <row r="62" spans="1:30">
      <c r="A62">
        <v>55237579</v>
      </c>
      <c r="B62" t="s">
        <v>359</v>
      </c>
      <c r="C62" t="s">
        <v>212</v>
      </c>
      <c r="D62" t="s">
        <v>47</v>
      </c>
      <c r="E62" t="s">
        <v>35</v>
      </c>
      <c r="F62">
        <v>5016</v>
      </c>
      <c r="G62" t="s">
        <v>139</v>
      </c>
      <c r="H62" t="s">
        <v>45</v>
      </c>
      <c r="I62" t="s">
        <v>48</v>
      </c>
      <c r="J62" t="s">
        <v>46</v>
      </c>
      <c r="K62" t="s">
        <v>116</v>
      </c>
      <c r="L62" t="s">
        <v>360</v>
      </c>
      <c r="M62" t="s">
        <v>124</v>
      </c>
      <c r="N62" t="s">
        <v>123</v>
      </c>
      <c r="O62" t="s">
        <v>215</v>
      </c>
      <c r="P62">
        <v>20260814</v>
      </c>
      <c r="Q62">
        <v>200</v>
      </c>
      <c r="R62">
        <v>200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125</v>
      </c>
      <c r="Y62" t="s">
        <v>47</v>
      </c>
      <c r="Z62" t="s">
        <v>35</v>
      </c>
      <c r="AA62" t="s">
        <v>50</v>
      </c>
      <c r="AB62" t="s">
        <v>35</v>
      </c>
      <c r="AC62" t="s">
        <v>360</v>
      </c>
      <c r="AD62" t="s">
        <v>361</v>
      </c>
    </row>
    <row r="63" spans="1:30">
      <c r="A63">
        <v>55237916</v>
      </c>
      <c r="B63" t="s">
        <v>362</v>
      </c>
      <c r="C63" t="s">
        <v>212</v>
      </c>
      <c r="D63" t="s">
        <v>47</v>
      </c>
      <c r="E63" t="s">
        <v>35</v>
      </c>
      <c r="F63">
        <v>5803</v>
      </c>
      <c r="G63" t="s">
        <v>176</v>
      </c>
      <c r="H63" t="s">
        <v>45</v>
      </c>
      <c r="I63" t="s">
        <v>48</v>
      </c>
      <c r="J63" t="s">
        <v>46</v>
      </c>
      <c r="K63" t="s">
        <v>116</v>
      </c>
      <c r="L63" t="s">
        <v>363</v>
      </c>
      <c r="M63" t="s">
        <v>118</v>
      </c>
      <c r="N63" t="s">
        <v>117</v>
      </c>
      <c r="O63" t="s">
        <v>215</v>
      </c>
      <c r="P63">
        <v>20260814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35</v>
      </c>
      <c r="Y63" t="s">
        <v>47</v>
      </c>
      <c r="Z63" t="s">
        <v>35</v>
      </c>
      <c r="AA63" t="s">
        <v>50</v>
      </c>
      <c r="AB63" t="s">
        <v>35</v>
      </c>
      <c r="AC63" t="s">
        <v>363</v>
      </c>
      <c r="AD63" t="s">
        <v>349</v>
      </c>
    </row>
    <row r="64" spans="1:30">
      <c r="A64">
        <v>55238616</v>
      </c>
      <c r="B64" t="s">
        <v>364</v>
      </c>
      <c r="C64" t="s">
        <v>212</v>
      </c>
      <c r="D64" t="s">
        <v>47</v>
      </c>
      <c r="E64" t="s">
        <v>35</v>
      </c>
      <c r="F64">
        <v>5016</v>
      </c>
      <c r="G64" t="s">
        <v>139</v>
      </c>
      <c r="H64" t="s">
        <v>45</v>
      </c>
      <c r="I64" t="s">
        <v>48</v>
      </c>
      <c r="J64" t="s">
        <v>46</v>
      </c>
      <c r="K64" t="s">
        <v>116</v>
      </c>
      <c r="L64" t="s">
        <v>365</v>
      </c>
      <c r="M64" t="s">
        <v>118</v>
      </c>
      <c r="N64" t="s">
        <v>117</v>
      </c>
      <c r="O64" t="s">
        <v>215</v>
      </c>
      <c r="P64">
        <v>20260814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35</v>
      </c>
      <c r="Y64" t="s">
        <v>47</v>
      </c>
      <c r="Z64" t="s">
        <v>35</v>
      </c>
      <c r="AA64" t="s">
        <v>50</v>
      </c>
      <c r="AB64" t="s">
        <v>35</v>
      </c>
      <c r="AC64" t="s">
        <v>365</v>
      </c>
      <c r="AD64" t="s">
        <v>366</v>
      </c>
    </row>
    <row r="65" spans="1:30">
      <c r="A65">
        <v>55240357</v>
      </c>
      <c r="B65" t="s">
        <v>367</v>
      </c>
      <c r="C65" t="s">
        <v>212</v>
      </c>
      <c r="D65" t="s">
        <v>47</v>
      </c>
      <c r="E65" t="s">
        <v>35</v>
      </c>
      <c r="F65">
        <v>3436</v>
      </c>
      <c r="G65" t="s">
        <v>152</v>
      </c>
      <c r="H65" t="s">
        <v>45</v>
      </c>
      <c r="I65" t="s">
        <v>48</v>
      </c>
      <c r="J65" t="s">
        <v>46</v>
      </c>
      <c r="K65" t="s">
        <v>116</v>
      </c>
      <c r="L65" t="s">
        <v>368</v>
      </c>
      <c r="M65" t="s">
        <v>124</v>
      </c>
      <c r="N65" t="s">
        <v>123</v>
      </c>
      <c r="O65" t="s">
        <v>215</v>
      </c>
      <c r="P65">
        <v>20260814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125</v>
      </c>
      <c r="Y65" t="s">
        <v>47</v>
      </c>
      <c r="Z65" t="s">
        <v>35</v>
      </c>
      <c r="AA65" t="s">
        <v>50</v>
      </c>
      <c r="AB65" t="s">
        <v>35</v>
      </c>
      <c r="AC65" t="s">
        <v>368</v>
      </c>
      <c r="AD65" t="s">
        <v>369</v>
      </c>
    </row>
    <row r="66" spans="1:30">
      <c r="A66">
        <v>55241364</v>
      </c>
      <c r="B66" t="s">
        <v>370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371</v>
      </c>
      <c r="M66" t="s">
        <v>118</v>
      </c>
      <c r="N66" t="s">
        <v>117</v>
      </c>
      <c r="O66" t="s">
        <v>215</v>
      </c>
      <c r="P66">
        <v>20260814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35</v>
      </c>
      <c r="Y66" t="s">
        <v>47</v>
      </c>
      <c r="Z66" t="s">
        <v>35</v>
      </c>
      <c r="AA66" t="s">
        <v>50</v>
      </c>
      <c r="AB66" t="s">
        <v>35</v>
      </c>
      <c r="AC66" t="s">
        <v>371</v>
      </c>
      <c r="AD66" t="s">
        <v>372</v>
      </c>
    </row>
    <row r="67" spans="1:30">
      <c r="A67">
        <v>55243264</v>
      </c>
      <c r="B67" t="s">
        <v>373</v>
      </c>
      <c r="C67" t="s">
        <v>212</v>
      </c>
      <c r="D67" t="s">
        <v>47</v>
      </c>
      <c r="E67" t="s">
        <v>35</v>
      </c>
      <c r="F67">
        <v>5016</v>
      </c>
      <c r="G67" t="s">
        <v>139</v>
      </c>
      <c r="H67" t="s">
        <v>45</v>
      </c>
      <c r="I67" t="s">
        <v>48</v>
      </c>
      <c r="J67" t="s">
        <v>46</v>
      </c>
      <c r="K67" t="s">
        <v>116</v>
      </c>
      <c r="L67" t="s">
        <v>374</v>
      </c>
      <c r="M67" t="s">
        <v>124</v>
      </c>
      <c r="N67" t="s">
        <v>123</v>
      </c>
      <c r="O67" t="s">
        <v>215</v>
      </c>
      <c r="P67">
        <v>20260814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374</v>
      </c>
      <c r="AD67" t="s">
        <v>375</v>
      </c>
    </row>
    <row r="68" spans="1:30">
      <c r="A68">
        <v>55244562</v>
      </c>
      <c r="B68" t="s">
        <v>376</v>
      </c>
      <c r="C68" t="s">
        <v>212</v>
      </c>
      <c r="D68" t="s">
        <v>47</v>
      </c>
      <c r="E68" t="s">
        <v>35</v>
      </c>
      <c r="F68">
        <v>5016</v>
      </c>
      <c r="G68" t="s">
        <v>139</v>
      </c>
      <c r="H68" t="s">
        <v>45</v>
      </c>
      <c r="I68" t="s">
        <v>48</v>
      </c>
      <c r="J68" t="s">
        <v>46</v>
      </c>
      <c r="K68" t="s">
        <v>116</v>
      </c>
      <c r="L68" t="s">
        <v>377</v>
      </c>
      <c r="M68" t="s">
        <v>118</v>
      </c>
      <c r="N68" t="s">
        <v>117</v>
      </c>
      <c r="O68" t="s">
        <v>215</v>
      </c>
      <c r="P68">
        <v>20260814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35</v>
      </c>
      <c r="Y68" t="s">
        <v>47</v>
      </c>
      <c r="Z68" t="s">
        <v>35</v>
      </c>
      <c r="AA68" t="s">
        <v>50</v>
      </c>
      <c r="AB68" t="s">
        <v>35</v>
      </c>
      <c r="AC68" t="s">
        <v>377</v>
      </c>
      <c r="AD68" t="s">
        <v>378</v>
      </c>
    </row>
    <row r="69" spans="1:30">
      <c r="A69">
        <v>55254063</v>
      </c>
      <c r="B69" t="s">
        <v>379</v>
      </c>
      <c r="C69" t="s">
        <v>212</v>
      </c>
      <c r="D69" t="s">
        <v>47</v>
      </c>
      <c r="E69" t="s">
        <v>35</v>
      </c>
      <c r="F69">
        <v>3436</v>
      </c>
      <c r="G69" t="s">
        <v>152</v>
      </c>
      <c r="H69" t="s">
        <v>45</v>
      </c>
      <c r="I69" t="s">
        <v>48</v>
      </c>
      <c r="J69" t="s">
        <v>46</v>
      </c>
      <c r="K69" t="s">
        <v>116</v>
      </c>
      <c r="L69" t="s">
        <v>380</v>
      </c>
      <c r="M69" t="s">
        <v>124</v>
      </c>
      <c r="N69" t="s">
        <v>123</v>
      </c>
      <c r="O69" t="s">
        <v>215</v>
      </c>
      <c r="P69">
        <v>20260814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125</v>
      </c>
      <c r="Y69" t="s">
        <v>47</v>
      </c>
      <c r="Z69" t="s">
        <v>35</v>
      </c>
      <c r="AA69" t="s">
        <v>50</v>
      </c>
      <c r="AB69" t="s">
        <v>35</v>
      </c>
      <c r="AC69" t="s">
        <v>380</v>
      </c>
      <c r="AD69" t="s">
        <v>381</v>
      </c>
    </row>
    <row r="70" spans="1:30">
      <c r="A70">
        <v>55254403</v>
      </c>
      <c r="B70" t="s">
        <v>382</v>
      </c>
      <c r="C70" t="s">
        <v>212</v>
      </c>
      <c r="D70" t="s">
        <v>47</v>
      </c>
      <c r="E70" t="s">
        <v>35</v>
      </c>
      <c r="F70">
        <v>5016</v>
      </c>
      <c r="G70" t="s">
        <v>139</v>
      </c>
      <c r="H70" t="s">
        <v>45</v>
      </c>
      <c r="I70" t="s">
        <v>48</v>
      </c>
      <c r="J70" t="s">
        <v>46</v>
      </c>
      <c r="K70" t="s">
        <v>116</v>
      </c>
      <c r="L70" t="s">
        <v>383</v>
      </c>
      <c r="M70" t="s">
        <v>124</v>
      </c>
      <c r="N70" t="s">
        <v>123</v>
      </c>
      <c r="O70" t="s">
        <v>215</v>
      </c>
      <c r="P70">
        <v>20260814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125</v>
      </c>
      <c r="Y70" t="s">
        <v>47</v>
      </c>
      <c r="Z70" t="s">
        <v>35</v>
      </c>
      <c r="AA70" t="s">
        <v>50</v>
      </c>
      <c r="AB70" t="s">
        <v>35</v>
      </c>
      <c r="AC70" t="s">
        <v>383</v>
      </c>
      <c r="AD70" t="s">
        <v>384</v>
      </c>
    </row>
    <row r="71" spans="1:30">
      <c r="A71">
        <v>55254824</v>
      </c>
      <c r="B71" t="s">
        <v>385</v>
      </c>
      <c r="C71" t="s">
        <v>212</v>
      </c>
      <c r="D71" t="s">
        <v>47</v>
      </c>
      <c r="E71" t="s">
        <v>35</v>
      </c>
      <c r="F71">
        <v>5016</v>
      </c>
      <c r="G71" t="s">
        <v>139</v>
      </c>
      <c r="H71" t="s">
        <v>45</v>
      </c>
      <c r="I71" t="s">
        <v>48</v>
      </c>
      <c r="J71" t="s">
        <v>46</v>
      </c>
      <c r="K71" t="s">
        <v>116</v>
      </c>
      <c r="L71" t="s">
        <v>386</v>
      </c>
      <c r="M71" t="s">
        <v>118</v>
      </c>
      <c r="N71" t="s">
        <v>117</v>
      </c>
      <c r="O71" t="s">
        <v>215</v>
      </c>
      <c r="P71">
        <v>20260814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386</v>
      </c>
      <c r="AD71" t="s">
        <v>387</v>
      </c>
    </row>
    <row r="72" spans="1:30">
      <c r="A72">
        <v>55256048</v>
      </c>
      <c r="B72" t="s">
        <v>388</v>
      </c>
      <c r="C72" t="s">
        <v>212</v>
      </c>
      <c r="D72" t="s">
        <v>47</v>
      </c>
      <c r="E72" t="s">
        <v>35</v>
      </c>
      <c r="F72">
        <v>3436</v>
      </c>
      <c r="G72" t="s">
        <v>152</v>
      </c>
      <c r="H72" t="s">
        <v>45</v>
      </c>
      <c r="I72" t="s">
        <v>48</v>
      </c>
      <c r="J72" t="s">
        <v>46</v>
      </c>
      <c r="K72" t="s">
        <v>116</v>
      </c>
      <c r="L72" t="s">
        <v>389</v>
      </c>
      <c r="M72" t="s">
        <v>118</v>
      </c>
      <c r="N72" t="s">
        <v>117</v>
      </c>
      <c r="O72" t="s">
        <v>215</v>
      </c>
      <c r="P72">
        <v>20260814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389</v>
      </c>
      <c r="AD72" t="s">
        <v>390</v>
      </c>
    </row>
    <row r="73" spans="1:30">
      <c r="A73">
        <v>55257759</v>
      </c>
      <c r="B73" t="s">
        <v>391</v>
      </c>
      <c r="C73" t="s">
        <v>212</v>
      </c>
      <c r="D73" t="s">
        <v>47</v>
      </c>
      <c r="E73" t="s">
        <v>35</v>
      </c>
      <c r="F73">
        <v>5016</v>
      </c>
      <c r="G73" t="s">
        <v>139</v>
      </c>
      <c r="H73" t="s">
        <v>45</v>
      </c>
      <c r="I73" t="s">
        <v>48</v>
      </c>
      <c r="J73" t="s">
        <v>46</v>
      </c>
      <c r="K73" t="s">
        <v>116</v>
      </c>
      <c r="L73" t="s">
        <v>392</v>
      </c>
      <c r="M73" t="s">
        <v>124</v>
      </c>
      <c r="N73" t="s">
        <v>123</v>
      </c>
      <c r="O73" t="s">
        <v>215</v>
      </c>
      <c r="P73">
        <v>20260814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392</v>
      </c>
      <c r="AD73" t="s">
        <v>393</v>
      </c>
    </row>
    <row r="74" spans="1:30">
      <c r="A74">
        <v>55258062</v>
      </c>
      <c r="B74" t="s">
        <v>394</v>
      </c>
      <c r="C74" t="s">
        <v>212</v>
      </c>
      <c r="D74" t="s">
        <v>47</v>
      </c>
      <c r="E74" t="s">
        <v>35</v>
      </c>
      <c r="F74">
        <v>5803</v>
      </c>
      <c r="G74" t="s">
        <v>176</v>
      </c>
      <c r="H74" t="s">
        <v>45</v>
      </c>
      <c r="I74" t="s">
        <v>48</v>
      </c>
      <c r="J74" t="s">
        <v>46</v>
      </c>
      <c r="K74" t="s">
        <v>116</v>
      </c>
      <c r="L74" t="s">
        <v>395</v>
      </c>
      <c r="M74" t="s">
        <v>124</v>
      </c>
      <c r="N74" t="s">
        <v>123</v>
      </c>
      <c r="O74" t="s">
        <v>215</v>
      </c>
      <c r="P74">
        <v>20260814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125</v>
      </c>
      <c r="Y74" t="s">
        <v>47</v>
      </c>
      <c r="Z74" t="s">
        <v>35</v>
      </c>
      <c r="AA74" t="s">
        <v>50</v>
      </c>
      <c r="AB74" t="s">
        <v>35</v>
      </c>
      <c r="AC74" t="s">
        <v>396</v>
      </c>
      <c r="AD74" t="s">
        <v>397</v>
      </c>
    </row>
    <row r="75" spans="1:30">
      <c r="A75">
        <v>55258326</v>
      </c>
      <c r="B75" t="s">
        <v>398</v>
      </c>
      <c r="C75" t="s">
        <v>212</v>
      </c>
      <c r="D75" t="s">
        <v>47</v>
      </c>
      <c r="E75" t="s">
        <v>35</v>
      </c>
      <c r="F75">
        <v>5016</v>
      </c>
      <c r="G75" t="s">
        <v>139</v>
      </c>
      <c r="H75" t="s">
        <v>45</v>
      </c>
      <c r="I75" t="s">
        <v>48</v>
      </c>
      <c r="J75" t="s">
        <v>46</v>
      </c>
      <c r="K75" t="s">
        <v>116</v>
      </c>
      <c r="L75" t="s">
        <v>399</v>
      </c>
      <c r="M75" t="s">
        <v>118</v>
      </c>
      <c r="N75" t="s">
        <v>117</v>
      </c>
      <c r="O75" t="s">
        <v>215</v>
      </c>
      <c r="P75">
        <v>20260814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399</v>
      </c>
      <c r="AD75" t="s">
        <v>387</v>
      </c>
    </row>
    <row r="76" spans="1:30">
      <c r="A76">
        <v>55260747</v>
      </c>
      <c r="B76" t="s">
        <v>400</v>
      </c>
      <c r="C76" t="s">
        <v>212</v>
      </c>
      <c r="D76" t="s">
        <v>47</v>
      </c>
      <c r="E76" t="s">
        <v>35</v>
      </c>
      <c r="F76">
        <v>5016</v>
      </c>
      <c r="G76" t="s">
        <v>139</v>
      </c>
      <c r="H76" t="s">
        <v>45</v>
      </c>
      <c r="I76" t="s">
        <v>48</v>
      </c>
      <c r="J76" t="s">
        <v>46</v>
      </c>
      <c r="K76" t="s">
        <v>116</v>
      </c>
      <c r="L76" t="s">
        <v>401</v>
      </c>
      <c r="M76" t="s">
        <v>124</v>
      </c>
      <c r="N76" t="s">
        <v>123</v>
      </c>
      <c r="O76" t="s">
        <v>215</v>
      </c>
      <c r="P76">
        <v>20260814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401</v>
      </c>
      <c r="AD76" t="s">
        <v>402</v>
      </c>
    </row>
    <row r="77" spans="1:30">
      <c r="A77">
        <v>55262609</v>
      </c>
      <c r="B77" t="s">
        <v>403</v>
      </c>
      <c r="C77" t="s">
        <v>212</v>
      </c>
      <c r="D77" t="s">
        <v>47</v>
      </c>
      <c r="E77" t="s">
        <v>35</v>
      </c>
      <c r="F77">
        <v>7013</v>
      </c>
      <c r="G77" t="s">
        <v>404</v>
      </c>
      <c r="H77" t="s">
        <v>45</v>
      </c>
      <c r="I77" t="s">
        <v>48</v>
      </c>
      <c r="J77" t="s">
        <v>46</v>
      </c>
      <c r="K77" t="s">
        <v>116</v>
      </c>
      <c r="L77" t="s">
        <v>405</v>
      </c>
      <c r="M77" t="s">
        <v>118</v>
      </c>
      <c r="N77" t="s">
        <v>117</v>
      </c>
      <c r="O77" t="s">
        <v>215</v>
      </c>
      <c r="P77">
        <v>20260814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406</v>
      </c>
      <c r="AD77" t="s">
        <v>407</v>
      </c>
    </row>
    <row r="78" spans="1:30">
      <c r="A78">
        <v>55263415</v>
      </c>
      <c r="B78" t="s">
        <v>408</v>
      </c>
      <c r="C78" t="s">
        <v>212</v>
      </c>
      <c r="D78" t="s">
        <v>47</v>
      </c>
      <c r="E78" t="s">
        <v>35</v>
      </c>
      <c r="F78">
        <v>5016</v>
      </c>
      <c r="G78" t="s">
        <v>139</v>
      </c>
      <c r="H78" t="s">
        <v>45</v>
      </c>
      <c r="I78" t="s">
        <v>48</v>
      </c>
      <c r="J78" t="s">
        <v>46</v>
      </c>
      <c r="K78" t="s">
        <v>116</v>
      </c>
      <c r="L78" t="s">
        <v>409</v>
      </c>
      <c r="M78" t="s">
        <v>118</v>
      </c>
      <c r="N78" t="s">
        <v>117</v>
      </c>
      <c r="O78" t="s">
        <v>215</v>
      </c>
      <c r="P78">
        <v>20260814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35</v>
      </c>
      <c r="Y78" t="s">
        <v>47</v>
      </c>
      <c r="Z78" t="s">
        <v>35</v>
      </c>
      <c r="AA78" t="s">
        <v>50</v>
      </c>
      <c r="AB78" t="s">
        <v>35</v>
      </c>
      <c r="AC78" t="s">
        <v>409</v>
      </c>
      <c r="AD78" t="s">
        <v>410</v>
      </c>
    </row>
    <row r="79" spans="1:30">
      <c r="A79">
        <v>55265765</v>
      </c>
      <c r="B79" t="s">
        <v>411</v>
      </c>
      <c r="C79" t="s">
        <v>212</v>
      </c>
      <c r="D79" t="s">
        <v>47</v>
      </c>
      <c r="E79" t="s">
        <v>35</v>
      </c>
      <c r="F79">
        <v>3436</v>
      </c>
      <c r="G79" t="s">
        <v>152</v>
      </c>
      <c r="H79" t="s">
        <v>45</v>
      </c>
      <c r="I79" t="s">
        <v>48</v>
      </c>
      <c r="J79" t="s">
        <v>46</v>
      </c>
      <c r="K79" t="s">
        <v>116</v>
      </c>
      <c r="L79" t="s">
        <v>412</v>
      </c>
      <c r="M79" t="s">
        <v>124</v>
      </c>
      <c r="N79" t="s">
        <v>123</v>
      </c>
      <c r="O79" t="s">
        <v>215</v>
      </c>
      <c r="P79">
        <v>20260814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412</v>
      </c>
      <c r="AD79" t="s">
        <v>413</v>
      </c>
    </row>
    <row r="80" spans="1:30">
      <c r="A80">
        <v>55266150</v>
      </c>
      <c r="B80" t="s">
        <v>414</v>
      </c>
      <c r="C80" t="s">
        <v>212</v>
      </c>
      <c r="D80" t="s">
        <v>47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415</v>
      </c>
      <c r="M80" t="s">
        <v>118</v>
      </c>
      <c r="N80" t="s">
        <v>117</v>
      </c>
      <c r="O80" t="s">
        <v>215</v>
      </c>
      <c r="P80">
        <v>20260814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35</v>
      </c>
      <c r="Y80" t="s">
        <v>47</v>
      </c>
      <c r="Z80" t="s">
        <v>35</v>
      </c>
      <c r="AA80" t="s">
        <v>50</v>
      </c>
      <c r="AB80" t="s">
        <v>35</v>
      </c>
      <c r="AC80" t="s">
        <v>415</v>
      </c>
      <c r="AD80" t="s">
        <v>416</v>
      </c>
    </row>
    <row r="81" spans="1:30">
      <c r="A81">
        <v>55267758</v>
      </c>
      <c r="B81" t="s">
        <v>417</v>
      </c>
      <c r="C81" t="s">
        <v>212</v>
      </c>
      <c r="D81" t="s">
        <v>47</v>
      </c>
      <c r="E81" t="s">
        <v>35</v>
      </c>
      <c r="F81">
        <v>5803</v>
      </c>
      <c r="G81" t="s">
        <v>176</v>
      </c>
      <c r="H81" t="s">
        <v>45</v>
      </c>
      <c r="I81" t="s">
        <v>48</v>
      </c>
      <c r="J81" t="s">
        <v>46</v>
      </c>
      <c r="K81" t="s">
        <v>116</v>
      </c>
      <c r="L81" t="s">
        <v>418</v>
      </c>
      <c r="M81" t="s">
        <v>124</v>
      </c>
      <c r="N81" t="s">
        <v>123</v>
      </c>
      <c r="O81" t="s">
        <v>215</v>
      </c>
      <c r="P81">
        <v>20260814</v>
      </c>
      <c r="Q81">
        <v>100</v>
      </c>
      <c r="R81">
        <v>100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418</v>
      </c>
      <c r="AD81" t="s">
        <v>419</v>
      </c>
    </row>
    <row r="82" spans="1:30">
      <c r="A82">
        <v>55267894</v>
      </c>
      <c r="B82" t="s">
        <v>420</v>
      </c>
      <c r="C82" t="s">
        <v>212</v>
      </c>
      <c r="D82" t="s">
        <v>47</v>
      </c>
      <c r="E82" t="s">
        <v>35</v>
      </c>
      <c r="F82">
        <v>5016</v>
      </c>
      <c r="G82" t="s">
        <v>139</v>
      </c>
      <c r="H82" t="s">
        <v>45</v>
      </c>
      <c r="I82" t="s">
        <v>48</v>
      </c>
      <c r="J82" t="s">
        <v>46</v>
      </c>
      <c r="K82" t="s">
        <v>116</v>
      </c>
      <c r="L82" t="s">
        <v>421</v>
      </c>
      <c r="M82" t="s">
        <v>124</v>
      </c>
      <c r="N82" t="s">
        <v>123</v>
      </c>
      <c r="O82" t="s">
        <v>215</v>
      </c>
      <c r="P82">
        <v>20260814</v>
      </c>
      <c r="Q82">
        <v>100</v>
      </c>
      <c r="R82">
        <v>100</v>
      </c>
      <c r="S82" t="s">
        <v>217</v>
      </c>
      <c r="T82" t="s">
        <v>49</v>
      </c>
      <c r="U82" t="s">
        <v>47</v>
      </c>
      <c r="V82" t="s">
        <v>47</v>
      </c>
      <c r="W82" t="s">
        <v>47</v>
      </c>
      <c r="X82" t="s">
        <v>125</v>
      </c>
      <c r="Y82" t="s">
        <v>47</v>
      </c>
      <c r="Z82" t="s">
        <v>35</v>
      </c>
      <c r="AA82" t="s">
        <v>50</v>
      </c>
      <c r="AB82" t="s">
        <v>35</v>
      </c>
      <c r="AC82" t="s">
        <v>421</v>
      </c>
      <c r="AD82" t="s">
        <v>410</v>
      </c>
    </row>
    <row r="83" spans="1:30">
      <c r="A83">
        <v>55269453</v>
      </c>
      <c r="B83" t="s">
        <v>422</v>
      </c>
      <c r="C83" t="s">
        <v>212</v>
      </c>
      <c r="D83" t="s">
        <v>47</v>
      </c>
      <c r="E83" t="s">
        <v>35</v>
      </c>
      <c r="F83">
        <v>7013</v>
      </c>
      <c r="G83" t="s">
        <v>404</v>
      </c>
      <c r="H83" t="s">
        <v>45</v>
      </c>
      <c r="I83" t="s">
        <v>48</v>
      </c>
      <c r="J83" t="s">
        <v>46</v>
      </c>
      <c r="K83" t="s">
        <v>116</v>
      </c>
      <c r="L83" t="s">
        <v>423</v>
      </c>
      <c r="M83" t="s">
        <v>124</v>
      </c>
      <c r="N83" t="s">
        <v>123</v>
      </c>
      <c r="O83" t="s">
        <v>215</v>
      </c>
      <c r="P83">
        <v>20260814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423</v>
      </c>
      <c r="AD83" t="s">
        <v>424</v>
      </c>
    </row>
    <row r="84" spans="1:30">
      <c r="A84">
        <v>55331106</v>
      </c>
      <c r="B84" t="s">
        <v>425</v>
      </c>
      <c r="C84" t="s">
        <v>212</v>
      </c>
      <c r="D84" t="s">
        <v>47</v>
      </c>
      <c r="E84" t="s">
        <v>35</v>
      </c>
      <c r="F84">
        <v>5016</v>
      </c>
      <c r="G84" t="s">
        <v>139</v>
      </c>
      <c r="H84" t="s">
        <v>45</v>
      </c>
      <c r="I84" t="s">
        <v>48</v>
      </c>
      <c r="J84" t="s">
        <v>46</v>
      </c>
      <c r="K84" t="s">
        <v>116</v>
      </c>
      <c r="L84" t="s">
        <v>426</v>
      </c>
      <c r="M84" t="s">
        <v>118</v>
      </c>
      <c r="N84" t="s">
        <v>117</v>
      </c>
      <c r="O84" t="s">
        <v>215</v>
      </c>
      <c r="P84">
        <v>20260814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427</v>
      </c>
      <c r="AD84" t="s">
        <v>428</v>
      </c>
    </row>
    <row r="85" spans="1:30">
      <c r="A85">
        <v>55332599</v>
      </c>
      <c r="B85" t="s">
        <v>429</v>
      </c>
      <c r="C85" t="s">
        <v>212</v>
      </c>
      <c r="D85" t="s">
        <v>47</v>
      </c>
      <c r="E85" t="s">
        <v>35</v>
      </c>
      <c r="F85">
        <v>5016</v>
      </c>
      <c r="G85" t="s">
        <v>139</v>
      </c>
      <c r="H85" t="s">
        <v>45</v>
      </c>
      <c r="I85" t="s">
        <v>48</v>
      </c>
      <c r="J85" t="s">
        <v>46</v>
      </c>
      <c r="K85" t="s">
        <v>116</v>
      </c>
      <c r="L85" t="s">
        <v>430</v>
      </c>
      <c r="M85" t="s">
        <v>124</v>
      </c>
      <c r="N85" t="s">
        <v>123</v>
      </c>
      <c r="O85" t="s">
        <v>215</v>
      </c>
      <c r="P85">
        <v>20260814</v>
      </c>
      <c r="Q85">
        <v>100</v>
      </c>
      <c r="R85">
        <v>100</v>
      </c>
      <c r="S85" t="s">
        <v>217</v>
      </c>
      <c r="T85" t="s">
        <v>49</v>
      </c>
      <c r="U85" t="s">
        <v>47</v>
      </c>
      <c r="V85" t="s">
        <v>47</v>
      </c>
      <c r="W85" t="s">
        <v>47</v>
      </c>
      <c r="X85" t="s">
        <v>125</v>
      </c>
      <c r="Y85" t="s">
        <v>47</v>
      </c>
      <c r="Z85" t="s">
        <v>35</v>
      </c>
      <c r="AA85" t="s">
        <v>50</v>
      </c>
      <c r="AB85" t="s">
        <v>35</v>
      </c>
      <c r="AC85" t="s">
        <v>430</v>
      </c>
      <c r="AD85" t="s">
        <v>431</v>
      </c>
    </row>
    <row r="86" spans="1:30">
      <c r="A86">
        <v>55333252</v>
      </c>
      <c r="B86" t="s">
        <v>432</v>
      </c>
      <c r="C86" t="s">
        <v>212</v>
      </c>
      <c r="D86" t="s">
        <v>47</v>
      </c>
      <c r="E86" t="s">
        <v>35</v>
      </c>
      <c r="F86">
        <v>5803</v>
      </c>
      <c r="G86" t="s">
        <v>176</v>
      </c>
      <c r="H86" t="s">
        <v>45</v>
      </c>
      <c r="I86" t="s">
        <v>48</v>
      </c>
      <c r="J86" t="s">
        <v>46</v>
      </c>
      <c r="K86" t="s">
        <v>116</v>
      </c>
      <c r="L86" t="s">
        <v>433</v>
      </c>
      <c r="M86" t="s">
        <v>118</v>
      </c>
      <c r="N86" t="s">
        <v>117</v>
      </c>
      <c r="O86" t="s">
        <v>215</v>
      </c>
      <c r="P86">
        <v>20260814</v>
      </c>
      <c r="Q86">
        <v>200</v>
      </c>
      <c r="R86">
        <v>200</v>
      </c>
      <c r="S86" t="s">
        <v>217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433</v>
      </c>
      <c r="AD86" t="s">
        <v>434</v>
      </c>
    </row>
    <row r="87" spans="1:30">
      <c r="A87">
        <v>55335560</v>
      </c>
      <c r="B87" t="s">
        <v>435</v>
      </c>
      <c r="C87" t="s">
        <v>212</v>
      </c>
      <c r="D87" t="s">
        <v>47</v>
      </c>
      <c r="E87" t="s">
        <v>35</v>
      </c>
      <c r="F87">
        <v>5803</v>
      </c>
      <c r="G87" t="s">
        <v>176</v>
      </c>
      <c r="H87" t="s">
        <v>45</v>
      </c>
      <c r="I87" t="s">
        <v>48</v>
      </c>
      <c r="J87" t="s">
        <v>46</v>
      </c>
      <c r="K87" t="s">
        <v>116</v>
      </c>
      <c r="L87" t="s">
        <v>436</v>
      </c>
      <c r="M87" t="s">
        <v>124</v>
      </c>
      <c r="N87" t="s">
        <v>123</v>
      </c>
      <c r="O87" t="s">
        <v>215</v>
      </c>
      <c r="P87">
        <v>20260814</v>
      </c>
      <c r="Q87">
        <v>200</v>
      </c>
      <c r="R87">
        <v>200</v>
      </c>
      <c r="S87" t="s">
        <v>217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436</v>
      </c>
      <c r="AD87" t="s">
        <v>437</v>
      </c>
    </row>
    <row r="88" spans="1:30">
      <c r="A88">
        <v>55335740</v>
      </c>
      <c r="B88" t="s">
        <v>438</v>
      </c>
      <c r="C88" t="s">
        <v>212</v>
      </c>
      <c r="D88" t="s">
        <v>47</v>
      </c>
      <c r="E88" t="s">
        <v>35</v>
      </c>
      <c r="F88">
        <v>5803</v>
      </c>
      <c r="G88" t="s">
        <v>176</v>
      </c>
      <c r="H88" t="s">
        <v>45</v>
      </c>
      <c r="I88" t="s">
        <v>48</v>
      </c>
      <c r="J88" t="s">
        <v>46</v>
      </c>
      <c r="K88" t="s">
        <v>116</v>
      </c>
      <c r="L88" t="s">
        <v>439</v>
      </c>
      <c r="M88" t="s">
        <v>118</v>
      </c>
      <c r="N88" t="s">
        <v>117</v>
      </c>
      <c r="O88" t="s">
        <v>215</v>
      </c>
      <c r="P88">
        <v>20260814</v>
      </c>
      <c r="Q88">
        <v>200</v>
      </c>
      <c r="R88">
        <v>200</v>
      </c>
      <c r="S88" t="s">
        <v>217</v>
      </c>
      <c r="T88" t="s">
        <v>49</v>
      </c>
      <c r="U88" t="s">
        <v>47</v>
      </c>
      <c r="V88" t="s">
        <v>47</v>
      </c>
      <c r="W88" t="s">
        <v>47</v>
      </c>
      <c r="X88" t="s">
        <v>35</v>
      </c>
      <c r="Y88" t="s">
        <v>47</v>
      </c>
      <c r="Z88" t="s">
        <v>35</v>
      </c>
      <c r="AA88" t="s">
        <v>50</v>
      </c>
      <c r="AB88" t="s">
        <v>35</v>
      </c>
      <c r="AC88" t="s">
        <v>439</v>
      </c>
      <c r="AD88" t="s">
        <v>440</v>
      </c>
    </row>
    <row r="89" spans="1:30">
      <c r="A89">
        <v>55337617</v>
      </c>
      <c r="B89" t="s">
        <v>441</v>
      </c>
      <c r="C89" t="s">
        <v>212</v>
      </c>
      <c r="D89" t="s">
        <v>47</v>
      </c>
      <c r="E89" t="s">
        <v>35</v>
      </c>
      <c r="F89">
        <v>5803</v>
      </c>
      <c r="G89" t="s">
        <v>176</v>
      </c>
      <c r="H89" t="s">
        <v>45</v>
      </c>
      <c r="I89" t="s">
        <v>48</v>
      </c>
      <c r="J89" t="s">
        <v>46</v>
      </c>
      <c r="K89" t="s">
        <v>116</v>
      </c>
      <c r="L89" t="s">
        <v>442</v>
      </c>
      <c r="M89" t="s">
        <v>124</v>
      </c>
      <c r="N89" t="s">
        <v>123</v>
      </c>
      <c r="O89" t="s">
        <v>215</v>
      </c>
      <c r="P89">
        <v>20260814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442</v>
      </c>
      <c r="AD89" t="s">
        <v>443</v>
      </c>
    </row>
    <row r="90" spans="1:30">
      <c r="A90">
        <v>55337782</v>
      </c>
      <c r="B90" t="s">
        <v>444</v>
      </c>
      <c r="C90" t="s">
        <v>212</v>
      </c>
      <c r="D90" t="s">
        <v>47</v>
      </c>
      <c r="E90" t="s">
        <v>35</v>
      </c>
      <c r="F90">
        <v>5803</v>
      </c>
      <c r="G90" t="s">
        <v>176</v>
      </c>
      <c r="H90" t="s">
        <v>45</v>
      </c>
      <c r="I90" t="s">
        <v>48</v>
      </c>
      <c r="J90" t="s">
        <v>46</v>
      </c>
      <c r="K90" t="s">
        <v>116</v>
      </c>
      <c r="L90" t="s">
        <v>445</v>
      </c>
      <c r="M90" t="s">
        <v>124</v>
      </c>
      <c r="N90" t="s">
        <v>123</v>
      </c>
      <c r="O90" t="s">
        <v>215</v>
      </c>
      <c r="P90">
        <v>20260814</v>
      </c>
      <c r="Q90">
        <v>100</v>
      </c>
      <c r="R90">
        <v>100</v>
      </c>
      <c r="S90" t="s">
        <v>217</v>
      </c>
      <c r="T90" t="s">
        <v>49</v>
      </c>
      <c r="U90" t="s">
        <v>47</v>
      </c>
      <c r="V90" t="s">
        <v>47</v>
      </c>
      <c r="W90" t="s">
        <v>47</v>
      </c>
      <c r="X90" t="s">
        <v>125</v>
      </c>
      <c r="Y90" t="s">
        <v>47</v>
      </c>
      <c r="Z90" t="s">
        <v>35</v>
      </c>
      <c r="AA90" t="s">
        <v>50</v>
      </c>
      <c r="AB90" t="s">
        <v>35</v>
      </c>
      <c r="AC90" t="s">
        <v>445</v>
      </c>
      <c r="AD90" t="s">
        <v>446</v>
      </c>
    </row>
    <row r="91" spans="1:30">
      <c r="A91">
        <v>55340216</v>
      </c>
      <c r="B91" t="s">
        <v>447</v>
      </c>
      <c r="C91" t="s">
        <v>212</v>
      </c>
      <c r="D91" t="s">
        <v>47</v>
      </c>
      <c r="E91" t="s">
        <v>35</v>
      </c>
      <c r="F91">
        <v>8136</v>
      </c>
      <c r="G91" t="s">
        <v>172</v>
      </c>
      <c r="H91" t="s">
        <v>45</v>
      </c>
      <c r="I91" t="s">
        <v>48</v>
      </c>
      <c r="J91" t="s">
        <v>35</v>
      </c>
      <c r="K91" t="s">
        <v>35</v>
      </c>
      <c r="L91" t="s">
        <v>448</v>
      </c>
      <c r="M91" t="s">
        <v>57</v>
      </c>
      <c r="N91" t="s">
        <v>58</v>
      </c>
      <c r="O91" t="s">
        <v>215</v>
      </c>
      <c r="P91">
        <v>20260814</v>
      </c>
      <c r="Q91">
        <v>100</v>
      </c>
      <c r="R91">
        <v>100</v>
      </c>
      <c r="S91" t="s">
        <v>217</v>
      </c>
      <c r="T91" t="s">
        <v>49</v>
      </c>
      <c r="U91" t="s">
        <v>47</v>
      </c>
      <c r="V91" t="s">
        <v>47</v>
      </c>
      <c r="W91" t="s">
        <v>47</v>
      </c>
      <c r="X91" t="s">
        <v>35</v>
      </c>
      <c r="Y91" t="s">
        <v>47</v>
      </c>
      <c r="Z91" t="s">
        <v>35</v>
      </c>
      <c r="AA91" t="s">
        <v>50</v>
      </c>
      <c r="AB91" t="s">
        <v>35</v>
      </c>
      <c r="AC91" t="s">
        <v>448</v>
      </c>
      <c r="AD91" t="s">
        <v>449</v>
      </c>
    </row>
    <row r="92" spans="1:30">
      <c r="A92">
        <v>55342054</v>
      </c>
      <c r="B92" t="s">
        <v>450</v>
      </c>
      <c r="C92" t="s">
        <v>212</v>
      </c>
      <c r="D92" t="s">
        <v>47</v>
      </c>
      <c r="E92" t="s">
        <v>35</v>
      </c>
      <c r="F92">
        <v>5016</v>
      </c>
      <c r="G92" t="s">
        <v>139</v>
      </c>
      <c r="H92" t="s">
        <v>45</v>
      </c>
      <c r="I92" t="s">
        <v>48</v>
      </c>
      <c r="J92" t="s">
        <v>46</v>
      </c>
      <c r="K92" t="s">
        <v>116</v>
      </c>
      <c r="L92" t="s">
        <v>451</v>
      </c>
      <c r="M92" t="s">
        <v>118</v>
      </c>
      <c r="N92" t="s">
        <v>117</v>
      </c>
      <c r="O92" t="s">
        <v>215</v>
      </c>
      <c r="P92">
        <v>20260814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452</v>
      </c>
      <c r="AD92" t="s">
        <v>453</v>
      </c>
    </row>
    <row r="93" spans="1:30">
      <c r="A93">
        <v>55342702</v>
      </c>
      <c r="B93" t="s">
        <v>454</v>
      </c>
      <c r="C93" t="s">
        <v>212</v>
      </c>
      <c r="D93" t="s">
        <v>47</v>
      </c>
      <c r="E93" t="s">
        <v>35</v>
      </c>
      <c r="F93">
        <v>5016</v>
      </c>
      <c r="G93" t="s">
        <v>139</v>
      </c>
      <c r="H93" t="s">
        <v>45</v>
      </c>
      <c r="I93" t="s">
        <v>48</v>
      </c>
      <c r="J93" t="s">
        <v>46</v>
      </c>
      <c r="K93" t="s">
        <v>116</v>
      </c>
      <c r="L93" t="s">
        <v>455</v>
      </c>
      <c r="M93" t="s">
        <v>124</v>
      </c>
      <c r="N93" t="s">
        <v>123</v>
      </c>
      <c r="O93" t="s">
        <v>215</v>
      </c>
      <c r="P93">
        <v>20260814</v>
      </c>
      <c r="Q93">
        <v>100</v>
      </c>
      <c r="R93">
        <v>100</v>
      </c>
      <c r="S93" t="s">
        <v>217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455</v>
      </c>
      <c r="AD93" t="s">
        <v>456</v>
      </c>
    </row>
    <row r="94" spans="1:30">
      <c r="A94">
        <v>51051621</v>
      </c>
      <c r="B94" t="s">
        <v>457</v>
      </c>
      <c r="C94" t="s">
        <v>290</v>
      </c>
      <c r="D94" t="s">
        <v>47</v>
      </c>
      <c r="E94" t="s">
        <v>35</v>
      </c>
      <c r="F94">
        <v>9432</v>
      </c>
      <c r="G94" t="s">
        <v>54</v>
      </c>
      <c r="H94" t="s">
        <v>45</v>
      </c>
      <c r="I94" t="s">
        <v>48</v>
      </c>
      <c r="J94" t="s">
        <v>35</v>
      </c>
      <c r="K94" t="s">
        <v>35</v>
      </c>
      <c r="L94" t="s">
        <v>458</v>
      </c>
      <c r="M94" t="s">
        <v>57</v>
      </c>
      <c r="N94" t="s">
        <v>58</v>
      </c>
      <c r="O94" t="s">
        <v>215</v>
      </c>
      <c r="P94">
        <v>20260817</v>
      </c>
      <c r="Q94">
        <v>100</v>
      </c>
      <c r="R94">
        <v>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458</v>
      </c>
      <c r="AD94" t="s">
        <v>74</v>
      </c>
    </row>
    <row r="95" spans="1:30">
      <c r="A95" s="1">
        <v>51051926</v>
      </c>
      <c r="B95" s="1" t="s">
        <v>460</v>
      </c>
      <c r="C95" s="1" t="s">
        <v>44</v>
      </c>
      <c r="D95" s="1" t="s">
        <v>34</v>
      </c>
      <c r="E95" s="1" t="s">
        <v>35</v>
      </c>
      <c r="F95" s="1">
        <v>9432</v>
      </c>
      <c r="G95" s="1" t="s">
        <v>41</v>
      </c>
      <c r="H95" s="1" t="s">
        <v>36</v>
      </c>
      <c r="I95" s="1" t="s">
        <v>37</v>
      </c>
      <c r="J95" s="1" t="s">
        <v>35</v>
      </c>
      <c r="K95" s="1" t="s">
        <v>35</v>
      </c>
      <c r="L95" s="1" t="s">
        <v>462</v>
      </c>
      <c r="M95" s="1" t="s">
        <v>42</v>
      </c>
      <c r="N95" s="1" t="s">
        <v>43</v>
      </c>
      <c r="O95" s="1" t="s">
        <v>214</v>
      </c>
      <c r="P95" s="1">
        <v>20260817</v>
      </c>
      <c r="Q95" s="1">
        <v>100</v>
      </c>
      <c r="R95" s="1">
        <v>0</v>
      </c>
      <c r="S95" s="1" t="s">
        <v>216</v>
      </c>
      <c r="T95" s="1" t="s">
        <v>39</v>
      </c>
      <c r="U95" s="1" t="s">
        <v>34</v>
      </c>
      <c r="V95" s="1" t="s">
        <v>34</v>
      </c>
      <c r="W95" s="1" t="s">
        <v>34</v>
      </c>
      <c r="X95" s="1" t="s">
        <v>35</v>
      </c>
      <c r="Y95" s="1" t="s">
        <v>34</v>
      </c>
      <c r="Z95" s="1" t="s">
        <v>35</v>
      </c>
      <c r="AA95" s="1" t="s">
        <v>40</v>
      </c>
      <c r="AB95" s="1" t="s">
        <v>35</v>
      </c>
      <c r="AC95" s="1" t="s">
        <v>462</v>
      </c>
      <c r="AD95" s="1" t="s">
        <v>77</v>
      </c>
    </row>
    <row r="96" spans="1:30">
      <c r="A96" s="1">
        <v>51053912</v>
      </c>
      <c r="B96" s="1" t="s">
        <v>465</v>
      </c>
      <c r="C96" s="1" t="s">
        <v>44</v>
      </c>
      <c r="D96" s="1" t="s">
        <v>34</v>
      </c>
      <c r="E96" s="1" t="s">
        <v>35</v>
      </c>
      <c r="F96" s="1">
        <v>9432</v>
      </c>
      <c r="G96" s="1" t="s">
        <v>41</v>
      </c>
      <c r="H96" s="1" t="s">
        <v>36</v>
      </c>
      <c r="I96" s="1" t="s">
        <v>37</v>
      </c>
      <c r="J96" s="1" t="s">
        <v>35</v>
      </c>
      <c r="K96" s="1" t="s">
        <v>35</v>
      </c>
      <c r="L96" s="1" t="s">
        <v>466</v>
      </c>
      <c r="M96" s="1" t="s">
        <v>42</v>
      </c>
      <c r="N96" s="1" t="s">
        <v>43</v>
      </c>
      <c r="O96" s="1" t="s">
        <v>214</v>
      </c>
      <c r="P96" s="1">
        <v>20260817</v>
      </c>
      <c r="Q96" s="1">
        <v>100</v>
      </c>
      <c r="R96" s="1">
        <v>0</v>
      </c>
      <c r="S96" s="1" t="s">
        <v>216</v>
      </c>
      <c r="T96" s="1" t="s">
        <v>39</v>
      </c>
      <c r="U96" s="1" t="s">
        <v>34</v>
      </c>
      <c r="V96" s="1" t="s">
        <v>34</v>
      </c>
      <c r="W96" s="1" t="s">
        <v>34</v>
      </c>
      <c r="X96" s="1" t="s">
        <v>35</v>
      </c>
      <c r="Y96" s="1" t="s">
        <v>34</v>
      </c>
      <c r="Z96" s="1" t="s">
        <v>35</v>
      </c>
      <c r="AA96" s="1" t="s">
        <v>40</v>
      </c>
      <c r="AB96" s="1" t="s">
        <v>35</v>
      </c>
      <c r="AC96" s="1" t="s">
        <v>466</v>
      </c>
      <c r="AD96" s="1" t="s">
        <v>77</v>
      </c>
    </row>
    <row r="97" spans="1:30">
      <c r="A97">
        <v>55113031</v>
      </c>
      <c r="B97" t="s">
        <v>227</v>
      </c>
      <c r="C97" t="s">
        <v>212</v>
      </c>
      <c r="D97" t="s">
        <v>47</v>
      </c>
      <c r="E97" t="s">
        <v>35</v>
      </c>
      <c r="F97">
        <v>9984</v>
      </c>
      <c r="G97" t="s">
        <v>191</v>
      </c>
      <c r="H97" t="s">
        <v>45</v>
      </c>
      <c r="I97" t="s">
        <v>48</v>
      </c>
      <c r="J97" t="s">
        <v>46</v>
      </c>
      <c r="K97" t="s">
        <v>116</v>
      </c>
      <c r="L97" t="s">
        <v>228</v>
      </c>
      <c r="M97" t="s">
        <v>118</v>
      </c>
      <c r="N97" t="s">
        <v>117</v>
      </c>
      <c r="O97" t="s">
        <v>215</v>
      </c>
      <c r="P97">
        <v>20260814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229</v>
      </c>
      <c r="AD97" t="s">
        <v>230</v>
      </c>
    </row>
    <row r="98" spans="1:30">
      <c r="A98">
        <v>55114915</v>
      </c>
      <c r="B98" t="s">
        <v>231</v>
      </c>
      <c r="C98" t="s">
        <v>212</v>
      </c>
      <c r="D98" t="s">
        <v>232</v>
      </c>
      <c r="E98" t="s">
        <v>35</v>
      </c>
      <c r="F98">
        <v>9984</v>
      </c>
      <c r="G98" t="s">
        <v>191</v>
      </c>
      <c r="H98" t="s">
        <v>45</v>
      </c>
      <c r="I98" t="s">
        <v>48</v>
      </c>
      <c r="J98" t="s">
        <v>46</v>
      </c>
      <c r="K98" t="s">
        <v>116</v>
      </c>
      <c r="L98" t="s">
        <v>233</v>
      </c>
      <c r="M98" t="s">
        <v>124</v>
      </c>
      <c r="N98" t="s">
        <v>123</v>
      </c>
      <c r="O98" t="s">
        <v>215</v>
      </c>
      <c r="P98">
        <v>20260814</v>
      </c>
      <c r="Q98">
        <v>100</v>
      </c>
      <c r="R98">
        <v>100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233</v>
      </c>
      <c r="AD98" t="s">
        <v>234</v>
      </c>
    </row>
    <row r="99" spans="1:30">
      <c r="A99">
        <v>55115721</v>
      </c>
      <c r="B99" t="s">
        <v>235</v>
      </c>
      <c r="C99" t="s">
        <v>212</v>
      </c>
      <c r="D99" t="s">
        <v>47</v>
      </c>
      <c r="E99" t="s">
        <v>35</v>
      </c>
      <c r="F99">
        <v>9984</v>
      </c>
      <c r="G99" t="s">
        <v>191</v>
      </c>
      <c r="H99" t="s">
        <v>45</v>
      </c>
      <c r="I99" t="s">
        <v>48</v>
      </c>
      <c r="J99" t="s">
        <v>46</v>
      </c>
      <c r="K99" t="s">
        <v>116</v>
      </c>
      <c r="L99" t="s">
        <v>236</v>
      </c>
      <c r="M99" t="s">
        <v>118</v>
      </c>
      <c r="N99" t="s">
        <v>117</v>
      </c>
      <c r="O99" t="s">
        <v>215</v>
      </c>
      <c r="P99">
        <v>20260814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236</v>
      </c>
      <c r="AD99" t="s">
        <v>237</v>
      </c>
    </row>
    <row r="100" spans="1:30">
      <c r="A100">
        <v>55118261</v>
      </c>
      <c r="B100" t="s">
        <v>238</v>
      </c>
      <c r="C100" t="s">
        <v>212</v>
      </c>
      <c r="D100" t="s">
        <v>232</v>
      </c>
      <c r="E100" t="s">
        <v>35</v>
      </c>
      <c r="F100">
        <v>9984</v>
      </c>
      <c r="G100" t="s">
        <v>191</v>
      </c>
      <c r="H100" t="s">
        <v>45</v>
      </c>
      <c r="I100" t="s">
        <v>48</v>
      </c>
      <c r="J100" t="s">
        <v>46</v>
      </c>
      <c r="K100" t="s">
        <v>116</v>
      </c>
      <c r="L100" t="s">
        <v>239</v>
      </c>
      <c r="M100" t="s">
        <v>124</v>
      </c>
      <c r="N100" t="s">
        <v>123</v>
      </c>
      <c r="O100" t="s">
        <v>215</v>
      </c>
      <c r="P100">
        <v>20260814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239</v>
      </c>
      <c r="AD100" t="s">
        <v>240</v>
      </c>
    </row>
    <row r="101" spans="1:30">
      <c r="A101">
        <v>55120795</v>
      </c>
      <c r="B101" t="s">
        <v>241</v>
      </c>
      <c r="C101" t="s">
        <v>212</v>
      </c>
      <c r="D101" t="s">
        <v>47</v>
      </c>
      <c r="E101" t="s">
        <v>35</v>
      </c>
      <c r="F101">
        <v>3436</v>
      </c>
      <c r="G101" t="s">
        <v>152</v>
      </c>
      <c r="H101" t="s">
        <v>45</v>
      </c>
      <c r="I101" t="s">
        <v>48</v>
      </c>
      <c r="J101" t="s">
        <v>46</v>
      </c>
      <c r="K101" t="s">
        <v>116</v>
      </c>
      <c r="L101" t="s">
        <v>242</v>
      </c>
      <c r="M101" t="s">
        <v>118</v>
      </c>
      <c r="N101" t="s">
        <v>117</v>
      </c>
      <c r="O101" t="s">
        <v>215</v>
      </c>
      <c r="P101">
        <v>20260814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35</v>
      </c>
      <c r="Y101" t="s">
        <v>47</v>
      </c>
      <c r="Z101" t="s">
        <v>35</v>
      </c>
      <c r="AA101" t="s">
        <v>50</v>
      </c>
      <c r="AB101" t="s">
        <v>35</v>
      </c>
      <c r="AC101" t="s">
        <v>242</v>
      </c>
      <c r="AD101" t="s">
        <v>243</v>
      </c>
    </row>
    <row r="102" spans="1:30">
      <c r="A102">
        <v>55123176</v>
      </c>
      <c r="B102" t="s">
        <v>244</v>
      </c>
      <c r="C102" t="s">
        <v>212</v>
      </c>
      <c r="D102" t="s">
        <v>232</v>
      </c>
      <c r="E102" t="s">
        <v>35</v>
      </c>
      <c r="F102">
        <v>3436</v>
      </c>
      <c r="G102" t="s">
        <v>152</v>
      </c>
      <c r="H102" t="s">
        <v>45</v>
      </c>
      <c r="I102" t="s">
        <v>48</v>
      </c>
      <c r="J102" t="s">
        <v>46</v>
      </c>
      <c r="K102" t="s">
        <v>116</v>
      </c>
      <c r="L102" t="s">
        <v>245</v>
      </c>
      <c r="M102" t="s">
        <v>124</v>
      </c>
      <c r="N102" t="s">
        <v>123</v>
      </c>
      <c r="O102" t="s">
        <v>215</v>
      </c>
      <c r="P102">
        <v>20260814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125</v>
      </c>
      <c r="Y102" t="s">
        <v>47</v>
      </c>
      <c r="Z102" t="s">
        <v>35</v>
      </c>
      <c r="AA102" t="s">
        <v>50</v>
      </c>
      <c r="AB102" t="s">
        <v>35</v>
      </c>
      <c r="AC102" t="s">
        <v>245</v>
      </c>
      <c r="AD102" t="s">
        <v>246</v>
      </c>
    </row>
    <row r="103" spans="1:30">
      <c r="A103">
        <v>55124666</v>
      </c>
      <c r="B103" t="s">
        <v>247</v>
      </c>
      <c r="C103" t="s">
        <v>212</v>
      </c>
      <c r="D103" t="s">
        <v>47</v>
      </c>
      <c r="E103" t="s">
        <v>35</v>
      </c>
      <c r="F103">
        <v>6613</v>
      </c>
      <c r="G103" t="s">
        <v>165</v>
      </c>
      <c r="H103" t="s">
        <v>45</v>
      </c>
      <c r="I103" t="s">
        <v>48</v>
      </c>
      <c r="J103" t="s">
        <v>46</v>
      </c>
      <c r="K103" t="s">
        <v>116</v>
      </c>
      <c r="L103" t="s">
        <v>248</v>
      </c>
      <c r="M103" t="s">
        <v>118</v>
      </c>
      <c r="N103" t="s">
        <v>117</v>
      </c>
      <c r="O103" t="s">
        <v>215</v>
      </c>
      <c r="P103">
        <v>20260814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248</v>
      </c>
      <c r="AD103" t="s">
        <v>249</v>
      </c>
    </row>
    <row r="104" spans="1:30">
      <c r="A104">
        <v>55130431</v>
      </c>
      <c r="B104" t="s">
        <v>250</v>
      </c>
      <c r="C104" t="s">
        <v>212</v>
      </c>
      <c r="D104" t="s">
        <v>47</v>
      </c>
      <c r="E104" t="s">
        <v>35</v>
      </c>
      <c r="F104">
        <v>6613</v>
      </c>
      <c r="G104" t="s">
        <v>165</v>
      </c>
      <c r="H104" t="s">
        <v>45</v>
      </c>
      <c r="I104" t="s">
        <v>48</v>
      </c>
      <c r="J104" t="s">
        <v>46</v>
      </c>
      <c r="K104" t="s">
        <v>116</v>
      </c>
      <c r="L104" t="s">
        <v>251</v>
      </c>
      <c r="M104" t="s">
        <v>124</v>
      </c>
      <c r="N104" t="s">
        <v>123</v>
      </c>
      <c r="O104" t="s">
        <v>215</v>
      </c>
      <c r="P104">
        <v>20260814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251</v>
      </c>
      <c r="AD104" t="s">
        <v>252</v>
      </c>
    </row>
    <row r="105" spans="1:30">
      <c r="A105">
        <v>55130795</v>
      </c>
      <c r="B105" t="s">
        <v>253</v>
      </c>
      <c r="C105" t="s">
        <v>212</v>
      </c>
      <c r="D105" t="s">
        <v>47</v>
      </c>
      <c r="E105" t="s">
        <v>35</v>
      </c>
      <c r="F105">
        <v>9984</v>
      </c>
      <c r="G105" t="s">
        <v>191</v>
      </c>
      <c r="H105" t="s">
        <v>45</v>
      </c>
      <c r="I105" t="s">
        <v>48</v>
      </c>
      <c r="J105" t="s">
        <v>46</v>
      </c>
      <c r="K105" t="s">
        <v>116</v>
      </c>
      <c r="L105" t="s">
        <v>254</v>
      </c>
      <c r="M105" t="s">
        <v>118</v>
      </c>
      <c r="N105" t="s">
        <v>117</v>
      </c>
      <c r="O105" t="s">
        <v>215</v>
      </c>
      <c r="P105">
        <v>20260814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254</v>
      </c>
      <c r="AD105" t="s">
        <v>255</v>
      </c>
    </row>
    <row r="106" spans="1:30">
      <c r="A106">
        <v>55131941</v>
      </c>
      <c r="B106" t="s">
        <v>256</v>
      </c>
      <c r="C106" t="s">
        <v>212</v>
      </c>
      <c r="D106" t="s">
        <v>47</v>
      </c>
      <c r="E106" t="s">
        <v>35</v>
      </c>
      <c r="F106">
        <v>9984</v>
      </c>
      <c r="G106" t="s">
        <v>191</v>
      </c>
      <c r="H106" t="s">
        <v>45</v>
      </c>
      <c r="I106" t="s">
        <v>48</v>
      </c>
      <c r="J106" t="s">
        <v>46</v>
      </c>
      <c r="K106" t="s">
        <v>116</v>
      </c>
      <c r="L106" t="s">
        <v>257</v>
      </c>
      <c r="M106" t="s">
        <v>124</v>
      </c>
      <c r="N106" t="s">
        <v>123</v>
      </c>
      <c r="O106" t="s">
        <v>215</v>
      </c>
      <c r="P106">
        <v>20260814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257</v>
      </c>
      <c r="AD106" t="s">
        <v>258</v>
      </c>
    </row>
    <row r="107" spans="1:30">
      <c r="A107">
        <v>55135851</v>
      </c>
      <c r="B107" t="s">
        <v>259</v>
      </c>
      <c r="C107" t="s">
        <v>212</v>
      </c>
      <c r="D107" t="s">
        <v>47</v>
      </c>
      <c r="E107" t="s">
        <v>35</v>
      </c>
      <c r="F107">
        <v>5803</v>
      </c>
      <c r="G107" t="s">
        <v>176</v>
      </c>
      <c r="H107" t="s">
        <v>45</v>
      </c>
      <c r="I107" t="s">
        <v>48</v>
      </c>
      <c r="J107" t="s">
        <v>46</v>
      </c>
      <c r="K107" t="s">
        <v>116</v>
      </c>
      <c r="L107" t="s">
        <v>260</v>
      </c>
      <c r="M107" t="s">
        <v>118</v>
      </c>
      <c r="N107" t="s">
        <v>117</v>
      </c>
      <c r="O107" t="s">
        <v>215</v>
      </c>
      <c r="P107">
        <v>20260814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35</v>
      </c>
      <c r="Y107" t="s">
        <v>47</v>
      </c>
      <c r="Z107" t="s">
        <v>35</v>
      </c>
      <c r="AA107" t="s">
        <v>50</v>
      </c>
      <c r="AB107" t="s">
        <v>35</v>
      </c>
      <c r="AC107" t="s">
        <v>260</v>
      </c>
      <c r="AD107" t="s">
        <v>261</v>
      </c>
    </row>
    <row r="108" spans="1:30">
      <c r="A108">
        <v>55143414</v>
      </c>
      <c r="B108" t="s">
        <v>262</v>
      </c>
      <c r="C108" t="s">
        <v>212</v>
      </c>
      <c r="D108" t="s">
        <v>47</v>
      </c>
      <c r="E108" t="s">
        <v>35</v>
      </c>
      <c r="F108">
        <v>5803</v>
      </c>
      <c r="G108" t="s">
        <v>176</v>
      </c>
      <c r="H108" t="s">
        <v>45</v>
      </c>
      <c r="I108" t="s">
        <v>48</v>
      </c>
      <c r="J108" t="s">
        <v>46</v>
      </c>
      <c r="K108" t="s">
        <v>116</v>
      </c>
      <c r="L108" t="s">
        <v>263</v>
      </c>
      <c r="M108" t="s">
        <v>124</v>
      </c>
      <c r="N108" t="s">
        <v>123</v>
      </c>
      <c r="O108" t="s">
        <v>215</v>
      </c>
      <c r="P108">
        <v>20260814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263</v>
      </c>
      <c r="AD108" t="s">
        <v>264</v>
      </c>
    </row>
    <row r="109" spans="1:30">
      <c r="A109">
        <v>55145092</v>
      </c>
      <c r="B109" t="s">
        <v>265</v>
      </c>
      <c r="C109" t="s">
        <v>212</v>
      </c>
      <c r="D109" t="s">
        <v>47</v>
      </c>
      <c r="E109" t="s">
        <v>35</v>
      </c>
      <c r="F109">
        <v>5016</v>
      </c>
      <c r="G109" t="s">
        <v>139</v>
      </c>
      <c r="H109" t="s">
        <v>45</v>
      </c>
      <c r="I109" t="s">
        <v>48</v>
      </c>
      <c r="J109" t="s">
        <v>46</v>
      </c>
      <c r="K109" t="s">
        <v>116</v>
      </c>
      <c r="L109" t="s">
        <v>266</v>
      </c>
      <c r="M109" t="s">
        <v>118</v>
      </c>
      <c r="N109" t="s">
        <v>117</v>
      </c>
      <c r="O109" t="s">
        <v>215</v>
      </c>
      <c r="P109">
        <v>20260814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266</v>
      </c>
      <c r="AD109" t="s">
        <v>267</v>
      </c>
    </row>
    <row r="110" spans="1:30">
      <c r="A110">
        <v>55147070</v>
      </c>
      <c r="B110" t="s">
        <v>268</v>
      </c>
      <c r="C110" t="s">
        <v>212</v>
      </c>
      <c r="D110" t="s">
        <v>47</v>
      </c>
      <c r="E110" t="s">
        <v>35</v>
      </c>
      <c r="F110">
        <v>5016</v>
      </c>
      <c r="G110" t="s">
        <v>139</v>
      </c>
      <c r="H110" t="s">
        <v>45</v>
      </c>
      <c r="I110" t="s">
        <v>48</v>
      </c>
      <c r="J110" t="s">
        <v>46</v>
      </c>
      <c r="K110" t="s">
        <v>116</v>
      </c>
      <c r="L110" t="s">
        <v>269</v>
      </c>
      <c r="M110" t="s">
        <v>124</v>
      </c>
      <c r="N110" t="s">
        <v>123</v>
      </c>
      <c r="O110" t="s">
        <v>215</v>
      </c>
      <c r="P110">
        <v>20260814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125</v>
      </c>
      <c r="Y110" t="s">
        <v>47</v>
      </c>
      <c r="Z110" t="s">
        <v>35</v>
      </c>
      <c r="AA110" t="s">
        <v>50</v>
      </c>
      <c r="AB110" t="s">
        <v>35</v>
      </c>
      <c r="AC110" t="s">
        <v>269</v>
      </c>
      <c r="AD110" t="s">
        <v>267</v>
      </c>
    </row>
    <row r="111" spans="1:30">
      <c r="A111">
        <v>55147887</v>
      </c>
      <c r="B111" t="s">
        <v>270</v>
      </c>
      <c r="C111" t="s">
        <v>212</v>
      </c>
      <c r="D111" t="s">
        <v>47</v>
      </c>
      <c r="E111" t="s">
        <v>35</v>
      </c>
      <c r="F111">
        <v>5016</v>
      </c>
      <c r="G111" t="s">
        <v>139</v>
      </c>
      <c r="H111" t="s">
        <v>45</v>
      </c>
      <c r="I111" t="s">
        <v>48</v>
      </c>
      <c r="J111" t="s">
        <v>46</v>
      </c>
      <c r="K111" t="s">
        <v>116</v>
      </c>
      <c r="L111" t="s">
        <v>271</v>
      </c>
      <c r="M111" t="s">
        <v>118</v>
      </c>
      <c r="N111" t="s">
        <v>117</v>
      </c>
      <c r="O111" t="s">
        <v>215</v>
      </c>
      <c r="P111">
        <v>20260814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35</v>
      </c>
      <c r="Y111" t="s">
        <v>47</v>
      </c>
      <c r="Z111" t="s">
        <v>35</v>
      </c>
      <c r="AA111" t="s">
        <v>50</v>
      </c>
      <c r="AB111" t="s">
        <v>35</v>
      </c>
      <c r="AC111" t="s">
        <v>271</v>
      </c>
      <c r="AD111" t="s">
        <v>272</v>
      </c>
    </row>
    <row r="112" spans="1:30">
      <c r="A112">
        <v>55160502</v>
      </c>
      <c r="B112" t="s">
        <v>273</v>
      </c>
      <c r="C112" t="s">
        <v>212</v>
      </c>
      <c r="D112" t="s">
        <v>47</v>
      </c>
      <c r="E112" t="s">
        <v>35</v>
      </c>
      <c r="F112">
        <v>6613</v>
      </c>
      <c r="G112" t="s">
        <v>165</v>
      </c>
      <c r="H112" t="s">
        <v>45</v>
      </c>
      <c r="I112" t="s">
        <v>48</v>
      </c>
      <c r="J112" t="s">
        <v>46</v>
      </c>
      <c r="K112" t="s">
        <v>116</v>
      </c>
      <c r="L112" t="s">
        <v>274</v>
      </c>
      <c r="M112" t="s">
        <v>118</v>
      </c>
      <c r="N112" t="s">
        <v>117</v>
      </c>
      <c r="O112" t="s">
        <v>215</v>
      </c>
      <c r="P112">
        <v>20260814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35</v>
      </c>
      <c r="Y112" t="s">
        <v>47</v>
      </c>
      <c r="Z112" t="s">
        <v>35</v>
      </c>
      <c r="AA112" t="s">
        <v>50</v>
      </c>
      <c r="AB112" t="s">
        <v>35</v>
      </c>
      <c r="AC112" t="s">
        <v>274</v>
      </c>
      <c r="AD112" t="s">
        <v>275</v>
      </c>
    </row>
    <row r="113" spans="1:30">
      <c r="A113">
        <v>55161885</v>
      </c>
      <c r="B113" t="s">
        <v>276</v>
      </c>
      <c r="C113" t="s">
        <v>212</v>
      </c>
      <c r="D113" t="s">
        <v>47</v>
      </c>
      <c r="E113" t="s">
        <v>35</v>
      </c>
      <c r="F113">
        <v>5803</v>
      </c>
      <c r="G113" t="s">
        <v>176</v>
      </c>
      <c r="H113" t="s">
        <v>45</v>
      </c>
      <c r="I113" t="s">
        <v>48</v>
      </c>
      <c r="J113" t="s">
        <v>46</v>
      </c>
      <c r="K113" t="s">
        <v>116</v>
      </c>
      <c r="L113" t="s">
        <v>277</v>
      </c>
      <c r="M113" t="s">
        <v>124</v>
      </c>
      <c r="N113" t="s">
        <v>123</v>
      </c>
      <c r="O113" t="s">
        <v>215</v>
      </c>
      <c r="P113">
        <v>20260814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125</v>
      </c>
      <c r="Y113" t="s">
        <v>47</v>
      </c>
      <c r="Z113" t="s">
        <v>35</v>
      </c>
      <c r="AA113" t="s">
        <v>50</v>
      </c>
      <c r="AB113" t="s">
        <v>35</v>
      </c>
      <c r="AC113" t="s">
        <v>277</v>
      </c>
      <c r="AD113" t="s">
        <v>278</v>
      </c>
    </row>
    <row r="114" spans="1:30">
      <c r="A114">
        <v>55163487</v>
      </c>
      <c r="B114" t="s">
        <v>279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280</v>
      </c>
      <c r="M114" t="s">
        <v>124</v>
      </c>
      <c r="N114" t="s">
        <v>123</v>
      </c>
      <c r="O114" t="s">
        <v>215</v>
      </c>
      <c r="P114">
        <v>20260814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125</v>
      </c>
      <c r="Y114" t="s">
        <v>47</v>
      </c>
      <c r="Z114" t="s">
        <v>35</v>
      </c>
      <c r="AA114" t="s">
        <v>50</v>
      </c>
      <c r="AB114" t="s">
        <v>35</v>
      </c>
      <c r="AC114" t="s">
        <v>280</v>
      </c>
      <c r="AD114" t="s">
        <v>281</v>
      </c>
    </row>
    <row r="115" spans="1:30">
      <c r="A115">
        <v>55165362</v>
      </c>
      <c r="B115" t="s">
        <v>282</v>
      </c>
      <c r="C115" t="s">
        <v>212</v>
      </c>
      <c r="D115" t="s">
        <v>47</v>
      </c>
      <c r="E115" t="s">
        <v>35</v>
      </c>
      <c r="F115">
        <v>5016</v>
      </c>
      <c r="G115" t="s">
        <v>139</v>
      </c>
      <c r="H115" t="s">
        <v>45</v>
      </c>
      <c r="I115" t="s">
        <v>48</v>
      </c>
      <c r="J115" t="s">
        <v>46</v>
      </c>
      <c r="K115" t="s">
        <v>116</v>
      </c>
      <c r="L115" t="s">
        <v>283</v>
      </c>
      <c r="M115" t="s">
        <v>118</v>
      </c>
      <c r="N115" t="s">
        <v>117</v>
      </c>
      <c r="O115" t="s">
        <v>215</v>
      </c>
      <c r="P115">
        <v>20260814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283</v>
      </c>
      <c r="AD115" t="s">
        <v>284</v>
      </c>
    </row>
    <row r="116" spans="1:30">
      <c r="A116">
        <v>55167713</v>
      </c>
      <c r="B116" t="s">
        <v>285</v>
      </c>
      <c r="C116" t="s">
        <v>212</v>
      </c>
      <c r="D116" t="s">
        <v>47</v>
      </c>
      <c r="E116" t="s">
        <v>35</v>
      </c>
      <c r="F116">
        <v>5803</v>
      </c>
      <c r="G116" t="s">
        <v>176</v>
      </c>
      <c r="H116" t="s">
        <v>45</v>
      </c>
      <c r="I116" t="s">
        <v>48</v>
      </c>
      <c r="J116" t="s">
        <v>46</v>
      </c>
      <c r="K116" t="s">
        <v>116</v>
      </c>
      <c r="L116" t="s">
        <v>286</v>
      </c>
      <c r="M116" t="s">
        <v>118</v>
      </c>
      <c r="N116" t="s">
        <v>117</v>
      </c>
      <c r="O116" t="s">
        <v>215</v>
      </c>
      <c r="P116">
        <v>20260814</v>
      </c>
      <c r="Q116">
        <v>100</v>
      </c>
      <c r="R116">
        <v>100</v>
      </c>
      <c r="S116">
        <v>5753</v>
      </c>
      <c r="T116" t="s">
        <v>49</v>
      </c>
      <c r="U116" t="s">
        <v>47</v>
      </c>
      <c r="V116" t="s">
        <v>47</v>
      </c>
      <c r="W116" t="s">
        <v>47</v>
      </c>
      <c r="X116" t="s">
        <v>35</v>
      </c>
      <c r="Y116" t="s">
        <v>47</v>
      </c>
      <c r="Z116" t="s">
        <v>35</v>
      </c>
      <c r="AA116" t="s">
        <v>50</v>
      </c>
      <c r="AB116" t="s">
        <v>35</v>
      </c>
      <c r="AC116" t="s">
        <v>287</v>
      </c>
      <c r="AD116" t="s">
        <v>288</v>
      </c>
    </row>
    <row r="117" spans="1:30">
      <c r="A117">
        <v>55182279</v>
      </c>
      <c r="B117" t="s">
        <v>289</v>
      </c>
      <c r="C117" t="s">
        <v>290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291</v>
      </c>
      <c r="M117" t="s">
        <v>124</v>
      </c>
      <c r="N117" t="s">
        <v>123</v>
      </c>
      <c r="O117" t="s">
        <v>215</v>
      </c>
      <c r="P117">
        <v>20260814</v>
      </c>
      <c r="Q117">
        <v>100</v>
      </c>
      <c r="R117">
        <v>0</v>
      </c>
      <c r="S117">
        <v>5742</v>
      </c>
      <c r="T117" t="s">
        <v>49</v>
      </c>
      <c r="U117" t="s">
        <v>47</v>
      </c>
      <c r="V117" t="s">
        <v>47</v>
      </c>
      <c r="W117" t="s">
        <v>47</v>
      </c>
      <c r="X117" t="s">
        <v>125</v>
      </c>
      <c r="Y117" t="s">
        <v>47</v>
      </c>
      <c r="Z117" t="s">
        <v>35</v>
      </c>
      <c r="AA117" t="s">
        <v>50</v>
      </c>
      <c r="AB117" t="s">
        <v>35</v>
      </c>
      <c r="AC117" t="s">
        <v>291</v>
      </c>
      <c r="AD117" t="s">
        <v>292</v>
      </c>
    </row>
    <row r="118" spans="1:30">
      <c r="A118">
        <v>55184002</v>
      </c>
      <c r="B118" t="s">
        <v>293</v>
      </c>
      <c r="C118" t="s">
        <v>212</v>
      </c>
      <c r="D118" t="s">
        <v>47</v>
      </c>
      <c r="E118" t="s">
        <v>35</v>
      </c>
      <c r="F118">
        <v>5803</v>
      </c>
      <c r="G118" t="s">
        <v>176</v>
      </c>
      <c r="H118" t="s">
        <v>45</v>
      </c>
      <c r="I118" t="s">
        <v>48</v>
      </c>
      <c r="J118" t="s">
        <v>46</v>
      </c>
      <c r="K118" t="s">
        <v>116</v>
      </c>
      <c r="L118" t="s">
        <v>294</v>
      </c>
      <c r="M118" t="s">
        <v>124</v>
      </c>
      <c r="N118" t="s">
        <v>123</v>
      </c>
      <c r="O118" t="s">
        <v>215</v>
      </c>
      <c r="P118">
        <v>20260814</v>
      </c>
      <c r="Q118">
        <v>100</v>
      </c>
      <c r="R118">
        <v>100</v>
      </c>
      <c r="S118" t="s">
        <v>217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294</v>
      </c>
      <c r="AD118" t="s">
        <v>295</v>
      </c>
    </row>
    <row r="119" spans="1:30">
      <c r="A119">
        <v>55185966</v>
      </c>
      <c r="B119" t="s">
        <v>296</v>
      </c>
      <c r="C119" t="s">
        <v>212</v>
      </c>
      <c r="D119" t="s">
        <v>47</v>
      </c>
      <c r="E119" t="s">
        <v>35</v>
      </c>
      <c r="F119">
        <v>5016</v>
      </c>
      <c r="G119" t="s">
        <v>139</v>
      </c>
      <c r="H119" t="s">
        <v>45</v>
      </c>
      <c r="I119" t="s">
        <v>48</v>
      </c>
      <c r="J119" t="s">
        <v>46</v>
      </c>
      <c r="K119" t="s">
        <v>116</v>
      </c>
      <c r="L119" t="s">
        <v>297</v>
      </c>
      <c r="M119" t="s">
        <v>124</v>
      </c>
      <c r="N119" t="s">
        <v>123</v>
      </c>
      <c r="O119" t="s">
        <v>215</v>
      </c>
      <c r="P119">
        <v>20260814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297</v>
      </c>
      <c r="AD119" t="s">
        <v>298</v>
      </c>
    </row>
    <row r="120" spans="1:30">
      <c r="A120">
        <v>55186137</v>
      </c>
      <c r="B120" t="s">
        <v>299</v>
      </c>
      <c r="C120" t="s">
        <v>212</v>
      </c>
      <c r="D120" t="s">
        <v>47</v>
      </c>
      <c r="E120" t="s">
        <v>35</v>
      </c>
      <c r="F120">
        <v>5803</v>
      </c>
      <c r="G120" t="s">
        <v>176</v>
      </c>
      <c r="H120" t="s">
        <v>45</v>
      </c>
      <c r="I120" t="s">
        <v>48</v>
      </c>
      <c r="J120" t="s">
        <v>46</v>
      </c>
      <c r="K120" t="s">
        <v>116</v>
      </c>
      <c r="L120" t="s">
        <v>300</v>
      </c>
      <c r="M120" t="s">
        <v>118</v>
      </c>
      <c r="N120" t="s">
        <v>117</v>
      </c>
      <c r="O120" t="s">
        <v>215</v>
      </c>
      <c r="P120">
        <v>20260814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300</v>
      </c>
      <c r="AD120" t="s">
        <v>301</v>
      </c>
    </row>
    <row r="121" spans="1:30">
      <c r="A121">
        <v>55189216</v>
      </c>
      <c r="B121" t="s">
        <v>302</v>
      </c>
      <c r="C121" t="s">
        <v>212</v>
      </c>
      <c r="D121" t="s">
        <v>47</v>
      </c>
      <c r="E121" t="s">
        <v>35</v>
      </c>
      <c r="F121">
        <v>5803</v>
      </c>
      <c r="G121" t="s">
        <v>176</v>
      </c>
      <c r="H121" t="s">
        <v>45</v>
      </c>
      <c r="I121" t="s">
        <v>48</v>
      </c>
      <c r="J121" t="s">
        <v>46</v>
      </c>
      <c r="K121" t="s">
        <v>116</v>
      </c>
      <c r="L121" t="s">
        <v>303</v>
      </c>
      <c r="M121" t="s">
        <v>124</v>
      </c>
      <c r="N121" t="s">
        <v>123</v>
      </c>
      <c r="O121" t="s">
        <v>215</v>
      </c>
      <c r="P121">
        <v>20260814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303</v>
      </c>
      <c r="AD121" t="s">
        <v>292</v>
      </c>
    </row>
    <row r="122" spans="1:30">
      <c r="A122">
        <v>55190871</v>
      </c>
      <c r="B122" t="s">
        <v>304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305</v>
      </c>
      <c r="M122" t="s">
        <v>118</v>
      </c>
      <c r="N122" t="s">
        <v>117</v>
      </c>
      <c r="O122" t="s">
        <v>215</v>
      </c>
      <c r="P122">
        <v>20260814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35</v>
      </c>
      <c r="Y122" t="s">
        <v>47</v>
      </c>
      <c r="Z122" t="s">
        <v>35</v>
      </c>
      <c r="AA122" t="s">
        <v>50</v>
      </c>
      <c r="AB122" t="s">
        <v>35</v>
      </c>
      <c r="AC122" t="s">
        <v>305</v>
      </c>
      <c r="AD122" t="s">
        <v>306</v>
      </c>
    </row>
    <row r="123" spans="1:30">
      <c r="A123">
        <v>55193078</v>
      </c>
      <c r="B123" t="s">
        <v>307</v>
      </c>
      <c r="C123" t="s">
        <v>212</v>
      </c>
      <c r="D123" t="s">
        <v>47</v>
      </c>
      <c r="E123" t="s">
        <v>35</v>
      </c>
      <c r="F123">
        <v>5803</v>
      </c>
      <c r="G123" t="s">
        <v>176</v>
      </c>
      <c r="H123" t="s">
        <v>45</v>
      </c>
      <c r="I123" t="s">
        <v>48</v>
      </c>
      <c r="J123" t="s">
        <v>46</v>
      </c>
      <c r="K123" t="s">
        <v>116</v>
      </c>
      <c r="L123" t="s">
        <v>308</v>
      </c>
      <c r="M123" t="s">
        <v>124</v>
      </c>
      <c r="N123" t="s">
        <v>123</v>
      </c>
      <c r="O123" t="s">
        <v>215</v>
      </c>
      <c r="P123">
        <v>20260814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125</v>
      </c>
      <c r="Y123" t="s">
        <v>47</v>
      </c>
      <c r="Z123" t="s">
        <v>35</v>
      </c>
      <c r="AA123" t="s">
        <v>50</v>
      </c>
      <c r="AB123" t="s">
        <v>35</v>
      </c>
      <c r="AC123" t="s">
        <v>308</v>
      </c>
      <c r="AD123" t="s">
        <v>309</v>
      </c>
    </row>
    <row r="124" spans="1:30">
      <c r="A124">
        <v>55193693</v>
      </c>
      <c r="B124" t="s">
        <v>310</v>
      </c>
      <c r="C124" t="s">
        <v>212</v>
      </c>
      <c r="D124" t="s">
        <v>47</v>
      </c>
      <c r="E124" t="s">
        <v>35</v>
      </c>
      <c r="F124">
        <v>5803</v>
      </c>
      <c r="G124" t="s">
        <v>176</v>
      </c>
      <c r="H124" t="s">
        <v>45</v>
      </c>
      <c r="I124" t="s">
        <v>48</v>
      </c>
      <c r="J124" t="s">
        <v>46</v>
      </c>
      <c r="K124" t="s">
        <v>116</v>
      </c>
      <c r="L124" t="s">
        <v>311</v>
      </c>
      <c r="M124" t="s">
        <v>118</v>
      </c>
      <c r="N124" t="s">
        <v>117</v>
      </c>
      <c r="O124" t="s">
        <v>215</v>
      </c>
      <c r="P124">
        <v>20260814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312</v>
      </c>
      <c r="AD124" t="s">
        <v>313</v>
      </c>
    </row>
    <row r="125" spans="1:30">
      <c r="A125">
        <v>55195337</v>
      </c>
      <c r="B125" t="s">
        <v>314</v>
      </c>
      <c r="C125" t="s">
        <v>212</v>
      </c>
      <c r="D125" t="s">
        <v>47</v>
      </c>
      <c r="E125" t="s">
        <v>35</v>
      </c>
      <c r="F125">
        <v>5803</v>
      </c>
      <c r="G125" t="s">
        <v>176</v>
      </c>
      <c r="H125" t="s">
        <v>45</v>
      </c>
      <c r="I125" t="s">
        <v>48</v>
      </c>
      <c r="J125" t="s">
        <v>46</v>
      </c>
      <c r="K125" t="s">
        <v>116</v>
      </c>
      <c r="L125" t="s">
        <v>315</v>
      </c>
      <c r="M125" t="s">
        <v>124</v>
      </c>
      <c r="N125" t="s">
        <v>123</v>
      </c>
      <c r="O125" t="s">
        <v>215</v>
      </c>
      <c r="P125">
        <v>20260814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315</v>
      </c>
      <c r="AD125" t="s">
        <v>316</v>
      </c>
    </row>
    <row r="126" spans="1:30">
      <c r="A126">
        <v>55196511</v>
      </c>
      <c r="B126" t="s">
        <v>317</v>
      </c>
      <c r="C126" t="s">
        <v>212</v>
      </c>
      <c r="D126" t="s">
        <v>47</v>
      </c>
      <c r="E126" t="s">
        <v>35</v>
      </c>
      <c r="F126">
        <v>5016</v>
      </c>
      <c r="G126" t="s">
        <v>139</v>
      </c>
      <c r="H126" t="s">
        <v>45</v>
      </c>
      <c r="I126" t="s">
        <v>48</v>
      </c>
      <c r="J126" t="s">
        <v>46</v>
      </c>
      <c r="K126" t="s">
        <v>116</v>
      </c>
      <c r="L126" t="s">
        <v>318</v>
      </c>
      <c r="M126" t="s">
        <v>124</v>
      </c>
      <c r="N126" t="s">
        <v>123</v>
      </c>
      <c r="O126" t="s">
        <v>215</v>
      </c>
      <c r="P126">
        <v>20260814</v>
      </c>
      <c r="Q126">
        <v>200</v>
      </c>
      <c r="R126">
        <v>200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125</v>
      </c>
      <c r="Y126" t="s">
        <v>47</v>
      </c>
      <c r="Z126" t="s">
        <v>35</v>
      </c>
      <c r="AA126" t="s">
        <v>50</v>
      </c>
      <c r="AB126" t="s">
        <v>35</v>
      </c>
      <c r="AC126" t="s">
        <v>318</v>
      </c>
      <c r="AD126" t="s">
        <v>319</v>
      </c>
    </row>
    <row r="127" spans="1:30">
      <c r="A127">
        <v>55197512</v>
      </c>
      <c r="B127" t="s">
        <v>320</v>
      </c>
      <c r="C127" t="s">
        <v>212</v>
      </c>
      <c r="D127" t="s">
        <v>47</v>
      </c>
      <c r="E127" t="s">
        <v>35</v>
      </c>
      <c r="F127">
        <v>5803</v>
      </c>
      <c r="G127" t="s">
        <v>176</v>
      </c>
      <c r="H127" t="s">
        <v>45</v>
      </c>
      <c r="I127" t="s">
        <v>48</v>
      </c>
      <c r="J127" t="s">
        <v>46</v>
      </c>
      <c r="K127" t="s">
        <v>116</v>
      </c>
      <c r="L127" t="s">
        <v>321</v>
      </c>
      <c r="M127" t="s">
        <v>118</v>
      </c>
      <c r="N127" t="s">
        <v>117</v>
      </c>
      <c r="O127" t="s">
        <v>215</v>
      </c>
      <c r="P127">
        <v>20260814</v>
      </c>
      <c r="Q127">
        <v>100</v>
      </c>
      <c r="R127">
        <v>100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35</v>
      </c>
      <c r="Y127" t="s">
        <v>47</v>
      </c>
      <c r="Z127" t="s">
        <v>35</v>
      </c>
      <c r="AA127" t="s">
        <v>50</v>
      </c>
      <c r="AB127" t="s">
        <v>35</v>
      </c>
      <c r="AC127" t="s">
        <v>321</v>
      </c>
      <c r="AD127" t="s">
        <v>322</v>
      </c>
    </row>
    <row r="128" spans="1:30">
      <c r="A128">
        <v>55199058</v>
      </c>
      <c r="B128" t="s">
        <v>323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324</v>
      </c>
      <c r="M128" t="s">
        <v>118</v>
      </c>
      <c r="N128" t="s">
        <v>117</v>
      </c>
      <c r="O128" t="s">
        <v>215</v>
      </c>
      <c r="P128">
        <v>20260814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324</v>
      </c>
      <c r="AD128" t="s">
        <v>325</v>
      </c>
    </row>
    <row r="129" spans="1:30">
      <c r="A129">
        <v>55201601</v>
      </c>
      <c r="B129" t="s">
        <v>326</v>
      </c>
      <c r="C129" t="s">
        <v>212</v>
      </c>
      <c r="D129" t="s">
        <v>47</v>
      </c>
      <c r="E129" t="s">
        <v>35</v>
      </c>
      <c r="F129">
        <v>5016</v>
      </c>
      <c r="G129" t="s">
        <v>139</v>
      </c>
      <c r="H129" t="s">
        <v>45</v>
      </c>
      <c r="I129" t="s">
        <v>48</v>
      </c>
      <c r="J129" t="s">
        <v>46</v>
      </c>
      <c r="K129" t="s">
        <v>116</v>
      </c>
      <c r="L129" t="s">
        <v>327</v>
      </c>
      <c r="M129" t="s">
        <v>118</v>
      </c>
      <c r="N129" t="s">
        <v>117</v>
      </c>
      <c r="O129" t="s">
        <v>215</v>
      </c>
      <c r="P129">
        <v>20260814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35</v>
      </c>
      <c r="Y129" t="s">
        <v>47</v>
      </c>
      <c r="Z129" t="s">
        <v>35</v>
      </c>
      <c r="AA129" t="s">
        <v>50</v>
      </c>
      <c r="AB129" t="s">
        <v>35</v>
      </c>
      <c r="AC129" t="s">
        <v>327</v>
      </c>
      <c r="AD129" t="s">
        <v>328</v>
      </c>
    </row>
    <row r="130" spans="1:30">
      <c r="A130">
        <v>55203563</v>
      </c>
      <c r="B130" t="s">
        <v>329</v>
      </c>
      <c r="C130" t="s">
        <v>212</v>
      </c>
      <c r="D130" t="s">
        <v>47</v>
      </c>
      <c r="E130" t="s">
        <v>35</v>
      </c>
      <c r="F130">
        <v>5803</v>
      </c>
      <c r="G130" t="s">
        <v>176</v>
      </c>
      <c r="H130" t="s">
        <v>45</v>
      </c>
      <c r="I130" t="s">
        <v>48</v>
      </c>
      <c r="J130" t="s">
        <v>46</v>
      </c>
      <c r="K130" t="s">
        <v>116</v>
      </c>
      <c r="L130" t="s">
        <v>330</v>
      </c>
      <c r="M130" t="s">
        <v>124</v>
      </c>
      <c r="N130" t="s">
        <v>123</v>
      </c>
      <c r="O130" t="s">
        <v>215</v>
      </c>
      <c r="P130">
        <v>20260814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125</v>
      </c>
      <c r="Y130" t="s">
        <v>47</v>
      </c>
      <c r="Z130" t="s">
        <v>35</v>
      </c>
      <c r="AA130" t="s">
        <v>50</v>
      </c>
      <c r="AB130" t="s">
        <v>35</v>
      </c>
      <c r="AC130" t="s">
        <v>330</v>
      </c>
      <c r="AD130" t="s">
        <v>331</v>
      </c>
    </row>
    <row r="131" spans="1:30">
      <c r="A131">
        <v>55203834</v>
      </c>
      <c r="B131" t="s">
        <v>332</v>
      </c>
      <c r="C131" t="s">
        <v>212</v>
      </c>
      <c r="D131" t="s">
        <v>47</v>
      </c>
      <c r="E131" t="s">
        <v>35</v>
      </c>
      <c r="F131">
        <v>5016</v>
      </c>
      <c r="G131" t="s">
        <v>139</v>
      </c>
      <c r="H131" t="s">
        <v>45</v>
      </c>
      <c r="I131" t="s">
        <v>48</v>
      </c>
      <c r="J131" t="s">
        <v>46</v>
      </c>
      <c r="K131" t="s">
        <v>116</v>
      </c>
      <c r="L131" t="s">
        <v>333</v>
      </c>
      <c r="M131" t="s">
        <v>118</v>
      </c>
      <c r="N131" t="s">
        <v>117</v>
      </c>
      <c r="O131" t="s">
        <v>215</v>
      </c>
      <c r="P131">
        <v>20260814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35</v>
      </c>
      <c r="Y131" t="s">
        <v>47</v>
      </c>
      <c r="Z131" t="s">
        <v>35</v>
      </c>
      <c r="AA131" t="s">
        <v>50</v>
      </c>
      <c r="AB131" t="s">
        <v>35</v>
      </c>
      <c r="AC131" t="s">
        <v>333</v>
      </c>
      <c r="AD131" t="s">
        <v>334</v>
      </c>
    </row>
    <row r="132" spans="1:30">
      <c r="A132">
        <v>55210451</v>
      </c>
      <c r="B132" t="s">
        <v>335</v>
      </c>
      <c r="C132" t="s">
        <v>212</v>
      </c>
      <c r="D132" t="s">
        <v>47</v>
      </c>
      <c r="E132" t="s">
        <v>35</v>
      </c>
      <c r="F132">
        <v>6613</v>
      </c>
      <c r="G132" t="s">
        <v>165</v>
      </c>
      <c r="H132" t="s">
        <v>45</v>
      </c>
      <c r="I132" t="s">
        <v>48</v>
      </c>
      <c r="J132" t="s">
        <v>46</v>
      </c>
      <c r="K132" t="s">
        <v>116</v>
      </c>
      <c r="L132" t="s">
        <v>336</v>
      </c>
      <c r="M132" t="s">
        <v>118</v>
      </c>
      <c r="N132" t="s">
        <v>117</v>
      </c>
      <c r="O132" t="s">
        <v>215</v>
      </c>
      <c r="P132">
        <v>20260814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35</v>
      </c>
      <c r="Y132" t="s">
        <v>47</v>
      </c>
      <c r="Z132" t="s">
        <v>35</v>
      </c>
      <c r="AA132" t="s">
        <v>50</v>
      </c>
      <c r="AB132" t="s">
        <v>35</v>
      </c>
      <c r="AC132" t="s">
        <v>336</v>
      </c>
      <c r="AD132" t="s">
        <v>337</v>
      </c>
    </row>
    <row r="133" spans="1:30">
      <c r="A133">
        <v>55215596</v>
      </c>
      <c r="B133" t="s">
        <v>338</v>
      </c>
      <c r="C133" t="s">
        <v>212</v>
      </c>
      <c r="D133" t="s">
        <v>47</v>
      </c>
      <c r="E133" t="s">
        <v>35</v>
      </c>
      <c r="F133">
        <v>5803</v>
      </c>
      <c r="G133" t="s">
        <v>176</v>
      </c>
      <c r="H133" t="s">
        <v>45</v>
      </c>
      <c r="I133" t="s">
        <v>48</v>
      </c>
      <c r="J133" t="s">
        <v>46</v>
      </c>
      <c r="K133" t="s">
        <v>116</v>
      </c>
      <c r="L133" t="s">
        <v>339</v>
      </c>
      <c r="M133" t="s">
        <v>124</v>
      </c>
      <c r="N133" t="s">
        <v>123</v>
      </c>
      <c r="O133" t="s">
        <v>215</v>
      </c>
      <c r="P133">
        <v>20260814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125</v>
      </c>
      <c r="Y133" t="s">
        <v>47</v>
      </c>
      <c r="Z133" t="s">
        <v>35</v>
      </c>
      <c r="AA133" t="s">
        <v>50</v>
      </c>
      <c r="AB133" t="s">
        <v>35</v>
      </c>
      <c r="AC133" t="s">
        <v>339</v>
      </c>
      <c r="AD133" t="s">
        <v>340</v>
      </c>
    </row>
    <row r="134" spans="1:30">
      <c r="A134">
        <v>55216493</v>
      </c>
      <c r="B134" t="s">
        <v>341</v>
      </c>
      <c r="C134" t="s">
        <v>212</v>
      </c>
      <c r="D134" t="s">
        <v>47</v>
      </c>
      <c r="E134" t="s">
        <v>35</v>
      </c>
      <c r="F134">
        <v>5803</v>
      </c>
      <c r="G134" t="s">
        <v>176</v>
      </c>
      <c r="H134" t="s">
        <v>45</v>
      </c>
      <c r="I134" t="s">
        <v>48</v>
      </c>
      <c r="J134" t="s">
        <v>46</v>
      </c>
      <c r="K134" t="s">
        <v>116</v>
      </c>
      <c r="L134" t="s">
        <v>342</v>
      </c>
      <c r="M134" t="s">
        <v>118</v>
      </c>
      <c r="N134" t="s">
        <v>117</v>
      </c>
      <c r="O134" t="s">
        <v>215</v>
      </c>
      <c r="P134">
        <v>20260814</v>
      </c>
      <c r="Q134">
        <v>100</v>
      </c>
      <c r="R134">
        <v>100</v>
      </c>
      <c r="S134">
        <v>5690</v>
      </c>
      <c r="T134" t="s">
        <v>49</v>
      </c>
      <c r="U134" t="s">
        <v>47</v>
      </c>
      <c r="V134" t="s">
        <v>47</v>
      </c>
      <c r="W134" t="s">
        <v>47</v>
      </c>
      <c r="X134" t="s">
        <v>35</v>
      </c>
      <c r="Y134" t="s">
        <v>47</v>
      </c>
      <c r="Z134" t="s">
        <v>35</v>
      </c>
      <c r="AA134" t="s">
        <v>50</v>
      </c>
      <c r="AB134" t="s">
        <v>35</v>
      </c>
      <c r="AC134" t="s">
        <v>342</v>
      </c>
      <c r="AD134" t="s">
        <v>343</v>
      </c>
    </row>
    <row r="135" spans="1:30">
      <c r="A135">
        <v>55221293</v>
      </c>
      <c r="B135" t="s">
        <v>344</v>
      </c>
      <c r="C135" t="s">
        <v>212</v>
      </c>
      <c r="D135" t="s">
        <v>47</v>
      </c>
      <c r="E135" t="s">
        <v>35</v>
      </c>
      <c r="F135">
        <v>5803</v>
      </c>
      <c r="G135" t="s">
        <v>176</v>
      </c>
      <c r="H135" t="s">
        <v>45</v>
      </c>
      <c r="I135" t="s">
        <v>48</v>
      </c>
      <c r="J135" t="s">
        <v>46</v>
      </c>
      <c r="K135" t="s">
        <v>116</v>
      </c>
      <c r="L135" t="s">
        <v>345</v>
      </c>
      <c r="M135" t="s">
        <v>124</v>
      </c>
      <c r="N135" t="s">
        <v>123</v>
      </c>
      <c r="O135" t="s">
        <v>215</v>
      </c>
      <c r="P135">
        <v>20260814</v>
      </c>
      <c r="Q135">
        <v>100</v>
      </c>
      <c r="R135">
        <v>100</v>
      </c>
      <c r="S135" t="s">
        <v>217</v>
      </c>
      <c r="T135" t="s">
        <v>49</v>
      </c>
      <c r="U135" t="s">
        <v>47</v>
      </c>
      <c r="V135" t="s">
        <v>47</v>
      </c>
      <c r="W135" t="s">
        <v>47</v>
      </c>
      <c r="X135" t="s">
        <v>125</v>
      </c>
      <c r="Y135" t="s">
        <v>47</v>
      </c>
      <c r="Z135" t="s">
        <v>35</v>
      </c>
      <c r="AA135" t="s">
        <v>50</v>
      </c>
      <c r="AB135" t="s">
        <v>35</v>
      </c>
      <c r="AC135" t="s">
        <v>345</v>
      </c>
      <c r="AD135" t="s">
        <v>346</v>
      </c>
    </row>
    <row r="136" spans="1:30">
      <c r="A136">
        <v>55221955</v>
      </c>
      <c r="B136" t="s">
        <v>347</v>
      </c>
      <c r="C136" t="s">
        <v>212</v>
      </c>
      <c r="D136" t="s">
        <v>47</v>
      </c>
      <c r="E136" t="s">
        <v>35</v>
      </c>
      <c r="F136">
        <v>5803</v>
      </c>
      <c r="G136" t="s">
        <v>176</v>
      </c>
      <c r="H136" t="s">
        <v>45</v>
      </c>
      <c r="I136" t="s">
        <v>48</v>
      </c>
      <c r="J136" t="s">
        <v>46</v>
      </c>
      <c r="K136" t="s">
        <v>116</v>
      </c>
      <c r="L136" t="s">
        <v>348</v>
      </c>
      <c r="M136" t="s">
        <v>118</v>
      </c>
      <c r="N136" t="s">
        <v>117</v>
      </c>
      <c r="O136" t="s">
        <v>215</v>
      </c>
      <c r="P136">
        <v>20260814</v>
      </c>
      <c r="Q136">
        <v>100</v>
      </c>
      <c r="R136">
        <v>100</v>
      </c>
      <c r="S136" t="s">
        <v>217</v>
      </c>
      <c r="T136" t="s">
        <v>49</v>
      </c>
      <c r="U136" t="s">
        <v>47</v>
      </c>
      <c r="V136" t="s">
        <v>47</v>
      </c>
      <c r="W136" t="s">
        <v>47</v>
      </c>
      <c r="X136" t="s">
        <v>35</v>
      </c>
      <c r="Y136" t="s">
        <v>47</v>
      </c>
      <c r="Z136" t="s">
        <v>35</v>
      </c>
      <c r="AA136" t="s">
        <v>50</v>
      </c>
      <c r="AB136" t="s">
        <v>35</v>
      </c>
      <c r="AC136" t="s">
        <v>348</v>
      </c>
      <c r="AD136" t="s">
        <v>349</v>
      </c>
    </row>
    <row r="137" spans="1:30">
      <c r="A137">
        <v>55234682</v>
      </c>
      <c r="B137" t="s">
        <v>350</v>
      </c>
      <c r="C137" t="s">
        <v>212</v>
      </c>
      <c r="D137" t="s">
        <v>47</v>
      </c>
      <c r="E137" t="s">
        <v>35</v>
      </c>
      <c r="F137">
        <v>6613</v>
      </c>
      <c r="G137" t="s">
        <v>165</v>
      </c>
      <c r="H137" t="s">
        <v>45</v>
      </c>
      <c r="I137" t="s">
        <v>48</v>
      </c>
      <c r="J137" t="s">
        <v>46</v>
      </c>
      <c r="K137" t="s">
        <v>116</v>
      </c>
      <c r="L137" t="s">
        <v>351</v>
      </c>
      <c r="M137" t="s">
        <v>124</v>
      </c>
      <c r="N137" t="s">
        <v>123</v>
      </c>
      <c r="O137" t="s">
        <v>215</v>
      </c>
      <c r="P137">
        <v>20260814</v>
      </c>
      <c r="Q137">
        <v>100</v>
      </c>
      <c r="R137">
        <v>100</v>
      </c>
      <c r="S137" t="s">
        <v>217</v>
      </c>
      <c r="T137" t="s">
        <v>49</v>
      </c>
      <c r="U137" t="s">
        <v>47</v>
      </c>
      <c r="V137" t="s">
        <v>47</v>
      </c>
      <c r="W137" t="s">
        <v>47</v>
      </c>
      <c r="X137" t="s">
        <v>125</v>
      </c>
      <c r="Y137" t="s">
        <v>47</v>
      </c>
      <c r="Z137" t="s">
        <v>35</v>
      </c>
      <c r="AA137" t="s">
        <v>50</v>
      </c>
      <c r="AB137" t="s">
        <v>35</v>
      </c>
      <c r="AC137" t="s">
        <v>351</v>
      </c>
      <c r="AD137" t="s">
        <v>352</v>
      </c>
    </row>
    <row r="138" spans="1:30">
      <c r="A138">
        <v>55235031</v>
      </c>
      <c r="B138" t="s">
        <v>353</v>
      </c>
      <c r="C138" t="s">
        <v>212</v>
      </c>
      <c r="D138" t="s">
        <v>47</v>
      </c>
      <c r="E138" t="s">
        <v>35</v>
      </c>
      <c r="F138">
        <v>5803</v>
      </c>
      <c r="G138" t="s">
        <v>176</v>
      </c>
      <c r="H138" t="s">
        <v>45</v>
      </c>
      <c r="I138" t="s">
        <v>48</v>
      </c>
      <c r="J138" t="s">
        <v>46</v>
      </c>
      <c r="K138" t="s">
        <v>116</v>
      </c>
      <c r="L138" t="s">
        <v>354</v>
      </c>
      <c r="M138" t="s">
        <v>124</v>
      </c>
      <c r="N138" t="s">
        <v>123</v>
      </c>
      <c r="O138" t="s">
        <v>215</v>
      </c>
      <c r="P138">
        <v>20260814</v>
      </c>
      <c r="Q138">
        <v>100</v>
      </c>
      <c r="R138">
        <v>100</v>
      </c>
      <c r="S138" t="s">
        <v>217</v>
      </c>
      <c r="T138" t="s">
        <v>49</v>
      </c>
      <c r="U138" t="s">
        <v>47</v>
      </c>
      <c r="V138" t="s">
        <v>47</v>
      </c>
      <c r="W138" t="s">
        <v>47</v>
      </c>
      <c r="X138" t="s">
        <v>125</v>
      </c>
      <c r="Y138" t="s">
        <v>47</v>
      </c>
      <c r="Z138" t="s">
        <v>35</v>
      </c>
      <c r="AA138" t="s">
        <v>50</v>
      </c>
      <c r="AB138" t="s">
        <v>35</v>
      </c>
      <c r="AC138" t="s">
        <v>354</v>
      </c>
      <c r="AD138" t="s">
        <v>355</v>
      </c>
    </row>
    <row r="139" spans="1:30">
      <c r="A139">
        <v>55235159</v>
      </c>
      <c r="B139" t="s">
        <v>356</v>
      </c>
      <c r="C139" t="s">
        <v>212</v>
      </c>
      <c r="D139" t="s">
        <v>47</v>
      </c>
      <c r="E139" t="s">
        <v>35</v>
      </c>
      <c r="F139">
        <v>3436</v>
      </c>
      <c r="G139" t="s">
        <v>152</v>
      </c>
      <c r="H139" t="s">
        <v>45</v>
      </c>
      <c r="I139" t="s">
        <v>48</v>
      </c>
      <c r="J139" t="s">
        <v>46</v>
      </c>
      <c r="K139" t="s">
        <v>116</v>
      </c>
      <c r="L139" t="s">
        <v>357</v>
      </c>
      <c r="M139" t="s">
        <v>118</v>
      </c>
      <c r="N139" t="s">
        <v>117</v>
      </c>
      <c r="O139" t="s">
        <v>215</v>
      </c>
      <c r="P139">
        <v>20260814</v>
      </c>
      <c r="Q139">
        <v>100</v>
      </c>
      <c r="R139">
        <v>100</v>
      </c>
      <c r="S139" t="s">
        <v>217</v>
      </c>
      <c r="T139" t="s">
        <v>49</v>
      </c>
      <c r="U139" t="s">
        <v>47</v>
      </c>
      <c r="V139" t="s">
        <v>47</v>
      </c>
      <c r="W139" t="s">
        <v>47</v>
      </c>
      <c r="X139" t="s">
        <v>35</v>
      </c>
      <c r="Y139" t="s">
        <v>47</v>
      </c>
      <c r="Z139" t="s">
        <v>35</v>
      </c>
      <c r="AA139" t="s">
        <v>50</v>
      </c>
      <c r="AB139" t="s">
        <v>35</v>
      </c>
      <c r="AC139" t="s">
        <v>357</v>
      </c>
      <c r="AD139" t="s">
        <v>358</v>
      </c>
    </row>
    <row r="140" spans="1:30">
      <c r="A140">
        <v>55237579</v>
      </c>
      <c r="B140" t="s">
        <v>359</v>
      </c>
      <c r="C140" t="s">
        <v>212</v>
      </c>
      <c r="D140" t="s">
        <v>47</v>
      </c>
      <c r="E140" t="s">
        <v>35</v>
      </c>
      <c r="F140">
        <v>5016</v>
      </c>
      <c r="G140" t="s">
        <v>139</v>
      </c>
      <c r="H140" t="s">
        <v>45</v>
      </c>
      <c r="I140" t="s">
        <v>48</v>
      </c>
      <c r="J140" t="s">
        <v>46</v>
      </c>
      <c r="K140" t="s">
        <v>116</v>
      </c>
      <c r="L140" t="s">
        <v>360</v>
      </c>
      <c r="M140" t="s">
        <v>124</v>
      </c>
      <c r="N140" t="s">
        <v>123</v>
      </c>
      <c r="O140" t="s">
        <v>215</v>
      </c>
      <c r="P140">
        <v>20260814</v>
      </c>
      <c r="Q140">
        <v>200</v>
      </c>
      <c r="R140">
        <v>200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360</v>
      </c>
      <c r="AD140" t="s">
        <v>361</v>
      </c>
    </row>
    <row r="141" spans="1:30">
      <c r="A141">
        <v>55237916</v>
      </c>
      <c r="B141" t="s">
        <v>362</v>
      </c>
      <c r="C141" t="s">
        <v>212</v>
      </c>
      <c r="D141" t="s">
        <v>47</v>
      </c>
      <c r="E141" t="s">
        <v>35</v>
      </c>
      <c r="F141">
        <v>5803</v>
      </c>
      <c r="G141" t="s">
        <v>176</v>
      </c>
      <c r="H141" t="s">
        <v>45</v>
      </c>
      <c r="I141" t="s">
        <v>48</v>
      </c>
      <c r="J141" t="s">
        <v>46</v>
      </c>
      <c r="K141" t="s">
        <v>116</v>
      </c>
      <c r="L141" t="s">
        <v>363</v>
      </c>
      <c r="M141" t="s">
        <v>118</v>
      </c>
      <c r="N141" t="s">
        <v>117</v>
      </c>
      <c r="O141" t="s">
        <v>215</v>
      </c>
      <c r="P141">
        <v>20260814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363</v>
      </c>
      <c r="AD141" t="s">
        <v>349</v>
      </c>
    </row>
    <row r="142" spans="1:30">
      <c r="A142">
        <v>55238616</v>
      </c>
      <c r="B142" t="s">
        <v>364</v>
      </c>
      <c r="C142" t="s">
        <v>212</v>
      </c>
      <c r="D142" t="s">
        <v>47</v>
      </c>
      <c r="E142" t="s">
        <v>35</v>
      </c>
      <c r="F142">
        <v>5016</v>
      </c>
      <c r="G142" t="s">
        <v>139</v>
      </c>
      <c r="H142" t="s">
        <v>45</v>
      </c>
      <c r="I142" t="s">
        <v>48</v>
      </c>
      <c r="J142" t="s">
        <v>46</v>
      </c>
      <c r="K142" t="s">
        <v>116</v>
      </c>
      <c r="L142" t="s">
        <v>365</v>
      </c>
      <c r="M142" t="s">
        <v>118</v>
      </c>
      <c r="N142" t="s">
        <v>117</v>
      </c>
      <c r="O142" t="s">
        <v>215</v>
      </c>
      <c r="P142">
        <v>20260814</v>
      </c>
      <c r="Q142">
        <v>100</v>
      </c>
      <c r="R142">
        <v>100</v>
      </c>
      <c r="S142" t="s">
        <v>217</v>
      </c>
      <c r="T142" t="s">
        <v>49</v>
      </c>
      <c r="U142" t="s">
        <v>47</v>
      </c>
      <c r="V142" t="s">
        <v>47</v>
      </c>
      <c r="W142" t="s">
        <v>47</v>
      </c>
      <c r="X142" t="s">
        <v>35</v>
      </c>
      <c r="Y142" t="s">
        <v>47</v>
      </c>
      <c r="Z142" t="s">
        <v>35</v>
      </c>
      <c r="AA142" t="s">
        <v>50</v>
      </c>
      <c r="AB142" t="s">
        <v>35</v>
      </c>
      <c r="AC142" t="s">
        <v>365</v>
      </c>
      <c r="AD142" t="s">
        <v>366</v>
      </c>
    </row>
    <row r="143" spans="1:30">
      <c r="A143">
        <v>55240357</v>
      </c>
      <c r="B143" t="s">
        <v>367</v>
      </c>
      <c r="C143" t="s">
        <v>212</v>
      </c>
      <c r="D143" t="s">
        <v>47</v>
      </c>
      <c r="E143" t="s">
        <v>35</v>
      </c>
      <c r="F143">
        <v>3436</v>
      </c>
      <c r="G143" t="s">
        <v>152</v>
      </c>
      <c r="H143" t="s">
        <v>45</v>
      </c>
      <c r="I143" t="s">
        <v>48</v>
      </c>
      <c r="J143" t="s">
        <v>46</v>
      </c>
      <c r="K143" t="s">
        <v>116</v>
      </c>
      <c r="L143" t="s">
        <v>368</v>
      </c>
      <c r="M143" t="s">
        <v>124</v>
      </c>
      <c r="N143" t="s">
        <v>123</v>
      </c>
      <c r="O143" t="s">
        <v>215</v>
      </c>
      <c r="P143">
        <v>20260814</v>
      </c>
      <c r="Q143">
        <v>100</v>
      </c>
      <c r="R143">
        <v>100</v>
      </c>
      <c r="S143" t="s">
        <v>217</v>
      </c>
      <c r="T143" t="s">
        <v>49</v>
      </c>
      <c r="U143" t="s">
        <v>47</v>
      </c>
      <c r="V143" t="s">
        <v>47</v>
      </c>
      <c r="W143" t="s">
        <v>47</v>
      </c>
      <c r="X143" t="s">
        <v>125</v>
      </c>
      <c r="Y143" t="s">
        <v>47</v>
      </c>
      <c r="Z143" t="s">
        <v>35</v>
      </c>
      <c r="AA143" t="s">
        <v>50</v>
      </c>
      <c r="AB143" t="s">
        <v>35</v>
      </c>
      <c r="AC143" t="s">
        <v>368</v>
      </c>
      <c r="AD143" t="s">
        <v>369</v>
      </c>
    </row>
    <row r="144" spans="1:30">
      <c r="A144">
        <v>55241364</v>
      </c>
      <c r="B144" t="s">
        <v>370</v>
      </c>
      <c r="C144" t="s">
        <v>212</v>
      </c>
      <c r="D144" t="s">
        <v>47</v>
      </c>
      <c r="E144" t="s">
        <v>35</v>
      </c>
      <c r="F144">
        <v>3436</v>
      </c>
      <c r="G144" t="s">
        <v>152</v>
      </c>
      <c r="H144" t="s">
        <v>45</v>
      </c>
      <c r="I144" t="s">
        <v>48</v>
      </c>
      <c r="J144" t="s">
        <v>46</v>
      </c>
      <c r="K144" t="s">
        <v>116</v>
      </c>
      <c r="L144" t="s">
        <v>371</v>
      </c>
      <c r="M144" t="s">
        <v>118</v>
      </c>
      <c r="N144" t="s">
        <v>117</v>
      </c>
      <c r="O144" t="s">
        <v>215</v>
      </c>
      <c r="P144">
        <v>20260814</v>
      </c>
      <c r="Q144">
        <v>100</v>
      </c>
      <c r="R144">
        <v>100</v>
      </c>
      <c r="S144" t="s">
        <v>217</v>
      </c>
      <c r="T144" t="s">
        <v>49</v>
      </c>
      <c r="U144" t="s">
        <v>47</v>
      </c>
      <c r="V144" t="s">
        <v>47</v>
      </c>
      <c r="W144" t="s">
        <v>47</v>
      </c>
      <c r="X144" t="s">
        <v>35</v>
      </c>
      <c r="Y144" t="s">
        <v>47</v>
      </c>
      <c r="Z144" t="s">
        <v>35</v>
      </c>
      <c r="AA144" t="s">
        <v>50</v>
      </c>
      <c r="AB144" t="s">
        <v>35</v>
      </c>
      <c r="AC144" t="s">
        <v>371</v>
      </c>
      <c r="AD144" t="s">
        <v>372</v>
      </c>
    </row>
    <row r="145" spans="1:30">
      <c r="A145">
        <v>55243264</v>
      </c>
      <c r="B145" t="s">
        <v>373</v>
      </c>
      <c r="C145" t="s">
        <v>212</v>
      </c>
      <c r="D145" t="s">
        <v>47</v>
      </c>
      <c r="E145" t="s">
        <v>35</v>
      </c>
      <c r="F145">
        <v>5016</v>
      </c>
      <c r="G145" t="s">
        <v>139</v>
      </c>
      <c r="H145" t="s">
        <v>45</v>
      </c>
      <c r="I145" t="s">
        <v>48</v>
      </c>
      <c r="J145" t="s">
        <v>46</v>
      </c>
      <c r="K145" t="s">
        <v>116</v>
      </c>
      <c r="L145" t="s">
        <v>374</v>
      </c>
      <c r="M145" t="s">
        <v>124</v>
      </c>
      <c r="N145" t="s">
        <v>123</v>
      </c>
      <c r="O145" t="s">
        <v>215</v>
      </c>
      <c r="P145">
        <v>20260814</v>
      </c>
      <c r="Q145">
        <v>100</v>
      </c>
      <c r="R145">
        <v>100</v>
      </c>
      <c r="S145" t="s">
        <v>217</v>
      </c>
      <c r="T145" t="s">
        <v>49</v>
      </c>
      <c r="U145" t="s">
        <v>47</v>
      </c>
      <c r="V145" t="s">
        <v>47</v>
      </c>
      <c r="W145" t="s">
        <v>47</v>
      </c>
      <c r="X145" t="s">
        <v>125</v>
      </c>
      <c r="Y145" t="s">
        <v>47</v>
      </c>
      <c r="Z145" t="s">
        <v>35</v>
      </c>
      <c r="AA145" t="s">
        <v>50</v>
      </c>
      <c r="AB145" t="s">
        <v>35</v>
      </c>
      <c r="AC145" t="s">
        <v>374</v>
      </c>
      <c r="AD145" t="s">
        <v>375</v>
      </c>
    </row>
    <row r="146" spans="1:30">
      <c r="A146">
        <v>55244562</v>
      </c>
      <c r="B146" t="s">
        <v>376</v>
      </c>
      <c r="C146" t="s">
        <v>212</v>
      </c>
      <c r="D146" t="s">
        <v>47</v>
      </c>
      <c r="E146" t="s">
        <v>35</v>
      </c>
      <c r="F146">
        <v>5016</v>
      </c>
      <c r="G146" t="s">
        <v>139</v>
      </c>
      <c r="H146" t="s">
        <v>45</v>
      </c>
      <c r="I146" t="s">
        <v>48</v>
      </c>
      <c r="J146" t="s">
        <v>46</v>
      </c>
      <c r="K146" t="s">
        <v>116</v>
      </c>
      <c r="L146" t="s">
        <v>377</v>
      </c>
      <c r="M146" t="s">
        <v>118</v>
      </c>
      <c r="N146" t="s">
        <v>117</v>
      </c>
      <c r="O146" t="s">
        <v>215</v>
      </c>
      <c r="P146">
        <v>20260814</v>
      </c>
      <c r="Q146">
        <v>100</v>
      </c>
      <c r="R146">
        <v>100</v>
      </c>
      <c r="S146" t="s">
        <v>217</v>
      </c>
      <c r="T146" t="s">
        <v>49</v>
      </c>
      <c r="U146" t="s">
        <v>47</v>
      </c>
      <c r="V146" t="s">
        <v>47</v>
      </c>
      <c r="W146" t="s">
        <v>47</v>
      </c>
      <c r="X146" t="s">
        <v>35</v>
      </c>
      <c r="Y146" t="s">
        <v>47</v>
      </c>
      <c r="Z146" t="s">
        <v>35</v>
      </c>
      <c r="AA146" t="s">
        <v>50</v>
      </c>
      <c r="AB146" t="s">
        <v>35</v>
      </c>
      <c r="AC146" t="s">
        <v>377</v>
      </c>
      <c r="AD146" t="s">
        <v>378</v>
      </c>
    </row>
    <row r="147" spans="1:30">
      <c r="A147">
        <v>55254063</v>
      </c>
      <c r="B147" t="s">
        <v>379</v>
      </c>
      <c r="C147" t="s">
        <v>212</v>
      </c>
      <c r="D147" t="s">
        <v>47</v>
      </c>
      <c r="E147" t="s">
        <v>35</v>
      </c>
      <c r="F147">
        <v>3436</v>
      </c>
      <c r="G147" t="s">
        <v>152</v>
      </c>
      <c r="H147" t="s">
        <v>45</v>
      </c>
      <c r="I147" t="s">
        <v>48</v>
      </c>
      <c r="J147" t="s">
        <v>46</v>
      </c>
      <c r="K147" t="s">
        <v>116</v>
      </c>
      <c r="L147" t="s">
        <v>380</v>
      </c>
      <c r="M147" t="s">
        <v>124</v>
      </c>
      <c r="N147" t="s">
        <v>123</v>
      </c>
      <c r="O147" t="s">
        <v>215</v>
      </c>
      <c r="P147">
        <v>20260814</v>
      </c>
      <c r="Q147">
        <v>100</v>
      </c>
      <c r="R147">
        <v>100</v>
      </c>
      <c r="S147" t="s">
        <v>217</v>
      </c>
      <c r="T147" t="s">
        <v>49</v>
      </c>
      <c r="U147" t="s">
        <v>47</v>
      </c>
      <c r="V147" t="s">
        <v>47</v>
      </c>
      <c r="W147" t="s">
        <v>47</v>
      </c>
      <c r="X147" t="s">
        <v>125</v>
      </c>
      <c r="Y147" t="s">
        <v>47</v>
      </c>
      <c r="Z147" t="s">
        <v>35</v>
      </c>
      <c r="AA147" t="s">
        <v>50</v>
      </c>
      <c r="AB147" t="s">
        <v>35</v>
      </c>
      <c r="AC147" t="s">
        <v>380</v>
      </c>
      <c r="AD147" t="s">
        <v>381</v>
      </c>
    </row>
    <row r="148" spans="1:30">
      <c r="A148">
        <v>55254403</v>
      </c>
      <c r="B148" t="s">
        <v>382</v>
      </c>
      <c r="C148" t="s">
        <v>212</v>
      </c>
      <c r="D148" t="s">
        <v>47</v>
      </c>
      <c r="E148" t="s">
        <v>35</v>
      </c>
      <c r="F148">
        <v>5016</v>
      </c>
      <c r="G148" t="s">
        <v>139</v>
      </c>
      <c r="H148" t="s">
        <v>45</v>
      </c>
      <c r="I148" t="s">
        <v>48</v>
      </c>
      <c r="J148" t="s">
        <v>46</v>
      </c>
      <c r="K148" t="s">
        <v>116</v>
      </c>
      <c r="L148" t="s">
        <v>383</v>
      </c>
      <c r="M148" t="s">
        <v>124</v>
      </c>
      <c r="N148" t="s">
        <v>123</v>
      </c>
      <c r="O148" t="s">
        <v>215</v>
      </c>
      <c r="P148">
        <v>20260814</v>
      </c>
      <c r="Q148">
        <v>100</v>
      </c>
      <c r="R148">
        <v>100</v>
      </c>
      <c r="S148" t="s">
        <v>217</v>
      </c>
      <c r="T148" t="s">
        <v>49</v>
      </c>
      <c r="U148" t="s">
        <v>47</v>
      </c>
      <c r="V148" t="s">
        <v>47</v>
      </c>
      <c r="W148" t="s">
        <v>47</v>
      </c>
      <c r="X148" t="s">
        <v>125</v>
      </c>
      <c r="Y148" t="s">
        <v>47</v>
      </c>
      <c r="Z148" t="s">
        <v>35</v>
      </c>
      <c r="AA148" t="s">
        <v>50</v>
      </c>
      <c r="AB148" t="s">
        <v>35</v>
      </c>
      <c r="AC148" t="s">
        <v>383</v>
      </c>
      <c r="AD148" t="s">
        <v>384</v>
      </c>
    </row>
    <row r="149" spans="1:30">
      <c r="A149">
        <v>55254824</v>
      </c>
      <c r="B149" t="s">
        <v>385</v>
      </c>
      <c r="C149" t="s">
        <v>212</v>
      </c>
      <c r="D149" t="s">
        <v>47</v>
      </c>
      <c r="E149" t="s">
        <v>35</v>
      </c>
      <c r="F149">
        <v>5016</v>
      </c>
      <c r="G149" t="s">
        <v>139</v>
      </c>
      <c r="H149" t="s">
        <v>45</v>
      </c>
      <c r="I149" t="s">
        <v>48</v>
      </c>
      <c r="J149" t="s">
        <v>46</v>
      </c>
      <c r="K149" t="s">
        <v>116</v>
      </c>
      <c r="L149" t="s">
        <v>386</v>
      </c>
      <c r="M149" t="s">
        <v>118</v>
      </c>
      <c r="N149" t="s">
        <v>117</v>
      </c>
      <c r="O149" t="s">
        <v>215</v>
      </c>
      <c r="P149">
        <v>20260814</v>
      </c>
      <c r="Q149">
        <v>100</v>
      </c>
      <c r="R149">
        <v>100</v>
      </c>
      <c r="S149" t="s">
        <v>217</v>
      </c>
      <c r="T149" t="s">
        <v>49</v>
      </c>
      <c r="U149" t="s">
        <v>47</v>
      </c>
      <c r="V149" t="s">
        <v>47</v>
      </c>
      <c r="W149" t="s">
        <v>47</v>
      </c>
      <c r="X149" t="s">
        <v>35</v>
      </c>
      <c r="Y149" t="s">
        <v>47</v>
      </c>
      <c r="Z149" t="s">
        <v>35</v>
      </c>
      <c r="AA149" t="s">
        <v>50</v>
      </c>
      <c r="AB149" t="s">
        <v>35</v>
      </c>
      <c r="AC149" t="s">
        <v>386</v>
      </c>
      <c r="AD149" t="s">
        <v>387</v>
      </c>
    </row>
    <row r="150" spans="1:30">
      <c r="A150">
        <v>55256048</v>
      </c>
      <c r="B150" t="s">
        <v>388</v>
      </c>
      <c r="C150" t="s">
        <v>212</v>
      </c>
      <c r="D150" t="s">
        <v>47</v>
      </c>
      <c r="E150" t="s">
        <v>35</v>
      </c>
      <c r="F150">
        <v>3436</v>
      </c>
      <c r="G150" t="s">
        <v>152</v>
      </c>
      <c r="H150" t="s">
        <v>45</v>
      </c>
      <c r="I150" t="s">
        <v>48</v>
      </c>
      <c r="J150" t="s">
        <v>46</v>
      </c>
      <c r="K150" t="s">
        <v>116</v>
      </c>
      <c r="L150" t="s">
        <v>389</v>
      </c>
      <c r="M150" t="s">
        <v>118</v>
      </c>
      <c r="N150" t="s">
        <v>117</v>
      </c>
      <c r="O150" t="s">
        <v>215</v>
      </c>
      <c r="P150">
        <v>20260814</v>
      </c>
      <c r="Q150">
        <v>100</v>
      </c>
      <c r="R150">
        <v>100</v>
      </c>
      <c r="S150" t="s">
        <v>217</v>
      </c>
      <c r="T150" t="s">
        <v>49</v>
      </c>
      <c r="U150" t="s">
        <v>47</v>
      </c>
      <c r="V150" t="s">
        <v>47</v>
      </c>
      <c r="W150" t="s">
        <v>47</v>
      </c>
      <c r="X150" t="s">
        <v>35</v>
      </c>
      <c r="Y150" t="s">
        <v>47</v>
      </c>
      <c r="Z150" t="s">
        <v>35</v>
      </c>
      <c r="AA150" t="s">
        <v>50</v>
      </c>
      <c r="AB150" t="s">
        <v>35</v>
      </c>
      <c r="AC150" t="s">
        <v>389</v>
      </c>
      <c r="AD150" t="s">
        <v>390</v>
      </c>
    </row>
    <row r="151" spans="1:30">
      <c r="A151">
        <v>55257759</v>
      </c>
      <c r="B151" t="s">
        <v>391</v>
      </c>
      <c r="C151" t="s">
        <v>212</v>
      </c>
      <c r="D151" t="s">
        <v>47</v>
      </c>
      <c r="E151" t="s">
        <v>35</v>
      </c>
      <c r="F151">
        <v>5016</v>
      </c>
      <c r="G151" t="s">
        <v>139</v>
      </c>
      <c r="H151" t="s">
        <v>45</v>
      </c>
      <c r="I151" t="s">
        <v>48</v>
      </c>
      <c r="J151" t="s">
        <v>46</v>
      </c>
      <c r="K151" t="s">
        <v>116</v>
      </c>
      <c r="L151" t="s">
        <v>392</v>
      </c>
      <c r="M151" t="s">
        <v>124</v>
      </c>
      <c r="N151" t="s">
        <v>123</v>
      </c>
      <c r="O151" t="s">
        <v>215</v>
      </c>
      <c r="P151">
        <v>20260814</v>
      </c>
      <c r="Q151">
        <v>100</v>
      </c>
      <c r="R151">
        <v>100</v>
      </c>
      <c r="S151" t="s">
        <v>217</v>
      </c>
      <c r="T151" t="s">
        <v>49</v>
      </c>
      <c r="U151" t="s">
        <v>47</v>
      </c>
      <c r="V151" t="s">
        <v>47</v>
      </c>
      <c r="W151" t="s">
        <v>47</v>
      </c>
      <c r="X151" t="s">
        <v>125</v>
      </c>
      <c r="Y151" t="s">
        <v>47</v>
      </c>
      <c r="Z151" t="s">
        <v>35</v>
      </c>
      <c r="AA151" t="s">
        <v>50</v>
      </c>
      <c r="AB151" t="s">
        <v>35</v>
      </c>
      <c r="AC151" t="s">
        <v>392</v>
      </c>
      <c r="AD151" t="s">
        <v>393</v>
      </c>
    </row>
    <row r="152" spans="1:30">
      <c r="A152">
        <v>55258062</v>
      </c>
      <c r="B152" t="s">
        <v>394</v>
      </c>
      <c r="C152" t="s">
        <v>212</v>
      </c>
      <c r="D152" t="s">
        <v>47</v>
      </c>
      <c r="E152" t="s">
        <v>35</v>
      </c>
      <c r="F152">
        <v>5803</v>
      </c>
      <c r="G152" t="s">
        <v>176</v>
      </c>
      <c r="H152" t="s">
        <v>45</v>
      </c>
      <c r="I152" t="s">
        <v>48</v>
      </c>
      <c r="J152" t="s">
        <v>46</v>
      </c>
      <c r="K152" t="s">
        <v>116</v>
      </c>
      <c r="L152" t="s">
        <v>395</v>
      </c>
      <c r="M152" t="s">
        <v>124</v>
      </c>
      <c r="N152" t="s">
        <v>123</v>
      </c>
      <c r="O152" t="s">
        <v>215</v>
      </c>
      <c r="P152">
        <v>20260814</v>
      </c>
      <c r="Q152">
        <v>100</v>
      </c>
      <c r="R152">
        <v>100</v>
      </c>
      <c r="S152" t="s">
        <v>217</v>
      </c>
      <c r="T152" t="s">
        <v>49</v>
      </c>
      <c r="U152" t="s">
        <v>47</v>
      </c>
      <c r="V152" t="s">
        <v>47</v>
      </c>
      <c r="W152" t="s">
        <v>47</v>
      </c>
      <c r="X152" t="s">
        <v>125</v>
      </c>
      <c r="Y152" t="s">
        <v>47</v>
      </c>
      <c r="Z152" t="s">
        <v>35</v>
      </c>
      <c r="AA152" t="s">
        <v>50</v>
      </c>
      <c r="AB152" t="s">
        <v>35</v>
      </c>
      <c r="AC152" t="s">
        <v>396</v>
      </c>
      <c r="AD152" t="s">
        <v>397</v>
      </c>
    </row>
    <row r="153" spans="1:30">
      <c r="A153">
        <v>55258326</v>
      </c>
      <c r="B153" t="s">
        <v>398</v>
      </c>
      <c r="C153" t="s">
        <v>212</v>
      </c>
      <c r="D153" t="s">
        <v>47</v>
      </c>
      <c r="E153" t="s">
        <v>35</v>
      </c>
      <c r="F153">
        <v>5016</v>
      </c>
      <c r="G153" t="s">
        <v>139</v>
      </c>
      <c r="H153" t="s">
        <v>45</v>
      </c>
      <c r="I153" t="s">
        <v>48</v>
      </c>
      <c r="J153" t="s">
        <v>46</v>
      </c>
      <c r="K153" t="s">
        <v>116</v>
      </c>
      <c r="L153" t="s">
        <v>399</v>
      </c>
      <c r="M153" t="s">
        <v>118</v>
      </c>
      <c r="N153" t="s">
        <v>117</v>
      </c>
      <c r="O153" t="s">
        <v>215</v>
      </c>
      <c r="P153">
        <v>20260814</v>
      </c>
      <c r="Q153">
        <v>100</v>
      </c>
      <c r="R153">
        <v>100</v>
      </c>
      <c r="S153" t="s">
        <v>217</v>
      </c>
      <c r="T153" t="s">
        <v>49</v>
      </c>
      <c r="U153" t="s">
        <v>47</v>
      </c>
      <c r="V153" t="s">
        <v>47</v>
      </c>
      <c r="W153" t="s">
        <v>47</v>
      </c>
      <c r="X153" t="s">
        <v>35</v>
      </c>
      <c r="Y153" t="s">
        <v>47</v>
      </c>
      <c r="Z153" t="s">
        <v>35</v>
      </c>
      <c r="AA153" t="s">
        <v>50</v>
      </c>
      <c r="AB153" t="s">
        <v>35</v>
      </c>
      <c r="AC153" t="s">
        <v>399</v>
      </c>
      <c r="AD153" t="s">
        <v>387</v>
      </c>
    </row>
    <row r="154" spans="1:30">
      <c r="A154">
        <v>55260747</v>
      </c>
      <c r="B154" t="s">
        <v>400</v>
      </c>
      <c r="C154" t="s">
        <v>212</v>
      </c>
      <c r="D154" t="s">
        <v>47</v>
      </c>
      <c r="E154" t="s">
        <v>35</v>
      </c>
      <c r="F154">
        <v>5016</v>
      </c>
      <c r="G154" t="s">
        <v>139</v>
      </c>
      <c r="H154" t="s">
        <v>45</v>
      </c>
      <c r="I154" t="s">
        <v>48</v>
      </c>
      <c r="J154" t="s">
        <v>46</v>
      </c>
      <c r="K154" t="s">
        <v>116</v>
      </c>
      <c r="L154" t="s">
        <v>401</v>
      </c>
      <c r="M154" t="s">
        <v>124</v>
      </c>
      <c r="N154" t="s">
        <v>123</v>
      </c>
      <c r="O154" t="s">
        <v>215</v>
      </c>
      <c r="P154">
        <v>20260814</v>
      </c>
      <c r="Q154">
        <v>100</v>
      </c>
      <c r="R154">
        <v>100</v>
      </c>
      <c r="S154" t="s">
        <v>217</v>
      </c>
      <c r="T154" t="s">
        <v>49</v>
      </c>
      <c r="U154" t="s">
        <v>47</v>
      </c>
      <c r="V154" t="s">
        <v>47</v>
      </c>
      <c r="W154" t="s">
        <v>47</v>
      </c>
      <c r="X154" t="s">
        <v>125</v>
      </c>
      <c r="Y154" t="s">
        <v>47</v>
      </c>
      <c r="Z154" t="s">
        <v>35</v>
      </c>
      <c r="AA154" t="s">
        <v>50</v>
      </c>
      <c r="AB154" t="s">
        <v>35</v>
      </c>
      <c r="AC154" t="s">
        <v>401</v>
      </c>
      <c r="AD154" t="s">
        <v>402</v>
      </c>
    </row>
    <row r="155" spans="1:30">
      <c r="A155">
        <v>55262609</v>
      </c>
      <c r="B155" t="s">
        <v>403</v>
      </c>
      <c r="C155" t="s">
        <v>212</v>
      </c>
      <c r="D155" t="s">
        <v>47</v>
      </c>
      <c r="E155" t="s">
        <v>35</v>
      </c>
      <c r="F155">
        <v>7013</v>
      </c>
      <c r="G155" t="s">
        <v>404</v>
      </c>
      <c r="H155" t="s">
        <v>45</v>
      </c>
      <c r="I155" t="s">
        <v>48</v>
      </c>
      <c r="J155" t="s">
        <v>46</v>
      </c>
      <c r="K155" t="s">
        <v>116</v>
      </c>
      <c r="L155" t="s">
        <v>405</v>
      </c>
      <c r="M155" t="s">
        <v>118</v>
      </c>
      <c r="N155" t="s">
        <v>117</v>
      </c>
      <c r="O155" t="s">
        <v>215</v>
      </c>
      <c r="P155">
        <v>20260814</v>
      </c>
      <c r="Q155">
        <v>100</v>
      </c>
      <c r="R155">
        <v>100</v>
      </c>
      <c r="S155" t="s">
        <v>217</v>
      </c>
      <c r="T155" t="s">
        <v>49</v>
      </c>
      <c r="U155" t="s">
        <v>47</v>
      </c>
      <c r="V155" t="s">
        <v>47</v>
      </c>
      <c r="W155" t="s">
        <v>47</v>
      </c>
      <c r="X155" t="s">
        <v>35</v>
      </c>
      <c r="Y155" t="s">
        <v>47</v>
      </c>
      <c r="Z155" t="s">
        <v>35</v>
      </c>
      <c r="AA155" t="s">
        <v>50</v>
      </c>
      <c r="AB155" t="s">
        <v>35</v>
      </c>
      <c r="AC155" t="s">
        <v>406</v>
      </c>
      <c r="AD155" t="s">
        <v>407</v>
      </c>
    </row>
    <row r="156" spans="1:30">
      <c r="A156">
        <v>55263415</v>
      </c>
      <c r="B156" t="s">
        <v>408</v>
      </c>
      <c r="C156" t="s">
        <v>212</v>
      </c>
      <c r="D156" t="s">
        <v>47</v>
      </c>
      <c r="E156" t="s">
        <v>35</v>
      </c>
      <c r="F156">
        <v>5016</v>
      </c>
      <c r="G156" t="s">
        <v>139</v>
      </c>
      <c r="H156" t="s">
        <v>45</v>
      </c>
      <c r="I156" t="s">
        <v>48</v>
      </c>
      <c r="J156" t="s">
        <v>46</v>
      </c>
      <c r="K156" t="s">
        <v>116</v>
      </c>
      <c r="L156" t="s">
        <v>409</v>
      </c>
      <c r="M156" t="s">
        <v>118</v>
      </c>
      <c r="N156" t="s">
        <v>117</v>
      </c>
      <c r="O156" t="s">
        <v>215</v>
      </c>
      <c r="P156">
        <v>20260814</v>
      </c>
      <c r="Q156">
        <v>100</v>
      </c>
      <c r="R156">
        <v>100</v>
      </c>
      <c r="S156" t="s">
        <v>217</v>
      </c>
      <c r="T156" t="s">
        <v>49</v>
      </c>
      <c r="U156" t="s">
        <v>47</v>
      </c>
      <c r="V156" t="s">
        <v>47</v>
      </c>
      <c r="W156" t="s">
        <v>47</v>
      </c>
      <c r="X156" t="s">
        <v>35</v>
      </c>
      <c r="Y156" t="s">
        <v>47</v>
      </c>
      <c r="Z156" t="s">
        <v>35</v>
      </c>
      <c r="AA156" t="s">
        <v>50</v>
      </c>
      <c r="AB156" t="s">
        <v>35</v>
      </c>
      <c r="AC156" t="s">
        <v>409</v>
      </c>
      <c r="AD156" t="s">
        <v>410</v>
      </c>
    </row>
    <row r="157" spans="1:30">
      <c r="A157">
        <v>55265765</v>
      </c>
      <c r="B157" t="s">
        <v>411</v>
      </c>
      <c r="C157" t="s">
        <v>212</v>
      </c>
      <c r="D157" t="s">
        <v>47</v>
      </c>
      <c r="E157" t="s">
        <v>35</v>
      </c>
      <c r="F157">
        <v>3436</v>
      </c>
      <c r="G157" t="s">
        <v>152</v>
      </c>
      <c r="H157" t="s">
        <v>45</v>
      </c>
      <c r="I157" t="s">
        <v>48</v>
      </c>
      <c r="J157" t="s">
        <v>46</v>
      </c>
      <c r="K157" t="s">
        <v>116</v>
      </c>
      <c r="L157" t="s">
        <v>412</v>
      </c>
      <c r="M157" t="s">
        <v>124</v>
      </c>
      <c r="N157" t="s">
        <v>123</v>
      </c>
      <c r="O157" t="s">
        <v>215</v>
      </c>
      <c r="P157">
        <v>20260814</v>
      </c>
      <c r="Q157">
        <v>100</v>
      </c>
      <c r="R157">
        <v>100</v>
      </c>
      <c r="S157" t="s">
        <v>217</v>
      </c>
      <c r="T157" t="s">
        <v>49</v>
      </c>
      <c r="U157" t="s">
        <v>47</v>
      </c>
      <c r="V157" t="s">
        <v>47</v>
      </c>
      <c r="W157" t="s">
        <v>47</v>
      </c>
      <c r="X157" t="s">
        <v>125</v>
      </c>
      <c r="Y157" t="s">
        <v>47</v>
      </c>
      <c r="Z157" t="s">
        <v>35</v>
      </c>
      <c r="AA157" t="s">
        <v>50</v>
      </c>
      <c r="AB157" t="s">
        <v>35</v>
      </c>
      <c r="AC157" t="s">
        <v>412</v>
      </c>
      <c r="AD157" t="s">
        <v>413</v>
      </c>
    </row>
    <row r="158" spans="1:30">
      <c r="A158">
        <v>55266150</v>
      </c>
      <c r="B158" t="s">
        <v>414</v>
      </c>
      <c r="C158" t="s">
        <v>212</v>
      </c>
      <c r="D158" t="s">
        <v>47</v>
      </c>
      <c r="E158" t="s">
        <v>35</v>
      </c>
      <c r="F158">
        <v>5803</v>
      </c>
      <c r="G158" t="s">
        <v>176</v>
      </c>
      <c r="H158" t="s">
        <v>45</v>
      </c>
      <c r="I158" t="s">
        <v>48</v>
      </c>
      <c r="J158" t="s">
        <v>46</v>
      </c>
      <c r="K158" t="s">
        <v>116</v>
      </c>
      <c r="L158" t="s">
        <v>415</v>
      </c>
      <c r="M158" t="s">
        <v>118</v>
      </c>
      <c r="N158" t="s">
        <v>117</v>
      </c>
      <c r="O158" t="s">
        <v>215</v>
      </c>
      <c r="P158">
        <v>20260814</v>
      </c>
      <c r="Q158">
        <v>100</v>
      </c>
      <c r="R158">
        <v>100</v>
      </c>
      <c r="S158" t="s">
        <v>217</v>
      </c>
      <c r="T158" t="s">
        <v>49</v>
      </c>
      <c r="U158" t="s">
        <v>47</v>
      </c>
      <c r="V158" t="s">
        <v>47</v>
      </c>
      <c r="W158" t="s">
        <v>47</v>
      </c>
      <c r="X158" t="s">
        <v>35</v>
      </c>
      <c r="Y158" t="s">
        <v>47</v>
      </c>
      <c r="Z158" t="s">
        <v>35</v>
      </c>
      <c r="AA158" t="s">
        <v>50</v>
      </c>
      <c r="AB158" t="s">
        <v>35</v>
      </c>
      <c r="AC158" t="s">
        <v>415</v>
      </c>
      <c r="AD158" t="s">
        <v>416</v>
      </c>
    </row>
    <row r="159" spans="1:30">
      <c r="A159">
        <v>55267758</v>
      </c>
      <c r="B159" t="s">
        <v>417</v>
      </c>
      <c r="C159" t="s">
        <v>212</v>
      </c>
      <c r="D159" t="s">
        <v>47</v>
      </c>
      <c r="E159" t="s">
        <v>35</v>
      </c>
      <c r="F159">
        <v>5803</v>
      </c>
      <c r="G159" t="s">
        <v>176</v>
      </c>
      <c r="H159" t="s">
        <v>45</v>
      </c>
      <c r="I159" t="s">
        <v>48</v>
      </c>
      <c r="J159" t="s">
        <v>46</v>
      </c>
      <c r="K159" t="s">
        <v>116</v>
      </c>
      <c r="L159" t="s">
        <v>418</v>
      </c>
      <c r="M159" t="s">
        <v>124</v>
      </c>
      <c r="N159" t="s">
        <v>123</v>
      </c>
      <c r="O159" t="s">
        <v>215</v>
      </c>
      <c r="P159">
        <v>20260814</v>
      </c>
      <c r="Q159">
        <v>100</v>
      </c>
      <c r="R159">
        <v>100</v>
      </c>
      <c r="S159" t="s">
        <v>217</v>
      </c>
      <c r="T159" t="s">
        <v>49</v>
      </c>
      <c r="U159" t="s">
        <v>47</v>
      </c>
      <c r="V159" t="s">
        <v>47</v>
      </c>
      <c r="W159" t="s">
        <v>47</v>
      </c>
      <c r="X159" t="s">
        <v>125</v>
      </c>
      <c r="Y159" t="s">
        <v>47</v>
      </c>
      <c r="Z159" t="s">
        <v>35</v>
      </c>
      <c r="AA159" t="s">
        <v>50</v>
      </c>
      <c r="AB159" t="s">
        <v>35</v>
      </c>
      <c r="AC159" t="s">
        <v>418</v>
      </c>
      <c r="AD159" t="s">
        <v>419</v>
      </c>
    </row>
    <row r="160" spans="1:30">
      <c r="A160">
        <v>55267894</v>
      </c>
      <c r="B160" t="s">
        <v>420</v>
      </c>
      <c r="C160" t="s">
        <v>212</v>
      </c>
      <c r="D160" t="s">
        <v>47</v>
      </c>
      <c r="E160" t="s">
        <v>35</v>
      </c>
      <c r="F160">
        <v>5016</v>
      </c>
      <c r="G160" t="s">
        <v>139</v>
      </c>
      <c r="H160" t="s">
        <v>45</v>
      </c>
      <c r="I160" t="s">
        <v>48</v>
      </c>
      <c r="J160" t="s">
        <v>46</v>
      </c>
      <c r="K160" t="s">
        <v>116</v>
      </c>
      <c r="L160" t="s">
        <v>421</v>
      </c>
      <c r="M160" t="s">
        <v>124</v>
      </c>
      <c r="N160" t="s">
        <v>123</v>
      </c>
      <c r="O160" t="s">
        <v>215</v>
      </c>
      <c r="P160">
        <v>20260814</v>
      </c>
      <c r="Q160">
        <v>100</v>
      </c>
      <c r="R160">
        <v>100</v>
      </c>
      <c r="S160" t="s">
        <v>217</v>
      </c>
      <c r="T160" t="s">
        <v>49</v>
      </c>
      <c r="U160" t="s">
        <v>47</v>
      </c>
      <c r="V160" t="s">
        <v>47</v>
      </c>
      <c r="W160" t="s">
        <v>47</v>
      </c>
      <c r="X160" t="s">
        <v>125</v>
      </c>
      <c r="Y160" t="s">
        <v>47</v>
      </c>
      <c r="Z160" t="s">
        <v>35</v>
      </c>
      <c r="AA160" t="s">
        <v>50</v>
      </c>
      <c r="AB160" t="s">
        <v>35</v>
      </c>
      <c r="AC160" t="s">
        <v>421</v>
      </c>
      <c r="AD160" t="s">
        <v>410</v>
      </c>
    </row>
    <row r="161" spans="1:30">
      <c r="A161">
        <v>55269453</v>
      </c>
      <c r="B161" t="s">
        <v>422</v>
      </c>
      <c r="C161" t="s">
        <v>212</v>
      </c>
      <c r="D161" t="s">
        <v>47</v>
      </c>
      <c r="E161" t="s">
        <v>35</v>
      </c>
      <c r="F161">
        <v>7013</v>
      </c>
      <c r="G161" t="s">
        <v>404</v>
      </c>
      <c r="H161" t="s">
        <v>45</v>
      </c>
      <c r="I161" t="s">
        <v>48</v>
      </c>
      <c r="J161" t="s">
        <v>46</v>
      </c>
      <c r="K161" t="s">
        <v>116</v>
      </c>
      <c r="L161" t="s">
        <v>423</v>
      </c>
      <c r="M161" t="s">
        <v>124</v>
      </c>
      <c r="N161" t="s">
        <v>123</v>
      </c>
      <c r="O161" t="s">
        <v>215</v>
      </c>
      <c r="P161">
        <v>20260814</v>
      </c>
      <c r="Q161">
        <v>100</v>
      </c>
      <c r="R161">
        <v>100</v>
      </c>
      <c r="S161" t="s">
        <v>217</v>
      </c>
      <c r="T161" t="s">
        <v>49</v>
      </c>
      <c r="U161" t="s">
        <v>47</v>
      </c>
      <c r="V161" t="s">
        <v>47</v>
      </c>
      <c r="W161" t="s">
        <v>47</v>
      </c>
      <c r="X161" t="s">
        <v>125</v>
      </c>
      <c r="Y161" t="s">
        <v>47</v>
      </c>
      <c r="Z161" t="s">
        <v>35</v>
      </c>
      <c r="AA161" t="s">
        <v>50</v>
      </c>
      <c r="AB161" t="s">
        <v>35</v>
      </c>
      <c r="AC161" t="s">
        <v>423</v>
      </c>
      <c r="AD161" t="s">
        <v>424</v>
      </c>
    </row>
    <row r="162" spans="1:30">
      <c r="A162">
        <v>55331106</v>
      </c>
      <c r="B162" t="s">
        <v>425</v>
      </c>
      <c r="C162" t="s">
        <v>212</v>
      </c>
      <c r="D162" t="s">
        <v>47</v>
      </c>
      <c r="E162" t="s">
        <v>35</v>
      </c>
      <c r="F162">
        <v>5016</v>
      </c>
      <c r="G162" t="s">
        <v>139</v>
      </c>
      <c r="H162" t="s">
        <v>45</v>
      </c>
      <c r="I162" t="s">
        <v>48</v>
      </c>
      <c r="J162" t="s">
        <v>46</v>
      </c>
      <c r="K162" t="s">
        <v>116</v>
      </c>
      <c r="L162" t="s">
        <v>426</v>
      </c>
      <c r="M162" t="s">
        <v>118</v>
      </c>
      <c r="N162" t="s">
        <v>117</v>
      </c>
      <c r="O162" t="s">
        <v>215</v>
      </c>
      <c r="P162">
        <v>20260814</v>
      </c>
      <c r="Q162">
        <v>100</v>
      </c>
      <c r="R162">
        <v>100</v>
      </c>
      <c r="S162" t="s">
        <v>217</v>
      </c>
      <c r="T162" t="s">
        <v>49</v>
      </c>
      <c r="U162" t="s">
        <v>47</v>
      </c>
      <c r="V162" t="s">
        <v>47</v>
      </c>
      <c r="W162" t="s">
        <v>47</v>
      </c>
      <c r="X162" t="s">
        <v>35</v>
      </c>
      <c r="Y162" t="s">
        <v>47</v>
      </c>
      <c r="Z162" t="s">
        <v>35</v>
      </c>
      <c r="AA162" t="s">
        <v>50</v>
      </c>
      <c r="AB162" t="s">
        <v>35</v>
      </c>
      <c r="AC162" t="s">
        <v>427</v>
      </c>
      <c r="AD162" t="s">
        <v>428</v>
      </c>
    </row>
    <row r="163" spans="1:30">
      <c r="A163">
        <v>55332599</v>
      </c>
      <c r="B163" t="s">
        <v>429</v>
      </c>
      <c r="C163" t="s">
        <v>212</v>
      </c>
      <c r="D163" t="s">
        <v>47</v>
      </c>
      <c r="E163" t="s">
        <v>35</v>
      </c>
      <c r="F163">
        <v>5016</v>
      </c>
      <c r="G163" t="s">
        <v>139</v>
      </c>
      <c r="H163" t="s">
        <v>45</v>
      </c>
      <c r="I163" t="s">
        <v>48</v>
      </c>
      <c r="J163" t="s">
        <v>46</v>
      </c>
      <c r="K163" t="s">
        <v>116</v>
      </c>
      <c r="L163" t="s">
        <v>430</v>
      </c>
      <c r="M163" t="s">
        <v>124</v>
      </c>
      <c r="N163" t="s">
        <v>123</v>
      </c>
      <c r="O163" t="s">
        <v>215</v>
      </c>
      <c r="P163">
        <v>20260814</v>
      </c>
      <c r="Q163">
        <v>100</v>
      </c>
      <c r="R163">
        <v>100</v>
      </c>
      <c r="S163" t="s">
        <v>217</v>
      </c>
      <c r="T163" t="s">
        <v>49</v>
      </c>
      <c r="U163" t="s">
        <v>47</v>
      </c>
      <c r="V163" t="s">
        <v>47</v>
      </c>
      <c r="W163" t="s">
        <v>47</v>
      </c>
      <c r="X163" t="s">
        <v>125</v>
      </c>
      <c r="Y163" t="s">
        <v>47</v>
      </c>
      <c r="Z163" t="s">
        <v>35</v>
      </c>
      <c r="AA163" t="s">
        <v>50</v>
      </c>
      <c r="AB163" t="s">
        <v>35</v>
      </c>
      <c r="AC163" t="s">
        <v>430</v>
      </c>
      <c r="AD163" t="s">
        <v>431</v>
      </c>
    </row>
    <row r="164" spans="1:30">
      <c r="A164">
        <v>55333252</v>
      </c>
      <c r="B164" t="s">
        <v>432</v>
      </c>
      <c r="C164" t="s">
        <v>212</v>
      </c>
      <c r="D164" t="s">
        <v>47</v>
      </c>
      <c r="E164" t="s">
        <v>35</v>
      </c>
      <c r="F164">
        <v>5803</v>
      </c>
      <c r="G164" t="s">
        <v>176</v>
      </c>
      <c r="H164" t="s">
        <v>45</v>
      </c>
      <c r="I164" t="s">
        <v>48</v>
      </c>
      <c r="J164" t="s">
        <v>46</v>
      </c>
      <c r="K164" t="s">
        <v>116</v>
      </c>
      <c r="L164" t="s">
        <v>433</v>
      </c>
      <c r="M164" t="s">
        <v>118</v>
      </c>
      <c r="N164" t="s">
        <v>117</v>
      </c>
      <c r="O164" t="s">
        <v>215</v>
      </c>
      <c r="P164">
        <v>20260814</v>
      </c>
      <c r="Q164">
        <v>200</v>
      </c>
      <c r="R164">
        <v>200</v>
      </c>
      <c r="S164" t="s">
        <v>217</v>
      </c>
      <c r="T164" t="s">
        <v>49</v>
      </c>
      <c r="U164" t="s">
        <v>47</v>
      </c>
      <c r="V164" t="s">
        <v>47</v>
      </c>
      <c r="W164" t="s">
        <v>47</v>
      </c>
      <c r="X164" t="s">
        <v>35</v>
      </c>
      <c r="Y164" t="s">
        <v>47</v>
      </c>
      <c r="Z164" t="s">
        <v>35</v>
      </c>
      <c r="AA164" t="s">
        <v>50</v>
      </c>
      <c r="AB164" t="s">
        <v>35</v>
      </c>
      <c r="AC164" t="s">
        <v>433</v>
      </c>
      <c r="AD164" t="s">
        <v>434</v>
      </c>
    </row>
    <row r="165" spans="1:30">
      <c r="A165">
        <v>55335560</v>
      </c>
      <c r="B165" t="s">
        <v>435</v>
      </c>
      <c r="C165" t="s">
        <v>212</v>
      </c>
      <c r="D165" t="s">
        <v>47</v>
      </c>
      <c r="E165" t="s">
        <v>35</v>
      </c>
      <c r="F165">
        <v>5803</v>
      </c>
      <c r="G165" t="s">
        <v>176</v>
      </c>
      <c r="H165" t="s">
        <v>45</v>
      </c>
      <c r="I165" t="s">
        <v>48</v>
      </c>
      <c r="J165" t="s">
        <v>46</v>
      </c>
      <c r="K165" t="s">
        <v>116</v>
      </c>
      <c r="L165" t="s">
        <v>436</v>
      </c>
      <c r="M165" t="s">
        <v>124</v>
      </c>
      <c r="N165" t="s">
        <v>123</v>
      </c>
      <c r="O165" t="s">
        <v>215</v>
      </c>
      <c r="P165">
        <v>20260814</v>
      </c>
      <c r="Q165">
        <v>200</v>
      </c>
      <c r="R165">
        <v>200</v>
      </c>
      <c r="S165" t="s">
        <v>217</v>
      </c>
      <c r="T165" t="s">
        <v>49</v>
      </c>
      <c r="U165" t="s">
        <v>47</v>
      </c>
      <c r="V165" t="s">
        <v>47</v>
      </c>
      <c r="W165" t="s">
        <v>47</v>
      </c>
      <c r="X165" t="s">
        <v>125</v>
      </c>
      <c r="Y165" t="s">
        <v>47</v>
      </c>
      <c r="Z165" t="s">
        <v>35</v>
      </c>
      <c r="AA165" t="s">
        <v>50</v>
      </c>
      <c r="AB165" t="s">
        <v>35</v>
      </c>
      <c r="AC165" t="s">
        <v>436</v>
      </c>
      <c r="AD165" t="s">
        <v>437</v>
      </c>
    </row>
    <row r="166" spans="1:30">
      <c r="A166">
        <v>55335740</v>
      </c>
      <c r="B166" t="s">
        <v>438</v>
      </c>
      <c r="C166" t="s">
        <v>212</v>
      </c>
      <c r="D166" t="s">
        <v>47</v>
      </c>
      <c r="E166" t="s">
        <v>35</v>
      </c>
      <c r="F166">
        <v>5803</v>
      </c>
      <c r="G166" t="s">
        <v>176</v>
      </c>
      <c r="H166" t="s">
        <v>45</v>
      </c>
      <c r="I166" t="s">
        <v>48</v>
      </c>
      <c r="J166" t="s">
        <v>46</v>
      </c>
      <c r="K166" t="s">
        <v>116</v>
      </c>
      <c r="L166" t="s">
        <v>439</v>
      </c>
      <c r="M166" t="s">
        <v>118</v>
      </c>
      <c r="N166" t="s">
        <v>117</v>
      </c>
      <c r="O166" t="s">
        <v>215</v>
      </c>
      <c r="P166">
        <v>20260814</v>
      </c>
      <c r="Q166">
        <v>200</v>
      </c>
      <c r="R166">
        <v>200</v>
      </c>
      <c r="S166" t="s">
        <v>217</v>
      </c>
      <c r="T166" t="s">
        <v>49</v>
      </c>
      <c r="U166" t="s">
        <v>47</v>
      </c>
      <c r="V166" t="s">
        <v>47</v>
      </c>
      <c r="W166" t="s">
        <v>47</v>
      </c>
      <c r="X166" t="s">
        <v>35</v>
      </c>
      <c r="Y166" t="s">
        <v>47</v>
      </c>
      <c r="Z166" t="s">
        <v>35</v>
      </c>
      <c r="AA166" t="s">
        <v>50</v>
      </c>
      <c r="AB166" t="s">
        <v>35</v>
      </c>
      <c r="AC166" t="s">
        <v>439</v>
      </c>
      <c r="AD166" t="s">
        <v>440</v>
      </c>
    </row>
    <row r="167" spans="1:30">
      <c r="A167">
        <v>55337617</v>
      </c>
      <c r="B167" t="s">
        <v>441</v>
      </c>
      <c r="C167" t="s">
        <v>212</v>
      </c>
      <c r="D167" t="s">
        <v>47</v>
      </c>
      <c r="E167" t="s">
        <v>35</v>
      </c>
      <c r="F167">
        <v>5803</v>
      </c>
      <c r="G167" t="s">
        <v>176</v>
      </c>
      <c r="H167" t="s">
        <v>45</v>
      </c>
      <c r="I167" t="s">
        <v>48</v>
      </c>
      <c r="J167" t="s">
        <v>46</v>
      </c>
      <c r="K167" t="s">
        <v>116</v>
      </c>
      <c r="L167" t="s">
        <v>442</v>
      </c>
      <c r="M167" t="s">
        <v>124</v>
      </c>
      <c r="N167" t="s">
        <v>123</v>
      </c>
      <c r="O167" t="s">
        <v>215</v>
      </c>
      <c r="P167">
        <v>20260814</v>
      </c>
      <c r="Q167">
        <v>100</v>
      </c>
      <c r="R167">
        <v>100</v>
      </c>
      <c r="S167" t="s">
        <v>217</v>
      </c>
      <c r="T167" t="s">
        <v>49</v>
      </c>
      <c r="U167" t="s">
        <v>47</v>
      </c>
      <c r="V167" t="s">
        <v>47</v>
      </c>
      <c r="W167" t="s">
        <v>47</v>
      </c>
      <c r="X167" t="s">
        <v>125</v>
      </c>
      <c r="Y167" t="s">
        <v>47</v>
      </c>
      <c r="Z167" t="s">
        <v>35</v>
      </c>
      <c r="AA167" t="s">
        <v>50</v>
      </c>
      <c r="AB167" t="s">
        <v>35</v>
      </c>
      <c r="AC167" t="s">
        <v>442</v>
      </c>
      <c r="AD167" t="s">
        <v>443</v>
      </c>
    </row>
    <row r="168" spans="1:30">
      <c r="A168">
        <v>55337782</v>
      </c>
      <c r="B168" t="s">
        <v>444</v>
      </c>
      <c r="C168" t="s">
        <v>212</v>
      </c>
      <c r="D168" t="s">
        <v>47</v>
      </c>
      <c r="E168" t="s">
        <v>35</v>
      </c>
      <c r="F168">
        <v>5803</v>
      </c>
      <c r="G168" t="s">
        <v>176</v>
      </c>
      <c r="H168" t="s">
        <v>45</v>
      </c>
      <c r="I168" t="s">
        <v>48</v>
      </c>
      <c r="J168" t="s">
        <v>46</v>
      </c>
      <c r="K168" t="s">
        <v>116</v>
      </c>
      <c r="L168" t="s">
        <v>445</v>
      </c>
      <c r="M168" t="s">
        <v>124</v>
      </c>
      <c r="N168" t="s">
        <v>123</v>
      </c>
      <c r="O168" t="s">
        <v>215</v>
      </c>
      <c r="P168">
        <v>20260814</v>
      </c>
      <c r="Q168">
        <v>100</v>
      </c>
      <c r="R168">
        <v>100</v>
      </c>
      <c r="S168" t="s">
        <v>217</v>
      </c>
      <c r="T168" t="s">
        <v>49</v>
      </c>
      <c r="U168" t="s">
        <v>47</v>
      </c>
      <c r="V168" t="s">
        <v>47</v>
      </c>
      <c r="W168" t="s">
        <v>47</v>
      </c>
      <c r="X168" t="s">
        <v>125</v>
      </c>
      <c r="Y168" t="s">
        <v>47</v>
      </c>
      <c r="Z168" t="s">
        <v>35</v>
      </c>
      <c r="AA168" t="s">
        <v>50</v>
      </c>
      <c r="AB168" t="s">
        <v>35</v>
      </c>
      <c r="AC168" t="s">
        <v>445</v>
      </c>
      <c r="AD168" t="s">
        <v>446</v>
      </c>
    </row>
    <row r="169" spans="1:30">
      <c r="A169">
        <v>55340216</v>
      </c>
      <c r="B169" t="s">
        <v>447</v>
      </c>
      <c r="C169" t="s">
        <v>212</v>
      </c>
      <c r="D169" t="s">
        <v>47</v>
      </c>
      <c r="E169" t="s">
        <v>35</v>
      </c>
      <c r="F169">
        <v>8136</v>
      </c>
      <c r="G169" t="s">
        <v>172</v>
      </c>
      <c r="H169" t="s">
        <v>45</v>
      </c>
      <c r="I169" t="s">
        <v>48</v>
      </c>
      <c r="J169" t="s">
        <v>35</v>
      </c>
      <c r="K169" t="s">
        <v>35</v>
      </c>
      <c r="L169" t="s">
        <v>448</v>
      </c>
      <c r="M169" t="s">
        <v>57</v>
      </c>
      <c r="N169" t="s">
        <v>58</v>
      </c>
      <c r="O169" t="s">
        <v>215</v>
      </c>
      <c r="P169">
        <v>20260814</v>
      </c>
      <c r="Q169">
        <v>100</v>
      </c>
      <c r="R169">
        <v>100</v>
      </c>
      <c r="S169" t="s">
        <v>217</v>
      </c>
      <c r="T169" t="s">
        <v>49</v>
      </c>
      <c r="U169" t="s">
        <v>47</v>
      </c>
      <c r="V169" t="s">
        <v>47</v>
      </c>
      <c r="W169" t="s">
        <v>47</v>
      </c>
      <c r="X169" t="s">
        <v>35</v>
      </c>
      <c r="Y169" t="s">
        <v>47</v>
      </c>
      <c r="Z169" t="s">
        <v>35</v>
      </c>
      <c r="AA169" t="s">
        <v>50</v>
      </c>
      <c r="AB169" t="s">
        <v>35</v>
      </c>
      <c r="AC169" t="s">
        <v>448</v>
      </c>
      <c r="AD169" t="s">
        <v>449</v>
      </c>
    </row>
    <row r="170" spans="1:30">
      <c r="A170">
        <v>55342054</v>
      </c>
      <c r="B170" t="s">
        <v>450</v>
      </c>
      <c r="C170" t="s">
        <v>212</v>
      </c>
      <c r="D170" t="s">
        <v>47</v>
      </c>
      <c r="E170" t="s">
        <v>35</v>
      </c>
      <c r="F170">
        <v>5016</v>
      </c>
      <c r="G170" t="s">
        <v>139</v>
      </c>
      <c r="H170" t="s">
        <v>45</v>
      </c>
      <c r="I170" t="s">
        <v>48</v>
      </c>
      <c r="J170" t="s">
        <v>46</v>
      </c>
      <c r="K170" t="s">
        <v>116</v>
      </c>
      <c r="L170" t="s">
        <v>451</v>
      </c>
      <c r="M170" t="s">
        <v>118</v>
      </c>
      <c r="N170" t="s">
        <v>117</v>
      </c>
      <c r="O170" t="s">
        <v>215</v>
      </c>
      <c r="P170">
        <v>20260814</v>
      </c>
      <c r="Q170">
        <v>100</v>
      </c>
      <c r="R170">
        <v>100</v>
      </c>
      <c r="S170" t="s">
        <v>217</v>
      </c>
      <c r="T170" t="s">
        <v>49</v>
      </c>
      <c r="U170" t="s">
        <v>47</v>
      </c>
      <c r="V170" t="s">
        <v>47</v>
      </c>
      <c r="W170" t="s">
        <v>47</v>
      </c>
      <c r="X170" t="s">
        <v>35</v>
      </c>
      <c r="Y170" t="s">
        <v>47</v>
      </c>
      <c r="Z170" t="s">
        <v>35</v>
      </c>
      <c r="AA170" t="s">
        <v>50</v>
      </c>
      <c r="AB170" t="s">
        <v>35</v>
      </c>
      <c r="AC170" t="s">
        <v>452</v>
      </c>
      <c r="AD170" t="s">
        <v>453</v>
      </c>
    </row>
    <row r="171" spans="1:30">
      <c r="A171">
        <v>55342702</v>
      </c>
      <c r="B171" t="s">
        <v>454</v>
      </c>
      <c r="C171" t="s">
        <v>212</v>
      </c>
      <c r="D171" t="s">
        <v>47</v>
      </c>
      <c r="E171" t="s">
        <v>35</v>
      </c>
      <c r="F171">
        <v>5016</v>
      </c>
      <c r="G171" t="s">
        <v>139</v>
      </c>
      <c r="H171" t="s">
        <v>45</v>
      </c>
      <c r="I171" t="s">
        <v>48</v>
      </c>
      <c r="J171" t="s">
        <v>46</v>
      </c>
      <c r="K171" t="s">
        <v>116</v>
      </c>
      <c r="L171" t="s">
        <v>455</v>
      </c>
      <c r="M171" t="s">
        <v>124</v>
      </c>
      <c r="N171" t="s">
        <v>123</v>
      </c>
      <c r="O171" t="s">
        <v>215</v>
      </c>
      <c r="P171">
        <v>20260814</v>
      </c>
      <c r="Q171">
        <v>100</v>
      </c>
      <c r="R171">
        <v>100</v>
      </c>
      <c r="S171" t="s">
        <v>217</v>
      </c>
      <c r="T171" t="s">
        <v>49</v>
      </c>
      <c r="U171" t="s">
        <v>47</v>
      </c>
      <c r="V171" t="s">
        <v>47</v>
      </c>
      <c r="W171" t="s">
        <v>47</v>
      </c>
      <c r="X171" t="s">
        <v>125</v>
      </c>
      <c r="Y171" t="s">
        <v>47</v>
      </c>
      <c r="Z171" t="s">
        <v>35</v>
      </c>
      <c r="AA171" t="s">
        <v>50</v>
      </c>
      <c r="AB171" t="s">
        <v>35</v>
      </c>
      <c r="AC171" t="s">
        <v>455</v>
      </c>
      <c r="AD171" t="s">
        <v>456</v>
      </c>
    </row>
    <row r="172" spans="1:30">
      <c r="A172">
        <v>51051621</v>
      </c>
      <c r="B172" t="s">
        <v>457</v>
      </c>
      <c r="C172" t="s">
        <v>290</v>
      </c>
      <c r="D172" t="s">
        <v>47</v>
      </c>
      <c r="E172" t="s">
        <v>35</v>
      </c>
      <c r="F172">
        <v>9432</v>
      </c>
      <c r="G172" t="s">
        <v>54</v>
      </c>
      <c r="H172" t="s">
        <v>45</v>
      </c>
      <c r="I172" t="s">
        <v>48</v>
      </c>
      <c r="J172" t="s">
        <v>35</v>
      </c>
      <c r="K172" t="s">
        <v>35</v>
      </c>
      <c r="L172" t="s">
        <v>458</v>
      </c>
      <c r="M172" t="s">
        <v>57</v>
      </c>
      <c r="N172" t="s">
        <v>58</v>
      </c>
      <c r="O172" t="s">
        <v>215</v>
      </c>
      <c r="P172">
        <v>20260817</v>
      </c>
      <c r="Q172">
        <v>100</v>
      </c>
      <c r="R172">
        <v>0</v>
      </c>
      <c r="S172" t="s">
        <v>217</v>
      </c>
      <c r="T172" t="s">
        <v>49</v>
      </c>
      <c r="U172" t="s">
        <v>47</v>
      </c>
      <c r="V172" t="s">
        <v>47</v>
      </c>
      <c r="W172" t="s">
        <v>47</v>
      </c>
      <c r="X172" t="s">
        <v>35</v>
      </c>
      <c r="Y172" t="s">
        <v>47</v>
      </c>
      <c r="Z172" t="s">
        <v>35</v>
      </c>
      <c r="AA172" t="s">
        <v>50</v>
      </c>
      <c r="AB172" t="s">
        <v>35</v>
      </c>
      <c r="AC172" t="s">
        <v>458</v>
      </c>
      <c r="AD172" t="s">
        <v>74</v>
      </c>
    </row>
    <row r="174" spans="1:30">
      <c r="A174" s="1">
        <v>51051926</v>
      </c>
      <c r="B174" s="1" t="s">
        <v>461</v>
      </c>
      <c r="C174" s="1" t="s">
        <v>72</v>
      </c>
      <c r="D174" s="1" t="s">
        <v>47</v>
      </c>
      <c r="E174" s="1" t="s">
        <v>35</v>
      </c>
      <c r="F174" s="1">
        <v>9432</v>
      </c>
      <c r="G174" s="1" t="s">
        <v>54</v>
      </c>
      <c r="H174" s="1" t="s">
        <v>45</v>
      </c>
      <c r="I174" s="1" t="s">
        <v>48</v>
      </c>
      <c r="J174" s="1" t="s">
        <v>35</v>
      </c>
      <c r="K174" s="1" t="s">
        <v>35</v>
      </c>
      <c r="L174" s="1" t="s">
        <v>463</v>
      </c>
      <c r="M174" s="1" t="s">
        <v>57</v>
      </c>
      <c r="N174" s="1" t="s">
        <v>58</v>
      </c>
      <c r="O174" s="1" t="s">
        <v>215</v>
      </c>
      <c r="P174" s="1">
        <v>20260817</v>
      </c>
      <c r="Q174" s="1">
        <v>100</v>
      </c>
      <c r="R174" s="1">
        <v>0</v>
      </c>
      <c r="S174" s="1" t="s">
        <v>217</v>
      </c>
      <c r="T174" s="1" t="s">
        <v>49</v>
      </c>
      <c r="U174" s="1" t="s">
        <v>47</v>
      </c>
      <c r="V174" s="1" t="s">
        <v>47</v>
      </c>
      <c r="W174" s="1" t="s">
        <v>47</v>
      </c>
      <c r="X174" s="1" t="s">
        <v>35</v>
      </c>
      <c r="Y174" s="1" t="s">
        <v>47</v>
      </c>
      <c r="Z174" s="1" t="s">
        <v>35</v>
      </c>
      <c r="AA174" s="1" t="s">
        <v>50</v>
      </c>
      <c r="AB174" s="1" t="s">
        <v>35</v>
      </c>
      <c r="AC174" s="1" t="s">
        <v>463</v>
      </c>
      <c r="AD174" s="1" t="s">
        <v>74</v>
      </c>
    </row>
    <row r="175" spans="1:30">
      <c r="A175" s="1">
        <v>51051926</v>
      </c>
      <c r="B175" s="1" t="s">
        <v>460</v>
      </c>
      <c r="C175" s="1" t="s">
        <v>44</v>
      </c>
      <c r="D175" s="1" t="s">
        <v>34</v>
      </c>
      <c r="E175" s="1" t="s">
        <v>35</v>
      </c>
      <c r="F175" s="1">
        <v>9432</v>
      </c>
      <c r="G175" s="1" t="s">
        <v>41</v>
      </c>
      <c r="H175" s="1" t="s">
        <v>36</v>
      </c>
      <c r="I175" s="1" t="s">
        <v>37</v>
      </c>
      <c r="J175" s="1" t="s">
        <v>35</v>
      </c>
      <c r="K175" s="1" t="s">
        <v>35</v>
      </c>
      <c r="L175" s="1" t="s">
        <v>462</v>
      </c>
      <c r="M175" s="1" t="s">
        <v>42</v>
      </c>
      <c r="N175" s="1" t="s">
        <v>43</v>
      </c>
      <c r="O175" s="1" t="s">
        <v>214</v>
      </c>
      <c r="P175" s="1">
        <v>20260817</v>
      </c>
      <c r="Q175" s="1">
        <v>100</v>
      </c>
      <c r="R175" s="1">
        <v>0</v>
      </c>
      <c r="S175" s="1" t="s">
        <v>216</v>
      </c>
      <c r="T175" s="1" t="s">
        <v>39</v>
      </c>
      <c r="U175" s="1" t="s">
        <v>34</v>
      </c>
      <c r="V175" s="1" t="s">
        <v>34</v>
      </c>
      <c r="W175" s="1" t="s">
        <v>34</v>
      </c>
      <c r="X175" s="1" t="s">
        <v>35</v>
      </c>
      <c r="Y175" s="1" t="s">
        <v>34</v>
      </c>
      <c r="Z175" s="1" t="s">
        <v>35</v>
      </c>
      <c r="AA175" s="1" t="s">
        <v>40</v>
      </c>
      <c r="AB175" s="1" t="s">
        <v>35</v>
      </c>
      <c r="AC175" s="1" t="s">
        <v>462</v>
      </c>
      <c r="AD175" s="1" t="s">
        <v>77</v>
      </c>
    </row>
    <row r="177" spans="1:30">
      <c r="A177" t="s">
        <v>4</v>
      </c>
      <c r="B177" t="s">
        <v>6</v>
      </c>
      <c r="C177" t="s">
        <v>7</v>
      </c>
      <c r="D177" t="s">
        <v>8</v>
      </c>
      <c r="E177" t="s">
        <v>9</v>
      </c>
      <c r="F177" t="s">
        <v>10</v>
      </c>
      <c r="G177" t="s">
        <v>11</v>
      </c>
      <c r="H177" t="s">
        <v>12</v>
      </c>
      <c r="I177" t="s">
        <v>13</v>
      </c>
      <c r="J177" t="s">
        <v>14</v>
      </c>
      <c r="K177" t="s">
        <v>15</v>
      </c>
      <c r="L177" t="s">
        <v>666</v>
      </c>
      <c r="M177" t="s">
        <v>16</v>
      </c>
      <c r="N177" t="s">
        <v>17</v>
      </c>
      <c r="O177" t="s">
        <v>18</v>
      </c>
      <c r="P177" t="s">
        <v>19</v>
      </c>
      <c r="Q177" t="s">
        <v>20</v>
      </c>
      <c r="R177" t="s">
        <v>21</v>
      </c>
      <c r="S177" t="s">
        <v>22</v>
      </c>
      <c r="T177" t="s">
        <v>23</v>
      </c>
      <c r="U177" t="s">
        <v>24</v>
      </c>
      <c r="V177" t="s">
        <v>25</v>
      </c>
      <c r="W177" t="s">
        <v>26</v>
      </c>
      <c r="X177" t="s">
        <v>27</v>
      </c>
      <c r="Y177" t="s">
        <v>28</v>
      </c>
      <c r="Z177" t="s">
        <v>29</v>
      </c>
      <c r="AA177" t="s">
        <v>30</v>
      </c>
      <c r="AB177" t="s">
        <v>31</v>
      </c>
      <c r="AC177" t="s">
        <v>32</v>
      </c>
      <c r="AD177" t="s">
        <v>33</v>
      </c>
    </row>
    <row r="178" spans="1:30">
      <c r="A178" s="1">
        <v>53095981</v>
      </c>
      <c r="B178" s="1" t="s">
        <v>667</v>
      </c>
      <c r="C178" s="1" t="s">
        <v>212</v>
      </c>
      <c r="D178" s="1" t="s">
        <v>47</v>
      </c>
      <c r="E178" s="1" t="s">
        <v>35</v>
      </c>
      <c r="F178" s="1">
        <v>7012</v>
      </c>
      <c r="G178" s="1" t="s">
        <v>120</v>
      </c>
      <c r="H178" s="1" t="s">
        <v>45</v>
      </c>
      <c r="I178" s="1" t="s">
        <v>48</v>
      </c>
      <c r="J178" s="1" t="s">
        <v>46</v>
      </c>
      <c r="K178" s="1" t="s">
        <v>116</v>
      </c>
      <c r="L178" s="1" t="s">
        <v>668</v>
      </c>
      <c r="M178" s="1" t="s">
        <v>118</v>
      </c>
      <c r="N178" s="1" t="s">
        <v>117</v>
      </c>
      <c r="O178" s="1" t="s">
        <v>215</v>
      </c>
      <c r="P178" s="1">
        <v>20260902</v>
      </c>
      <c r="Q178" s="1">
        <v>100</v>
      </c>
      <c r="R178" s="1">
        <v>100</v>
      </c>
      <c r="S178" s="1">
        <v>2446.5</v>
      </c>
      <c r="T178" s="1" t="s">
        <v>49</v>
      </c>
      <c r="U178" s="1" t="s">
        <v>47</v>
      </c>
      <c r="V178" s="1" t="s">
        <v>47</v>
      </c>
      <c r="W178" s="1" t="s">
        <v>47</v>
      </c>
      <c r="X178" s="1" t="s">
        <v>35</v>
      </c>
      <c r="Y178" s="1" t="s">
        <v>47</v>
      </c>
      <c r="Z178" s="1" t="s">
        <v>35</v>
      </c>
      <c r="AA178" s="1" t="s">
        <v>50</v>
      </c>
      <c r="AB178" s="1" t="s">
        <v>35</v>
      </c>
      <c r="AC178" s="1" t="s">
        <v>668</v>
      </c>
      <c r="AD178" s="1" t="s">
        <v>669</v>
      </c>
    </row>
    <row r="179" spans="1:30">
      <c r="A179">
        <v>53114625</v>
      </c>
      <c r="B179" t="s">
        <v>670</v>
      </c>
      <c r="C179" t="s">
        <v>212</v>
      </c>
      <c r="D179" t="s">
        <v>47</v>
      </c>
      <c r="E179" t="s">
        <v>35</v>
      </c>
      <c r="F179">
        <v>7012</v>
      </c>
      <c r="G179" t="s">
        <v>120</v>
      </c>
      <c r="H179" t="s">
        <v>45</v>
      </c>
      <c r="I179" t="s">
        <v>48</v>
      </c>
      <c r="J179" t="s">
        <v>46</v>
      </c>
      <c r="K179" t="s">
        <v>116</v>
      </c>
      <c r="L179" t="s">
        <v>671</v>
      </c>
      <c r="M179" t="s">
        <v>124</v>
      </c>
      <c r="N179" t="s">
        <v>123</v>
      </c>
      <c r="O179" t="s">
        <v>215</v>
      </c>
      <c r="P179">
        <v>20260902</v>
      </c>
      <c r="Q179">
        <v>100</v>
      </c>
      <c r="R179">
        <v>100</v>
      </c>
      <c r="S179" t="s">
        <v>217</v>
      </c>
      <c r="T179" t="s">
        <v>49</v>
      </c>
      <c r="U179" t="s">
        <v>47</v>
      </c>
      <c r="V179" t="s">
        <v>47</v>
      </c>
      <c r="W179" t="s">
        <v>47</v>
      </c>
      <c r="X179" t="s">
        <v>125</v>
      </c>
      <c r="Y179" t="s">
        <v>47</v>
      </c>
      <c r="Z179" t="s">
        <v>35</v>
      </c>
      <c r="AA179" t="s">
        <v>50</v>
      </c>
      <c r="AB179" t="s">
        <v>35</v>
      </c>
      <c r="AC179" t="s">
        <v>671</v>
      </c>
      <c r="AD179" t="s">
        <v>672</v>
      </c>
    </row>
    <row r="180" spans="1:30">
      <c r="A180" s="1" t="s">
        <v>78</v>
      </c>
      <c r="B180" s="1" t="s">
        <v>78</v>
      </c>
      <c r="C180" s="1" t="s">
        <v>78</v>
      </c>
      <c r="D180" s="1" t="s">
        <v>78</v>
      </c>
      <c r="E180" s="1" t="s">
        <v>78</v>
      </c>
      <c r="F180" s="1" t="s">
        <v>78</v>
      </c>
      <c r="G180" s="1" t="s">
        <v>78</v>
      </c>
      <c r="H180" s="1" t="s">
        <v>78</v>
      </c>
      <c r="I180" s="1" t="s">
        <v>78</v>
      </c>
      <c r="J180" s="1" t="s">
        <v>78</v>
      </c>
      <c r="K180" s="1" t="s">
        <v>78</v>
      </c>
      <c r="L180" s="1" t="s">
        <v>78</v>
      </c>
      <c r="M180" s="1" t="s">
        <v>78</v>
      </c>
      <c r="N180" s="1" t="s">
        <v>78</v>
      </c>
      <c r="O180" s="1" t="s">
        <v>78</v>
      </c>
      <c r="P180" s="1" t="s">
        <v>78</v>
      </c>
      <c r="Q180" s="1" t="s">
        <v>78</v>
      </c>
      <c r="R180" s="1" t="s">
        <v>78</v>
      </c>
      <c r="S180" s="1" t="s">
        <v>78</v>
      </c>
      <c r="T180" s="1" t="s">
        <v>78</v>
      </c>
      <c r="U180" s="1" t="s">
        <v>78</v>
      </c>
      <c r="V180" s="1" t="s">
        <v>78</v>
      </c>
      <c r="W180" s="1" t="s">
        <v>78</v>
      </c>
      <c r="X180" s="1" t="s">
        <v>78</v>
      </c>
      <c r="Y180" s="1" t="s">
        <v>78</v>
      </c>
      <c r="Z180" s="1" t="s">
        <v>78</v>
      </c>
      <c r="AA180" s="1" t="s">
        <v>78</v>
      </c>
      <c r="AB180" s="1" t="s">
        <v>78</v>
      </c>
      <c r="AC180" s="1" t="s">
        <v>78</v>
      </c>
      <c r="AD180" s="1" t="s">
        <v>78</v>
      </c>
    </row>
    <row r="183" spans="1:30">
      <c r="A183" t="s">
        <v>4</v>
      </c>
      <c r="B183" t="s">
        <v>6</v>
      </c>
      <c r="C183" t="s">
        <v>7</v>
      </c>
      <c r="D183" t="s">
        <v>8</v>
      </c>
      <c r="E183" t="s">
        <v>9</v>
      </c>
      <c r="F183" t="s">
        <v>10</v>
      </c>
      <c r="G183" t="s">
        <v>11</v>
      </c>
      <c r="H183" t="s">
        <v>12</v>
      </c>
      <c r="I183" t="s">
        <v>13</v>
      </c>
      <c r="J183" t="s">
        <v>14</v>
      </c>
      <c r="K183" t="s">
        <v>15</v>
      </c>
      <c r="L183" t="s">
        <v>79</v>
      </c>
      <c r="M183" t="s">
        <v>16</v>
      </c>
      <c r="N183" t="s">
        <v>17</v>
      </c>
      <c r="O183" t="s">
        <v>18</v>
      </c>
      <c r="P183" t="s">
        <v>19</v>
      </c>
      <c r="Q183" t="s">
        <v>20</v>
      </c>
      <c r="R183" t="s">
        <v>21</v>
      </c>
      <c r="S183" t="s">
        <v>22</v>
      </c>
      <c r="T183" t="s">
        <v>23</v>
      </c>
      <c r="U183" t="s">
        <v>24</v>
      </c>
      <c r="V183" t="s">
        <v>25</v>
      </c>
      <c r="W183" t="s">
        <v>26</v>
      </c>
      <c r="X183" t="s">
        <v>27</v>
      </c>
      <c r="Y183" t="s">
        <v>28</v>
      </c>
      <c r="Z183" t="s">
        <v>29</v>
      </c>
      <c r="AA183" t="s">
        <v>30</v>
      </c>
      <c r="AB183" t="s">
        <v>31</v>
      </c>
      <c r="AC183" t="s">
        <v>32</v>
      </c>
      <c r="AD183" t="s">
        <v>33</v>
      </c>
    </row>
    <row r="184" spans="1:30">
      <c r="A184">
        <v>52298492</v>
      </c>
      <c r="B184" t="s">
        <v>707</v>
      </c>
      <c r="C184" t="s">
        <v>519</v>
      </c>
      <c r="D184" t="s">
        <v>34</v>
      </c>
      <c r="E184" t="s">
        <v>35</v>
      </c>
      <c r="F184">
        <v>5803</v>
      </c>
      <c r="G184" t="s">
        <v>490</v>
      </c>
      <c r="H184" t="s">
        <v>36</v>
      </c>
      <c r="I184" t="s">
        <v>37</v>
      </c>
      <c r="J184" t="s">
        <v>685</v>
      </c>
      <c r="K184" t="s">
        <v>686</v>
      </c>
      <c r="L184" t="s">
        <v>708</v>
      </c>
      <c r="M184" t="s">
        <v>674</v>
      </c>
      <c r="N184" t="s">
        <v>521</v>
      </c>
      <c r="O184" t="s">
        <v>214</v>
      </c>
      <c r="P184">
        <v>20260908</v>
      </c>
      <c r="Q184">
        <v>100</v>
      </c>
      <c r="R184">
        <v>100</v>
      </c>
      <c r="S184" t="s">
        <v>216</v>
      </c>
      <c r="T184" t="s">
        <v>39</v>
      </c>
      <c r="U184" t="s">
        <v>34</v>
      </c>
      <c r="V184" t="s">
        <v>34</v>
      </c>
      <c r="W184" t="s">
        <v>34</v>
      </c>
      <c r="X184" t="s">
        <v>35</v>
      </c>
      <c r="Y184" t="s">
        <v>34</v>
      </c>
      <c r="Z184" t="s">
        <v>35</v>
      </c>
      <c r="AA184" t="s">
        <v>40</v>
      </c>
      <c r="AB184" t="s">
        <v>35</v>
      </c>
      <c r="AC184" t="s">
        <v>708</v>
      </c>
      <c r="AD184" t="s">
        <v>710</v>
      </c>
    </row>
    <row r="186" spans="1:30">
      <c r="A186" t="s">
        <v>4</v>
      </c>
      <c r="B186" t="s">
        <v>6</v>
      </c>
      <c r="C186" t="s">
        <v>7</v>
      </c>
      <c r="D186" t="s">
        <v>8</v>
      </c>
      <c r="E186" t="s">
        <v>9</v>
      </c>
      <c r="F186" t="s">
        <v>10</v>
      </c>
      <c r="G186" t="s">
        <v>11</v>
      </c>
      <c r="H186" t="s">
        <v>12</v>
      </c>
      <c r="I186" t="s">
        <v>13</v>
      </c>
      <c r="J186" t="s">
        <v>14</v>
      </c>
      <c r="K186" t="s">
        <v>15</v>
      </c>
      <c r="L186" t="s">
        <v>79</v>
      </c>
      <c r="M186" t="s">
        <v>16</v>
      </c>
      <c r="N186" t="s">
        <v>17</v>
      </c>
      <c r="O186" t="s">
        <v>18</v>
      </c>
      <c r="P186" t="s">
        <v>19</v>
      </c>
      <c r="Q186" t="s">
        <v>20</v>
      </c>
      <c r="R186" t="s">
        <v>21</v>
      </c>
      <c r="S186" t="s">
        <v>22</v>
      </c>
      <c r="T186" t="s">
        <v>23</v>
      </c>
      <c r="U186" t="s">
        <v>24</v>
      </c>
      <c r="V186" t="s">
        <v>25</v>
      </c>
      <c r="W186" t="s">
        <v>26</v>
      </c>
      <c r="X186" t="s">
        <v>27</v>
      </c>
      <c r="Y186" t="s">
        <v>28</v>
      </c>
      <c r="Z186" t="s">
        <v>29</v>
      </c>
      <c r="AA186" t="s">
        <v>30</v>
      </c>
      <c r="AB186" t="s">
        <v>31</v>
      </c>
      <c r="AC186" t="s">
        <v>32</v>
      </c>
      <c r="AD186" t="s">
        <v>33</v>
      </c>
    </row>
    <row r="187" spans="1:30">
      <c r="A187" s="1">
        <v>53059757</v>
      </c>
      <c r="B187" s="1" t="s">
        <v>722</v>
      </c>
      <c r="C187" s="1" t="s">
        <v>723</v>
      </c>
      <c r="D187" s="1" t="s">
        <v>690</v>
      </c>
      <c r="E187" s="1" t="s">
        <v>35</v>
      </c>
      <c r="F187" s="1">
        <v>5803</v>
      </c>
      <c r="G187" s="1" t="s">
        <v>698</v>
      </c>
      <c r="H187" s="1" t="s">
        <v>691</v>
      </c>
      <c r="I187" s="1" t="s">
        <v>692</v>
      </c>
      <c r="J187" s="1" t="s">
        <v>702</v>
      </c>
      <c r="K187" s="1" t="s">
        <v>703</v>
      </c>
      <c r="L187" s="1" t="s">
        <v>725</v>
      </c>
      <c r="M187" s="1" t="s">
        <v>699</v>
      </c>
      <c r="N187" s="1" t="s">
        <v>700</v>
      </c>
      <c r="O187" s="1" t="s">
        <v>693</v>
      </c>
      <c r="P187" s="1">
        <v>20260909</v>
      </c>
      <c r="Q187" s="1">
        <v>100</v>
      </c>
      <c r="R187" s="1">
        <v>0</v>
      </c>
      <c r="S187" s="1" t="s">
        <v>694</v>
      </c>
      <c r="T187" s="1" t="s">
        <v>695</v>
      </c>
      <c r="U187" s="1" t="s">
        <v>690</v>
      </c>
      <c r="V187" s="1" t="s">
        <v>690</v>
      </c>
      <c r="W187" s="1" t="s">
        <v>690</v>
      </c>
      <c r="X187" s="1" t="s">
        <v>701</v>
      </c>
      <c r="Y187" s="1" t="s">
        <v>690</v>
      </c>
      <c r="Z187" s="1" t="s">
        <v>35</v>
      </c>
      <c r="AA187" s="1" t="s">
        <v>696</v>
      </c>
      <c r="AB187" s="1" t="s">
        <v>35</v>
      </c>
      <c r="AC187" s="1" t="s">
        <v>725</v>
      </c>
      <c r="AD187" s="1" t="s">
        <v>697</v>
      </c>
    </row>
    <row r="189" spans="1:30">
      <c r="A189" s="1">
        <v>53059757</v>
      </c>
      <c r="B189" s="1" t="s">
        <v>721</v>
      </c>
      <c r="C189" s="1" t="s">
        <v>44</v>
      </c>
      <c r="D189" s="1" t="s">
        <v>34</v>
      </c>
      <c r="E189" s="1" t="s">
        <v>35</v>
      </c>
      <c r="F189" s="1">
        <v>5803</v>
      </c>
      <c r="G189" s="1" t="s">
        <v>490</v>
      </c>
      <c r="H189" s="1" t="s">
        <v>36</v>
      </c>
      <c r="I189" s="1" t="s">
        <v>37</v>
      </c>
      <c r="J189" s="1" t="s">
        <v>685</v>
      </c>
      <c r="K189" s="1" t="s">
        <v>686</v>
      </c>
      <c r="L189" s="1" t="s">
        <v>724</v>
      </c>
      <c r="M189" s="1" t="s">
        <v>679</v>
      </c>
      <c r="N189" s="1" t="s">
        <v>523</v>
      </c>
      <c r="O189" s="1" t="s">
        <v>214</v>
      </c>
      <c r="P189" s="1">
        <v>20260909</v>
      </c>
      <c r="Q189" s="1">
        <v>100</v>
      </c>
      <c r="R189" s="1">
        <v>0</v>
      </c>
      <c r="S189" s="1" t="s">
        <v>216</v>
      </c>
      <c r="T189" s="1" t="s">
        <v>39</v>
      </c>
      <c r="U189" s="1" t="s">
        <v>34</v>
      </c>
      <c r="V189" s="1" t="s">
        <v>34</v>
      </c>
      <c r="W189" s="1" t="s">
        <v>34</v>
      </c>
      <c r="X189" s="1" t="s">
        <v>687</v>
      </c>
      <c r="Y189" s="1" t="s">
        <v>34</v>
      </c>
      <c r="Z189" s="1" t="s">
        <v>35</v>
      </c>
      <c r="AA189" s="1" t="s">
        <v>40</v>
      </c>
      <c r="AB189" s="1" t="s">
        <v>35</v>
      </c>
      <c r="AC189" s="1" t="s">
        <v>724</v>
      </c>
      <c r="AD189" s="1" t="s">
        <v>77</v>
      </c>
    </row>
  </sheetData>
  <phoneticPr fontId="1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0DB2A-BE34-4799-822F-AC668FAE9BCC}">
  <dimension ref="A1:AD150"/>
  <sheetViews>
    <sheetView topLeftCell="A133" workbookViewId="0">
      <selection activeCell="A137" sqref="A137:XFD150"/>
    </sheetView>
  </sheetViews>
  <sheetFormatPr defaultRowHeight="18.75"/>
  <cols>
    <col min="1" max="1" width="19" customWidth="1"/>
    <col min="11" max="11" width="11" customWidth="1"/>
    <col min="12" max="12" width="18.625" customWidth="1"/>
  </cols>
  <sheetData>
    <row r="1" spans="1:30">
      <c r="A1" t="s">
        <v>80</v>
      </c>
    </row>
    <row r="2" spans="1:30">
      <c r="A2" t="s">
        <v>4</v>
      </c>
      <c r="B2" t="s">
        <v>6</v>
      </c>
      <c r="C2" t="s">
        <v>7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79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53059757</v>
      </c>
      <c r="B3" s="1" t="s">
        <v>722</v>
      </c>
      <c r="C3" s="1" t="s">
        <v>290</v>
      </c>
      <c r="D3" s="1" t="s">
        <v>47</v>
      </c>
      <c r="E3" s="1" t="s">
        <v>35</v>
      </c>
      <c r="F3" s="1">
        <v>5803</v>
      </c>
      <c r="G3" s="1" t="s">
        <v>176</v>
      </c>
      <c r="H3" s="1" t="s">
        <v>45</v>
      </c>
      <c r="I3" s="1" t="s">
        <v>48</v>
      </c>
      <c r="J3" s="1" t="s">
        <v>223</v>
      </c>
      <c r="K3" s="1" t="s">
        <v>224</v>
      </c>
      <c r="L3" s="1" t="s">
        <v>725</v>
      </c>
      <c r="M3" s="1" t="s">
        <v>124</v>
      </c>
      <c r="N3" s="1" t="s">
        <v>123</v>
      </c>
      <c r="O3" s="1" t="s">
        <v>215</v>
      </c>
      <c r="P3" s="1">
        <v>20260909</v>
      </c>
      <c r="Q3" s="1">
        <v>100</v>
      </c>
      <c r="R3" s="1">
        <v>0</v>
      </c>
      <c r="S3" s="1" t="s">
        <v>217</v>
      </c>
      <c r="T3" s="1" t="s">
        <v>49</v>
      </c>
      <c r="U3" s="1" t="s">
        <v>47</v>
      </c>
      <c r="V3" s="1" t="s">
        <v>47</v>
      </c>
      <c r="W3" s="1" t="s">
        <v>47</v>
      </c>
      <c r="X3" s="1" t="s">
        <v>125</v>
      </c>
      <c r="Y3" s="1" t="s">
        <v>47</v>
      </c>
      <c r="Z3" s="1" t="s">
        <v>35</v>
      </c>
      <c r="AA3" s="1" t="s">
        <v>50</v>
      </c>
      <c r="AB3" s="1" t="s">
        <v>35</v>
      </c>
      <c r="AC3" s="1" t="s">
        <v>725</v>
      </c>
      <c r="AD3" s="1" t="s">
        <v>74</v>
      </c>
    </row>
    <row r="4" spans="1:30">
      <c r="A4">
        <v>53088171</v>
      </c>
      <c r="B4" t="s">
        <v>886</v>
      </c>
      <c r="C4" t="s">
        <v>212</v>
      </c>
      <c r="D4" t="s">
        <v>47</v>
      </c>
      <c r="E4" t="s">
        <v>35</v>
      </c>
      <c r="F4">
        <v>6613</v>
      </c>
      <c r="G4" t="s">
        <v>165</v>
      </c>
      <c r="H4" t="s">
        <v>45</v>
      </c>
      <c r="I4" t="s">
        <v>48</v>
      </c>
      <c r="J4" t="s">
        <v>46</v>
      </c>
      <c r="K4" t="s">
        <v>116</v>
      </c>
      <c r="L4" t="s">
        <v>744</v>
      </c>
      <c r="M4" t="s">
        <v>118</v>
      </c>
      <c r="N4" t="s">
        <v>117</v>
      </c>
      <c r="O4" t="s">
        <v>215</v>
      </c>
      <c r="P4">
        <v>20260909</v>
      </c>
      <c r="Q4">
        <v>100</v>
      </c>
      <c r="R4">
        <v>100</v>
      </c>
      <c r="S4" t="s">
        <v>217</v>
      </c>
      <c r="T4" t="s">
        <v>49</v>
      </c>
      <c r="U4" t="s">
        <v>47</v>
      </c>
      <c r="V4" t="s">
        <v>47</v>
      </c>
      <c r="W4" t="s">
        <v>47</v>
      </c>
      <c r="X4" t="s">
        <v>35</v>
      </c>
      <c r="Y4" t="s">
        <v>47</v>
      </c>
      <c r="Z4" t="s">
        <v>35</v>
      </c>
      <c r="AA4" t="s">
        <v>50</v>
      </c>
      <c r="AB4" t="s">
        <v>35</v>
      </c>
      <c r="AC4" t="s">
        <v>744</v>
      </c>
      <c r="AD4" t="s">
        <v>887</v>
      </c>
    </row>
    <row r="5" spans="1:30">
      <c r="A5">
        <v>53092235</v>
      </c>
      <c r="B5" t="s">
        <v>888</v>
      </c>
      <c r="C5" t="s">
        <v>212</v>
      </c>
      <c r="D5" t="s">
        <v>47</v>
      </c>
      <c r="E5" t="s">
        <v>35</v>
      </c>
      <c r="F5">
        <v>6613</v>
      </c>
      <c r="G5" t="s">
        <v>165</v>
      </c>
      <c r="H5" t="s">
        <v>45</v>
      </c>
      <c r="I5" t="s">
        <v>48</v>
      </c>
      <c r="J5" t="s">
        <v>46</v>
      </c>
      <c r="K5" t="s">
        <v>116</v>
      </c>
      <c r="L5" t="s">
        <v>745</v>
      </c>
      <c r="M5" t="s">
        <v>124</v>
      </c>
      <c r="N5" t="s">
        <v>123</v>
      </c>
      <c r="O5" t="s">
        <v>215</v>
      </c>
      <c r="P5">
        <v>20260909</v>
      </c>
      <c r="Q5">
        <v>100</v>
      </c>
      <c r="R5">
        <v>100</v>
      </c>
      <c r="S5" t="s">
        <v>217</v>
      </c>
      <c r="T5" t="s">
        <v>49</v>
      </c>
      <c r="U5" t="s">
        <v>47</v>
      </c>
      <c r="V5" t="s">
        <v>47</v>
      </c>
      <c r="W5" t="s">
        <v>47</v>
      </c>
      <c r="X5" t="s">
        <v>125</v>
      </c>
      <c r="Y5" t="s">
        <v>47</v>
      </c>
      <c r="Z5" t="s">
        <v>35</v>
      </c>
      <c r="AA5" t="s">
        <v>50</v>
      </c>
      <c r="AB5" t="s">
        <v>35</v>
      </c>
      <c r="AC5" t="s">
        <v>745</v>
      </c>
      <c r="AD5" t="s">
        <v>889</v>
      </c>
    </row>
    <row r="6" spans="1:30">
      <c r="A6">
        <v>53093643</v>
      </c>
      <c r="B6" t="s">
        <v>890</v>
      </c>
      <c r="C6" t="s">
        <v>212</v>
      </c>
      <c r="D6" t="s">
        <v>47</v>
      </c>
      <c r="E6" t="s">
        <v>35</v>
      </c>
      <c r="F6">
        <v>6613</v>
      </c>
      <c r="G6" t="s">
        <v>165</v>
      </c>
      <c r="H6" t="s">
        <v>45</v>
      </c>
      <c r="I6" t="s">
        <v>48</v>
      </c>
      <c r="J6" t="s">
        <v>46</v>
      </c>
      <c r="K6" t="s">
        <v>116</v>
      </c>
      <c r="L6" t="s">
        <v>746</v>
      </c>
      <c r="M6" t="s">
        <v>118</v>
      </c>
      <c r="N6" t="s">
        <v>117</v>
      </c>
      <c r="O6" t="s">
        <v>215</v>
      </c>
      <c r="P6">
        <v>20260909</v>
      </c>
      <c r="Q6">
        <v>100</v>
      </c>
      <c r="R6">
        <v>100</v>
      </c>
      <c r="S6" t="s">
        <v>217</v>
      </c>
      <c r="T6" t="s">
        <v>49</v>
      </c>
      <c r="U6" t="s">
        <v>47</v>
      </c>
      <c r="V6" t="s">
        <v>47</v>
      </c>
      <c r="W6" t="s">
        <v>47</v>
      </c>
      <c r="X6" t="s">
        <v>35</v>
      </c>
      <c r="Y6" t="s">
        <v>47</v>
      </c>
      <c r="Z6" t="s">
        <v>35</v>
      </c>
      <c r="AA6" t="s">
        <v>50</v>
      </c>
      <c r="AB6" t="s">
        <v>35</v>
      </c>
      <c r="AC6" t="s">
        <v>746</v>
      </c>
      <c r="AD6" t="s">
        <v>891</v>
      </c>
    </row>
    <row r="7" spans="1:30">
      <c r="A7">
        <v>53100069</v>
      </c>
      <c r="B7" t="s">
        <v>892</v>
      </c>
      <c r="C7" t="s">
        <v>212</v>
      </c>
      <c r="D7" t="s">
        <v>47</v>
      </c>
      <c r="E7" t="s">
        <v>35</v>
      </c>
      <c r="F7">
        <v>5803</v>
      </c>
      <c r="G7" t="s">
        <v>176</v>
      </c>
      <c r="H7" t="s">
        <v>45</v>
      </c>
      <c r="I7" t="s">
        <v>48</v>
      </c>
      <c r="J7" t="s">
        <v>223</v>
      </c>
      <c r="K7" t="s">
        <v>224</v>
      </c>
      <c r="L7" t="s">
        <v>747</v>
      </c>
      <c r="M7" t="s">
        <v>124</v>
      </c>
      <c r="N7" t="s">
        <v>123</v>
      </c>
      <c r="O7" t="s">
        <v>215</v>
      </c>
      <c r="P7">
        <v>20260909</v>
      </c>
      <c r="Q7">
        <v>100</v>
      </c>
      <c r="R7">
        <v>100</v>
      </c>
      <c r="S7" t="s">
        <v>217</v>
      </c>
      <c r="T7" t="s">
        <v>49</v>
      </c>
      <c r="U7" t="s">
        <v>47</v>
      </c>
      <c r="V7" t="s">
        <v>47</v>
      </c>
      <c r="W7" t="s">
        <v>47</v>
      </c>
      <c r="X7" t="s">
        <v>125</v>
      </c>
      <c r="Y7" t="s">
        <v>47</v>
      </c>
      <c r="Z7" t="s">
        <v>35</v>
      </c>
      <c r="AA7" t="s">
        <v>50</v>
      </c>
      <c r="AB7" t="s">
        <v>35</v>
      </c>
      <c r="AC7" t="s">
        <v>747</v>
      </c>
      <c r="AD7" t="s">
        <v>893</v>
      </c>
    </row>
    <row r="8" spans="1:30">
      <c r="A8">
        <v>53103431</v>
      </c>
      <c r="B8" t="s">
        <v>894</v>
      </c>
      <c r="C8" t="s">
        <v>212</v>
      </c>
      <c r="D8" t="s">
        <v>47</v>
      </c>
      <c r="E8" t="s">
        <v>35</v>
      </c>
      <c r="F8">
        <v>3436</v>
      </c>
      <c r="G8" t="s">
        <v>152</v>
      </c>
      <c r="H8" t="s">
        <v>45</v>
      </c>
      <c r="I8" t="s">
        <v>48</v>
      </c>
      <c r="J8" t="s">
        <v>46</v>
      </c>
      <c r="K8" t="s">
        <v>116</v>
      </c>
      <c r="L8" t="s">
        <v>748</v>
      </c>
      <c r="M8" t="s">
        <v>118</v>
      </c>
      <c r="N8" t="s">
        <v>117</v>
      </c>
      <c r="O8" t="s">
        <v>215</v>
      </c>
      <c r="P8">
        <v>20260909</v>
      </c>
      <c r="Q8">
        <v>100</v>
      </c>
      <c r="R8">
        <v>100</v>
      </c>
      <c r="S8" t="s">
        <v>217</v>
      </c>
      <c r="T8" t="s">
        <v>49</v>
      </c>
      <c r="U8" t="s">
        <v>47</v>
      </c>
      <c r="V8" t="s">
        <v>47</v>
      </c>
      <c r="W8" t="s">
        <v>47</v>
      </c>
      <c r="X8" t="s">
        <v>35</v>
      </c>
      <c r="Y8" t="s">
        <v>47</v>
      </c>
      <c r="Z8" t="s">
        <v>35</v>
      </c>
      <c r="AA8" t="s">
        <v>50</v>
      </c>
      <c r="AB8" t="s">
        <v>35</v>
      </c>
      <c r="AC8" t="s">
        <v>748</v>
      </c>
      <c r="AD8" t="s">
        <v>895</v>
      </c>
    </row>
    <row r="9" spans="1:30">
      <c r="A9">
        <v>53104368</v>
      </c>
      <c r="B9" t="s">
        <v>896</v>
      </c>
      <c r="C9" t="s">
        <v>212</v>
      </c>
      <c r="D9" t="s">
        <v>47</v>
      </c>
      <c r="E9" t="s">
        <v>35</v>
      </c>
      <c r="F9">
        <v>6613</v>
      </c>
      <c r="G9" t="s">
        <v>165</v>
      </c>
      <c r="H9" t="s">
        <v>45</v>
      </c>
      <c r="I9" t="s">
        <v>48</v>
      </c>
      <c r="J9" t="s">
        <v>46</v>
      </c>
      <c r="K9" t="s">
        <v>116</v>
      </c>
      <c r="L9" t="s">
        <v>897</v>
      </c>
      <c r="M9" t="s">
        <v>124</v>
      </c>
      <c r="N9" t="s">
        <v>123</v>
      </c>
      <c r="O9" t="s">
        <v>215</v>
      </c>
      <c r="P9">
        <v>20260909</v>
      </c>
      <c r="Q9">
        <v>100</v>
      </c>
      <c r="R9">
        <v>100</v>
      </c>
      <c r="S9" t="s">
        <v>217</v>
      </c>
      <c r="T9" t="s">
        <v>49</v>
      </c>
      <c r="U9" t="s">
        <v>47</v>
      </c>
      <c r="V9" t="s">
        <v>47</v>
      </c>
      <c r="W9" t="s">
        <v>47</v>
      </c>
      <c r="X9" t="s">
        <v>125</v>
      </c>
      <c r="Y9" t="s">
        <v>47</v>
      </c>
      <c r="Z9" t="s">
        <v>35</v>
      </c>
      <c r="AA9" t="s">
        <v>50</v>
      </c>
      <c r="AB9" t="s">
        <v>35</v>
      </c>
      <c r="AC9" t="s">
        <v>749</v>
      </c>
      <c r="AD9" t="s">
        <v>898</v>
      </c>
    </row>
    <row r="10" spans="1:30">
      <c r="A10">
        <v>53104732</v>
      </c>
      <c r="B10" t="s">
        <v>899</v>
      </c>
      <c r="C10" t="s">
        <v>212</v>
      </c>
      <c r="D10" t="s">
        <v>47</v>
      </c>
      <c r="E10" t="s">
        <v>35</v>
      </c>
      <c r="F10">
        <v>6613</v>
      </c>
      <c r="G10" t="s">
        <v>165</v>
      </c>
      <c r="H10" t="s">
        <v>45</v>
      </c>
      <c r="I10" t="s">
        <v>48</v>
      </c>
      <c r="J10" t="s">
        <v>46</v>
      </c>
      <c r="K10" t="s">
        <v>116</v>
      </c>
      <c r="L10" t="s">
        <v>750</v>
      </c>
      <c r="M10" t="s">
        <v>118</v>
      </c>
      <c r="N10" t="s">
        <v>117</v>
      </c>
      <c r="O10" t="s">
        <v>215</v>
      </c>
      <c r="P10">
        <v>20260909</v>
      </c>
      <c r="Q10">
        <v>100</v>
      </c>
      <c r="R10">
        <v>100</v>
      </c>
      <c r="S10" t="s">
        <v>217</v>
      </c>
      <c r="T10" t="s">
        <v>49</v>
      </c>
      <c r="U10" t="s">
        <v>47</v>
      </c>
      <c r="V10" t="s">
        <v>47</v>
      </c>
      <c r="W10" t="s">
        <v>47</v>
      </c>
      <c r="X10" t="s">
        <v>35</v>
      </c>
      <c r="Y10" t="s">
        <v>47</v>
      </c>
      <c r="Z10" t="s">
        <v>35</v>
      </c>
      <c r="AA10" t="s">
        <v>50</v>
      </c>
      <c r="AB10" t="s">
        <v>35</v>
      </c>
      <c r="AC10" t="s">
        <v>750</v>
      </c>
      <c r="AD10" t="s">
        <v>900</v>
      </c>
    </row>
    <row r="11" spans="1:30">
      <c r="A11">
        <v>53105273</v>
      </c>
      <c r="B11" t="s">
        <v>901</v>
      </c>
      <c r="C11" t="s">
        <v>212</v>
      </c>
      <c r="D11" t="s">
        <v>47</v>
      </c>
      <c r="E11" t="s">
        <v>35</v>
      </c>
      <c r="F11">
        <v>5801</v>
      </c>
      <c r="G11" t="s">
        <v>752</v>
      </c>
      <c r="H11" t="s">
        <v>45</v>
      </c>
      <c r="I11" t="s">
        <v>48</v>
      </c>
      <c r="J11" t="s">
        <v>46</v>
      </c>
      <c r="K11" t="s">
        <v>116</v>
      </c>
      <c r="L11" t="s">
        <v>751</v>
      </c>
      <c r="M11" t="s">
        <v>118</v>
      </c>
      <c r="N11" t="s">
        <v>117</v>
      </c>
      <c r="O11" t="s">
        <v>215</v>
      </c>
      <c r="P11">
        <v>20260909</v>
      </c>
      <c r="Q11">
        <v>100</v>
      </c>
      <c r="R11">
        <v>100</v>
      </c>
      <c r="S11" t="s">
        <v>217</v>
      </c>
      <c r="T11" t="s">
        <v>49</v>
      </c>
      <c r="U11" t="s">
        <v>47</v>
      </c>
      <c r="V11" t="s">
        <v>47</v>
      </c>
      <c r="W11" t="s">
        <v>47</v>
      </c>
      <c r="X11" t="s">
        <v>35</v>
      </c>
      <c r="Y11" t="s">
        <v>47</v>
      </c>
      <c r="Z11" t="s">
        <v>35</v>
      </c>
      <c r="AA11" t="s">
        <v>50</v>
      </c>
      <c r="AB11" t="s">
        <v>35</v>
      </c>
      <c r="AC11" t="s">
        <v>751</v>
      </c>
      <c r="AD11" t="s">
        <v>902</v>
      </c>
    </row>
    <row r="12" spans="1:30">
      <c r="A12">
        <v>53108998</v>
      </c>
      <c r="B12" t="s">
        <v>903</v>
      </c>
      <c r="C12" t="s">
        <v>212</v>
      </c>
      <c r="D12" t="s">
        <v>47</v>
      </c>
      <c r="E12" t="s">
        <v>35</v>
      </c>
      <c r="F12">
        <v>5801</v>
      </c>
      <c r="G12" t="s">
        <v>752</v>
      </c>
      <c r="H12" t="s">
        <v>45</v>
      </c>
      <c r="I12" t="s">
        <v>48</v>
      </c>
      <c r="J12" t="s">
        <v>46</v>
      </c>
      <c r="K12" t="s">
        <v>116</v>
      </c>
      <c r="L12" t="s">
        <v>753</v>
      </c>
      <c r="M12" t="s">
        <v>124</v>
      </c>
      <c r="N12" t="s">
        <v>123</v>
      </c>
      <c r="O12" t="s">
        <v>215</v>
      </c>
      <c r="P12">
        <v>20260909</v>
      </c>
      <c r="Q12">
        <v>100</v>
      </c>
      <c r="R12">
        <v>100</v>
      </c>
      <c r="S12" t="s">
        <v>217</v>
      </c>
      <c r="T12" t="s">
        <v>49</v>
      </c>
      <c r="U12" t="s">
        <v>47</v>
      </c>
      <c r="V12" t="s">
        <v>47</v>
      </c>
      <c r="W12" t="s">
        <v>47</v>
      </c>
      <c r="X12" t="s">
        <v>125</v>
      </c>
      <c r="Y12" t="s">
        <v>47</v>
      </c>
      <c r="Z12" t="s">
        <v>35</v>
      </c>
      <c r="AA12" t="s">
        <v>50</v>
      </c>
      <c r="AB12" t="s">
        <v>35</v>
      </c>
      <c r="AC12" t="s">
        <v>753</v>
      </c>
      <c r="AD12" t="s">
        <v>904</v>
      </c>
    </row>
    <row r="13" spans="1:30">
      <c r="A13">
        <v>53110945</v>
      </c>
      <c r="B13" t="s">
        <v>905</v>
      </c>
      <c r="C13" t="s">
        <v>212</v>
      </c>
      <c r="D13" t="s">
        <v>47</v>
      </c>
      <c r="E13" t="s">
        <v>35</v>
      </c>
      <c r="F13">
        <v>3436</v>
      </c>
      <c r="G13" t="s">
        <v>152</v>
      </c>
      <c r="H13" t="s">
        <v>45</v>
      </c>
      <c r="I13" t="s">
        <v>48</v>
      </c>
      <c r="J13" t="s">
        <v>46</v>
      </c>
      <c r="K13" t="s">
        <v>116</v>
      </c>
      <c r="L13" t="s">
        <v>754</v>
      </c>
      <c r="M13" t="s">
        <v>118</v>
      </c>
      <c r="N13" t="s">
        <v>117</v>
      </c>
      <c r="O13" t="s">
        <v>215</v>
      </c>
      <c r="P13">
        <v>20260909</v>
      </c>
      <c r="Q13">
        <v>100</v>
      </c>
      <c r="R13">
        <v>100</v>
      </c>
      <c r="S13" t="s">
        <v>217</v>
      </c>
      <c r="T13" t="s">
        <v>49</v>
      </c>
      <c r="U13" t="s">
        <v>47</v>
      </c>
      <c r="V13" t="s">
        <v>47</v>
      </c>
      <c r="W13" t="s">
        <v>47</v>
      </c>
      <c r="X13" t="s">
        <v>35</v>
      </c>
      <c r="Y13" t="s">
        <v>47</v>
      </c>
      <c r="Z13" t="s">
        <v>35</v>
      </c>
      <c r="AA13" t="s">
        <v>50</v>
      </c>
      <c r="AB13" t="s">
        <v>35</v>
      </c>
      <c r="AC13" t="s">
        <v>754</v>
      </c>
      <c r="AD13" t="s">
        <v>906</v>
      </c>
    </row>
    <row r="14" spans="1:30">
      <c r="A14">
        <v>53118564</v>
      </c>
      <c r="B14" t="s">
        <v>907</v>
      </c>
      <c r="C14" t="s">
        <v>212</v>
      </c>
      <c r="D14" t="s">
        <v>47</v>
      </c>
      <c r="E14" t="s">
        <v>35</v>
      </c>
      <c r="F14">
        <v>6613</v>
      </c>
      <c r="G14" t="s">
        <v>165</v>
      </c>
      <c r="H14" t="s">
        <v>45</v>
      </c>
      <c r="I14" t="s">
        <v>48</v>
      </c>
      <c r="J14" t="s">
        <v>46</v>
      </c>
      <c r="K14" t="s">
        <v>116</v>
      </c>
      <c r="L14" t="s">
        <v>755</v>
      </c>
      <c r="M14" t="s">
        <v>118</v>
      </c>
      <c r="N14" t="s">
        <v>117</v>
      </c>
      <c r="O14" t="s">
        <v>215</v>
      </c>
      <c r="P14">
        <v>20260909</v>
      </c>
      <c r="Q14">
        <v>100</v>
      </c>
      <c r="R14">
        <v>100</v>
      </c>
      <c r="S14" t="s">
        <v>217</v>
      </c>
      <c r="T14" t="s">
        <v>49</v>
      </c>
      <c r="U14" t="s">
        <v>47</v>
      </c>
      <c r="V14" t="s">
        <v>47</v>
      </c>
      <c r="W14" t="s">
        <v>47</v>
      </c>
      <c r="X14" t="s">
        <v>35</v>
      </c>
      <c r="Y14" t="s">
        <v>47</v>
      </c>
      <c r="Z14" t="s">
        <v>35</v>
      </c>
      <c r="AA14" t="s">
        <v>50</v>
      </c>
      <c r="AB14" t="s">
        <v>35</v>
      </c>
      <c r="AC14" t="s">
        <v>755</v>
      </c>
      <c r="AD14" t="s">
        <v>908</v>
      </c>
    </row>
    <row r="15" spans="1:30">
      <c r="A15">
        <v>53119538</v>
      </c>
      <c r="B15" t="s">
        <v>909</v>
      </c>
      <c r="C15" t="s">
        <v>212</v>
      </c>
      <c r="D15" t="s">
        <v>47</v>
      </c>
      <c r="E15" t="s">
        <v>35</v>
      </c>
      <c r="F15">
        <v>3436</v>
      </c>
      <c r="G15" t="s">
        <v>152</v>
      </c>
      <c r="H15" t="s">
        <v>45</v>
      </c>
      <c r="I15" t="s">
        <v>48</v>
      </c>
      <c r="J15" t="s">
        <v>46</v>
      </c>
      <c r="K15" t="s">
        <v>116</v>
      </c>
      <c r="L15" t="s">
        <v>756</v>
      </c>
      <c r="M15" t="s">
        <v>124</v>
      </c>
      <c r="N15" t="s">
        <v>123</v>
      </c>
      <c r="O15" t="s">
        <v>215</v>
      </c>
      <c r="P15">
        <v>20260909</v>
      </c>
      <c r="Q15">
        <v>100</v>
      </c>
      <c r="R15">
        <v>100</v>
      </c>
      <c r="S15" t="s">
        <v>217</v>
      </c>
      <c r="T15" t="s">
        <v>49</v>
      </c>
      <c r="U15" t="s">
        <v>47</v>
      </c>
      <c r="V15" t="s">
        <v>47</v>
      </c>
      <c r="W15" t="s">
        <v>47</v>
      </c>
      <c r="X15" t="s">
        <v>125</v>
      </c>
      <c r="Y15" t="s">
        <v>47</v>
      </c>
      <c r="Z15" t="s">
        <v>35</v>
      </c>
      <c r="AA15" t="s">
        <v>50</v>
      </c>
      <c r="AB15" t="s">
        <v>35</v>
      </c>
      <c r="AC15" t="s">
        <v>756</v>
      </c>
      <c r="AD15" t="s">
        <v>910</v>
      </c>
    </row>
    <row r="16" spans="1:30">
      <c r="A16">
        <v>53120569</v>
      </c>
      <c r="B16" t="s">
        <v>911</v>
      </c>
      <c r="C16" t="s">
        <v>212</v>
      </c>
      <c r="D16" t="s">
        <v>47</v>
      </c>
      <c r="E16" t="s">
        <v>35</v>
      </c>
      <c r="F16">
        <v>6613</v>
      </c>
      <c r="G16" t="s">
        <v>165</v>
      </c>
      <c r="H16" t="s">
        <v>45</v>
      </c>
      <c r="I16" t="s">
        <v>48</v>
      </c>
      <c r="J16" t="s">
        <v>46</v>
      </c>
      <c r="K16" t="s">
        <v>116</v>
      </c>
      <c r="L16" t="s">
        <v>757</v>
      </c>
      <c r="M16" t="s">
        <v>118</v>
      </c>
      <c r="N16" t="s">
        <v>117</v>
      </c>
      <c r="O16" t="s">
        <v>215</v>
      </c>
      <c r="P16">
        <v>20260909</v>
      </c>
      <c r="Q16">
        <v>100</v>
      </c>
      <c r="R16">
        <v>100</v>
      </c>
      <c r="S16" t="s">
        <v>217</v>
      </c>
      <c r="T16" t="s">
        <v>49</v>
      </c>
      <c r="U16" t="s">
        <v>47</v>
      </c>
      <c r="V16" t="s">
        <v>47</v>
      </c>
      <c r="W16" t="s">
        <v>47</v>
      </c>
      <c r="X16" t="s">
        <v>35</v>
      </c>
      <c r="Y16" t="s">
        <v>47</v>
      </c>
      <c r="Z16" t="s">
        <v>35</v>
      </c>
      <c r="AA16" t="s">
        <v>50</v>
      </c>
      <c r="AB16" t="s">
        <v>35</v>
      </c>
      <c r="AC16" t="s">
        <v>757</v>
      </c>
      <c r="AD16" t="s">
        <v>912</v>
      </c>
    </row>
    <row r="17" spans="1:30">
      <c r="A17">
        <v>53122064</v>
      </c>
      <c r="B17" t="s">
        <v>913</v>
      </c>
      <c r="C17" t="s">
        <v>212</v>
      </c>
      <c r="D17" t="s">
        <v>232</v>
      </c>
      <c r="E17" t="s">
        <v>35</v>
      </c>
      <c r="F17">
        <v>3436</v>
      </c>
      <c r="G17" t="s">
        <v>152</v>
      </c>
      <c r="H17" t="s">
        <v>45</v>
      </c>
      <c r="I17" t="s">
        <v>48</v>
      </c>
      <c r="J17" t="s">
        <v>46</v>
      </c>
      <c r="K17" t="s">
        <v>116</v>
      </c>
      <c r="L17" t="s">
        <v>758</v>
      </c>
      <c r="M17" t="s">
        <v>124</v>
      </c>
      <c r="N17" t="s">
        <v>123</v>
      </c>
      <c r="O17" t="s">
        <v>215</v>
      </c>
      <c r="P17">
        <v>20260909</v>
      </c>
      <c r="Q17">
        <v>100</v>
      </c>
      <c r="R17">
        <v>100</v>
      </c>
      <c r="S17" t="s">
        <v>217</v>
      </c>
      <c r="T17" t="s">
        <v>49</v>
      </c>
      <c r="U17" t="s">
        <v>47</v>
      </c>
      <c r="V17" t="s">
        <v>47</v>
      </c>
      <c r="W17" t="s">
        <v>47</v>
      </c>
      <c r="X17" t="s">
        <v>125</v>
      </c>
      <c r="Y17" t="s">
        <v>47</v>
      </c>
      <c r="Z17" t="s">
        <v>35</v>
      </c>
      <c r="AA17" t="s">
        <v>50</v>
      </c>
      <c r="AB17" t="s">
        <v>35</v>
      </c>
      <c r="AC17" t="s">
        <v>758</v>
      </c>
      <c r="AD17" t="s">
        <v>914</v>
      </c>
    </row>
    <row r="18" spans="1:30">
      <c r="A18">
        <v>53122735</v>
      </c>
      <c r="B18" t="s">
        <v>915</v>
      </c>
      <c r="C18" t="s">
        <v>212</v>
      </c>
      <c r="D18" t="s">
        <v>47</v>
      </c>
      <c r="E18" t="s">
        <v>35</v>
      </c>
      <c r="F18">
        <v>6613</v>
      </c>
      <c r="G18" t="s">
        <v>165</v>
      </c>
      <c r="H18" t="s">
        <v>45</v>
      </c>
      <c r="I18" t="s">
        <v>48</v>
      </c>
      <c r="J18" t="s">
        <v>46</v>
      </c>
      <c r="K18" t="s">
        <v>116</v>
      </c>
      <c r="L18" t="s">
        <v>759</v>
      </c>
      <c r="M18" t="s">
        <v>124</v>
      </c>
      <c r="N18" t="s">
        <v>123</v>
      </c>
      <c r="O18" t="s">
        <v>215</v>
      </c>
      <c r="P18">
        <v>20260909</v>
      </c>
      <c r="Q18">
        <v>300</v>
      </c>
      <c r="R18">
        <v>300</v>
      </c>
      <c r="S18" t="s">
        <v>217</v>
      </c>
      <c r="T18" t="s">
        <v>49</v>
      </c>
      <c r="U18" t="s">
        <v>47</v>
      </c>
      <c r="V18" t="s">
        <v>47</v>
      </c>
      <c r="W18" t="s">
        <v>47</v>
      </c>
      <c r="X18" t="s">
        <v>125</v>
      </c>
      <c r="Y18" t="s">
        <v>47</v>
      </c>
      <c r="Z18" t="s">
        <v>35</v>
      </c>
      <c r="AA18" t="s">
        <v>50</v>
      </c>
      <c r="AB18" t="s">
        <v>35</v>
      </c>
      <c r="AC18" t="s">
        <v>759</v>
      </c>
      <c r="AD18" t="s">
        <v>916</v>
      </c>
    </row>
    <row r="19" spans="1:30">
      <c r="A19">
        <v>53126418</v>
      </c>
      <c r="B19" t="s">
        <v>917</v>
      </c>
      <c r="C19" t="s">
        <v>212</v>
      </c>
      <c r="D19" t="s">
        <v>47</v>
      </c>
      <c r="E19" t="s">
        <v>35</v>
      </c>
      <c r="F19">
        <v>6613</v>
      </c>
      <c r="G19" t="s">
        <v>165</v>
      </c>
      <c r="H19" t="s">
        <v>45</v>
      </c>
      <c r="I19" t="s">
        <v>48</v>
      </c>
      <c r="J19" t="s">
        <v>46</v>
      </c>
      <c r="K19" t="s">
        <v>116</v>
      </c>
      <c r="L19" t="s">
        <v>918</v>
      </c>
      <c r="M19" t="s">
        <v>118</v>
      </c>
      <c r="N19" t="s">
        <v>117</v>
      </c>
      <c r="O19" t="s">
        <v>215</v>
      </c>
      <c r="P19">
        <v>20260909</v>
      </c>
      <c r="Q19">
        <v>100</v>
      </c>
      <c r="R19">
        <v>100</v>
      </c>
      <c r="S19" t="s">
        <v>217</v>
      </c>
      <c r="T19" t="s">
        <v>49</v>
      </c>
      <c r="U19" t="s">
        <v>47</v>
      </c>
      <c r="V19" t="s">
        <v>47</v>
      </c>
      <c r="W19" t="s">
        <v>47</v>
      </c>
      <c r="X19" t="s">
        <v>35</v>
      </c>
      <c r="Y19" t="s">
        <v>47</v>
      </c>
      <c r="Z19" t="s">
        <v>35</v>
      </c>
      <c r="AA19" t="s">
        <v>50</v>
      </c>
      <c r="AB19" t="s">
        <v>35</v>
      </c>
      <c r="AC19" t="s">
        <v>760</v>
      </c>
      <c r="AD19" t="s">
        <v>919</v>
      </c>
    </row>
    <row r="20" spans="1:30">
      <c r="A20">
        <v>53128514</v>
      </c>
      <c r="B20" t="s">
        <v>920</v>
      </c>
      <c r="C20" t="s">
        <v>212</v>
      </c>
      <c r="D20" t="s">
        <v>232</v>
      </c>
      <c r="E20" t="s">
        <v>35</v>
      </c>
      <c r="F20">
        <v>6613</v>
      </c>
      <c r="G20" t="s">
        <v>165</v>
      </c>
      <c r="H20" t="s">
        <v>45</v>
      </c>
      <c r="I20" t="s">
        <v>48</v>
      </c>
      <c r="J20" t="s">
        <v>46</v>
      </c>
      <c r="K20" t="s">
        <v>116</v>
      </c>
      <c r="L20" t="s">
        <v>761</v>
      </c>
      <c r="M20" t="s">
        <v>124</v>
      </c>
      <c r="N20" t="s">
        <v>123</v>
      </c>
      <c r="O20" t="s">
        <v>215</v>
      </c>
      <c r="P20">
        <v>20260909</v>
      </c>
      <c r="Q20">
        <v>100</v>
      </c>
      <c r="R20">
        <v>100</v>
      </c>
      <c r="S20" t="s">
        <v>217</v>
      </c>
      <c r="T20" t="s">
        <v>49</v>
      </c>
      <c r="U20" t="s">
        <v>47</v>
      </c>
      <c r="V20" t="s">
        <v>47</v>
      </c>
      <c r="W20" t="s">
        <v>47</v>
      </c>
      <c r="X20" t="s">
        <v>125</v>
      </c>
      <c r="Y20" t="s">
        <v>47</v>
      </c>
      <c r="Z20" t="s">
        <v>35</v>
      </c>
      <c r="AA20" t="s">
        <v>50</v>
      </c>
      <c r="AB20" t="s">
        <v>35</v>
      </c>
      <c r="AC20" t="s">
        <v>761</v>
      </c>
      <c r="AD20" t="s">
        <v>921</v>
      </c>
    </row>
    <row r="21" spans="1:30">
      <c r="A21">
        <v>53130346</v>
      </c>
      <c r="B21" t="s">
        <v>922</v>
      </c>
      <c r="C21" t="s">
        <v>212</v>
      </c>
      <c r="D21" t="s">
        <v>47</v>
      </c>
      <c r="E21" t="s">
        <v>35</v>
      </c>
      <c r="F21">
        <v>3853</v>
      </c>
      <c r="G21" t="s">
        <v>718</v>
      </c>
      <c r="H21" t="s">
        <v>45</v>
      </c>
      <c r="I21" t="s">
        <v>48</v>
      </c>
      <c r="J21" t="s">
        <v>46</v>
      </c>
      <c r="K21" t="s">
        <v>116</v>
      </c>
      <c r="L21" t="s">
        <v>923</v>
      </c>
      <c r="M21" t="s">
        <v>118</v>
      </c>
      <c r="N21" t="s">
        <v>117</v>
      </c>
      <c r="O21" t="s">
        <v>215</v>
      </c>
      <c r="P21">
        <v>20260909</v>
      </c>
      <c r="Q21">
        <v>100</v>
      </c>
      <c r="R21">
        <v>100</v>
      </c>
      <c r="S21" t="s">
        <v>217</v>
      </c>
      <c r="T21" t="s">
        <v>49</v>
      </c>
      <c r="U21" t="s">
        <v>47</v>
      </c>
      <c r="V21" t="s">
        <v>47</v>
      </c>
      <c r="W21" t="s">
        <v>47</v>
      </c>
      <c r="X21" t="s">
        <v>35</v>
      </c>
      <c r="Y21" t="s">
        <v>47</v>
      </c>
      <c r="Z21" t="s">
        <v>35</v>
      </c>
      <c r="AA21" t="s">
        <v>50</v>
      </c>
      <c r="AB21" t="s">
        <v>35</v>
      </c>
      <c r="AC21" t="s">
        <v>762</v>
      </c>
      <c r="AD21" t="s">
        <v>924</v>
      </c>
    </row>
    <row r="22" spans="1:30">
      <c r="A22">
        <v>53131852</v>
      </c>
      <c r="B22" t="s">
        <v>925</v>
      </c>
      <c r="C22" t="s">
        <v>212</v>
      </c>
      <c r="D22" t="s">
        <v>47</v>
      </c>
      <c r="E22" t="s">
        <v>35</v>
      </c>
      <c r="F22">
        <v>3436</v>
      </c>
      <c r="G22" t="s">
        <v>152</v>
      </c>
      <c r="H22" t="s">
        <v>45</v>
      </c>
      <c r="I22" t="s">
        <v>48</v>
      </c>
      <c r="J22" t="s">
        <v>46</v>
      </c>
      <c r="K22" t="s">
        <v>116</v>
      </c>
      <c r="L22" t="s">
        <v>763</v>
      </c>
      <c r="M22" t="s">
        <v>118</v>
      </c>
      <c r="N22" t="s">
        <v>117</v>
      </c>
      <c r="O22" t="s">
        <v>215</v>
      </c>
      <c r="P22">
        <v>20260909</v>
      </c>
      <c r="Q22">
        <v>100</v>
      </c>
      <c r="R22">
        <v>100</v>
      </c>
      <c r="S22">
        <v>3158</v>
      </c>
      <c r="T22" t="s">
        <v>49</v>
      </c>
      <c r="U22" t="s">
        <v>47</v>
      </c>
      <c r="V22" t="s">
        <v>47</v>
      </c>
      <c r="W22" t="s">
        <v>47</v>
      </c>
      <c r="X22" t="s">
        <v>35</v>
      </c>
      <c r="Y22" t="s">
        <v>47</v>
      </c>
      <c r="Z22" t="s">
        <v>35</v>
      </c>
      <c r="AA22" t="s">
        <v>50</v>
      </c>
      <c r="AB22" t="s">
        <v>35</v>
      </c>
      <c r="AC22" t="s">
        <v>763</v>
      </c>
      <c r="AD22" t="s">
        <v>926</v>
      </c>
    </row>
    <row r="23" spans="1:30">
      <c r="A23">
        <v>53133132</v>
      </c>
      <c r="B23" t="s">
        <v>927</v>
      </c>
      <c r="C23" t="s">
        <v>212</v>
      </c>
      <c r="D23" t="s">
        <v>47</v>
      </c>
      <c r="E23" t="s">
        <v>35</v>
      </c>
      <c r="F23">
        <v>3436</v>
      </c>
      <c r="G23" t="s">
        <v>152</v>
      </c>
      <c r="H23" t="s">
        <v>45</v>
      </c>
      <c r="I23" t="s">
        <v>48</v>
      </c>
      <c r="J23" t="s">
        <v>46</v>
      </c>
      <c r="K23" t="s">
        <v>116</v>
      </c>
      <c r="L23" t="s">
        <v>764</v>
      </c>
      <c r="M23" t="s">
        <v>124</v>
      </c>
      <c r="N23" t="s">
        <v>123</v>
      </c>
      <c r="O23" t="s">
        <v>215</v>
      </c>
      <c r="P23">
        <v>20260909</v>
      </c>
      <c r="Q23">
        <v>100</v>
      </c>
      <c r="R23">
        <v>100</v>
      </c>
      <c r="S23" t="s">
        <v>217</v>
      </c>
      <c r="T23" t="s">
        <v>49</v>
      </c>
      <c r="U23" t="s">
        <v>47</v>
      </c>
      <c r="V23" t="s">
        <v>47</v>
      </c>
      <c r="W23" t="s">
        <v>47</v>
      </c>
      <c r="X23" t="s">
        <v>125</v>
      </c>
      <c r="Y23" t="s">
        <v>47</v>
      </c>
      <c r="Z23" t="s">
        <v>35</v>
      </c>
      <c r="AA23" t="s">
        <v>50</v>
      </c>
      <c r="AB23" t="s">
        <v>35</v>
      </c>
      <c r="AC23" t="s">
        <v>764</v>
      </c>
      <c r="AD23" t="s">
        <v>928</v>
      </c>
    </row>
    <row r="24" spans="1:30">
      <c r="A24">
        <v>53134093</v>
      </c>
      <c r="B24" t="s">
        <v>929</v>
      </c>
      <c r="C24" t="s">
        <v>212</v>
      </c>
      <c r="D24" t="s">
        <v>47</v>
      </c>
      <c r="E24" t="s">
        <v>35</v>
      </c>
      <c r="F24">
        <v>7974</v>
      </c>
      <c r="G24" t="s">
        <v>766</v>
      </c>
      <c r="H24" t="s">
        <v>45</v>
      </c>
      <c r="I24" t="s">
        <v>48</v>
      </c>
      <c r="J24" t="s">
        <v>46</v>
      </c>
      <c r="K24" t="s">
        <v>116</v>
      </c>
      <c r="L24" t="s">
        <v>765</v>
      </c>
      <c r="M24" t="s">
        <v>118</v>
      </c>
      <c r="N24" t="s">
        <v>117</v>
      </c>
      <c r="O24" t="s">
        <v>215</v>
      </c>
      <c r="P24">
        <v>20260909</v>
      </c>
      <c r="Q24">
        <v>100</v>
      </c>
      <c r="R24">
        <v>100</v>
      </c>
      <c r="S24" t="s">
        <v>217</v>
      </c>
      <c r="T24" t="s">
        <v>49</v>
      </c>
      <c r="U24" t="s">
        <v>47</v>
      </c>
      <c r="V24" t="s">
        <v>47</v>
      </c>
      <c r="W24" t="s">
        <v>47</v>
      </c>
      <c r="X24" t="s">
        <v>35</v>
      </c>
      <c r="Y24" t="s">
        <v>47</v>
      </c>
      <c r="Z24" t="s">
        <v>35</v>
      </c>
      <c r="AA24" t="s">
        <v>50</v>
      </c>
      <c r="AB24" t="s">
        <v>35</v>
      </c>
      <c r="AC24" t="s">
        <v>765</v>
      </c>
      <c r="AD24" t="s">
        <v>930</v>
      </c>
    </row>
    <row r="25" spans="1:30">
      <c r="A25">
        <v>53135938</v>
      </c>
      <c r="B25" t="s">
        <v>931</v>
      </c>
      <c r="C25" t="s">
        <v>212</v>
      </c>
      <c r="D25" t="s">
        <v>47</v>
      </c>
      <c r="E25" t="s">
        <v>35</v>
      </c>
      <c r="F25">
        <v>3853</v>
      </c>
      <c r="G25" t="s">
        <v>718</v>
      </c>
      <c r="H25" t="s">
        <v>45</v>
      </c>
      <c r="I25" t="s">
        <v>48</v>
      </c>
      <c r="J25" t="s">
        <v>46</v>
      </c>
      <c r="K25" t="s">
        <v>116</v>
      </c>
      <c r="L25" t="s">
        <v>932</v>
      </c>
      <c r="M25" t="s">
        <v>124</v>
      </c>
      <c r="N25" t="s">
        <v>123</v>
      </c>
      <c r="O25" t="s">
        <v>215</v>
      </c>
      <c r="P25">
        <v>20260909</v>
      </c>
      <c r="Q25">
        <v>100</v>
      </c>
      <c r="R25">
        <v>100</v>
      </c>
      <c r="S25">
        <v>1108</v>
      </c>
      <c r="T25" t="s">
        <v>49</v>
      </c>
      <c r="U25" t="s">
        <v>47</v>
      </c>
      <c r="V25" t="s">
        <v>47</v>
      </c>
      <c r="W25" t="s">
        <v>47</v>
      </c>
      <c r="X25" t="s">
        <v>125</v>
      </c>
      <c r="Y25" t="s">
        <v>47</v>
      </c>
      <c r="Z25" t="s">
        <v>35</v>
      </c>
      <c r="AA25" t="s">
        <v>50</v>
      </c>
      <c r="AB25" t="s">
        <v>35</v>
      </c>
      <c r="AC25" t="s">
        <v>932</v>
      </c>
      <c r="AD25" t="s">
        <v>933</v>
      </c>
    </row>
    <row r="26" spans="1:30">
      <c r="A26">
        <v>53136932</v>
      </c>
      <c r="B26" t="s">
        <v>934</v>
      </c>
      <c r="C26" t="s">
        <v>212</v>
      </c>
      <c r="D26" t="s">
        <v>47</v>
      </c>
      <c r="E26" t="s">
        <v>35</v>
      </c>
      <c r="F26">
        <v>2767</v>
      </c>
      <c r="G26" t="s">
        <v>704</v>
      </c>
      <c r="H26" t="s">
        <v>45</v>
      </c>
      <c r="I26" t="s">
        <v>48</v>
      </c>
      <c r="J26" t="s">
        <v>46</v>
      </c>
      <c r="K26" t="s">
        <v>116</v>
      </c>
      <c r="L26" t="s">
        <v>935</v>
      </c>
      <c r="M26" t="s">
        <v>118</v>
      </c>
      <c r="N26" t="s">
        <v>117</v>
      </c>
      <c r="O26" t="s">
        <v>215</v>
      </c>
      <c r="P26">
        <v>20260909</v>
      </c>
      <c r="Q26">
        <v>100</v>
      </c>
      <c r="R26">
        <v>100</v>
      </c>
      <c r="S26" t="s">
        <v>217</v>
      </c>
      <c r="T26" t="s">
        <v>49</v>
      </c>
      <c r="U26" t="s">
        <v>47</v>
      </c>
      <c r="V26" t="s">
        <v>47</v>
      </c>
      <c r="W26" t="s">
        <v>47</v>
      </c>
      <c r="X26" t="s">
        <v>35</v>
      </c>
      <c r="Y26" t="s">
        <v>47</v>
      </c>
      <c r="Z26" t="s">
        <v>35</v>
      </c>
      <c r="AA26" t="s">
        <v>50</v>
      </c>
      <c r="AB26" t="s">
        <v>35</v>
      </c>
      <c r="AC26" t="s">
        <v>767</v>
      </c>
      <c r="AD26" t="s">
        <v>936</v>
      </c>
    </row>
    <row r="27" spans="1:30">
      <c r="A27">
        <v>53139006</v>
      </c>
      <c r="B27" t="s">
        <v>937</v>
      </c>
      <c r="C27" t="s">
        <v>212</v>
      </c>
      <c r="D27" t="s">
        <v>232</v>
      </c>
      <c r="E27" t="s">
        <v>35</v>
      </c>
      <c r="F27">
        <v>7974</v>
      </c>
      <c r="G27" t="s">
        <v>766</v>
      </c>
      <c r="H27" t="s">
        <v>45</v>
      </c>
      <c r="I27" t="s">
        <v>48</v>
      </c>
      <c r="J27" t="s">
        <v>46</v>
      </c>
      <c r="K27" t="s">
        <v>116</v>
      </c>
      <c r="L27" t="s">
        <v>769</v>
      </c>
      <c r="M27" t="s">
        <v>124</v>
      </c>
      <c r="N27" t="s">
        <v>123</v>
      </c>
      <c r="O27" t="s">
        <v>215</v>
      </c>
      <c r="P27">
        <v>20260909</v>
      </c>
      <c r="Q27">
        <v>100</v>
      </c>
      <c r="R27">
        <v>100</v>
      </c>
      <c r="S27" t="s">
        <v>217</v>
      </c>
      <c r="T27" t="s">
        <v>49</v>
      </c>
      <c r="U27" t="s">
        <v>47</v>
      </c>
      <c r="V27" t="s">
        <v>47</v>
      </c>
      <c r="W27" t="s">
        <v>47</v>
      </c>
      <c r="X27" t="s">
        <v>125</v>
      </c>
      <c r="Y27" t="s">
        <v>47</v>
      </c>
      <c r="Z27" t="s">
        <v>35</v>
      </c>
      <c r="AA27" t="s">
        <v>50</v>
      </c>
      <c r="AB27" t="s">
        <v>35</v>
      </c>
      <c r="AC27" t="s">
        <v>769</v>
      </c>
      <c r="AD27" t="s">
        <v>938</v>
      </c>
    </row>
    <row r="28" spans="1:30">
      <c r="A28">
        <v>53140825</v>
      </c>
      <c r="B28" t="s">
        <v>939</v>
      </c>
      <c r="C28" t="s">
        <v>212</v>
      </c>
      <c r="D28" t="s">
        <v>47</v>
      </c>
      <c r="E28" t="s">
        <v>35</v>
      </c>
      <c r="F28">
        <v>2767</v>
      </c>
      <c r="G28" t="s">
        <v>704</v>
      </c>
      <c r="H28" t="s">
        <v>45</v>
      </c>
      <c r="I28" t="s">
        <v>48</v>
      </c>
      <c r="J28" t="s">
        <v>46</v>
      </c>
      <c r="K28" t="s">
        <v>116</v>
      </c>
      <c r="L28" t="s">
        <v>770</v>
      </c>
      <c r="M28" t="s">
        <v>124</v>
      </c>
      <c r="N28" t="s">
        <v>123</v>
      </c>
      <c r="O28" t="s">
        <v>215</v>
      </c>
      <c r="P28">
        <v>20260909</v>
      </c>
      <c r="Q28">
        <v>100</v>
      </c>
      <c r="R28">
        <v>100</v>
      </c>
      <c r="S28" t="s">
        <v>217</v>
      </c>
      <c r="T28" t="s">
        <v>49</v>
      </c>
      <c r="U28" t="s">
        <v>47</v>
      </c>
      <c r="V28" t="s">
        <v>47</v>
      </c>
      <c r="W28" t="s">
        <v>47</v>
      </c>
      <c r="X28" t="s">
        <v>125</v>
      </c>
      <c r="Y28" t="s">
        <v>47</v>
      </c>
      <c r="Z28" t="s">
        <v>35</v>
      </c>
      <c r="AA28" t="s">
        <v>50</v>
      </c>
      <c r="AB28" t="s">
        <v>35</v>
      </c>
      <c r="AC28" t="s">
        <v>770</v>
      </c>
      <c r="AD28" t="s">
        <v>940</v>
      </c>
    </row>
    <row r="29" spans="1:30">
      <c r="A29">
        <v>53142446</v>
      </c>
      <c r="B29" t="s">
        <v>941</v>
      </c>
      <c r="C29" t="s">
        <v>212</v>
      </c>
      <c r="D29" t="s">
        <v>47</v>
      </c>
      <c r="E29" t="s">
        <v>35</v>
      </c>
      <c r="F29">
        <v>3436</v>
      </c>
      <c r="G29" t="s">
        <v>152</v>
      </c>
      <c r="H29" t="s">
        <v>45</v>
      </c>
      <c r="I29" t="s">
        <v>48</v>
      </c>
      <c r="J29" t="s">
        <v>46</v>
      </c>
      <c r="K29" t="s">
        <v>116</v>
      </c>
      <c r="L29" t="s">
        <v>771</v>
      </c>
      <c r="M29" t="s">
        <v>118</v>
      </c>
      <c r="N29" t="s">
        <v>117</v>
      </c>
      <c r="O29" t="s">
        <v>215</v>
      </c>
      <c r="P29">
        <v>20260909</v>
      </c>
      <c r="Q29">
        <v>100</v>
      </c>
      <c r="R29">
        <v>100</v>
      </c>
      <c r="S29" t="s">
        <v>217</v>
      </c>
      <c r="T29" t="s">
        <v>49</v>
      </c>
      <c r="U29" t="s">
        <v>47</v>
      </c>
      <c r="V29" t="s">
        <v>47</v>
      </c>
      <c r="W29" t="s">
        <v>47</v>
      </c>
      <c r="X29" t="s">
        <v>35</v>
      </c>
      <c r="Y29" t="s">
        <v>47</v>
      </c>
      <c r="Z29" t="s">
        <v>35</v>
      </c>
      <c r="AA29" t="s">
        <v>50</v>
      </c>
      <c r="AB29" t="s">
        <v>35</v>
      </c>
      <c r="AC29" t="s">
        <v>771</v>
      </c>
      <c r="AD29" t="s">
        <v>942</v>
      </c>
    </row>
    <row r="30" spans="1:30">
      <c r="A30">
        <v>53144805</v>
      </c>
      <c r="B30" t="s">
        <v>943</v>
      </c>
      <c r="C30" t="s">
        <v>212</v>
      </c>
      <c r="D30" t="s">
        <v>47</v>
      </c>
      <c r="E30" t="s">
        <v>35</v>
      </c>
      <c r="F30">
        <v>3436</v>
      </c>
      <c r="G30" t="s">
        <v>152</v>
      </c>
      <c r="H30" t="s">
        <v>45</v>
      </c>
      <c r="I30" t="s">
        <v>48</v>
      </c>
      <c r="J30" t="s">
        <v>46</v>
      </c>
      <c r="K30" t="s">
        <v>116</v>
      </c>
      <c r="L30" t="s">
        <v>772</v>
      </c>
      <c r="M30" t="s">
        <v>118</v>
      </c>
      <c r="N30" t="s">
        <v>117</v>
      </c>
      <c r="O30" t="s">
        <v>215</v>
      </c>
      <c r="P30">
        <v>20260909</v>
      </c>
      <c r="Q30">
        <v>100</v>
      </c>
      <c r="R30">
        <v>100</v>
      </c>
      <c r="S30" t="s">
        <v>217</v>
      </c>
      <c r="T30" t="s">
        <v>49</v>
      </c>
      <c r="U30" t="s">
        <v>47</v>
      </c>
      <c r="V30" t="s">
        <v>47</v>
      </c>
      <c r="W30" t="s">
        <v>47</v>
      </c>
      <c r="X30" t="s">
        <v>35</v>
      </c>
      <c r="Y30" t="s">
        <v>47</v>
      </c>
      <c r="Z30" t="s">
        <v>35</v>
      </c>
      <c r="AA30" t="s">
        <v>50</v>
      </c>
      <c r="AB30" t="s">
        <v>35</v>
      </c>
      <c r="AC30" t="s">
        <v>772</v>
      </c>
      <c r="AD30" t="s">
        <v>944</v>
      </c>
    </row>
    <row r="31" spans="1:30">
      <c r="A31">
        <v>53145642</v>
      </c>
      <c r="B31" t="s">
        <v>945</v>
      </c>
      <c r="C31" t="s">
        <v>212</v>
      </c>
      <c r="D31" t="s">
        <v>47</v>
      </c>
      <c r="E31" t="s">
        <v>35</v>
      </c>
      <c r="F31">
        <v>3436</v>
      </c>
      <c r="G31" t="s">
        <v>152</v>
      </c>
      <c r="H31" t="s">
        <v>45</v>
      </c>
      <c r="I31" t="s">
        <v>48</v>
      </c>
      <c r="J31" t="s">
        <v>46</v>
      </c>
      <c r="K31" t="s">
        <v>116</v>
      </c>
      <c r="L31" t="s">
        <v>773</v>
      </c>
      <c r="M31" t="s">
        <v>124</v>
      </c>
      <c r="N31" t="s">
        <v>123</v>
      </c>
      <c r="O31" t="s">
        <v>215</v>
      </c>
      <c r="P31">
        <v>20260909</v>
      </c>
      <c r="Q31">
        <v>200</v>
      </c>
      <c r="R31">
        <v>200</v>
      </c>
      <c r="S31" t="s">
        <v>217</v>
      </c>
      <c r="T31" t="s">
        <v>49</v>
      </c>
      <c r="U31" t="s">
        <v>47</v>
      </c>
      <c r="V31" t="s">
        <v>47</v>
      </c>
      <c r="W31" t="s">
        <v>47</v>
      </c>
      <c r="X31" t="s">
        <v>125</v>
      </c>
      <c r="Y31" t="s">
        <v>47</v>
      </c>
      <c r="Z31" t="s">
        <v>35</v>
      </c>
      <c r="AA31" t="s">
        <v>50</v>
      </c>
      <c r="AB31" t="s">
        <v>35</v>
      </c>
      <c r="AC31" t="s">
        <v>773</v>
      </c>
      <c r="AD31" t="s">
        <v>946</v>
      </c>
    </row>
    <row r="32" spans="1:30">
      <c r="A32">
        <v>53146192</v>
      </c>
      <c r="B32" t="s">
        <v>947</v>
      </c>
      <c r="C32" t="s">
        <v>212</v>
      </c>
      <c r="D32" t="s">
        <v>47</v>
      </c>
      <c r="E32" t="s">
        <v>35</v>
      </c>
      <c r="F32">
        <v>3436</v>
      </c>
      <c r="G32" t="s">
        <v>152</v>
      </c>
      <c r="H32" t="s">
        <v>45</v>
      </c>
      <c r="I32" t="s">
        <v>48</v>
      </c>
      <c r="J32" t="s">
        <v>46</v>
      </c>
      <c r="K32" t="s">
        <v>116</v>
      </c>
      <c r="L32" t="s">
        <v>774</v>
      </c>
      <c r="M32" t="s">
        <v>118</v>
      </c>
      <c r="N32" t="s">
        <v>117</v>
      </c>
      <c r="O32" t="s">
        <v>215</v>
      </c>
      <c r="P32">
        <v>20260909</v>
      </c>
      <c r="Q32">
        <v>100</v>
      </c>
      <c r="R32">
        <v>100</v>
      </c>
      <c r="S32" t="s">
        <v>217</v>
      </c>
      <c r="T32" t="s">
        <v>49</v>
      </c>
      <c r="U32" t="s">
        <v>47</v>
      </c>
      <c r="V32" t="s">
        <v>47</v>
      </c>
      <c r="W32" t="s">
        <v>47</v>
      </c>
      <c r="X32" t="s">
        <v>35</v>
      </c>
      <c r="Y32" t="s">
        <v>47</v>
      </c>
      <c r="Z32" t="s">
        <v>35</v>
      </c>
      <c r="AA32" t="s">
        <v>50</v>
      </c>
      <c r="AB32" t="s">
        <v>35</v>
      </c>
      <c r="AC32" t="s">
        <v>774</v>
      </c>
      <c r="AD32" t="s">
        <v>948</v>
      </c>
    </row>
    <row r="33" spans="1:30">
      <c r="A33">
        <v>53148476</v>
      </c>
      <c r="B33" t="s">
        <v>949</v>
      </c>
      <c r="C33" t="s">
        <v>212</v>
      </c>
      <c r="D33" t="s">
        <v>47</v>
      </c>
      <c r="E33" t="s">
        <v>35</v>
      </c>
      <c r="F33">
        <v>4082</v>
      </c>
      <c r="G33" t="s">
        <v>776</v>
      </c>
      <c r="H33" t="s">
        <v>45</v>
      </c>
      <c r="I33" t="s">
        <v>48</v>
      </c>
      <c r="J33" t="s">
        <v>46</v>
      </c>
      <c r="K33" t="s">
        <v>116</v>
      </c>
      <c r="L33" t="s">
        <v>950</v>
      </c>
      <c r="M33" t="s">
        <v>118</v>
      </c>
      <c r="N33" t="s">
        <v>117</v>
      </c>
      <c r="O33" t="s">
        <v>215</v>
      </c>
      <c r="P33">
        <v>20260909</v>
      </c>
      <c r="Q33">
        <v>100</v>
      </c>
      <c r="R33">
        <v>100</v>
      </c>
      <c r="S33" t="s">
        <v>217</v>
      </c>
      <c r="T33" t="s">
        <v>49</v>
      </c>
      <c r="U33" t="s">
        <v>47</v>
      </c>
      <c r="V33" t="s">
        <v>47</v>
      </c>
      <c r="W33" t="s">
        <v>47</v>
      </c>
      <c r="X33" t="s">
        <v>35</v>
      </c>
      <c r="Y33" t="s">
        <v>47</v>
      </c>
      <c r="Z33" t="s">
        <v>35</v>
      </c>
      <c r="AA33" t="s">
        <v>50</v>
      </c>
      <c r="AB33" t="s">
        <v>35</v>
      </c>
      <c r="AC33" t="s">
        <v>775</v>
      </c>
      <c r="AD33" t="s">
        <v>951</v>
      </c>
    </row>
    <row r="34" spans="1:30">
      <c r="A34">
        <v>53148819</v>
      </c>
      <c r="B34" t="s">
        <v>952</v>
      </c>
      <c r="C34" t="s">
        <v>212</v>
      </c>
      <c r="D34" t="s">
        <v>47</v>
      </c>
      <c r="E34" t="s">
        <v>35</v>
      </c>
      <c r="F34">
        <v>6613</v>
      </c>
      <c r="G34" t="s">
        <v>165</v>
      </c>
      <c r="H34" t="s">
        <v>45</v>
      </c>
      <c r="I34" t="s">
        <v>48</v>
      </c>
      <c r="J34" t="s">
        <v>46</v>
      </c>
      <c r="K34" t="s">
        <v>116</v>
      </c>
      <c r="L34" t="s">
        <v>777</v>
      </c>
      <c r="M34" t="s">
        <v>118</v>
      </c>
      <c r="N34" t="s">
        <v>117</v>
      </c>
      <c r="O34" t="s">
        <v>215</v>
      </c>
      <c r="P34">
        <v>20260909</v>
      </c>
      <c r="Q34">
        <v>100</v>
      </c>
      <c r="R34">
        <v>100</v>
      </c>
      <c r="S34" t="s">
        <v>217</v>
      </c>
      <c r="T34" t="s">
        <v>49</v>
      </c>
      <c r="U34" t="s">
        <v>47</v>
      </c>
      <c r="V34" t="s">
        <v>47</v>
      </c>
      <c r="W34" t="s">
        <v>47</v>
      </c>
      <c r="X34" t="s">
        <v>35</v>
      </c>
      <c r="Y34" t="s">
        <v>47</v>
      </c>
      <c r="Z34" t="s">
        <v>35</v>
      </c>
      <c r="AA34" t="s">
        <v>50</v>
      </c>
      <c r="AB34" t="s">
        <v>35</v>
      </c>
      <c r="AC34" t="s">
        <v>777</v>
      </c>
      <c r="AD34" t="s">
        <v>953</v>
      </c>
    </row>
    <row r="35" spans="1:30">
      <c r="A35">
        <v>53149832</v>
      </c>
      <c r="B35" t="s">
        <v>954</v>
      </c>
      <c r="C35" t="s">
        <v>212</v>
      </c>
      <c r="D35" t="s">
        <v>47</v>
      </c>
      <c r="E35" t="s">
        <v>35</v>
      </c>
      <c r="F35">
        <v>3436</v>
      </c>
      <c r="G35" t="s">
        <v>152</v>
      </c>
      <c r="H35" t="s">
        <v>45</v>
      </c>
      <c r="I35" t="s">
        <v>48</v>
      </c>
      <c r="J35" t="s">
        <v>46</v>
      </c>
      <c r="K35" t="s">
        <v>116</v>
      </c>
      <c r="L35" t="s">
        <v>778</v>
      </c>
      <c r="M35" t="s">
        <v>124</v>
      </c>
      <c r="N35" t="s">
        <v>123</v>
      </c>
      <c r="O35" t="s">
        <v>215</v>
      </c>
      <c r="P35">
        <v>20260909</v>
      </c>
      <c r="Q35">
        <v>100</v>
      </c>
      <c r="R35">
        <v>100</v>
      </c>
      <c r="S35" t="s">
        <v>217</v>
      </c>
      <c r="T35" t="s">
        <v>49</v>
      </c>
      <c r="U35" t="s">
        <v>47</v>
      </c>
      <c r="V35" t="s">
        <v>47</v>
      </c>
      <c r="W35" t="s">
        <v>47</v>
      </c>
      <c r="X35" t="s">
        <v>125</v>
      </c>
      <c r="Y35" t="s">
        <v>47</v>
      </c>
      <c r="Z35" t="s">
        <v>35</v>
      </c>
      <c r="AA35" t="s">
        <v>50</v>
      </c>
      <c r="AB35" t="s">
        <v>35</v>
      </c>
      <c r="AC35" t="s">
        <v>778</v>
      </c>
      <c r="AD35" t="s">
        <v>955</v>
      </c>
    </row>
    <row r="36" spans="1:30">
      <c r="A36">
        <v>53150119</v>
      </c>
      <c r="B36" t="s">
        <v>956</v>
      </c>
      <c r="C36" t="s">
        <v>212</v>
      </c>
      <c r="D36" t="s">
        <v>47</v>
      </c>
      <c r="E36" t="s">
        <v>35</v>
      </c>
      <c r="F36">
        <v>3436</v>
      </c>
      <c r="G36" t="s">
        <v>152</v>
      </c>
      <c r="H36" t="s">
        <v>45</v>
      </c>
      <c r="I36" t="s">
        <v>48</v>
      </c>
      <c r="J36" t="s">
        <v>46</v>
      </c>
      <c r="K36" t="s">
        <v>116</v>
      </c>
      <c r="L36" t="s">
        <v>779</v>
      </c>
      <c r="M36" t="s">
        <v>118</v>
      </c>
      <c r="N36" t="s">
        <v>117</v>
      </c>
      <c r="O36" t="s">
        <v>215</v>
      </c>
      <c r="P36">
        <v>20260909</v>
      </c>
      <c r="Q36">
        <v>100</v>
      </c>
      <c r="R36">
        <v>100</v>
      </c>
      <c r="S36" t="s">
        <v>217</v>
      </c>
      <c r="T36" t="s">
        <v>49</v>
      </c>
      <c r="U36" t="s">
        <v>47</v>
      </c>
      <c r="V36" t="s">
        <v>47</v>
      </c>
      <c r="W36" t="s">
        <v>47</v>
      </c>
      <c r="X36" t="s">
        <v>35</v>
      </c>
      <c r="Y36" t="s">
        <v>47</v>
      </c>
      <c r="Z36" t="s">
        <v>35</v>
      </c>
      <c r="AA36" t="s">
        <v>50</v>
      </c>
      <c r="AB36" t="s">
        <v>35</v>
      </c>
      <c r="AC36" t="s">
        <v>779</v>
      </c>
      <c r="AD36" t="s">
        <v>957</v>
      </c>
    </row>
    <row r="37" spans="1:30">
      <c r="A37">
        <v>53150841</v>
      </c>
      <c r="B37" t="s">
        <v>958</v>
      </c>
      <c r="C37" t="s">
        <v>212</v>
      </c>
      <c r="D37" t="s">
        <v>47</v>
      </c>
      <c r="E37" t="s">
        <v>35</v>
      </c>
      <c r="F37">
        <v>4082</v>
      </c>
      <c r="G37" t="s">
        <v>776</v>
      </c>
      <c r="H37" t="s">
        <v>45</v>
      </c>
      <c r="I37" t="s">
        <v>48</v>
      </c>
      <c r="J37" t="s">
        <v>46</v>
      </c>
      <c r="K37" t="s">
        <v>116</v>
      </c>
      <c r="L37" t="s">
        <v>780</v>
      </c>
      <c r="M37" t="s">
        <v>124</v>
      </c>
      <c r="N37" t="s">
        <v>123</v>
      </c>
      <c r="O37" t="s">
        <v>215</v>
      </c>
      <c r="P37">
        <v>20260909</v>
      </c>
      <c r="Q37">
        <v>100</v>
      </c>
      <c r="R37">
        <v>100</v>
      </c>
      <c r="S37" t="s">
        <v>217</v>
      </c>
      <c r="T37" t="s">
        <v>49</v>
      </c>
      <c r="U37" t="s">
        <v>47</v>
      </c>
      <c r="V37" t="s">
        <v>47</v>
      </c>
      <c r="W37" t="s">
        <v>47</v>
      </c>
      <c r="X37" t="s">
        <v>125</v>
      </c>
      <c r="Y37" t="s">
        <v>47</v>
      </c>
      <c r="Z37" t="s">
        <v>35</v>
      </c>
      <c r="AA37" t="s">
        <v>50</v>
      </c>
      <c r="AB37" t="s">
        <v>35</v>
      </c>
      <c r="AC37" t="s">
        <v>780</v>
      </c>
      <c r="AD37" t="s">
        <v>959</v>
      </c>
    </row>
    <row r="38" spans="1:30">
      <c r="A38">
        <v>53151137</v>
      </c>
      <c r="B38" t="s">
        <v>960</v>
      </c>
      <c r="C38" t="s">
        <v>212</v>
      </c>
      <c r="D38" t="s">
        <v>47</v>
      </c>
      <c r="E38" t="s">
        <v>35</v>
      </c>
      <c r="F38">
        <v>6613</v>
      </c>
      <c r="G38" t="s">
        <v>165</v>
      </c>
      <c r="H38" t="s">
        <v>45</v>
      </c>
      <c r="I38" t="s">
        <v>48</v>
      </c>
      <c r="J38" t="s">
        <v>46</v>
      </c>
      <c r="K38" t="s">
        <v>116</v>
      </c>
      <c r="L38" t="s">
        <v>781</v>
      </c>
      <c r="M38" t="s">
        <v>124</v>
      </c>
      <c r="N38" t="s">
        <v>123</v>
      </c>
      <c r="O38" t="s">
        <v>215</v>
      </c>
      <c r="P38">
        <v>20260909</v>
      </c>
      <c r="Q38">
        <v>100</v>
      </c>
      <c r="R38">
        <v>100</v>
      </c>
      <c r="S38" t="s">
        <v>217</v>
      </c>
      <c r="T38" t="s">
        <v>49</v>
      </c>
      <c r="U38" t="s">
        <v>47</v>
      </c>
      <c r="V38" t="s">
        <v>47</v>
      </c>
      <c r="W38" t="s">
        <v>47</v>
      </c>
      <c r="X38" t="s">
        <v>125</v>
      </c>
      <c r="Y38" t="s">
        <v>47</v>
      </c>
      <c r="Z38" t="s">
        <v>35</v>
      </c>
      <c r="AA38" t="s">
        <v>50</v>
      </c>
      <c r="AB38" t="s">
        <v>35</v>
      </c>
      <c r="AC38" t="s">
        <v>781</v>
      </c>
      <c r="AD38" t="s">
        <v>961</v>
      </c>
    </row>
    <row r="39" spans="1:30">
      <c r="A39">
        <v>53151516</v>
      </c>
      <c r="B39" t="s">
        <v>962</v>
      </c>
      <c r="C39" t="s">
        <v>212</v>
      </c>
      <c r="D39" t="s">
        <v>47</v>
      </c>
      <c r="E39" t="s">
        <v>35</v>
      </c>
      <c r="F39">
        <v>6613</v>
      </c>
      <c r="G39" t="s">
        <v>165</v>
      </c>
      <c r="H39" t="s">
        <v>45</v>
      </c>
      <c r="I39" t="s">
        <v>48</v>
      </c>
      <c r="J39" t="s">
        <v>46</v>
      </c>
      <c r="K39" t="s">
        <v>116</v>
      </c>
      <c r="L39" t="s">
        <v>782</v>
      </c>
      <c r="M39" t="s">
        <v>118</v>
      </c>
      <c r="N39" t="s">
        <v>117</v>
      </c>
      <c r="O39" t="s">
        <v>215</v>
      </c>
      <c r="P39">
        <v>20260909</v>
      </c>
      <c r="Q39">
        <v>100</v>
      </c>
      <c r="R39">
        <v>100</v>
      </c>
      <c r="S39" t="s">
        <v>217</v>
      </c>
      <c r="T39" t="s">
        <v>49</v>
      </c>
      <c r="U39" t="s">
        <v>47</v>
      </c>
      <c r="V39" t="s">
        <v>47</v>
      </c>
      <c r="W39" t="s">
        <v>47</v>
      </c>
      <c r="X39" t="s">
        <v>35</v>
      </c>
      <c r="Y39" t="s">
        <v>47</v>
      </c>
      <c r="Z39" t="s">
        <v>35</v>
      </c>
      <c r="AA39" t="s">
        <v>50</v>
      </c>
      <c r="AB39" t="s">
        <v>35</v>
      </c>
      <c r="AC39" t="s">
        <v>782</v>
      </c>
      <c r="AD39" t="s">
        <v>963</v>
      </c>
    </row>
    <row r="40" spans="1:30">
      <c r="A40">
        <v>53152885</v>
      </c>
      <c r="B40" t="s">
        <v>964</v>
      </c>
      <c r="C40" t="s">
        <v>212</v>
      </c>
      <c r="D40" t="s">
        <v>47</v>
      </c>
      <c r="E40" t="s">
        <v>35</v>
      </c>
      <c r="F40">
        <v>3436</v>
      </c>
      <c r="G40" t="s">
        <v>152</v>
      </c>
      <c r="H40" t="s">
        <v>45</v>
      </c>
      <c r="I40" t="s">
        <v>48</v>
      </c>
      <c r="J40" t="s">
        <v>46</v>
      </c>
      <c r="K40" t="s">
        <v>116</v>
      </c>
      <c r="L40" t="s">
        <v>783</v>
      </c>
      <c r="M40" t="s">
        <v>124</v>
      </c>
      <c r="N40" t="s">
        <v>123</v>
      </c>
      <c r="O40" t="s">
        <v>215</v>
      </c>
      <c r="P40">
        <v>20260909</v>
      </c>
      <c r="Q40">
        <v>100</v>
      </c>
      <c r="R40">
        <v>100</v>
      </c>
      <c r="S40" t="s">
        <v>217</v>
      </c>
      <c r="T40" t="s">
        <v>49</v>
      </c>
      <c r="U40" t="s">
        <v>47</v>
      </c>
      <c r="V40" t="s">
        <v>47</v>
      </c>
      <c r="W40" t="s">
        <v>47</v>
      </c>
      <c r="X40" t="s">
        <v>125</v>
      </c>
      <c r="Y40" t="s">
        <v>47</v>
      </c>
      <c r="Z40" t="s">
        <v>35</v>
      </c>
      <c r="AA40" t="s">
        <v>50</v>
      </c>
      <c r="AB40" t="s">
        <v>35</v>
      </c>
      <c r="AC40" t="s">
        <v>783</v>
      </c>
      <c r="AD40" t="s">
        <v>965</v>
      </c>
    </row>
    <row r="41" spans="1:30">
      <c r="A41">
        <v>53154190</v>
      </c>
      <c r="B41" t="s">
        <v>966</v>
      </c>
      <c r="C41" t="s">
        <v>212</v>
      </c>
      <c r="D41" t="s">
        <v>47</v>
      </c>
      <c r="E41" t="s">
        <v>35</v>
      </c>
      <c r="F41">
        <v>3436</v>
      </c>
      <c r="G41" t="s">
        <v>152</v>
      </c>
      <c r="H41" t="s">
        <v>45</v>
      </c>
      <c r="I41" t="s">
        <v>48</v>
      </c>
      <c r="J41" t="s">
        <v>46</v>
      </c>
      <c r="K41" t="s">
        <v>116</v>
      </c>
      <c r="L41" t="s">
        <v>784</v>
      </c>
      <c r="M41" t="s">
        <v>118</v>
      </c>
      <c r="N41" t="s">
        <v>117</v>
      </c>
      <c r="O41" t="s">
        <v>215</v>
      </c>
      <c r="P41">
        <v>20260909</v>
      </c>
      <c r="Q41">
        <v>100</v>
      </c>
      <c r="R41">
        <v>100</v>
      </c>
      <c r="S41" t="s">
        <v>217</v>
      </c>
      <c r="T41" t="s">
        <v>49</v>
      </c>
      <c r="U41" t="s">
        <v>47</v>
      </c>
      <c r="V41" t="s">
        <v>47</v>
      </c>
      <c r="W41" t="s">
        <v>47</v>
      </c>
      <c r="X41" t="s">
        <v>35</v>
      </c>
      <c r="Y41" t="s">
        <v>47</v>
      </c>
      <c r="Z41" t="s">
        <v>35</v>
      </c>
      <c r="AA41" t="s">
        <v>50</v>
      </c>
      <c r="AB41" t="s">
        <v>35</v>
      </c>
      <c r="AC41" t="s">
        <v>784</v>
      </c>
      <c r="AD41" t="s">
        <v>967</v>
      </c>
    </row>
    <row r="42" spans="1:30">
      <c r="A42">
        <v>53157887</v>
      </c>
      <c r="B42" t="s">
        <v>968</v>
      </c>
      <c r="C42" t="s">
        <v>212</v>
      </c>
      <c r="D42" t="s">
        <v>47</v>
      </c>
      <c r="E42" t="s">
        <v>35</v>
      </c>
      <c r="F42">
        <v>6981</v>
      </c>
      <c r="G42" t="s">
        <v>786</v>
      </c>
      <c r="H42" t="s">
        <v>45</v>
      </c>
      <c r="I42" t="s">
        <v>48</v>
      </c>
      <c r="J42" t="s">
        <v>46</v>
      </c>
      <c r="K42" t="s">
        <v>116</v>
      </c>
      <c r="L42" t="s">
        <v>785</v>
      </c>
      <c r="M42" t="s">
        <v>118</v>
      </c>
      <c r="N42" t="s">
        <v>117</v>
      </c>
      <c r="O42" t="s">
        <v>215</v>
      </c>
      <c r="P42">
        <v>20260909</v>
      </c>
      <c r="Q42">
        <v>100</v>
      </c>
      <c r="R42">
        <v>100</v>
      </c>
      <c r="S42" t="s">
        <v>217</v>
      </c>
      <c r="T42" t="s">
        <v>49</v>
      </c>
      <c r="U42" t="s">
        <v>47</v>
      </c>
      <c r="V42" t="s">
        <v>47</v>
      </c>
      <c r="W42" t="s">
        <v>47</v>
      </c>
      <c r="X42" t="s">
        <v>35</v>
      </c>
      <c r="Y42" t="s">
        <v>47</v>
      </c>
      <c r="Z42" t="s">
        <v>35</v>
      </c>
      <c r="AA42" t="s">
        <v>50</v>
      </c>
      <c r="AB42" t="s">
        <v>35</v>
      </c>
      <c r="AC42" t="s">
        <v>785</v>
      </c>
      <c r="AD42" t="s">
        <v>969</v>
      </c>
    </row>
    <row r="43" spans="1:30">
      <c r="A43">
        <v>53155828</v>
      </c>
      <c r="B43" t="s">
        <v>970</v>
      </c>
      <c r="C43" t="s">
        <v>212</v>
      </c>
      <c r="D43" t="s">
        <v>232</v>
      </c>
      <c r="E43" t="s">
        <v>35</v>
      </c>
      <c r="F43">
        <v>3436</v>
      </c>
      <c r="G43" t="s">
        <v>152</v>
      </c>
      <c r="H43" t="s">
        <v>45</v>
      </c>
      <c r="I43" t="s">
        <v>48</v>
      </c>
      <c r="J43" t="s">
        <v>46</v>
      </c>
      <c r="K43" t="s">
        <v>116</v>
      </c>
      <c r="L43" t="s">
        <v>787</v>
      </c>
      <c r="M43" t="s">
        <v>124</v>
      </c>
      <c r="N43" t="s">
        <v>123</v>
      </c>
      <c r="O43" t="s">
        <v>215</v>
      </c>
      <c r="P43">
        <v>20260909</v>
      </c>
      <c r="Q43">
        <v>100</v>
      </c>
      <c r="R43">
        <v>100</v>
      </c>
      <c r="S43" t="s">
        <v>217</v>
      </c>
      <c r="T43" t="s">
        <v>49</v>
      </c>
      <c r="U43" t="s">
        <v>47</v>
      </c>
      <c r="V43" t="s">
        <v>47</v>
      </c>
      <c r="W43" t="s">
        <v>47</v>
      </c>
      <c r="X43" t="s">
        <v>125</v>
      </c>
      <c r="Y43" t="s">
        <v>47</v>
      </c>
      <c r="Z43" t="s">
        <v>35</v>
      </c>
      <c r="AA43" t="s">
        <v>50</v>
      </c>
      <c r="AB43" t="s">
        <v>35</v>
      </c>
      <c r="AC43" t="s">
        <v>787</v>
      </c>
      <c r="AD43" t="s">
        <v>971</v>
      </c>
    </row>
    <row r="44" spans="1:30">
      <c r="A44">
        <v>53161676</v>
      </c>
      <c r="B44" t="s">
        <v>972</v>
      </c>
      <c r="C44" t="s">
        <v>212</v>
      </c>
      <c r="D44" t="s">
        <v>47</v>
      </c>
      <c r="E44" t="s">
        <v>35</v>
      </c>
      <c r="F44">
        <v>3436</v>
      </c>
      <c r="G44" t="s">
        <v>152</v>
      </c>
      <c r="H44" t="s">
        <v>45</v>
      </c>
      <c r="I44" t="s">
        <v>48</v>
      </c>
      <c r="J44" t="s">
        <v>46</v>
      </c>
      <c r="K44" t="s">
        <v>116</v>
      </c>
      <c r="L44" t="s">
        <v>788</v>
      </c>
      <c r="M44" t="s">
        <v>118</v>
      </c>
      <c r="N44" t="s">
        <v>117</v>
      </c>
      <c r="O44" t="s">
        <v>215</v>
      </c>
      <c r="P44">
        <v>20260909</v>
      </c>
      <c r="Q44">
        <v>100</v>
      </c>
      <c r="R44">
        <v>100</v>
      </c>
      <c r="S44" t="s">
        <v>217</v>
      </c>
      <c r="T44" t="s">
        <v>49</v>
      </c>
      <c r="U44" t="s">
        <v>47</v>
      </c>
      <c r="V44" t="s">
        <v>47</v>
      </c>
      <c r="W44" t="s">
        <v>47</v>
      </c>
      <c r="X44" t="s">
        <v>35</v>
      </c>
      <c r="Y44" t="s">
        <v>47</v>
      </c>
      <c r="Z44" t="s">
        <v>35</v>
      </c>
      <c r="AA44" t="s">
        <v>50</v>
      </c>
      <c r="AB44" t="s">
        <v>35</v>
      </c>
      <c r="AC44" t="s">
        <v>788</v>
      </c>
      <c r="AD44" t="s">
        <v>928</v>
      </c>
    </row>
    <row r="45" spans="1:30">
      <c r="A45">
        <v>53171213</v>
      </c>
      <c r="B45" t="s">
        <v>973</v>
      </c>
      <c r="C45" t="s">
        <v>212</v>
      </c>
      <c r="D45" t="s">
        <v>47</v>
      </c>
      <c r="E45" t="s">
        <v>35</v>
      </c>
      <c r="F45">
        <v>6613</v>
      </c>
      <c r="G45" t="s">
        <v>165</v>
      </c>
      <c r="H45" t="s">
        <v>45</v>
      </c>
      <c r="I45" t="s">
        <v>48</v>
      </c>
      <c r="J45" t="s">
        <v>46</v>
      </c>
      <c r="K45" t="s">
        <v>116</v>
      </c>
      <c r="L45" t="s">
        <v>789</v>
      </c>
      <c r="M45" t="s">
        <v>124</v>
      </c>
      <c r="N45" t="s">
        <v>123</v>
      </c>
      <c r="O45" t="s">
        <v>215</v>
      </c>
      <c r="P45">
        <v>20260909</v>
      </c>
      <c r="Q45">
        <v>100</v>
      </c>
      <c r="R45">
        <v>100</v>
      </c>
      <c r="S45" t="s">
        <v>217</v>
      </c>
      <c r="T45" t="s">
        <v>49</v>
      </c>
      <c r="U45" t="s">
        <v>47</v>
      </c>
      <c r="V45" t="s">
        <v>47</v>
      </c>
      <c r="W45" t="s">
        <v>47</v>
      </c>
      <c r="X45" t="s">
        <v>125</v>
      </c>
      <c r="Y45" t="s">
        <v>47</v>
      </c>
      <c r="Z45" t="s">
        <v>35</v>
      </c>
      <c r="AA45" t="s">
        <v>50</v>
      </c>
      <c r="AB45" t="s">
        <v>35</v>
      </c>
      <c r="AC45" t="s">
        <v>789</v>
      </c>
      <c r="AD45" t="s">
        <v>974</v>
      </c>
    </row>
    <row r="46" spans="1:30">
      <c r="A46">
        <v>53165992</v>
      </c>
      <c r="B46" t="s">
        <v>975</v>
      </c>
      <c r="C46" t="s">
        <v>212</v>
      </c>
      <c r="D46" t="s">
        <v>232</v>
      </c>
      <c r="E46" t="s">
        <v>35</v>
      </c>
      <c r="F46">
        <v>3436</v>
      </c>
      <c r="G46" t="s">
        <v>152</v>
      </c>
      <c r="H46" t="s">
        <v>45</v>
      </c>
      <c r="I46" t="s">
        <v>48</v>
      </c>
      <c r="J46" t="s">
        <v>46</v>
      </c>
      <c r="K46" t="s">
        <v>116</v>
      </c>
      <c r="L46" t="s">
        <v>790</v>
      </c>
      <c r="M46" t="s">
        <v>124</v>
      </c>
      <c r="N46" t="s">
        <v>123</v>
      </c>
      <c r="O46" t="s">
        <v>215</v>
      </c>
      <c r="P46">
        <v>20260909</v>
      </c>
      <c r="Q46">
        <v>100</v>
      </c>
      <c r="R46">
        <v>100</v>
      </c>
      <c r="S46" t="s">
        <v>217</v>
      </c>
      <c r="T46" t="s">
        <v>49</v>
      </c>
      <c r="U46" t="s">
        <v>47</v>
      </c>
      <c r="V46" t="s">
        <v>47</v>
      </c>
      <c r="W46" t="s">
        <v>47</v>
      </c>
      <c r="X46" t="s">
        <v>125</v>
      </c>
      <c r="Y46" t="s">
        <v>47</v>
      </c>
      <c r="Z46" t="s">
        <v>35</v>
      </c>
      <c r="AA46" t="s">
        <v>50</v>
      </c>
      <c r="AB46" t="s">
        <v>35</v>
      </c>
      <c r="AC46" t="s">
        <v>790</v>
      </c>
      <c r="AD46" t="s">
        <v>976</v>
      </c>
    </row>
    <row r="47" spans="1:30">
      <c r="A47">
        <v>53172851</v>
      </c>
      <c r="B47" t="s">
        <v>977</v>
      </c>
      <c r="C47" t="s">
        <v>212</v>
      </c>
      <c r="D47" t="s">
        <v>47</v>
      </c>
      <c r="E47" t="s">
        <v>35</v>
      </c>
      <c r="F47">
        <v>6613</v>
      </c>
      <c r="G47" t="s">
        <v>165</v>
      </c>
      <c r="H47" t="s">
        <v>45</v>
      </c>
      <c r="I47" t="s">
        <v>48</v>
      </c>
      <c r="J47" t="s">
        <v>46</v>
      </c>
      <c r="K47" t="s">
        <v>116</v>
      </c>
      <c r="L47" t="s">
        <v>791</v>
      </c>
      <c r="M47" t="s">
        <v>118</v>
      </c>
      <c r="N47" t="s">
        <v>117</v>
      </c>
      <c r="O47" t="s">
        <v>215</v>
      </c>
      <c r="P47">
        <v>20260909</v>
      </c>
      <c r="Q47">
        <v>100</v>
      </c>
      <c r="R47">
        <v>100</v>
      </c>
      <c r="S47" t="s">
        <v>217</v>
      </c>
      <c r="T47" t="s">
        <v>49</v>
      </c>
      <c r="U47" t="s">
        <v>47</v>
      </c>
      <c r="V47" t="s">
        <v>47</v>
      </c>
      <c r="W47" t="s">
        <v>47</v>
      </c>
      <c r="X47" t="s">
        <v>35</v>
      </c>
      <c r="Y47" t="s">
        <v>47</v>
      </c>
      <c r="Z47" t="s">
        <v>35</v>
      </c>
      <c r="AA47" t="s">
        <v>50</v>
      </c>
      <c r="AB47" t="s">
        <v>35</v>
      </c>
      <c r="AC47" t="s">
        <v>791</v>
      </c>
      <c r="AD47" t="s">
        <v>978</v>
      </c>
    </row>
    <row r="48" spans="1:30">
      <c r="A48">
        <v>53172932</v>
      </c>
      <c r="B48" t="s">
        <v>979</v>
      </c>
      <c r="C48" t="s">
        <v>212</v>
      </c>
      <c r="D48" t="s">
        <v>47</v>
      </c>
      <c r="E48" t="s">
        <v>35</v>
      </c>
      <c r="F48">
        <v>3436</v>
      </c>
      <c r="G48" t="s">
        <v>152</v>
      </c>
      <c r="H48" t="s">
        <v>45</v>
      </c>
      <c r="I48" t="s">
        <v>48</v>
      </c>
      <c r="J48" t="s">
        <v>46</v>
      </c>
      <c r="K48" t="s">
        <v>116</v>
      </c>
      <c r="L48" t="s">
        <v>980</v>
      </c>
      <c r="M48" t="s">
        <v>118</v>
      </c>
      <c r="N48" t="s">
        <v>117</v>
      </c>
      <c r="O48" t="s">
        <v>215</v>
      </c>
      <c r="P48">
        <v>20260909</v>
      </c>
      <c r="Q48">
        <v>100</v>
      </c>
      <c r="R48">
        <v>100</v>
      </c>
      <c r="S48" t="s">
        <v>217</v>
      </c>
      <c r="T48" t="s">
        <v>49</v>
      </c>
      <c r="U48" t="s">
        <v>47</v>
      </c>
      <c r="V48" t="s">
        <v>47</v>
      </c>
      <c r="W48" t="s">
        <v>47</v>
      </c>
      <c r="X48" t="s">
        <v>35</v>
      </c>
      <c r="Y48" t="s">
        <v>47</v>
      </c>
      <c r="Z48" t="s">
        <v>35</v>
      </c>
      <c r="AA48" t="s">
        <v>50</v>
      </c>
      <c r="AB48" t="s">
        <v>35</v>
      </c>
      <c r="AC48" t="s">
        <v>792</v>
      </c>
      <c r="AD48" t="s">
        <v>971</v>
      </c>
    </row>
    <row r="49" spans="1:30">
      <c r="A49">
        <v>53173542</v>
      </c>
      <c r="B49" t="s">
        <v>981</v>
      </c>
      <c r="C49" t="s">
        <v>212</v>
      </c>
      <c r="D49" t="s">
        <v>47</v>
      </c>
      <c r="E49" t="s">
        <v>35</v>
      </c>
      <c r="F49">
        <v>6981</v>
      </c>
      <c r="G49" t="s">
        <v>786</v>
      </c>
      <c r="H49" t="s">
        <v>45</v>
      </c>
      <c r="I49" t="s">
        <v>48</v>
      </c>
      <c r="J49" t="s">
        <v>46</v>
      </c>
      <c r="K49" t="s">
        <v>116</v>
      </c>
      <c r="L49" t="s">
        <v>793</v>
      </c>
      <c r="M49" t="s">
        <v>118</v>
      </c>
      <c r="N49" t="s">
        <v>117</v>
      </c>
      <c r="O49" t="s">
        <v>215</v>
      </c>
      <c r="P49">
        <v>20260909</v>
      </c>
      <c r="Q49">
        <v>100</v>
      </c>
      <c r="R49">
        <v>100</v>
      </c>
      <c r="S49">
        <v>7146</v>
      </c>
      <c r="T49" t="s">
        <v>49</v>
      </c>
      <c r="U49" t="s">
        <v>47</v>
      </c>
      <c r="V49" t="s">
        <v>47</v>
      </c>
      <c r="W49" t="s">
        <v>47</v>
      </c>
      <c r="X49" t="s">
        <v>35</v>
      </c>
      <c r="Y49" t="s">
        <v>47</v>
      </c>
      <c r="Z49" t="s">
        <v>35</v>
      </c>
      <c r="AA49" t="s">
        <v>50</v>
      </c>
      <c r="AB49" t="s">
        <v>35</v>
      </c>
      <c r="AC49" t="s">
        <v>793</v>
      </c>
      <c r="AD49" t="s">
        <v>982</v>
      </c>
    </row>
    <row r="50" spans="1:30">
      <c r="A50">
        <v>53174040</v>
      </c>
      <c r="B50" t="s">
        <v>983</v>
      </c>
      <c r="C50" t="s">
        <v>212</v>
      </c>
      <c r="D50" t="s">
        <v>47</v>
      </c>
      <c r="E50" t="s">
        <v>35</v>
      </c>
      <c r="F50">
        <v>6981</v>
      </c>
      <c r="G50" t="s">
        <v>786</v>
      </c>
      <c r="H50" t="s">
        <v>45</v>
      </c>
      <c r="I50" t="s">
        <v>48</v>
      </c>
      <c r="J50" t="s">
        <v>46</v>
      </c>
      <c r="K50" t="s">
        <v>116</v>
      </c>
      <c r="L50" t="s">
        <v>794</v>
      </c>
      <c r="M50" t="s">
        <v>124</v>
      </c>
      <c r="N50" t="s">
        <v>123</v>
      </c>
      <c r="O50" t="s">
        <v>215</v>
      </c>
      <c r="P50">
        <v>20260909</v>
      </c>
      <c r="Q50">
        <v>200</v>
      </c>
      <c r="R50">
        <v>200</v>
      </c>
      <c r="S50" t="s">
        <v>217</v>
      </c>
      <c r="T50" t="s">
        <v>49</v>
      </c>
      <c r="U50" t="s">
        <v>47</v>
      </c>
      <c r="V50" t="s">
        <v>47</v>
      </c>
      <c r="W50" t="s">
        <v>47</v>
      </c>
      <c r="X50" t="s">
        <v>125</v>
      </c>
      <c r="Y50" t="s">
        <v>47</v>
      </c>
      <c r="Z50" t="s">
        <v>35</v>
      </c>
      <c r="AA50" t="s">
        <v>50</v>
      </c>
      <c r="AB50" t="s">
        <v>35</v>
      </c>
      <c r="AC50" t="s">
        <v>794</v>
      </c>
      <c r="AD50" t="s">
        <v>984</v>
      </c>
    </row>
    <row r="51" spans="1:30">
      <c r="A51">
        <v>53174588</v>
      </c>
      <c r="B51" t="s">
        <v>985</v>
      </c>
      <c r="C51" t="s">
        <v>212</v>
      </c>
      <c r="D51" t="s">
        <v>47</v>
      </c>
      <c r="E51" t="s">
        <v>35</v>
      </c>
      <c r="F51">
        <v>6981</v>
      </c>
      <c r="G51" t="s">
        <v>786</v>
      </c>
      <c r="H51" t="s">
        <v>45</v>
      </c>
      <c r="I51" t="s">
        <v>48</v>
      </c>
      <c r="J51" t="s">
        <v>46</v>
      </c>
      <c r="K51" t="s">
        <v>116</v>
      </c>
      <c r="L51" t="s">
        <v>795</v>
      </c>
      <c r="M51" t="s">
        <v>118</v>
      </c>
      <c r="N51" t="s">
        <v>117</v>
      </c>
      <c r="O51" t="s">
        <v>215</v>
      </c>
      <c r="P51">
        <v>20260909</v>
      </c>
      <c r="Q51">
        <v>100</v>
      </c>
      <c r="R51">
        <v>100</v>
      </c>
      <c r="S51" t="s">
        <v>217</v>
      </c>
      <c r="T51" t="s">
        <v>49</v>
      </c>
      <c r="U51" t="s">
        <v>47</v>
      </c>
      <c r="V51" t="s">
        <v>47</v>
      </c>
      <c r="W51" t="s">
        <v>47</v>
      </c>
      <c r="X51" t="s">
        <v>35</v>
      </c>
      <c r="Y51" t="s">
        <v>47</v>
      </c>
      <c r="Z51" t="s">
        <v>35</v>
      </c>
      <c r="AA51" t="s">
        <v>50</v>
      </c>
      <c r="AB51" t="s">
        <v>35</v>
      </c>
      <c r="AC51" t="s">
        <v>795</v>
      </c>
      <c r="AD51" t="s">
        <v>986</v>
      </c>
    </row>
    <row r="52" spans="1:30">
      <c r="A52">
        <v>53175319</v>
      </c>
      <c r="B52" t="s">
        <v>987</v>
      </c>
      <c r="C52" t="s">
        <v>212</v>
      </c>
      <c r="D52" t="s">
        <v>232</v>
      </c>
      <c r="E52" t="s">
        <v>35</v>
      </c>
      <c r="F52">
        <v>3436</v>
      </c>
      <c r="G52" t="s">
        <v>152</v>
      </c>
      <c r="H52" t="s">
        <v>45</v>
      </c>
      <c r="I52" t="s">
        <v>48</v>
      </c>
      <c r="J52" t="s">
        <v>46</v>
      </c>
      <c r="K52" t="s">
        <v>116</v>
      </c>
      <c r="L52" t="s">
        <v>796</v>
      </c>
      <c r="M52" t="s">
        <v>124</v>
      </c>
      <c r="N52" t="s">
        <v>123</v>
      </c>
      <c r="O52" t="s">
        <v>215</v>
      </c>
      <c r="P52">
        <v>20260909</v>
      </c>
      <c r="Q52">
        <v>100</v>
      </c>
      <c r="R52">
        <v>100</v>
      </c>
      <c r="S52" t="s">
        <v>217</v>
      </c>
      <c r="T52" t="s">
        <v>49</v>
      </c>
      <c r="U52" t="s">
        <v>47</v>
      </c>
      <c r="V52" t="s">
        <v>47</v>
      </c>
      <c r="W52" t="s">
        <v>47</v>
      </c>
      <c r="X52" t="s">
        <v>125</v>
      </c>
      <c r="Y52" t="s">
        <v>47</v>
      </c>
      <c r="Z52" t="s">
        <v>35</v>
      </c>
      <c r="AA52" t="s">
        <v>50</v>
      </c>
      <c r="AB52" t="s">
        <v>35</v>
      </c>
      <c r="AC52" t="s">
        <v>796</v>
      </c>
      <c r="AD52" t="s">
        <v>988</v>
      </c>
    </row>
    <row r="53" spans="1:30">
      <c r="A53">
        <v>53177676</v>
      </c>
      <c r="B53" t="s">
        <v>989</v>
      </c>
      <c r="C53" t="s">
        <v>212</v>
      </c>
      <c r="D53" t="s">
        <v>47</v>
      </c>
      <c r="E53" t="s">
        <v>35</v>
      </c>
      <c r="F53">
        <v>2269</v>
      </c>
      <c r="G53" t="s">
        <v>798</v>
      </c>
      <c r="H53" t="s">
        <v>45</v>
      </c>
      <c r="I53" t="s">
        <v>48</v>
      </c>
      <c r="J53" t="s">
        <v>46</v>
      </c>
      <c r="K53" t="s">
        <v>116</v>
      </c>
      <c r="L53" t="s">
        <v>797</v>
      </c>
      <c r="M53" t="s">
        <v>118</v>
      </c>
      <c r="N53" t="s">
        <v>117</v>
      </c>
      <c r="O53" t="s">
        <v>215</v>
      </c>
      <c r="P53">
        <v>20260909</v>
      </c>
      <c r="Q53">
        <v>100</v>
      </c>
      <c r="R53">
        <v>100</v>
      </c>
      <c r="S53" t="s">
        <v>217</v>
      </c>
      <c r="T53" t="s">
        <v>49</v>
      </c>
      <c r="U53" t="s">
        <v>47</v>
      </c>
      <c r="V53" t="s">
        <v>47</v>
      </c>
      <c r="W53" t="s">
        <v>47</v>
      </c>
      <c r="X53" t="s">
        <v>35</v>
      </c>
      <c r="Y53" t="s">
        <v>47</v>
      </c>
      <c r="Z53" t="s">
        <v>35</v>
      </c>
      <c r="AA53" t="s">
        <v>50</v>
      </c>
      <c r="AB53" t="s">
        <v>35</v>
      </c>
      <c r="AC53" t="s">
        <v>797</v>
      </c>
      <c r="AD53" t="s">
        <v>990</v>
      </c>
    </row>
    <row r="54" spans="1:30">
      <c r="A54">
        <v>53177898</v>
      </c>
      <c r="B54" t="s">
        <v>991</v>
      </c>
      <c r="C54" t="s">
        <v>212</v>
      </c>
      <c r="D54" t="s">
        <v>47</v>
      </c>
      <c r="E54" t="s">
        <v>35</v>
      </c>
      <c r="F54">
        <v>3436</v>
      </c>
      <c r="G54" t="s">
        <v>152</v>
      </c>
      <c r="H54" t="s">
        <v>45</v>
      </c>
      <c r="I54" t="s">
        <v>48</v>
      </c>
      <c r="J54" t="s">
        <v>46</v>
      </c>
      <c r="K54" t="s">
        <v>116</v>
      </c>
      <c r="L54" t="s">
        <v>799</v>
      </c>
      <c r="M54" t="s">
        <v>118</v>
      </c>
      <c r="N54" t="s">
        <v>117</v>
      </c>
      <c r="O54" t="s">
        <v>215</v>
      </c>
      <c r="P54">
        <v>20260909</v>
      </c>
      <c r="Q54">
        <v>100</v>
      </c>
      <c r="R54">
        <v>100</v>
      </c>
      <c r="S54" t="s">
        <v>217</v>
      </c>
      <c r="T54" t="s">
        <v>49</v>
      </c>
      <c r="U54" t="s">
        <v>47</v>
      </c>
      <c r="V54" t="s">
        <v>47</v>
      </c>
      <c r="W54" t="s">
        <v>47</v>
      </c>
      <c r="X54" t="s">
        <v>35</v>
      </c>
      <c r="Y54" t="s">
        <v>47</v>
      </c>
      <c r="Z54" t="s">
        <v>35</v>
      </c>
      <c r="AA54" t="s">
        <v>50</v>
      </c>
      <c r="AB54" t="s">
        <v>35</v>
      </c>
      <c r="AC54" t="s">
        <v>799</v>
      </c>
      <c r="AD54" t="s">
        <v>992</v>
      </c>
    </row>
    <row r="55" spans="1:30">
      <c r="A55">
        <v>53178209</v>
      </c>
      <c r="B55" t="s">
        <v>993</v>
      </c>
      <c r="C55" t="s">
        <v>212</v>
      </c>
      <c r="D55" t="s">
        <v>47</v>
      </c>
      <c r="E55" t="s">
        <v>35</v>
      </c>
      <c r="F55">
        <v>6981</v>
      </c>
      <c r="G55" t="s">
        <v>786</v>
      </c>
      <c r="H55" t="s">
        <v>45</v>
      </c>
      <c r="I55" t="s">
        <v>48</v>
      </c>
      <c r="J55" t="s">
        <v>46</v>
      </c>
      <c r="K55" t="s">
        <v>116</v>
      </c>
      <c r="L55" t="s">
        <v>994</v>
      </c>
      <c r="M55" t="s">
        <v>124</v>
      </c>
      <c r="N55" t="s">
        <v>123</v>
      </c>
      <c r="O55" t="s">
        <v>215</v>
      </c>
      <c r="P55">
        <v>20260909</v>
      </c>
      <c r="Q55">
        <v>100</v>
      </c>
      <c r="R55">
        <v>100</v>
      </c>
      <c r="S55" t="s">
        <v>217</v>
      </c>
      <c r="T55" t="s">
        <v>49</v>
      </c>
      <c r="U55" t="s">
        <v>47</v>
      </c>
      <c r="V55" t="s">
        <v>47</v>
      </c>
      <c r="W55" t="s">
        <v>47</v>
      </c>
      <c r="X55" t="s">
        <v>125</v>
      </c>
      <c r="Y55" t="s">
        <v>47</v>
      </c>
      <c r="Z55" t="s">
        <v>35</v>
      </c>
      <c r="AA55" t="s">
        <v>50</v>
      </c>
      <c r="AB55" t="s">
        <v>35</v>
      </c>
      <c r="AC55" t="s">
        <v>800</v>
      </c>
      <c r="AD55" t="s">
        <v>995</v>
      </c>
    </row>
    <row r="56" spans="1:30">
      <c r="A56">
        <v>53179130</v>
      </c>
      <c r="B56" t="s">
        <v>996</v>
      </c>
      <c r="C56" t="s">
        <v>212</v>
      </c>
      <c r="D56" t="s">
        <v>47</v>
      </c>
      <c r="E56" t="s">
        <v>35</v>
      </c>
      <c r="F56">
        <v>6981</v>
      </c>
      <c r="G56" t="s">
        <v>786</v>
      </c>
      <c r="H56" t="s">
        <v>45</v>
      </c>
      <c r="I56" t="s">
        <v>48</v>
      </c>
      <c r="J56" t="s">
        <v>46</v>
      </c>
      <c r="K56" t="s">
        <v>116</v>
      </c>
      <c r="L56" t="s">
        <v>997</v>
      </c>
      <c r="M56" t="s">
        <v>118</v>
      </c>
      <c r="N56" t="s">
        <v>117</v>
      </c>
      <c r="O56" t="s">
        <v>215</v>
      </c>
      <c r="P56">
        <v>20260909</v>
      </c>
      <c r="Q56">
        <v>100</v>
      </c>
      <c r="R56">
        <v>100</v>
      </c>
      <c r="S56" t="s">
        <v>217</v>
      </c>
      <c r="T56" t="s">
        <v>49</v>
      </c>
      <c r="U56" t="s">
        <v>47</v>
      </c>
      <c r="V56" t="s">
        <v>47</v>
      </c>
      <c r="W56" t="s">
        <v>47</v>
      </c>
      <c r="X56" t="s">
        <v>35</v>
      </c>
      <c r="Y56" t="s">
        <v>47</v>
      </c>
      <c r="Z56" t="s">
        <v>35</v>
      </c>
      <c r="AA56" t="s">
        <v>50</v>
      </c>
      <c r="AB56" t="s">
        <v>35</v>
      </c>
      <c r="AC56" t="s">
        <v>801</v>
      </c>
      <c r="AD56" t="s">
        <v>998</v>
      </c>
    </row>
    <row r="57" spans="1:30">
      <c r="A57">
        <v>53182472</v>
      </c>
      <c r="B57" t="s">
        <v>999</v>
      </c>
      <c r="C57" t="s">
        <v>212</v>
      </c>
      <c r="D57" t="s">
        <v>47</v>
      </c>
      <c r="E57" t="s">
        <v>35</v>
      </c>
      <c r="F57">
        <v>6981</v>
      </c>
      <c r="G57" t="s">
        <v>786</v>
      </c>
      <c r="H57" t="s">
        <v>45</v>
      </c>
      <c r="I57" t="s">
        <v>48</v>
      </c>
      <c r="J57" t="s">
        <v>46</v>
      </c>
      <c r="K57" t="s">
        <v>116</v>
      </c>
      <c r="L57" t="s">
        <v>802</v>
      </c>
      <c r="M57" t="s">
        <v>124</v>
      </c>
      <c r="N57" t="s">
        <v>123</v>
      </c>
      <c r="O57" t="s">
        <v>215</v>
      </c>
      <c r="P57">
        <v>20260909</v>
      </c>
      <c r="Q57">
        <v>100</v>
      </c>
      <c r="R57">
        <v>100</v>
      </c>
      <c r="S57" t="s">
        <v>217</v>
      </c>
      <c r="T57" t="s">
        <v>49</v>
      </c>
      <c r="U57" t="s">
        <v>47</v>
      </c>
      <c r="V57" t="s">
        <v>47</v>
      </c>
      <c r="W57" t="s">
        <v>47</v>
      </c>
      <c r="X57" t="s">
        <v>125</v>
      </c>
      <c r="Y57" t="s">
        <v>47</v>
      </c>
      <c r="Z57" t="s">
        <v>35</v>
      </c>
      <c r="AA57" t="s">
        <v>50</v>
      </c>
      <c r="AB57" t="s">
        <v>35</v>
      </c>
      <c r="AC57" t="s">
        <v>802</v>
      </c>
      <c r="AD57" t="s">
        <v>1000</v>
      </c>
    </row>
    <row r="58" spans="1:30">
      <c r="A58">
        <v>53183028</v>
      </c>
      <c r="B58" t="s">
        <v>1001</v>
      </c>
      <c r="C58" t="s">
        <v>212</v>
      </c>
      <c r="D58" t="s">
        <v>47</v>
      </c>
      <c r="E58" t="s">
        <v>35</v>
      </c>
      <c r="F58">
        <v>3436</v>
      </c>
      <c r="G58" t="s">
        <v>152</v>
      </c>
      <c r="H58" t="s">
        <v>45</v>
      </c>
      <c r="I58" t="s">
        <v>48</v>
      </c>
      <c r="J58" t="s">
        <v>46</v>
      </c>
      <c r="K58" t="s">
        <v>116</v>
      </c>
      <c r="L58" t="s">
        <v>803</v>
      </c>
      <c r="M58" t="s">
        <v>124</v>
      </c>
      <c r="N58" t="s">
        <v>123</v>
      </c>
      <c r="O58" t="s">
        <v>215</v>
      </c>
      <c r="P58">
        <v>20260909</v>
      </c>
      <c r="Q58">
        <v>100</v>
      </c>
      <c r="R58">
        <v>100</v>
      </c>
      <c r="S58" t="s">
        <v>217</v>
      </c>
      <c r="T58" t="s">
        <v>49</v>
      </c>
      <c r="U58" t="s">
        <v>47</v>
      </c>
      <c r="V58" t="s">
        <v>47</v>
      </c>
      <c r="W58" t="s">
        <v>47</v>
      </c>
      <c r="X58" t="s">
        <v>125</v>
      </c>
      <c r="Y58" t="s">
        <v>47</v>
      </c>
      <c r="Z58" t="s">
        <v>35</v>
      </c>
      <c r="AA58" t="s">
        <v>50</v>
      </c>
      <c r="AB58" t="s">
        <v>35</v>
      </c>
      <c r="AC58" t="s">
        <v>803</v>
      </c>
      <c r="AD58" t="s">
        <v>1002</v>
      </c>
    </row>
    <row r="59" spans="1:30">
      <c r="A59">
        <v>53183331</v>
      </c>
      <c r="B59" t="s">
        <v>1003</v>
      </c>
      <c r="C59" t="s">
        <v>212</v>
      </c>
      <c r="D59" t="s">
        <v>47</v>
      </c>
      <c r="E59" t="s">
        <v>35</v>
      </c>
      <c r="F59">
        <v>6613</v>
      </c>
      <c r="G59" t="s">
        <v>165</v>
      </c>
      <c r="H59" t="s">
        <v>45</v>
      </c>
      <c r="I59" t="s">
        <v>48</v>
      </c>
      <c r="J59" t="s">
        <v>46</v>
      </c>
      <c r="K59" t="s">
        <v>116</v>
      </c>
      <c r="L59" t="s">
        <v>804</v>
      </c>
      <c r="M59" t="s">
        <v>124</v>
      </c>
      <c r="N59" t="s">
        <v>123</v>
      </c>
      <c r="O59" t="s">
        <v>215</v>
      </c>
      <c r="P59">
        <v>20260909</v>
      </c>
      <c r="Q59">
        <v>100</v>
      </c>
      <c r="R59">
        <v>100</v>
      </c>
      <c r="S59" t="s">
        <v>217</v>
      </c>
      <c r="T59" t="s">
        <v>49</v>
      </c>
      <c r="U59" t="s">
        <v>47</v>
      </c>
      <c r="V59" t="s">
        <v>47</v>
      </c>
      <c r="W59" t="s">
        <v>47</v>
      </c>
      <c r="X59" t="s">
        <v>125</v>
      </c>
      <c r="Y59" t="s">
        <v>47</v>
      </c>
      <c r="Z59" t="s">
        <v>35</v>
      </c>
      <c r="AA59" t="s">
        <v>50</v>
      </c>
      <c r="AB59" t="s">
        <v>35</v>
      </c>
      <c r="AC59" t="s">
        <v>804</v>
      </c>
      <c r="AD59" t="s">
        <v>1004</v>
      </c>
    </row>
    <row r="60" spans="1:30">
      <c r="A60">
        <v>53183724</v>
      </c>
      <c r="B60" t="s">
        <v>1005</v>
      </c>
      <c r="C60" t="s">
        <v>212</v>
      </c>
      <c r="D60" t="s">
        <v>47</v>
      </c>
      <c r="E60" t="s">
        <v>35</v>
      </c>
      <c r="F60">
        <v>3436</v>
      </c>
      <c r="G60" t="s">
        <v>152</v>
      </c>
      <c r="H60" t="s">
        <v>45</v>
      </c>
      <c r="I60" t="s">
        <v>48</v>
      </c>
      <c r="J60" t="s">
        <v>46</v>
      </c>
      <c r="K60" t="s">
        <v>116</v>
      </c>
      <c r="L60" t="s">
        <v>805</v>
      </c>
      <c r="M60" t="s">
        <v>118</v>
      </c>
      <c r="N60" t="s">
        <v>117</v>
      </c>
      <c r="O60" t="s">
        <v>215</v>
      </c>
      <c r="P60">
        <v>20260909</v>
      </c>
      <c r="Q60">
        <v>100</v>
      </c>
      <c r="R60">
        <v>100</v>
      </c>
      <c r="S60" t="s">
        <v>217</v>
      </c>
      <c r="T60" t="s">
        <v>49</v>
      </c>
      <c r="U60" t="s">
        <v>47</v>
      </c>
      <c r="V60" t="s">
        <v>47</v>
      </c>
      <c r="W60" t="s">
        <v>47</v>
      </c>
      <c r="X60" t="s">
        <v>35</v>
      </c>
      <c r="Y60" t="s">
        <v>47</v>
      </c>
      <c r="Z60" t="s">
        <v>35</v>
      </c>
      <c r="AA60" t="s">
        <v>50</v>
      </c>
      <c r="AB60" t="s">
        <v>35</v>
      </c>
      <c r="AC60" t="s">
        <v>805</v>
      </c>
      <c r="AD60" t="s">
        <v>1006</v>
      </c>
    </row>
    <row r="61" spans="1:30">
      <c r="A61">
        <v>53183883</v>
      </c>
      <c r="B61" t="s">
        <v>1007</v>
      </c>
      <c r="C61" t="s">
        <v>212</v>
      </c>
      <c r="D61" t="s">
        <v>47</v>
      </c>
      <c r="E61" t="s">
        <v>35</v>
      </c>
      <c r="F61">
        <v>6981</v>
      </c>
      <c r="G61" t="s">
        <v>786</v>
      </c>
      <c r="H61" t="s">
        <v>45</v>
      </c>
      <c r="I61" t="s">
        <v>48</v>
      </c>
      <c r="J61" t="s">
        <v>46</v>
      </c>
      <c r="K61" t="s">
        <v>116</v>
      </c>
      <c r="L61" t="s">
        <v>806</v>
      </c>
      <c r="M61" t="s">
        <v>118</v>
      </c>
      <c r="N61" t="s">
        <v>117</v>
      </c>
      <c r="O61" t="s">
        <v>215</v>
      </c>
      <c r="P61">
        <v>20260909</v>
      </c>
      <c r="Q61">
        <v>100</v>
      </c>
      <c r="R61">
        <v>100</v>
      </c>
      <c r="S61" t="s">
        <v>217</v>
      </c>
      <c r="T61" t="s">
        <v>49</v>
      </c>
      <c r="U61" t="s">
        <v>47</v>
      </c>
      <c r="V61" t="s">
        <v>47</v>
      </c>
      <c r="W61" t="s">
        <v>47</v>
      </c>
      <c r="X61" t="s">
        <v>35</v>
      </c>
      <c r="Y61" t="s">
        <v>47</v>
      </c>
      <c r="Z61" t="s">
        <v>35</v>
      </c>
      <c r="AA61" t="s">
        <v>50</v>
      </c>
      <c r="AB61" t="s">
        <v>35</v>
      </c>
      <c r="AC61" t="s">
        <v>806</v>
      </c>
      <c r="AD61" t="s">
        <v>1008</v>
      </c>
    </row>
    <row r="62" spans="1:30">
      <c r="A62">
        <v>53183977</v>
      </c>
      <c r="B62" t="s">
        <v>1009</v>
      </c>
      <c r="C62" t="s">
        <v>212</v>
      </c>
      <c r="D62" t="s">
        <v>47</v>
      </c>
      <c r="E62" t="s">
        <v>35</v>
      </c>
      <c r="F62">
        <v>6613</v>
      </c>
      <c r="G62" t="s">
        <v>165</v>
      </c>
      <c r="H62" t="s">
        <v>45</v>
      </c>
      <c r="I62" t="s">
        <v>48</v>
      </c>
      <c r="J62" t="s">
        <v>46</v>
      </c>
      <c r="K62" t="s">
        <v>116</v>
      </c>
      <c r="L62" t="s">
        <v>807</v>
      </c>
      <c r="M62" t="s">
        <v>118</v>
      </c>
      <c r="N62" t="s">
        <v>117</v>
      </c>
      <c r="O62" t="s">
        <v>215</v>
      </c>
      <c r="P62">
        <v>20260909</v>
      </c>
      <c r="Q62">
        <v>100</v>
      </c>
      <c r="R62">
        <v>100</v>
      </c>
      <c r="S62" t="s">
        <v>217</v>
      </c>
      <c r="T62" t="s">
        <v>49</v>
      </c>
      <c r="U62" t="s">
        <v>47</v>
      </c>
      <c r="V62" t="s">
        <v>47</v>
      </c>
      <c r="W62" t="s">
        <v>47</v>
      </c>
      <c r="X62" t="s">
        <v>35</v>
      </c>
      <c r="Y62" t="s">
        <v>47</v>
      </c>
      <c r="Z62" t="s">
        <v>35</v>
      </c>
      <c r="AA62" t="s">
        <v>50</v>
      </c>
      <c r="AB62" t="s">
        <v>35</v>
      </c>
      <c r="AC62" t="s">
        <v>807</v>
      </c>
      <c r="AD62" t="s">
        <v>1010</v>
      </c>
    </row>
    <row r="63" spans="1:30">
      <c r="A63">
        <v>53186874</v>
      </c>
      <c r="B63" t="s">
        <v>1011</v>
      </c>
      <c r="C63" t="s">
        <v>212</v>
      </c>
      <c r="D63" t="s">
        <v>47</v>
      </c>
      <c r="E63" t="s">
        <v>35</v>
      </c>
      <c r="F63">
        <v>2269</v>
      </c>
      <c r="G63" t="s">
        <v>798</v>
      </c>
      <c r="H63" t="s">
        <v>45</v>
      </c>
      <c r="I63" t="s">
        <v>48</v>
      </c>
      <c r="J63" t="s">
        <v>46</v>
      </c>
      <c r="K63" t="s">
        <v>116</v>
      </c>
      <c r="L63" t="s">
        <v>808</v>
      </c>
      <c r="M63" t="s">
        <v>124</v>
      </c>
      <c r="N63" t="s">
        <v>123</v>
      </c>
      <c r="O63" t="s">
        <v>215</v>
      </c>
      <c r="P63">
        <v>20260909</v>
      </c>
      <c r="Q63">
        <v>100</v>
      </c>
      <c r="R63">
        <v>100</v>
      </c>
      <c r="S63" t="s">
        <v>217</v>
      </c>
      <c r="T63" t="s">
        <v>49</v>
      </c>
      <c r="U63" t="s">
        <v>47</v>
      </c>
      <c r="V63" t="s">
        <v>47</v>
      </c>
      <c r="W63" t="s">
        <v>47</v>
      </c>
      <c r="X63" t="s">
        <v>125</v>
      </c>
      <c r="Y63" t="s">
        <v>47</v>
      </c>
      <c r="Z63" t="s">
        <v>35</v>
      </c>
      <c r="AA63" t="s">
        <v>50</v>
      </c>
      <c r="AB63" t="s">
        <v>35</v>
      </c>
      <c r="AC63" t="s">
        <v>808</v>
      </c>
      <c r="AD63" t="s">
        <v>1012</v>
      </c>
    </row>
    <row r="64" spans="1:30">
      <c r="A64">
        <v>53187973</v>
      </c>
      <c r="B64" t="s">
        <v>1013</v>
      </c>
      <c r="C64" t="s">
        <v>212</v>
      </c>
      <c r="D64" t="s">
        <v>47</v>
      </c>
      <c r="E64" t="s">
        <v>35</v>
      </c>
      <c r="F64">
        <v>6981</v>
      </c>
      <c r="G64" t="s">
        <v>786</v>
      </c>
      <c r="H64" t="s">
        <v>45</v>
      </c>
      <c r="I64" t="s">
        <v>48</v>
      </c>
      <c r="J64" t="s">
        <v>46</v>
      </c>
      <c r="K64" t="s">
        <v>116</v>
      </c>
      <c r="L64" t="s">
        <v>809</v>
      </c>
      <c r="M64" t="s">
        <v>124</v>
      </c>
      <c r="N64" t="s">
        <v>123</v>
      </c>
      <c r="O64" t="s">
        <v>215</v>
      </c>
      <c r="P64">
        <v>20260909</v>
      </c>
      <c r="Q64">
        <v>100</v>
      </c>
      <c r="R64">
        <v>100</v>
      </c>
      <c r="S64" t="s">
        <v>217</v>
      </c>
      <c r="T64" t="s">
        <v>49</v>
      </c>
      <c r="U64" t="s">
        <v>47</v>
      </c>
      <c r="V64" t="s">
        <v>47</v>
      </c>
      <c r="W64" t="s">
        <v>47</v>
      </c>
      <c r="X64" t="s">
        <v>125</v>
      </c>
      <c r="Y64" t="s">
        <v>47</v>
      </c>
      <c r="Z64" t="s">
        <v>35</v>
      </c>
      <c r="AA64" t="s">
        <v>50</v>
      </c>
      <c r="AB64" t="s">
        <v>35</v>
      </c>
      <c r="AC64" t="s">
        <v>809</v>
      </c>
      <c r="AD64" t="s">
        <v>1014</v>
      </c>
    </row>
    <row r="65" spans="1:30">
      <c r="A65">
        <v>53188476</v>
      </c>
      <c r="B65" t="s">
        <v>1015</v>
      </c>
      <c r="C65" t="s">
        <v>212</v>
      </c>
      <c r="D65" t="s">
        <v>47</v>
      </c>
      <c r="E65" t="s">
        <v>35</v>
      </c>
      <c r="F65">
        <v>6981</v>
      </c>
      <c r="G65" t="s">
        <v>786</v>
      </c>
      <c r="H65" t="s">
        <v>45</v>
      </c>
      <c r="I65" t="s">
        <v>48</v>
      </c>
      <c r="J65" t="s">
        <v>46</v>
      </c>
      <c r="K65" t="s">
        <v>116</v>
      </c>
      <c r="L65" t="s">
        <v>1016</v>
      </c>
      <c r="M65" t="s">
        <v>118</v>
      </c>
      <c r="N65" t="s">
        <v>117</v>
      </c>
      <c r="O65" t="s">
        <v>215</v>
      </c>
      <c r="P65">
        <v>20260909</v>
      </c>
      <c r="Q65">
        <v>100</v>
      </c>
      <c r="R65">
        <v>100</v>
      </c>
      <c r="S65" t="s">
        <v>217</v>
      </c>
      <c r="T65" t="s">
        <v>49</v>
      </c>
      <c r="U65" t="s">
        <v>47</v>
      </c>
      <c r="V65" t="s">
        <v>47</v>
      </c>
      <c r="W65" t="s">
        <v>47</v>
      </c>
      <c r="X65" t="s">
        <v>35</v>
      </c>
      <c r="Y65" t="s">
        <v>47</v>
      </c>
      <c r="Z65" t="s">
        <v>35</v>
      </c>
      <c r="AA65" t="s">
        <v>50</v>
      </c>
      <c r="AB65" t="s">
        <v>35</v>
      </c>
      <c r="AC65" t="s">
        <v>810</v>
      </c>
      <c r="AD65" t="s">
        <v>1008</v>
      </c>
    </row>
    <row r="66" spans="1:30">
      <c r="A66">
        <v>53189503</v>
      </c>
      <c r="B66" t="s">
        <v>1017</v>
      </c>
      <c r="C66" t="s">
        <v>212</v>
      </c>
      <c r="D66" t="s">
        <v>47</v>
      </c>
      <c r="E66" t="s">
        <v>35</v>
      </c>
      <c r="F66">
        <v>3436</v>
      </c>
      <c r="G66" t="s">
        <v>152</v>
      </c>
      <c r="H66" t="s">
        <v>45</v>
      </c>
      <c r="I66" t="s">
        <v>48</v>
      </c>
      <c r="J66" t="s">
        <v>46</v>
      </c>
      <c r="K66" t="s">
        <v>116</v>
      </c>
      <c r="L66" t="s">
        <v>1018</v>
      </c>
      <c r="M66" t="s">
        <v>124</v>
      </c>
      <c r="N66" t="s">
        <v>123</v>
      </c>
      <c r="O66" t="s">
        <v>215</v>
      </c>
      <c r="P66">
        <v>20260909</v>
      </c>
      <c r="Q66">
        <v>100</v>
      </c>
      <c r="R66">
        <v>100</v>
      </c>
      <c r="S66" t="s">
        <v>217</v>
      </c>
      <c r="T66" t="s">
        <v>49</v>
      </c>
      <c r="U66" t="s">
        <v>47</v>
      </c>
      <c r="V66" t="s">
        <v>47</v>
      </c>
      <c r="W66" t="s">
        <v>47</v>
      </c>
      <c r="X66" t="s">
        <v>125</v>
      </c>
      <c r="Y66" t="s">
        <v>47</v>
      </c>
      <c r="Z66" t="s">
        <v>35</v>
      </c>
      <c r="AA66" t="s">
        <v>50</v>
      </c>
      <c r="AB66" t="s">
        <v>35</v>
      </c>
      <c r="AC66" t="s">
        <v>811</v>
      </c>
      <c r="AD66" t="s">
        <v>1019</v>
      </c>
    </row>
    <row r="67" spans="1:30">
      <c r="A67">
        <v>53189666</v>
      </c>
      <c r="B67" t="s">
        <v>1020</v>
      </c>
      <c r="C67" t="s">
        <v>212</v>
      </c>
      <c r="D67" t="s">
        <v>47</v>
      </c>
      <c r="E67" t="s">
        <v>35</v>
      </c>
      <c r="F67">
        <v>6981</v>
      </c>
      <c r="G67" t="s">
        <v>786</v>
      </c>
      <c r="H67" t="s">
        <v>45</v>
      </c>
      <c r="I67" t="s">
        <v>48</v>
      </c>
      <c r="J67" t="s">
        <v>46</v>
      </c>
      <c r="K67" t="s">
        <v>116</v>
      </c>
      <c r="L67" t="s">
        <v>812</v>
      </c>
      <c r="M67" t="s">
        <v>124</v>
      </c>
      <c r="N67" t="s">
        <v>123</v>
      </c>
      <c r="O67" t="s">
        <v>215</v>
      </c>
      <c r="P67">
        <v>20260909</v>
      </c>
      <c r="Q67">
        <v>100</v>
      </c>
      <c r="R67">
        <v>100</v>
      </c>
      <c r="S67" t="s">
        <v>217</v>
      </c>
      <c r="T67" t="s">
        <v>49</v>
      </c>
      <c r="U67" t="s">
        <v>47</v>
      </c>
      <c r="V67" t="s">
        <v>47</v>
      </c>
      <c r="W67" t="s">
        <v>47</v>
      </c>
      <c r="X67" t="s">
        <v>125</v>
      </c>
      <c r="Y67" t="s">
        <v>47</v>
      </c>
      <c r="Z67" t="s">
        <v>35</v>
      </c>
      <c r="AA67" t="s">
        <v>50</v>
      </c>
      <c r="AB67" t="s">
        <v>35</v>
      </c>
      <c r="AC67" t="s">
        <v>812</v>
      </c>
      <c r="AD67" t="s">
        <v>1021</v>
      </c>
    </row>
    <row r="68" spans="1:30">
      <c r="A68">
        <v>53189808</v>
      </c>
      <c r="B68" t="s">
        <v>1022</v>
      </c>
      <c r="C68" t="s">
        <v>212</v>
      </c>
      <c r="D68" t="s">
        <v>47</v>
      </c>
      <c r="E68" t="s">
        <v>35</v>
      </c>
      <c r="F68">
        <v>6613</v>
      </c>
      <c r="G68" t="s">
        <v>165</v>
      </c>
      <c r="H68" t="s">
        <v>45</v>
      </c>
      <c r="I68" t="s">
        <v>48</v>
      </c>
      <c r="J68" t="s">
        <v>46</v>
      </c>
      <c r="K68" t="s">
        <v>116</v>
      </c>
      <c r="L68" t="s">
        <v>1023</v>
      </c>
      <c r="M68" t="s">
        <v>124</v>
      </c>
      <c r="N68" t="s">
        <v>123</v>
      </c>
      <c r="O68" t="s">
        <v>215</v>
      </c>
      <c r="P68">
        <v>20260909</v>
      </c>
      <c r="Q68">
        <v>100</v>
      </c>
      <c r="R68">
        <v>100</v>
      </c>
      <c r="S68" t="s">
        <v>217</v>
      </c>
      <c r="T68" t="s">
        <v>49</v>
      </c>
      <c r="U68" t="s">
        <v>47</v>
      </c>
      <c r="V68" t="s">
        <v>47</v>
      </c>
      <c r="W68" t="s">
        <v>47</v>
      </c>
      <c r="X68" t="s">
        <v>125</v>
      </c>
      <c r="Y68" t="s">
        <v>47</v>
      </c>
      <c r="Z68" t="s">
        <v>35</v>
      </c>
      <c r="AA68" t="s">
        <v>50</v>
      </c>
      <c r="AB68" t="s">
        <v>35</v>
      </c>
      <c r="AC68" t="s">
        <v>813</v>
      </c>
      <c r="AD68" t="s">
        <v>963</v>
      </c>
    </row>
    <row r="69" spans="1:30">
      <c r="A69">
        <v>53198892</v>
      </c>
      <c r="B69" t="s">
        <v>1024</v>
      </c>
      <c r="C69" t="s">
        <v>212</v>
      </c>
      <c r="D69" t="s">
        <v>47</v>
      </c>
      <c r="E69" t="s">
        <v>35</v>
      </c>
      <c r="F69">
        <v>5803</v>
      </c>
      <c r="G69" t="s">
        <v>176</v>
      </c>
      <c r="H69" t="s">
        <v>45</v>
      </c>
      <c r="I69" t="s">
        <v>48</v>
      </c>
      <c r="J69" t="s">
        <v>46</v>
      </c>
      <c r="K69" t="s">
        <v>116</v>
      </c>
      <c r="L69" t="s">
        <v>814</v>
      </c>
      <c r="M69" t="s">
        <v>118</v>
      </c>
      <c r="N69" t="s">
        <v>117</v>
      </c>
      <c r="O69" t="s">
        <v>215</v>
      </c>
      <c r="P69">
        <v>20260909</v>
      </c>
      <c r="Q69">
        <v>100</v>
      </c>
      <c r="R69">
        <v>100</v>
      </c>
      <c r="S69" t="s">
        <v>217</v>
      </c>
      <c r="T69" t="s">
        <v>49</v>
      </c>
      <c r="U69" t="s">
        <v>47</v>
      </c>
      <c r="V69" t="s">
        <v>47</v>
      </c>
      <c r="W69" t="s">
        <v>47</v>
      </c>
      <c r="X69" t="s">
        <v>35</v>
      </c>
      <c r="Y69" t="s">
        <v>47</v>
      </c>
      <c r="Z69" t="s">
        <v>35</v>
      </c>
      <c r="AA69" t="s">
        <v>50</v>
      </c>
      <c r="AB69" t="s">
        <v>35</v>
      </c>
      <c r="AC69" t="s">
        <v>814</v>
      </c>
      <c r="AD69" t="s">
        <v>1025</v>
      </c>
    </row>
    <row r="70" spans="1:30">
      <c r="A70">
        <v>53199180</v>
      </c>
      <c r="B70" t="s">
        <v>1026</v>
      </c>
      <c r="C70" t="s">
        <v>212</v>
      </c>
      <c r="D70" t="s">
        <v>47</v>
      </c>
      <c r="E70" t="s">
        <v>35</v>
      </c>
      <c r="F70">
        <v>6613</v>
      </c>
      <c r="G70" t="s">
        <v>165</v>
      </c>
      <c r="H70" t="s">
        <v>45</v>
      </c>
      <c r="I70" t="s">
        <v>48</v>
      </c>
      <c r="J70" t="s">
        <v>46</v>
      </c>
      <c r="K70" t="s">
        <v>116</v>
      </c>
      <c r="L70" t="s">
        <v>815</v>
      </c>
      <c r="M70" t="s">
        <v>118</v>
      </c>
      <c r="N70" t="s">
        <v>117</v>
      </c>
      <c r="O70" t="s">
        <v>215</v>
      </c>
      <c r="P70">
        <v>20260909</v>
      </c>
      <c r="Q70">
        <v>100</v>
      </c>
      <c r="R70">
        <v>100</v>
      </c>
      <c r="S70" t="s">
        <v>217</v>
      </c>
      <c r="T70" t="s">
        <v>49</v>
      </c>
      <c r="U70" t="s">
        <v>47</v>
      </c>
      <c r="V70" t="s">
        <v>47</v>
      </c>
      <c r="W70" t="s">
        <v>47</v>
      </c>
      <c r="X70" t="s">
        <v>35</v>
      </c>
      <c r="Y70" t="s">
        <v>47</v>
      </c>
      <c r="Z70" t="s">
        <v>35</v>
      </c>
      <c r="AA70" t="s">
        <v>50</v>
      </c>
      <c r="AB70" t="s">
        <v>35</v>
      </c>
      <c r="AC70" t="s">
        <v>815</v>
      </c>
      <c r="AD70" t="s">
        <v>1027</v>
      </c>
    </row>
    <row r="71" spans="1:30">
      <c r="A71">
        <v>53199902</v>
      </c>
      <c r="B71" t="s">
        <v>1028</v>
      </c>
      <c r="C71" t="s">
        <v>212</v>
      </c>
      <c r="D71" t="s">
        <v>47</v>
      </c>
      <c r="E71" t="s">
        <v>35</v>
      </c>
      <c r="F71">
        <v>6613</v>
      </c>
      <c r="G71" t="s">
        <v>165</v>
      </c>
      <c r="H71" t="s">
        <v>45</v>
      </c>
      <c r="I71" t="s">
        <v>48</v>
      </c>
      <c r="J71" t="s">
        <v>46</v>
      </c>
      <c r="K71" t="s">
        <v>116</v>
      </c>
      <c r="L71" t="s">
        <v>816</v>
      </c>
      <c r="M71" t="s">
        <v>118</v>
      </c>
      <c r="N71" t="s">
        <v>117</v>
      </c>
      <c r="O71" t="s">
        <v>215</v>
      </c>
      <c r="P71">
        <v>20260909</v>
      </c>
      <c r="Q71">
        <v>100</v>
      </c>
      <c r="R71">
        <v>100</v>
      </c>
      <c r="S71" t="s">
        <v>217</v>
      </c>
      <c r="T71" t="s">
        <v>49</v>
      </c>
      <c r="U71" t="s">
        <v>47</v>
      </c>
      <c r="V71" t="s">
        <v>47</v>
      </c>
      <c r="W71" t="s">
        <v>47</v>
      </c>
      <c r="X71" t="s">
        <v>35</v>
      </c>
      <c r="Y71" t="s">
        <v>47</v>
      </c>
      <c r="Z71" t="s">
        <v>35</v>
      </c>
      <c r="AA71" t="s">
        <v>50</v>
      </c>
      <c r="AB71" t="s">
        <v>35</v>
      </c>
      <c r="AC71" t="s">
        <v>816</v>
      </c>
      <c r="AD71" t="s">
        <v>1029</v>
      </c>
    </row>
    <row r="72" spans="1:30">
      <c r="A72">
        <v>53202192</v>
      </c>
      <c r="B72" t="s">
        <v>1030</v>
      </c>
      <c r="C72" t="s">
        <v>212</v>
      </c>
      <c r="D72" t="s">
        <v>47</v>
      </c>
      <c r="E72" t="s">
        <v>35</v>
      </c>
      <c r="F72">
        <v>6613</v>
      </c>
      <c r="G72" t="s">
        <v>165</v>
      </c>
      <c r="H72" t="s">
        <v>45</v>
      </c>
      <c r="I72" t="s">
        <v>48</v>
      </c>
      <c r="J72" t="s">
        <v>46</v>
      </c>
      <c r="K72" t="s">
        <v>116</v>
      </c>
      <c r="L72" t="s">
        <v>1031</v>
      </c>
      <c r="M72" t="s">
        <v>118</v>
      </c>
      <c r="N72" t="s">
        <v>117</v>
      </c>
      <c r="O72" t="s">
        <v>215</v>
      </c>
      <c r="P72">
        <v>20260909</v>
      </c>
      <c r="Q72">
        <v>100</v>
      </c>
      <c r="R72">
        <v>100</v>
      </c>
      <c r="S72" t="s">
        <v>217</v>
      </c>
      <c r="T72" t="s">
        <v>49</v>
      </c>
      <c r="U72" t="s">
        <v>47</v>
      </c>
      <c r="V72" t="s">
        <v>47</v>
      </c>
      <c r="W72" t="s">
        <v>47</v>
      </c>
      <c r="X72" t="s">
        <v>35</v>
      </c>
      <c r="Y72" t="s">
        <v>47</v>
      </c>
      <c r="Z72" t="s">
        <v>35</v>
      </c>
      <c r="AA72" t="s">
        <v>50</v>
      </c>
      <c r="AB72" t="s">
        <v>35</v>
      </c>
      <c r="AC72" t="s">
        <v>817</v>
      </c>
      <c r="AD72" t="s">
        <v>1032</v>
      </c>
    </row>
    <row r="73" spans="1:30">
      <c r="A73">
        <v>53201839</v>
      </c>
      <c r="B73" t="s">
        <v>1033</v>
      </c>
      <c r="C73" t="s">
        <v>212</v>
      </c>
      <c r="D73" t="s">
        <v>232</v>
      </c>
      <c r="E73" t="s">
        <v>35</v>
      </c>
      <c r="F73">
        <v>5803</v>
      </c>
      <c r="G73" t="s">
        <v>176</v>
      </c>
      <c r="H73" t="s">
        <v>45</v>
      </c>
      <c r="I73" t="s">
        <v>48</v>
      </c>
      <c r="J73" t="s">
        <v>46</v>
      </c>
      <c r="K73" t="s">
        <v>116</v>
      </c>
      <c r="L73" t="s">
        <v>818</v>
      </c>
      <c r="M73" t="s">
        <v>124</v>
      </c>
      <c r="N73" t="s">
        <v>123</v>
      </c>
      <c r="O73" t="s">
        <v>215</v>
      </c>
      <c r="P73">
        <v>20260909</v>
      </c>
      <c r="Q73">
        <v>100</v>
      </c>
      <c r="R73">
        <v>100</v>
      </c>
      <c r="S73" t="s">
        <v>217</v>
      </c>
      <c r="T73" t="s">
        <v>49</v>
      </c>
      <c r="U73" t="s">
        <v>47</v>
      </c>
      <c r="V73" t="s">
        <v>47</v>
      </c>
      <c r="W73" t="s">
        <v>47</v>
      </c>
      <c r="X73" t="s">
        <v>125</v>
      </c>
      <c r="Y73" t="s">
        <v>47</v>
      </c>
      <c r="Z73" t="s">
        <v>35</v>
      </c>
      <c r="AA73" t="s">
        <v>50</v>
      </c>
      <c r="AB73" t="s">
        <v>35</v>
      </c>
      <c r="AC73" t="s">
        <v>818</v>
      </c>
      <c r="AD73" t="s">
        <v>1034</v>
      </c>
    </row>
    <row r="74" spans="1:30">
      <c r="A74">
        <v>53203244</v>
      </c>
      <c r="B74" t="s">
        <v>1035</v>
      </c>
      <c r="C74" t="s">
        <v>212</v>
      </c>
      <c r="D74" t="s">
        <v>47</v>
      </c>
      <c r="E74" t="s">
        <v>35</v>
      </c>
      <c r="F74">
        <v>6613</v>
      </c>
      <c r="G74" t="s">
        <v>165</v>
      </c>
      <c r="H74" t="s">
        <v>45</v>
      </c>
      <c r="I74" t="s">
        <v>48</v>
      </c>
      <c r="J74" t="s">
        <v>46</v>
      </c>
      <c r="K74" t="s">
        <v>116</v>
      </c>
      <c r="L74" t="s">
        <v>819</v>
      </c>
      <c r="M74" t="s">
        <v>118</v>
      </c>
      <c r="N74" t="s">
        <v>117</v>
      </c>
      <c r="O74" t="s">
        <v>215</v>
      </c>
      <c r="P74">
        <v>20260909</v>
      </c>
      <c r="Q74">
        <v>100</v>
      </c>
      <c r="R74">
        <v>100</v>
      </c>
      <c r="S74" t="s">
        <v>217</v>
      </c>
      <c r="T74" t="s">
        <v>49</v>
      </c>
      <c r="U74" t="s">
        <v>47</v>
      </c>
      <c r="V74" t="s">
        <v>47</v>
      </c>
      <c r="W74" t="s">
        <v>47</v>
      </c>
      <c r="X74" t="s">
        <v>35</v>
      </c>
      <c r="Y74" t="s">
        <v>47</v>
      </c>
      <c r="Z74" t="s">
        <v>35</v>
      </c>
      <c r="AA74" t="s">
        <v>50</v>
      </c>
      <c r="AB74" t="s">
        <v>35</v>
      </c>
      <c r="AC74" t="s">
        <v>819</v>
      </c>
      <c r="AD74" t="s">
        <v>1036</v>
      </c>
    </row>
    <row r="75" spans="1:30">
      <c r="A75">
        <v>53205686</v>
      </c>
      <c r="B75" t="s">
        <v>1037</v>
      </c>
      <c r="C75" t="s">
        <v>212</v>
      </c>
      <c r="D75" t="s">
        <v>47</v>
      </c>
      <c r="E75" t="s">
        <v>35</v>
      </c>
      <c r="F75">
        <v>3436</v>
      </c>
      <c r="G75" t="s">
        <v>152</v>
      </c>
      <c r="H75" t="s">
        <v>45</v>
      </c>
      <c r="I75" t="s">
        <v>48</v>
      </c>
      <c r="J75" t="s">
        <v>46</v>
      </c>
      <c r="K75" t="s">
        <v>116</v>
      </c>
      <c r="L75" t="s">
        <v>1038</v>
      </c>
      <c r="M75" t="s">
        <v>118</v>
      </c>
      <c r="N75" t="s">
        <v>117</v>
      </c>
      <c r="O75" t="s">
        <v>215</v>
      </c>
      <c r="P75">
        <v>20260909</v>
      </c>
      <c r="Q75">
        <v>100</v>
      </c>
      <c r="R75">
        <v>100</v>
      </c>
      <c r="S75" t="s">
        <v>217</v>
      </c>
      <c r="T75" t="s">
        <v>49</v>
      </c>
      <c r="U75" t="s">
        <v>47</v>
      </c>
      <c r="V75" t="s">
        <v>47</v>
      </c>
      <c r="W75" t="s">
        <v>47</v>
      </c>
      <c r="X75" t="s">
        <v>35</v>
      </c>
      <c r="Y75" t="s">
        <v>47</v>
      </c>
      <c r="Z75" t="s">
        <v>35</v>
      </c>
      <c r="AA75" t="s">
        <v>50</v>
      </c>
      <c r="AB75" t="s">
        <v>35</v>
      </c>
      <c r="AC75" t="s">
        <v>820</v>
      </c>
      <c r="AD75" t="s">
        <v>1039</v>
      </c>
    </row>
    <row r="76" spans="1:30">
      <c r="A76">
        <v>53207004</v>
      </c>
      <c r="B76" t="s">
        <v>1040</v>
      </c>
      <c r="C76" t="s">
        <v>212</v>
      </c>
      <c r="D76" t="s">
        <v>47</v>
      </c>
      <c r="E76" t="s">
        <v>35</v>
      </c>
      <c r="F76">
        <v>6613</v>
      </c>
      <c r="G76" t="s">
        <v>165</v>
      </c>
      <c r="H76" t="s">
        <v>45</v>
      </c>
      <c r="I76" t="s">
        <v>48</v>
      </c>
      <c r="J76" t="s">
        <v>46</v>
      </c>
      <c r="K76" t="s">
        <v>116</v>
      </c>
      <c r="L76" t="s">
        <v>821</v>
      </c>
      <c r="M76" t="s">
        <v>124</v>
      </c>
      <c r="N76" t="s">
        <v>123</v>
      </c>
      <c r="O76" t="s">
        <v>215</v>
      </c>
      <c r="P76">
        <v>20260909</v>
      </c>
      <c r="Q76">
        <v>100</v>
      </c>
      <c r="R76">
        <v>100</v>
      </c>
      <c r="S76" t="s">
        <v>217</v>
      </c>
      <c r="T76" t="s">
        <v>49</v>
      </c>
      <c r="U76" t="s">
        <v>47</v>
      </c>
      <c r="V76" t="s">
        <v>47</v>
      </c>
      <c r="W76" t="s">
        <v>47</v>
      </c>
      <c r="X76" t="s">
        <v>125</v>
      </c>
      <c r="Y76" t="s">
        <v>47</v>
      </c>
      <c r="Z76" t="s">
        <v>35</v>
      </c>
      <c r="AA76" t="s">
        <v>50</v>
      </c>
      <c r="AB76" t="s">
        <v>35</v>
      </c>
      <c r="AC76" t="s">
        <v>821</v>
      </c>
      <c r="AD76" t="s">
        <v>1041</v>
      </c>
    </row>
    <row r="77" spans="1:30">
      <c r="A77">
        <v>53207775</v>
      </c>
      <c r="B77" t="s">
        <v>1042</v>
      </c>
      <c r="C77" t="s">
        <v>212</v>
      </c>
      <c r="D77" t="s">
        <v>47</v>
      </c>
      <c r="E77" t="s">
        <v>35</v>
      </c>
      <c r="F77">
        <v>5803</v>
      </c>
      <c r="G77" t="s">
        <v>176</v>
      </c>
      <c r="H77" t="s">
        <v>45</v>
      </c>
      <c r="I77" t="s">
        <v>48</v>
      </c>
      <c r="J77" t="s">
        <v>46</v>
      </c>
      <c r="K77" t="s">
        <v>116</v>
      </c>
      <c r="L77" t="s">
        <v>1043</v>
      </c>
      <c r="M77" t="s">
        <v>118</v>
      </c>
      <c r="N77" t="s">
        <v>117</v>
      </c>
      <c r="O77" t="s">
        <v>215</v>
      </c>
      <c r="P77">
        <v>20260909</v>
      </c>
      <c r="Q77">
        <v>100</v>
      </c>
      <c r="R77">
        <v>100</v>
      </c>
      <c r="S77" t="s">
        <v>217</v>
      </c>
      <c r="T77" t="s">
        <v>49</v>
      </c>
      <c r="U77" t="s">
        <v>47</v>
      </c>
      <c r="V77" t="s">
        <v>47</v>
      </c>
      <c r="W77" t="s">
        <v>47</v>
      </c>
      <c r="X77" t="s">
        <v>35</v>
      </c>
      <c r="Y77" t="s">
        <v>47</v>
      </c>
      <c r="Z77" t="s">
        <v>35</v>
      </c>
      <c r="AA77" t="s">
        <v>50</v>
      </c>
      <c r="AB77" t="s">
        <v>35</v>
      </c>
      <c r="AC77" t="s">
        <v>822</v>
      </c>
      <c r="AD77" t="s">
        <v>1044</v>
      </c>
    </row>
    <row r="78" spans="1:30">
      <c r="A78">
        <v>53208864</v>
      </c>
      <c r="B78" t="s">
        <v>1045</v>
      </c>
      <c r="C78" t="s">
        <v>212</v>
      </c>
      <c r="D78" t="s">
        <v>47</v>
      </c>
      <c r="E78" t="s">
        <v>35</v>
      </c>
      <c r="F78">
        <v>3436</v>
      </c>
      <c r="G78" t="s">
        <v>152</v>
      </c>
      <c r="H78" t="s">
        <v>45</v>
      </c>
      <c r="I78" t="s">
        <v>48</v>
      </c>
      <c r="J78" t="s">
        <v>46</v>
      </c>
      <c r="K78" t="s">
        <v>116</v>
      </c>
      <c r="L78" t="s">
        <v>823</v>
      </c>
      <c r="M78" t="s">
        <v>124</v>
      </c>
      <c r="N78" t="s">
        <v>123</v>
      </c>
      <c r="O78" t="s">
        <v>215</v>
      </c>
      <c r="P78">
        <v>20260909</v>
      </c>
      <c r="Q78">
        <v>100</v>
      </c>
      <c r="R78">
        <v>100</v>
      </c>
      <c r="S78" t="s">
        <v>217</v>
      </c>
      <c r="T78" t="s">
        <v>49</v>
      </c>
      <c r="U78" t="s">
        <v>47</v>
      </c>
      <c r="V78" t="s">
        <v>47</v>
      </c>
      <c r="W78" t="s">
        <v>47</v>
      </c>
      <c r="X78" t="s">
        <v>125</v>
      </c>
      <c r="Y78" t="s">
        <v>47</v>
      </c>
      <c r="Z78" t="s">
        <v>35</v>
      </c>
      <c r="AA78" t="s">
        <v>50</v>
      </c>
      <c r="AB78" t="s">
        <v>35</v>
      </c>
      <c r="AC78" t="s">
        <v>823</v>
      </c>
      <c r="AD78" t="s">
        <v>1046</v>
      </c>
    </row>
    <row r="79" spans="1:30">
      <c r="A79">
        <v>53209902</v>
      </c>
      <c r="B79" t="s">
        <v>1047</v>
      </c>
      <c r="C79" t="s">
        <v>212</v>
      </c>
      <c r="D79" t="s">
        <v>47</v>
      </c>
      <c r="E79" t="s">
        <v>35</v>
      </c>
      <c r="F79">
        <v>6613</v>
      </c>
      <c r="G79" t="s">
        <v>165</v>
      </c>
      <c r="H79" t="s">
        <v>45</v>
      </c>
      <c r="I79" t="s">
        <v>48</v>
      </c>
      <c r="J79" t="s">
        <v>46</v>
      </c>
      <c r="K79" t="s">
        <v>116</v>
      </c>
      <c r="L79" t="s">
        <v>824</v>
      </c>
      <c r="M79" t="s">
        <v>124</v>
      </c>
      <c r="N79" t="s">
        <v>123</v>
      </c>
      <c r="O79" t="s">
        <v>215</v>
      </c>
      <c r="P79">
        <v>20260909</v>
      </c>
      <c r="Q79">
        <v>100</v>
      </c>
      <c r="R79">
        <v>100</v>
      </c>
      <c r="S79" t="s">
        <v>217</v>
      </c>
      <c r="T79" t="s">
        <v>49</v>
      </c>
      <c r="U79" t="s">
        <v>47</v>
      </c>
      <c r="V79" t="s">
        <v>47</v>
      </c>
      <c r="W79" t="s">
        <v>47</v>
      </c>
      <c r="X79" t="s">
        <v>125</v>
      </c>
      <c r="Y79" t="s">
        <v>47</v>
      </c>
      <c r="Z79" t="s">
        <v>35</v>
      </c>
      <c r="AA79" t="s">
        <v>50</v>
      </c>
      <c r="AB79" t="s">
        <v>35</v>
      </c>
      <c r="AC79" t="s">
        <v>824</v>
      </c>
      <c r="AD79" t="s">
        <v>1048</v>
      </c>
    </row>
    <row r="80" spans="1:30">
      <c r="A80">
        <v>53209226</v>
      </c>
      <c r="B80" t="s">
        <v>1049</v>
      </c>
      <c r="C80" t="s">
        <v>212</v>
      </c>
      <c r="D80" t="s">
        <v>232</v>
      </c>
      <c r="E80" t="s">
        <v>35</v>
      </c>
      <c r="F80">
        <v>5803</v>
      </c>
      <c r="G80" t="s">
        <v>176</v>
      </c>
      <c r="H80" t="s">
        <v>45</v>
      </c>
      <c r="I80" t="s">
        <v>48</v>
      </c>
      <c r="J80" t="s">
        <v>46</v>
      </c>
      <c r="K80" t="s">
        <v>116</v>
      </c>
      <c r="L80" t="s">
        <v>825</v>
      </c>
      <c r="M80" t="s">
        <v>124</v>
      </c>
      <c r="N80" t="s">
        <v>123</v>
      </c>
      <c r="O80" t="s">
        <v>215</v>
      </c>
      <c r="P80">
        <v>20260909</v>
      </c>
      <c r="Q80">
        <v>100</v>
      </c>
      <c r="R80">
        <v>100</v>
      </c>
      <c r="S80" t="s">
        <v>217</v>
      </c>
      <c r="T80" t="s">
        <v>49</v>
      </c>
      <c r="U80" t="s">
        <v>47</v>
      </c>
      <c r="V80" t="s">
        <v>47</v>
      </c>
      <c r="W80" t="s">
        <v>47</v>
      </c>
      <c r="X80" t="s">
        <v>125</v>
      </c>
      <c r="Y80" t="s">
        <v>47</v>
      </c>
      <c r="Z80" t="s">
        <v>35</v>
      </c>
      <c r="AA80" t="s">
        <v>50</v>
      </c>
      <c r="AB80" t="s">
        <v>35</v>
      </c>
      <c r="AC80" t="s">
        <v>825</v>
      </c>
      <c r="AD80" t="s">
        <v>1050</v>
      </c>
    </row>
    <row r="81" spans="1:30">
      <c r="A81">
        <v>53217148</v>
      </c>
      <c r="B81" t="s">
        <v>1051</v>
      </c>
      <c r="C81" t="s">
        <v>212</v>
      </c>
      <c r="D81" t="s">
        <v>47</v>
      </c>
      <c r="E81" t="s">
        <v>35</v>
      </c>
      <c r="F81">
        <v>6613</v>
      </c>
      <c r="G81" t="s">
        <v>165</v>
      </c>
      <c r="H81" t="s">
        <v>45</v>
      </c>
      <c r="I81" t="s">
        <v>48</v>
      </c>
      <c r="J81" t="s">
        <v>46</v>
      </c>
      <c r="K81" t="s">
        <v>116</v>
      </c>
      <c r="L81" t="s">
        <v>826</v>
      </c>
      <c r="M81" t="s">
        <v>124</v>
      </c>
      <c r="N81" t="s">
        <v>123</v>
      </c>
      <c r="O81" t="s">
        <v>215</v>
      </c>
      <c r="P81">
        <v>20260909</v>
      </c>
      <c r="Q81">
        <v>200</v>
      </c>
      <c r="R81">
        <v>200</v>
      </c>
      <c r="S81" t="s">
        <v>217</v>
      </c>
      <c r="T81" t="s">
        <v>49</v>
      </c>
      <c r="U81" t="s">
        <v>47</v>
      </c>
      <c r="V81" t="s">
        <v>47</v>
      </c>
      <c r="W81" t="s">
        <v>47</v>
      </c>
      <c r="X81" t="s">
        <v>125</v>
      </c>
      <c r="Y81" t="s">
        <v>47</v>
      </c>
      <c r="Z81" t="s">
        <v>35</v>
      </c>
      <c r="AA81" t="s">
        <v>50</v>
      </c>
      <c r="AB81" t="s">
        <v>35</v>
      </c>
      <c r="AC81" t="s">
        <v>826</v>
      </c>
      <c r="AD81" t="s">
        <v>919</v>
      </c>
    </row>
    <row r="82" spans="1:30">
      <c r="A82">
        <v>53218572</v>
      </c>
      <c r="B82" t="s">
        <v>1052</v>
      </c>
      <c r="C82" t="s">
        <v>212</v>
      </c>
      <c r="D82" t="s">
        <v>47</v>
      </c>
      <c r="E82" t="s">
        <v>35</v>
      </c>
      <c r="F82" t="s">
        <v>829</v>
      </c>
      <c r="G82" t="s">
        <v>830</v>
      </c>
      <c r="H82" t="s">
        <v>45</v>
      </c>
      <c r="I82" t="s">
        <v>48</v>
      </c>
      <c r="J82" t="s">
        <v>46</v>
      </c>
      <c r="K82" t="s">
        <v>116</v>
      </c>
      <c r="L82" t="s">
        <v>1053</v>
      </c>
      <c r="M82" t="s">
        <v>118</v>
      </c>
      <c r="N82" t="s">
        <v>117</v>
      </c>
      <c r="O82" t="s">
        <v>215</v>
      </c>
      <c r="P82">
        <v>20260909</v>
      </c>
      <c r="Q82">
        <v>100</v>
      </c>
      <c r="R82">
        <v>100</v>
      </c>
      <c r="S82">
        <v>4180</v>
      </c>
      <c r="T82" t="s">
        <v>49</v>
      </c>
      <c r="U82" t="s">
        <v>47</v>
      </c>
      <c r="V82" t="s">
        <v>47</v>
      </c>
      <c r="W82" t="s">
        <v>47</v>
      </c>
      <c r="X82" t="s">
        <v>35</v>
      </c>
      <c r="Y82" t="s">
        <v>47</v>
      </c>
      <c r="Z82" t="s">
        <v>35</v>
      </c>
      <c r="AA82" t="s">
        <v>50</v>
      </c>
      <c r="AB82" t="s">
        <v>35</v>
      </c>
      <c r="AC82" t="s">
        <v>1053</v>
      </c>
      <c r="AD82" t="s">
        <v>1054</v>
      </c>
    </row>
    <row r="83" spans="1:30">
      <c r="A83">
        <v>53228924</v>
      </c>
      <c r="B83" t="s">
        <v>1055</v>
      </c>
      <c r="C83" t="s">
        <v>212</v>
      </c>
      <c r="D83" t="s">
        <v>232</v>
      </c>
      <c r="E83" t="s">
        <v>35</v>
      </c>
      <c r="F83" t="s">
        <v>829</v>
      </c>
      <c r="G83" t="s">
        <v>830</v>
      </c>
      <c r="H83" t="s">
        <v>45</v>
      </c>
      <c r="I83" t="s">
        <v>48</v>
      </c>
      <c r="J83" t="s">
        <v>46</v>
      </c>
      <c r="K83" t="s">
        <v>116</v>
      </c>
      <c r="L83" t="s">
        <v>831</v>
      </c>
      <c r="M83" t="s">
        <v>124</v>
      </c>
      <c r="N83" t="s">
        <v>123</v>
      </c>
      <c r="O83" t="s">
        <v>215</v>
      </c>
      <c r="P83">
        <v>20260909</v>
      </c>
      <c r="Q83">
        <v>100</v>
      </c>
      <c r="R83">
        <v>100</v>
      </c>
      <c r="S83" t="s">
        <v>217</v>
      </c>
      <c r="T83" t="s">
        <v>49</v>
      </c>
      <c r="U83" t="s">
        <v>47</v>
      </c>
      <c r="V83" t="s">
        <v>47</v>
      </c>
      <c r="W83" t="s">
        <v>47</v>
      </c>
      <c r="X83" t="s">
        <v>125</v>
      </c>
      <c r="Y83" t="s">
        <v>47</v>
      </c>
      <c r="Z83" t="s">
        <v>35</v>
      </c>
      <c r="AA83" t="s">
        <v>50</v>
      </c>
      <c r="AB83" t="s">
        <v>35</v>
      </c>
      <c r="AC83" t="s">
        <v>831</v>
      </c>
      <c r="AD83" t="s">
        <v>1056</v>
      </c>
    </row>
    <row r="84" spans="1:30">
      <c r="A84">
        <v>53240219</v>
      </c>
      <c r="B84" t="s">
        <v>1057</v>
      </c>
      <c r="C84" t="s">
        <v>212</v>
      </c>
      <c r="D84" t="s">
        <v>47</v>
      </c>
      <c r="E84" t="s">
        <v>35</v>
      </c>
      <c r="F84">
        <v>6613</v>
      </c>
      <c r="G84" t="s">
        <v>165</v>
      </c>
      <c r="H84" t="s">
        <v>45</v>
      </c>
      <c r="I84" t="s">
        <v>48</v>
      </c>
      <c r="J84" t="s">
        <v>46</v>
      </c>
      <c r="K84" t="s">
        <v>116</v>
      </c>
      <c r="L84" t="s">
        <v>832</v>
      </c>
      <c r="M84" t="s">
        <v>118</v>
      </c>
      <c r="N84" t="s">
        <v>117</v>
      </c>
      <c r="O84" t="s">
        <v>215</v>
      </c>
      <c r="P84">
        <v>20260909</v>
      </c>
      <c r="Q84">
        <v>100</v>
      </c>
      <c r="R84">
        <v>100</v>
      </c>
      <c r="S84" t="s">
        <v>217</v>
      </c>
      <c r="T84" t="s">
        <v>49</v>
      </c>
      <c r="U84" t="s">
        <v>47</v>
      </c>
      <c r="V84" t="s">
        <v>47</v>
      </c>
      <c r="W84" t="s">
        <v>47</v>
      </c>
      <c r="X84" t="s">
        <v>35</v>
      </c>
      <c r="Y84" t="s">
        <v>47</v>
      </c>
      <c r="Z84" t="s">
        <v>35</v>
      </c>
      <c r="AA84" t="s">
        <v>50</v>
      </c>
      <c r="AB84" t="s">
        <v>35</v>
      </c>
      <c r="AC84" t="s">
        <v>832</v>
      </c>
      <c r="AD84" t="s">
        <v>1058</v>
      </c>
    </row>
    <row r="85" spans="1:30">
      <c r="A85">
        <v>53241436</v>
      </c>
      <c r="B85" t="s">
        <v>1059</v>
      </c>
      <c r="C85" t="s">
        <v>290</v>
      </c>
      <c r="D85" t="s">
        <v>47</v>
      </c>
      <c r="E85" t="s">
        <v>35</v>
      </c>
      <c r="F85">
        <v>6613</v>
      </c>
      <c r="G85" t="s">
        <v>165</v>
      </c>
      <c r="H85" t="s">
        <v>45</v>
      </c>
      <c r="I85" t="s">
        <v>48</v>
      </c>
      <c r="J85" t="s">
        <v>46</v>
      </c>
      <c r="K85" t="s">
        <v>116</v>
      </c>
      <c r="L85" t="s">
        <v>1060</v>
      </c>
      <c r="M85" t="s">
        <v>118</v>
      </c>
      <c r="N85" t="s">
        <v>117</v>
      </c>
      <c r="O85" t="s">
        <v>215</v>
      </c>
      <c r="P85">
        <v>20260909</v>
      </c>
      <c r="Q85">
        <v>100</v>
      </c>
      <c r="R85">
        <v>0</v>
      </c>
      <c r="S85">
        <v>1940</v>
      </c>
      <c r="T85" t="s">
        <v>49</v>
      </c>
      <c r="U85" t="s">
        <v>47</v>
      </c>
      <c r="V85" t="s">
        <v>47</v>
      </c>
      <c r="W85" t="s">
        <v>47</v>
      </c>
      <c r="X85" t="s">
        <v>35</v>
      </c>
      <c r="Y85" t="s">
        <v>47</v>
      </c>
      <c r="Z85" t="s">
        <v>35</v>
      </c>
      <c r="AA85" t="s">
        <v>50</v>
      </c>
      <c r="AB85" t="s">
        <v>35</v>
      </c>
      <c r="AC85" t="s">
        <v>1060</v>
      </c>
      <c r="AD85" t="s">
        <v>1032</v>
      </c>
    </row>
    <row r="86" spans="1:30">
      <c r="A86">
        <v>53242204</v>
      </c>
      <c r="B86" t="s">
        <v>1061</v>
      </c>
      <c r="C86" t="s">
        <v>212</v>
      </c>
      <c r="D86" t="s">
        <v>47</v>
      </c>
      <c r="E86" t="s">
        <v>35</v>
      </c>
      <c r="F86">
        <v>6613</v>
      </c>
      <c r="G86" t="s">
        <v>165</v>
      </c>
      <c r="H86" t="s">
        <v>45</v>
      </c>
      <c r="I86" t="s">
        <v>48</v>
      </c>
      <c r="J86" t="s">
        <v>46</v>
      </c>
      <c r="K86" t="s">
        <v>116</v>
      </c>
      <c r="L86" t="s">
        <v>833</v>
      </c>
      <c r="M86" t="s">
        <v>118</v>
      </c>
      <c r="N86" t="s">
        <v>117</v>
      </c>
      <c r="O86" t="s">
        <v>215</v>
      </c>
      <c r="P86">
        <v>20260909</v>
      </c>
      <c r="Q86">
        <v>100</v>
      </c>
      <c r="R86">
        <v>100</v>
      </c>
      <c r="S86">
        <v>1944</v>
      </c>
      <c r="T86" t="s">
        <v>49</v>
      </c>
      <c r="U86" t="s">
        <v>47</v>
      </c>
      <c r="V86" t="s">
        <v>47</v>
      </c>
      <c r="W86" t="s">
        <v>47</v>
      </c>
      <c r="X86" t="s">
        <v>35</v>
      </c>
      <c r="Y86" t="s">
        <v>47</v>
      </c>
      <c r="Z86" t="s">
        <v>35</v>
      </c>
      <c r="AA86" t="s">
        <v>50</v>
      </c>
      <c r="AB86" t="s">
        <v>35</v>
      </c>
      <c r="AC86" t="s">
        <v>833</v>
      </c>
      <c r="AD86" t="s">
        <v>1062</v>
      </c>
    </row>
    <row r="87" spans="1:30">
      <c r="A87">
        <v>53244476</v>
      </c>
      <c r="B87" t="s">
        <v>1063</v>
      </c>
      <c r="C87" t="s">
        <v>290</v>
      </c>
      <c r="D87" t="s">
        <v>47</v>
      </c>
      <c r="E87" t="s">
        <v>35</v>
      </c>
      <c r="F87">
        <v>6613</v>
      </c>
      <c r="G87" t="s">
        <v>165</v>
      </c>
      <c r="H87" t="s">
        <v>45</v>
      </c>
      <c r="I87" t="s">
        <v>48</v>
      </c>
      <c r="J87" t="s">
        <v>46</v>
      </c>
      <c r="K87" t="s">
        <v>116</v>
      </c>
      <c r="L87" t="s">
        <v>1064</v>
      </c>
      <c r="M87" t="s">
        <v>124</v>
      </c>
      <c r="N87" t="s">
        <v>123</v>
      </c>
      <c r="O87" t="s">
        <v>215</v>
      </c>
      <c r="P87">
        <v>20260909</v>
      </c>
      <c r="Q87">
        <v>100</v>
      </c>
      <c r="R87">
        <v>0</v>
      </c>
      <c r="S87">
        <v>1930</v>
      </c>
      <c r="T87" t="s">
        <v>49</v>
      </c>
      <c r="U87" t="s">
        <v>47</v>
      </c>
      <c r="V87" t="s">
        <v>47</v>
      </c>
      <c r="W87" t="s">
        <v>47</v>
      </c>
      <c r="X87" t="s">
        <v>125</v>
      </c>
      <c r="Y87" t="s">
        <v>47</v>
      </c>
      <c r="Z87" t="s">
        <v>35</v>
      </c>
      <c r="AA87" t="s">
        <v>50</v>
      </c>
      <c r="AB87" t="s">
        <v>35</v>
      </c>
      <c r="AC87" t="s">
        <v>1064</v>
      </c>
      <c r="AD87" t="s">
        <v>1065</v>
      </c>
    </row>
    <row r="88" spans="1:30">
      <c r="A88">
        <v>53248846</v>
      </c>
      <c r="B88" t="s">
        <v>1066</v>
      </c>
      <c r="C88" t="s">
        <v>212</v>
      </c>
      <c r="D88" t="s">
        <v>47</v>
      </c>
      <c r="E88" t="s">
        <v>35</v>
      </c>
      <c r="F88">
        <v>6613</v>
      </c>
      <c r="G88" t="s">
        <v>165</v>
      </c>
      <c r="H88" t="s">
        <v>45</v>
      </c>
      <c r="I88" t="s">
        <v>48</v>
      </c>
      <c r="J88" t="s">
        <v>46</v>
      </c>
      <c r="K88" t="s">
        <v>116</v>
      </c>
      <c r="L88" t="s">
        <v>1067</v>
      </c>
      <c r="M88" t="s">
        <v>124</v>
      </c>
      <c r="N88" t="s">
        <v>123</v>
      </c>
      <c r="O88" t="s">
        <v>215</v>
      </c>
      <c r="P88">
        <v>20260909</v>
      </c>
      <c r="Q88">
        <v>100</v>
      </c>
      <c r="R88">
        <v>100</v>
      </c>
      <c r="S88">
        <v>1927</v>
      </c>
      <c r="T88" t="s">
        <v>49</v>
      </c>
      <c r="U88" t="s">
        <v>47</v>
      </c>
      <c r="V88" t="s">
        <v>47</v>
      </c>
      <c r="W88" t="s">
        <v>47</v>
      </c>
      <c r="X88" t="s">
        <v>125</v>
      </c>
      <c r="Y88" t="s">
        <v>47</v>
      </c>
      <c r="Z88" t="s">
        <v>35</v>
      </c>
      <c r="AA88" t="s">
        <v>50</v>
      </c>
      <c r="AB88" t="s">
        <v>35</v>
      </c>
      <c r="AC88" t="s">
        <v>1067</v>
      </c>
      <c r="AD88" t="s">
        <v>1068</v>
      </c>
    </row>
    <row r="89" spans="1:30">
      <c r="A89">
        <v>53249258</v>
      </c>
      <c r="B89" t="s">
        <v>1069</v>
      </c>
      <c r="C89" t="s">
        <v>212</v>
      </c>
      <c r="D89" t="s">
        <v>47</v>
      </c>
      <c r="E89" t="s">
        <v>35</v>
      </c>
      <c r="F89">
        <v>6613</v>
      </c>
      <c r="G89" t="s">
        <v>165</v>
      </c>
      <c r="H89" t="s">
        <v>45</v>
      </c>
      <c r="I89" t="s">
        <v>48</v>
      </c>
      <c r="J89" t="s">
        <v>46</v>
      </c>
      <c r="K89" t="s">
        <v>116</v>
      </c>
      <c r="L89" t="s">
        <v>835</v>
      </c>
      <c r="M89" t="s">
        <v>124</v>
      </c>
      <c r="N89" t="s">
        <v>123</v>
      </c>
      <c r="O89" t="s">
        <v>215</v>
      </c>
      <c r="P89">
        <v>20260909</v>
      </c>
      <c r="Q89">
        <v>100</v>
      </c>
      <c r="R89">
        <v>100</v>
      </c>
      <c r="S89" t="s">
        <v>217</v>
      </c>
      <c r="T89" t="s">
        <v>49</v>
      </c>
      <c r="U89" t="s">
        <v>47</v>
      </c>
      <c r="V89" t="s">
        <v>47</v>
      </c>
      <c r="W89" t="s">
        <v>47</v>
      </c>
      <c r="X89" t="s">
        <v>125</v>
      </c>
      <c r="Y89" t="s">
        <v>47</v>
      </c>
      <c r="Z89" t="s">
        <v>35</v>
      </c>
      <c r="AA89" t="s">
        <v>50</v>
      </c>
      <c r="AB89" t="s">
        <v>35</v>
      </c>
      <c r="AC89" t="s">
        <v>835</v>
      </c>
      <c r="AD89" t="s">
        <v>1070</v>
      </c>
    </row>
    <row r="90" spans="1:30">
      <c r="A90">
        <v>53249778</v>
      </c>
      <c r="B90" t="s">
        <v>1071</v>
      </c>
      <c r="C90" t="s">
        <v>212</v>
      </c>
      <c r="D90" t="s">
        <v>47</v>
      </c>
      <c r="E90" t="s">
        <v>35</v>
      </c>
      <c r="F90">
        <v>6613</v>
      </c>
      <c r="G90" t="s">
        <v>165</v>
      </c>
      <c r="H90" t="s">
        <v>45</v>
      </c>
      <c r="I90" t="s">
        <v>48</v>
      </c>
      <c r="J90" t="s">
        <v>46</v>
      </c>
      <c r="K90" t="s">
        <v>116</v>
      </c>
      <c r="L90" t="s">
        <v>1072</v>
      </c>
      <c r="M90" t="s">
        <v>118</v>
      </c>
      <c r="N90" t="s">
        <v>117</v>
      </c>
      <c r="O90" t="s">
        <v>215</v>
      </c>
      <c r="P90">
        <v>20260909</v>
      </c>
      <c r="Q90">
        <v>100</v>
      </c>
      <c r="R90">
        <v>100</v>
      </c>
      <c r="S90">
        <v>1924</v>
      </c>
      <c r="T90" t="s">
        <v>49</v>
      </c>
      <c r="U90" t="s">
        <v>47</v>
      </c>
      <c r="V90" t="s">
        <v>47</v>
      </c>
      <c r="W90" t="s">
        <v>47</v>
      </c>
      <c r="X90" t="s">
        <v>35</v>
      </c>
      <c r="Y90" t="s">
        <v>47</v>
      </c>
      <c r="Z90" t="s">
        <v>35</v>
      </c>
      <c r="AA90" t="s">
        <v>50</v>
      </c>
      <c r="AB90" t="s">
        <v>35</v>
      </c>
      <c r="AC90" t="s">
        <v>1072</v>
      </c>
      <c r="AD90" t="s">
        <v>1070</v>
      </c>
    </row>
    <row r="91" spans="1:30">
      <c r="A91">
        <v>53251565</v>
      </c>
      <c r="B91" t="s">
        <v>1073</v>
      </c>
      <c r="C91" t="s">
        <v>212</v>
      </c>
      <c r="D91" t="s">
        <v>47</v>
      </c>
      <c r="E91" t="s">
        <v>35</v>
      </c>
      <c r="F91">
        <v>6613</v>
      </c>
      <c r="G91" t="s">
        <v>165</v>
      </c>
      <c r="H91" t="s">
        <v>45</v>
      </c>
      <c r="I91" t="s">
        <v>48</v>
      </c>
      <c r="J91" t="s">
        <v>46</v>
      </c>
      <c r="K91" t="s">
        <v>116</v>
      </c>
      <c r="L91" t="s">
        <v>837</v>
      </c>
      <c r="M91" t="s">
        <v>124</v>
      </c>
      <c r="N91" t="s">
        <v>123</v>
      </c>
      <c r="O91" t="s">
        <v>215</v>
      </c>
      <c r="P91">
        <v>20260909</v>
      </c>
      <c r="Q91">
        <v>100</v>
      </c>
      <c r="R91">
        <v>100</v>
      </c>
      <c r="S91">
        <v>1924</v>
      </c>
      <c r="T91" t="s">
        <v>49</v>
      </c>
      <c r="U91" t="s">
        <v>47</v>
      </c>
      <c r="V91" t="s">
        <v>47</v>
      </c>
      <c r="W91" t="s">
        <v>47</v>
      </c>
      <c r="X91" t="s">
        <v>125</v>
      </c>
      <c r="Y91" t="s">
        <v>47</v>
      </c>
      <c r="Z91" t="s">
        <v>35</v>
      </c>
      <c r="AA91" t="s">
        <v>50</v>
      </c>
      <c r="AB91" t="s">
        <v>35</v>
      </c>
      <c r="AC91" t="s">
        <v>837</v>
      </c>
      <c r="AD91" t="s">
        <v>1074</v>
      </c>
    </row>
    <row r="92" spans="1:30">
      <c r="A92">
        <v>53252900</v>
      </c>
      <c r="B92" t="s">
        <v>1075</v>
      </c>
      <c r="C92" t="s">
        <v>212</v>
      </c>
      <c r="D92" t="s">
        <v>47</v>
      </c>
      <c r="E92" t="s">
        <v>35</v>
      </c>
      <c r="F92">
        <v>4063</v>
      </c>
      <c r="G92" t="s">
        <v>181</v>
      </c>
      <c r="H92" t="s">
        <v>45</v>
      </c>
      <c r="I92" t="s">
        <v>48</v>
      </c>
      <c r="J92" t="s">
        <v>46</v>
      </c>
      <c r="K92" t="s">
        <v>116</v>
      </c>
      <c r="L92" t="s">
        <v>838</v>
      </c>
      <c r="M92" t="s">
        <v>118</v>
      </c>
      <c r="N92" t="s">
        <v>117</v>
      </c>
      <c r="O92" t="s">
        <v>215</v>
      </c>
      <c r="P92">
        <v>20260909</v>
      </c>
      <c r="Q92">
        <v>100</v>
      </c>
      <c r="R92">
        <v>100</v>
      </c>
      <c r="S92" t="s">
        <v>217</v>
      </c>
      <c r="T92" t="s">
        <v>49</v>
      </c>
      <c r="U92" t="s">
        <v>47</v>
      </c>
      <c r="V92" t="s">
        <v>47</v>
      </c>
      <c r="W92" t="s">
        <v>47</v>
      </c>
      <c r="X92" t="s">
        <v>35</v>
      </c>
      <c r="Y92" t="s">
        <v>47</v>
      </c>
      <c r="Z92" t="s">
        <v>35</v>
      </c>
      <c r="AA92" t="s">
        <v>50</v>
      </c>
      <c r="AB92" t="s">
        <v>35</v>
      </c>
      <c r="AC92" t="s">
        <v>838</v>
      </c>
      <c r="AD92" t="s">
        <v>264</v>
      </c>
    </row>
    <row r="93" spans="1:30">
      <c r="A93">
        <v>53254673</v>
      </c>
      <c r="B93" t="s">
        <v>1076</v>
      </c>
      <c r="C93" t="s">
        <v>212</v>
      </c>
      <c r="D93" t="s">
        <v>47</v>
      </c>
      <c r="E93" t="s">
        <v>35</v>
      </c>
      <c r="F93">
        <v>4063</v>
      </c>
      <c r="G93" t="s">
        <v>181</v>
      </c>
      <c r="H93" t="s">
        <v>45</v>
      </c>
      <c r="I93" t="s">
        <v>48</v>
      </c>
      <c r="J93" t="s">
        <v>46</v>
      </c>
      <c r="K93" t="s">
        <v>116</v>
      </c>
      <c r="L93" t="s">
        <v>1077</v>
      </c>
      <c r="M93" t="s">
        <v>124</v>
      </c>
      <c r="N93" t="s">
        <v>123</v>
      </c>
      <c r="O93" t="s">
        <v>215</v>
      </c>
      <c r="P93">
        <v>20260909</v>
      </c>
      <c r="Q93">
        <v>100</v>
      </c>
      <c r="R93">
        <v>100</v>
      </c>
      <c r="S93">
        <v>5714</v>
      </c>
      <c r="T93" t="s">
        <v>49</v>
      </c>
      <c r="U93" t="s">
        <v>47</v>
      </c>
      <c r="V93" t="s">
        <v>47</v>
      </c>
      <c r="W93" t="s">
        <v>47</v>
      </c>
      <c r="X93" t="s">
        <v>125</v>
      </c>
      <c r="Y93" t="s">
        <v>47</v>
      </c>
      <c r="Z93" t="s">
        <v>35</v>
      </c>
      <c r="AA93" t="s">
        <v>50</v>
      </c>
      <c r="AB93" t="s">
        <v>35</v>
      </c>
      <c r="AC93" t="s">
        <v>1077</v>
      </c>
      <c r="AD93" t="s">
        <v>295</v>
      </c>
    </row>
    <row r="94" spans="1:30">
      <c r="A94">
        <v>53254832</v>
      </c>
      <c r="B94" t="s">
        <v>1078</v>
      </c>
      <c r="C94" t="s">
        <v>212</v>
      </c>
      <c r="D94" t="s">
        <v>47</v>
      </c>
      <c r="E94" t="s">
        <v>35</v>
      </c>
      <c r="F94">
        <v>6613</v>
      </c>
      <c r="G94" t="s">
        <v>165</v>
      </c>
      <c r="H94" t="s">
        <v>45</v>
      </c>
      <c r="I94" t="s">
        <v>48</v>
      </c>
      <c r="J94" t="s">
        <v>46</v>
      </c>
      <c r="K94" t="s">
        <v>116</v>
      </c>
      <c r="L94" t="s">
        <v>839</v>
      </c>
      <c r="M94" t="s">
        <v>118</v>
      </c>
      <c r="N94" t="s">
        <v>117</v>
      </c>
      <c r="O94" t="s">
        <v>215</v>
      </c>
      <c r="P94">
        <v>20260909</v>
      </c>
      <c r="Q94">
        <v>100</v>
      </c>
      <c r="R94">
        <v>100</v>
      </c>
      <c r="S94" t="s">
        <v>217</v>
      </c>
      <c r="T94" t="s">
        <v>49</v>
      </c>
      <c r="U94" t="s">
        <v>47</v>
      </c>
      <c r="V94" t="s">
        <v>47</v>
      </c>
      <c r="W94" t="s">
        <v>47</v>
      </c>
      <c r="X94" t="s">
        <v>35</v>
      </c>
      <c r="Y94" t="s">
        <v>47</v>
      </c>
      <c r="Z94" t="s">
        <v>35</v>
      </c>
      <c r="AA94" t="s">
        <v>50</v>
      </c>
      <c r="AB94" t="s">
        <v>35</v>
      </c>
      <c r="AC94" t="s">
        <v>839</v>
      </c>
      <c r="AD94" t="s">
        <v>1079</v>
      </c>
    </row>
    <row r="95" spans="1:30">
      <c r="A95">
        <v>53256233</v>
      </c>
      <c r="B95" t="s">
        <v>1080</v>
      </c>
      <c r="C95" t="s">
        <v>212</v>
      </c>
      <c r="D95" t="s">
        <v>47</v>
      </c>
      <c r="E95" t="s">
        <v>35</v>
      </c>
      <c r="F95">
        <v>4063</v>
      </c>
      <c r="G95" t="s">
        <v>181</v>
      </c>
      <c r="H95" t="s">
        <v>45</v>
      </c>
      <c r="I95" t="s">
        <v>48</v>
      </c>
      <c r="J95" t="s">
        <v>46</v>
      </c>
      <c r="K95" t="s">
        <v>116</v>
      </c>
      <c r="L95" t="s">
        <v>841</v>
      </c>
      <c r="M95" t="s">
        <v>118</v>
      </c>
      <c r="N95" t="s">
        <v>117</v>
      </c>
      <c r="O95" t="s">
        <v>215</v>
      </c>
      <c r="P95">
        <v>20260909</v>
      </c>
      <c r="Q95">
        <v>100</v>
      </c>
      <c r="R95">
        <v>100</v>
      </c>
      <c r="S95" t="s">
        <v>217</v>
      </c>
      <c r="T95" t="s">
        <v>49</v>
      </c>
      <c r="U95" t="s">
        <v>47</v>
      </c>
      <c r="V95" t="s">
        <v>47</v>
      </c>
      <c r="W95" t="s">
        <v>47</v>
      </c>
      <c r="X95" t="s">
        <v>35</v>
      </c>
      <c r="Y95" t="s">
        <v>47</v>
      </c>
      <c r="Z95" t="s">
        <v>35</v>
      </c>
      <c r="AA95" t="s">
        <v>50</v>
      </c>
      <c r="AB95" t="s">
        <v>35</v>
      </c>
      <c r="AC95" t="s">
        <v>841</v>
      </c>
      <c r="AD95" t="s">
        <v>1081</v>
      </c>
    </row>
    <row r="96" spans="1:30">
      <c r="A96">
        <v>53256877</v>
      </c>
      <c r="B96" t="s">
        <v>1082</v>
      </c>
      <c r="C96" t="s">
        <v>212</v>
      </c>
      <c r="D96" t="s">
        <v>47</v>
      </c>
      <c r="E96" t="s">
        <v>35</v>
      </c>
      <c r="F96">
        <v>6613</v>
      </c>
      <c r="G96" t="s">
        <v>165</v>
      </c>
      <c r="H96" t="s">
        <v>45</v>
      </c>
      <c r="I96" t="s">
        <v>48</v>
      </c>
      <c r="J96" t="s">
        <v>46</v>
      </c>
      <c r="K96" t="s">
        <v>116</v>
      </c>
      <c r="L96" t="s">
        <v>842</v>
      </c>
      <c r="M96" t="s">
        <v>118</v>
      </c>
      <c r="N96" t="s">
        <v>117</v>
      </c>
      <c r="O96" t="s">
        <v>215</v>
      </c>
      <c r="P96">
        <v>20260909</v>
      </c>
      <c r="Q96">
        <v>100</v>
      </c>
      <c r="R96">
        <v>100</v>
      </c>
      <c r="S96" t="s">
        <v>217</v>
      </c>
      <c r="T96" t="s">
        <v>49</v>
      </c>
      <c r="U96" t="s">
        <v>47</v>
      </c>
      <c r="V96" t="s">
        <v>47</v>
      </c>
      <c r="W96" t="s">
        <v>47</v>
      </c>
      <c r="X96" t="s">
        <v>35</v>
      </c>
      <c r="Y96" t="s">
        <v>47</v>
      </c>
      <c r="Z96" t="s">
        <v>35</v>
      </c>
      <c r="AA96" t="s">
        <v>50</v>
      </c>
      <c r="AB96" t="s">
        <v>35</v>
      </c>
      <c r="AC96" t="s">
        <v>842</v>
      </c>
      <c r="AD96" t="s">
        <v>1083</v>
      </c>
    </row>
    <row r="97" spans="1:30">
      <c r="A97">
        <v>53258639</v>
      </c>
      <c r="B97" t="s">
        <v>1084</v>
      </c>
      <c r="C97" t="s">
        <v>212</v>
      </c>
      <c r="D97" t="s">
        <v>47</v>
      </c>
      <c r="E97" t="s">
        <v>35</v>
      </c>
      <c r="F97">
        <v>1605</v>
      </c>
      <c r="G97" t="s">
        <v>844</v>
      </c>
      <c r="H97" t="s">
        <v>45</v>
      </c>
      <c r="I97" t="s">
        <v>48</v>
      </c>
      <c r="J97" t="s">
        <v>46</v>
      </c>
      <c r="K97" t="s">
        <v>116</v>
      </c>
      <c r="L97" t="s">
        <v>843</v>
      </c>
      <c r="M97" t="s">
        <v>118</v>
      </c>
      <c r="N97" t="s">
        <v>117</v>
      </c>
      <c r="O97" t="s">
        <v>215</v>
      </c>
      <c r="P97">
        <v>20260909</v>
      </c>
      <c r="Q97">
        <v>100</v>
      </c>
      <c r="R97">
        <v>100</v>
      </c>
      <c r="S97" t="s">
        <v>217</v>
      </c>
      <c r="T97" t="s">
        <v>49</v>
      </c>
      <c r="U97" t="s">
        <v>47</v>
      </c>
      <c r="V97" t="s">
        <v>47</v>
      </c>
      <c r="W97" t="s">
        <v>47</v>
      </c>
      <c r="X97" t="s">
        <v>35</v>
      </c>
      <c r="Y97" t="s">
        <v>47</v>
      </c>
      <c r="Z97" t="s">
        <v>35</v>
      </c>
      <c r="AA97" t="s">
        <v>50</v>
      </c>
      <c r="AB97" t="s">
        <v>35</v>
      </c>
      <c r="AC97" t="s">
        <v>843</v>
      </c>
      <c r="AD97" t="s">
        <v>1085</v>
      </c>
    </row>
    <row r="98" spans="1:30">
      <c r="A98">
        <v>53258893</v>
      </c>
      <c r="B98" t="s">
        <v>1086</v>
      </c>
      <c r="C98" t="s">
        <v>212</v>
      </c>
      <c r="D98" t="s">
        <v>47</v>
      </c>
      <c r="E98" t="s">
        <v>35</v>
      </c>
      <c r="F98">
        <v>6613</v>
      </c>
      <c r="G98" t="s">
        <v>165</v>
      </c>
      <c r="H98" t="s">
        <v>45</v>
      </c>
      <c r="I98" t="s">
        <v>48</v>
      </c>
      <c r="J98" t="s">
        <v>46</v>
      </c>
      <c r="K98" t="s">
        <v>116</v>
      </c>
      <c r="L98" t="s">
        <v>845</v>
      </c>
      <c r="M98" t="s">
        <v>124</v>
      </c>
      <c r="N98" t="s">
        <v>123</v>
      </c>
      <c r="O98" t="s">
        <v>215</v>
      </c>
      <c r="P98">
        <v>20260909</v>
      </c>
      <c r="Q98">
        <v>200</v>
      </c>
      <c r="R98">
        <v>200</v>
      </c>
      <c r="S98" t="s">
        <v>217</v>
      </c>
      <c r="T98" t="s">
        <v>49</v>
      </c>
      <c r="U98" t="s">
        <v>47</v>
      </c>
      <c r="V98" t="s">
        <v>47</v>
      </c>
      <c r="W98" t="s">
        <v>47</v>
      </c>
      <c r="X98" t="s">
        <v>125</v>
      </c>
      <c r="Y98" t="s">
        <v>47</v>
      </c>
      <c r="Z98" t="s">
        <v>35</v>
      </c>
      <c r="AA98" t="s">
        <v>50</v>
      </c>
      <c r="AB98" t="s">
        <v>35</v>
      </c>
      <c r="AC98" t="s">
        <v>845</v>
      </c>
      <c r="AD98" t="s">
        <v>1087</v>
      </c>
    </row>
    <row r="99" spans="1:30">
      <c r="A99">
        <v>53259504</v>
      </c>
      <c r="B99" t="s">
        <v>1088</v>
      </c>
      <c r="C99" t="s">
        <v>212</v>
      </c>
      <c r="D99" t="s">
        <v>47</v>
      </c>
      <c r="E99" t="s">
        <v>35</v>
      </c>
      <c r="F99">
        <v>6981</v>
      </c>
      <c r="G99" t="s">
        <v>786</v>
      </c>
      <c r="H99" t="s">
        <v>45</v>
      </c>
      <c r="I99" t="s">
        <v>48</v>
      </c>
      <c r="J99" t="s">
        <v>46</v>
      </c>
      <c r="K99" t="s">
        <v>116</v>
      </c>
      <c r="L99" t="s">
        <v>846</v>
      </c>
      <c r="M99" t="s">
        <v>118</v>
      </c>
      <c r="N99" t="s">
        <v>117</v>
      </c>
      <c r="O99" t="s">
        <v>215</v>
      </c>
      <c r="P99">
        <v>20260909</v>
      </c>
      <c r="Q99">
        <v>100</v>
      </c>
      <c r="R99">
        <v>100</v>
      </c>
      <c r="S99" t="s">
        <v>217</v>
      </c>
      <c r="T99" t="s">
        <v>49</v>
      </c>
      <c r="U99" t="s">
        <v>47</v>
      </c>
      <c r="V99" t="s">
        <v>47</v>
      </c>
      <c r="W99" t="s">
        <v>47</v>
      </c>
      <c r="X99" t="s">
        <v>35</v>
      </c>
      <c r="Y99" t="s">
        <v>47</v>
      </c>
      <c r="Z99" t="s">
        <v>35</v>
      </c>
      <c r="AA99" t="s">
        <v>50</v>
      </c>
      <c r="AB99" t="s">
        <v>35</v>
      </c>
      <c r="AC99" t="s">
        <v>846</v>
      </c>
      <c r="AD99" t="s">
        <v>1089</v>
      </c>
    </row>
    <row r="100" spans="1:30">
      <c r="A100">
        <v>53269227</v>
      </c>
      <c r="B100" t="s">
        <v>1090</v>
      </c>
      <c r="C100" t="s">
        <v>212</v>
      </c>
      <c r="D100" t="s">
        <v>47</v>
      </c>
      <c r="E100" t="s">
        <v>35</v>
      </c>
      <c r="F100">
        <v>6981</v>
      </c>
      <c r="G100" t="s">
        <v>786</v>
      </c>
      <c r="H100" t="s">
        <v>45</v>
      </c>
      <c r="I100" t="s">
        <v>48</v>
      </c>
      <c r="J100" t="s">
        <v>46</v>
      </c>
      <c r="K100" t="s">
        <v>116</v>
      </c>
      <c r="L100" t="s">
        <v>847</v>
      </c>
      <c r="M100" t="s">
        <v>124</v>
      </c>
      <c r="N100" t="s">
        <v>123</v>
      </c>
      <c r="O100" t="s">
        <v>215</v>
      </c>
      <c r="P100">
        <v>20260909</v>
      </c>
      <c r="Q100">
        <v>100</v>
      </c>
      <c r="R100">
        <v>100</v>
      </c>
      <c r="S100" t="s">
        <v>217</v>
      </c>
      <c r="T100" t="s">
        <v>49</v>
      </c>
      <c r="U100" t="s">
        <v>47</v>
      </c>
      <c r="V100" t="s">
        <v>47</v>
      </c>
      <c r="W100" t="s">
        <v>47</v>
      </c>
      <c r="X100" t="s">
        <v>125</v>
      </c>
      <c r="Y100" t="s">
        <v>47</v>
      </c>
      <c r="Z100" t="s">
        <v>35</v>
      </c>
      <c r="AA100" t="s">
        <v>50</v>
      </c>
      <c r="AB100" t="s">
        <v>35</v>
      </c>
      <c r="AC100" t="s">
        <v>847</v>
      </c>
      <c r="AD100" t="s">
        <v>1091</v>
      </c>
    </row>
    <row r="101" spans="1:30">
      <c r="A101">
        <v>53269564</v>
      </c>
      <c r="B101" t="s">
        <v>1092</v>
      </c>
      <c r="C101" t="s">
        <v>212</v>
      </c>
      <c r="D101" t="s">
        <v>47</v>
      </c>
      <c r="E101" t="s">
        <v>35</v>
      </c>
      <c r="F101">
        <v>4063</v>
      </c>
      <c r="G101" t="s">
        <v>181</v>
      </c>
      <c r="H101" t="s">
        <v>45</v>
      </c>
      <c r="I101" t="s">
        <v>48</v>
      </c>
      <c r="J101" t="s">
        <v>46</v>
      </c>
      <c r="K101" t="s">
        <v>116</v>
      </c>
      <c r="L101" t="s">
        <v>848</v>
      </c>
      <c r="M101" t="s">
        <v>124</v>
      </c>
      <c r="N101" t="s">
        <v>123</v>
      </c>
      <c r="O101" t="s">
        <v>215</v>
      </c>
      <c r="P101">
        <v>20260909</v>
      </c>
      <c r="Q101">
        <v>100</v>
      </c>
      <c r="R101">
        <v>100</v>
      </c>
      <c r="S101" t="s">
        <v>217</v>
      </c>
      <c r="T101" t="s">
        <v>49</v>
      </c>
      <c r="U101" t="s">
        <v>47</v>
      </c>
      <c r="V101" t="s">
        <v>47</v>
      </c>
      <c r="W101" t="s">
        <v>47</v>
      </c>
      <c r="X101" t="s">
        <v>125</v>
      </c>
      <c r="Y101" t="s">
        <v>47</v>
      </c>
      <c r="Z101" t="s">
        <v>35</v>
      </c>
      <c r="AA101" t="s">
        <v>50</v>
      </c>
      <c r="AB101" t="s">
        <v>35</v>
      </c>
      <c r="AC101" t="s">
        <v>848</v>
      </c>
      <c r="AD101" t="s">
        <v>1093</v>
      </c>
    </row>
    <row r="102" spans="1:30">
      <c r="A102">
        <v>53269787</v>
      </c>
      <c r="B102" t="s">
        <v>1094</v>
      </c>
      <c r="C102" t="s">
        <v>212</v>
      </c>
      <c r="D102" t="s">
        <v>47</v>
      </c>
      <c r="E102" t="s">
        <v>35</v>
      </c>
      <c r="F102">
        <v>6981</v>
      </c>
      <c r="G102" t="s">
        <v>786</v>
      </c>
      <c r="H102" t="s">
        <v>45</v>
      </c>
      <c r="I102" t="s">
        <v>48</v>
      </c>
      <c r="J102" t="s">
        <v>46</v>
      </c>
      <c r="K102" t="s">
        <v>116</v>
      </c>
      <c r="L102" t="s">
        <v>849</v>
      </c>
      <c r="M102" t="s">
        <v>118</v>
      </c>
      <c r="N102" t="s">
        <v>117</v>
      </c>
      <c r="O102" t="s">
        <v>215</v>
      </c>
      <c r="P102">
        <v>20260909</v>
      </c>
      <c r="Q102">
        <v>100</v>
      </c>
      <c r="R102">
        <v>100</v>
      </c>
      <c r="S102" t="s">
        <v>217</v>
      </c>
      <c r="T102" t="s">
        <v>49</v>
      </c>
      <c r="U102" t="s">
        <v>47</v>
      </c>
      <c r="V102" t="s">
        <v>47</v>
      </c>
      <c r="W102" t="s">
        <v>47</v>
      </c>
      <c r="X102" t="s">
        <v>35</v>
      </c>
      <c r="Y102" t="s">
        <v>47</v>
      </c>
      <c r="Z102" t="s">
        <v>35</v>
      </c>
      <c r="AA102" t="s">
        <v>50</v>
      </c>
      <c r="AB102" t="s">
        <v>35</v>
      </c>
      <c r="AC102" t="s">
        <v>849</v>
      </c>
      <c r="AD102" t="s">
        <v>1095</v>
      </c>
    </row>
    <row r="103" spans="1:30">
      <c r="A103">
        <v>53270850</v>
      </c>
      <c r="B103" t="s">
        <v>1096</v>
      </c>
      <c r="C103" t="s">
        <v>212</v>
      </c>
      <c r="D103" t="s">
        <v>47</v>
      </c>
      <c r="E103" t="s">
        <v>35</v>
      </c>
      <c r="F103">
        <v>4063</v>
      </c>
      <c r="G103" t="s">
        <v>181</v>
      </c>
      <c r="H103" t="s">
        <v>45</v>
      </c>
      <c r="I103" t="s">
        <v>48</v>
      </c>
      <c r="J103" t="s">
        <v>46</v>
      </c>
      <c r="K103" t="s">
        <v>116</v>
      </c>
      <c r="L103" t="s">
        <v>850</v>
      </c>
      <c r="M103" t="s">
        <v>118</v>
      </c>
      <c r="N103" t="s">
        <v>117</v>
      </c>
      <c r="O103" t="s">
        <v>215</v>
      </c>
      <c r="P103">
        <v>20260909</v>
      </c>
      <c r="Q103">
        <v>100</v>
      </c>
      <c r="R103">
        <v>100</v>
      </c>
      <c r="S103" t="s">
        <v>217</v>
      </c>
      <c r="T103" t="s">
        <v>49</v>
      </c>
      <c r="U103" t="s">
        <v>47</v>
      </c>
      <c r="V103" t="s">
        <v>47</v>
      </c>
      <c r="W103" t="s">
        <v>47</v>
      </c>
      <c r="X103" t="s">
        <v>35</v>
      </c>
      <c r="Y103" t="s">
        <v>47</v>
      </c>
      <c r="Z103" t="s">
        <v>35</v>
      </c>
      <c r="AA103" t="s">
        <v>50</v>
      </c>
      <c r="AB103" t="s">
        <v>35</v>
      </c>
      <c r="AC103" t="s">
        <v>850</v>
      </c>
      <c r="AD103" t="s">
        <v>1097</v>
      </c>
    </row>
    <row r="104" spans="1:30">
      <c r="A104">
        <v>53271247</v>
      </c>
      <c r="B104" t="s">
        <v>1098</v>
      </c>
      <c r="C104" t="s">
        <v>212</v>
      </c>
      <c r="D104" t="s">
        <v>47</v>
      </c>
      <c r="E104" t="s">
        <v>35</v>
      </c>
      <c r="F104">
        <v>6981</v>
      </c>
      <c r="G104" t="s">
        <v>786</v>
      </c>
      <c r="H104" t="s">
        <v>45</v>
      </c>
      <c r="I104" t="s">
        <v>48</v>
      </c>
      <c r="J104" t="s">
        <v>46</v>
      </c>
      <c r="K104" t="s">
        <v>116</v>
      </c>
      <c r="L104" t="s">
        <v>851</v>
      </c>
      <c r="M104" t="s">
        <v>124</v>
      </c>
      <c r="N104" t="s">
        <v>123</v>
      </c>
      <c r="O104" t="s">
        <v>215</v>
      </c>
      <c r="P104">
        <v>20260909</v>
      </c>
      <c r="Q104">
        <v>100</v>
      </c>
      <c r="R104">
        <v>100</v>
      </c>
      <c r="S104" t="s">
        <v>217</v>
      </c>
      <c r="T104" t="s">
        <v>49</v>
      </c>
      <c r="U104" t="s">
        <v>47</v>
      </c>
      <c r="V104" t="s">
        <v>47</v>
      </c>
      <c r="W104" t="s">
        <v>47</v>
      </c>
      <c r="X104" t="s">
        <v>125</v>
      </c>
      <c r="Y104" t="s">
        <v>47</v>
      </c>
      <c r="Z104" t="s">
        <v>35</v>
      </c>
      <c r="AA104" t="s">
        <v>50</v>
      </c>
      <c r="AB104" t="s">
        <v>35</v>
      </c>
      <c r="AC104" t="s">
        <v>851</v>
      </c>
      <c r="AD104" t="s">
        <v>1014</v>
      </c>
    </row>
    <row r="105" spans="1:30">
      <c r="A105">
        <v>53271405</v>
      </c>
      <c r="B105" t="s">
        <v>1099</v>
      </c>
      <c r="C105" t="s">
        <v>212</v>
      </c>
      <c r="D105" t="s">
        <v>47</v>
      </c>
      <c r="E105" t="s">
        <v>35</v>
      </c>
      <c r="F105">
        <v>6981</v>
      </c>
      <c r="G105" t="s">
        <v>786</v>
      </c>
      <c r="H105" t="s">
        <v>45</v>
      </c>
      <c r="I105" t="s">
        <v>48</v>
      </c>
      <c r="J105" t="s">
        <v>46</v>
      </c>
      <c r="K105" t="s">
        <v>116</v>
      </c>
      <c r="L105" t="s">
        <v>852</v>
      </c>
      <c r="M105" t="s">
        <v>118</v>
      </c>
      <c r="N105" t="s">
        <v>117</v>
      </c>
      <c r="O105" t="s">
        <v>215</v>
      </c>
      <c r="P105">
        <v>20260909</v>
      </c>
      <c r="Q105">
        <v>100</v>
      </c>
      <c r="R105">
        <v>100</v>
      </c>
      <c r="S105" t="s">
        <v>217</v>
      </c>
      <c r="T105" t="s">
        <v>49</v>
      </c>
      <c r="U105" t="s">
        <v>47</v>
      </c>
      <c r="V105" t="s">
        <v>47</v>
      </c>
      <c r="W105" t="s">
        <v>47</v>
      </c>
      <c r="X105" t="s">
        <v>35</v>
      </c>
      <c r="Y105" t="s">
        <v>47</v>
      </c>
      <c r="Z105" t="s">
        <v>35</v>
      </c>
      <c r="AA105" t="s">
        <v>50</v>
      </c>
      <c r="AB105" t="s">
        <v>35</v>
      </c>
      <c r="AC105" t="s">
        <v>852</v>
      </c>
      <c r="AD105" t="s">
        <v>1100</v>
      </c>
    </row>
    <row r="106" spans="1:30">
      <c r="A106">
        <v>53274543</v>
      </c>
      <c r="B106" t="s">
        <v>1101</v>
      </c>
      <c r="C106" t="s">
        <v>212</v>
      </c>
      <c r="D106" t="s">
        <v>47</v>
      </c>
      <c r="E106" t="s">
        <v>35</v>
      </c>
      <c r="F106">
        <v>4063</v>
      </c>
      <c r="G106" t="s">
        <v>181</v>
      </c>
      <c r="H106" t="s">
        <v>45</v>
      </c>
      <c r="I106" t="s">
        <v>48</v>
      </c>
      <c r="J106" t="s">
        <v>46</v>
      </c>
      <c r="K106" t="s">
        <v>116</v>
      </c>
      <c r="L106" t="s">
        <v>853</v>
      </c>
      <c r="M106" t="s">
        <v>124</v>
      </c>
      <c r="N106" t="s">
        <v>123</v>
      </c>
      <c r="O106" t="s">
        <v>215</v>
      </c>
      <c r="P106">
        <v>20260909</v>
      </c>
      <c r="Q106">
        <v>100</v>
      </c>
      <c r="R106">
        <v>100</v>
      </c>
      <c r="S106" t="s">
        <v>217</v>
      </c>
      <c r="T106" t="s">
        <v>49</v>
      </c>
      <c r="U106" t="s">
        <v>47</v>
      </c>
      <c r="V106" t="s">
        <v>47</v>
      </c>
      <c r="W106" t="s">
        <v>47</v>
      </c>
      <c r="X106" t="s">
        <v>125</v>
      </c>
      <c r="Y106" t="s">
        <v>47</v>
      </c>
      <c r="Z106" t="s">
        <v>35</v>
      </c>
      <c r="AA106" t="s">
        <v>50</v>
      </c>
      <c r="AB106" t="s">
        <v>35</v>
      </c>
      <c r="AC106" t="s">
        <v>853</v>
      </c>
      <c r="AD106" t="s">
        <v>331</v>
      </c>
    </row>
    <row r="107" spans="1:30">
      <c r="A107">
        <v>53275111</v>
      </c>
      <c r="B107" t="s">
        <v>1102</v>
      </c>
      <c r="C107" t="s">
        <v>212</v>
      </c>
      <c r="D107" t="s">
        <v>47</v>
      </c>
      <c r="E107" t="s">
        <v>35</v>
      </c>
      <c r="F107">
        <v>6981</v>
      </c>
      <c r="G107" t="s">
        <v>786</v>
      </c>
      <c r="H107" t="s">
        <v>45</v>
      </c>
      <c r="I107" t="s">
        <v>48</v>
      </c>
      <c r="J107" t="s">
        <v>46</v>
      </c>
      <c r="K107" t="s">
        <v>116</v>
      </c>
      <c r="L107" t="s">
        <v>854</v>
      </c>
      <c r="M107" t="s">
        <v>124</v>
      </c>
      <c r="N107" t="s">
        <v>123</v>
      </c>
      <c r="O107" t="s">
        <v>215</v>
      </c>
      <c r="P107">
        <v>20260909</v>
      </c>
      <c r="Q107">
        <v>100</v>
      </c>
      <c r="R107">
        <v>100</v>
      </c>
      <c r="S107" t="s">
        <v>217</v>
      </c>
      <c r="T107" t="s">
        <v>49</v>
      </c>
      <c r="U107" t="s">
        <v>47</v>
      </c>
      <c r="V107" t="s">
        <v>47</v>
      </c>
      <c r="W107" t="s">
        <v>47</v>
      </c>
      <c r="X107" t="s">
        <v>125</v>
      </c>
      <c r="Y107" t="s">
        <v>47</v>
      </c>
      <c r="Z107" t="s">
        <v>35</v>
      </c>
      <c r="AA107" t="s">
        <v>50</v>
      </c>
      <c r="AB107" t="s">
        <v>35</v>
      </c>
      <c r="AC107" t="s">
        <v>854</v>
      </c>
      <c r="AD107" t="s">
        <v>1103</v>
      </c>
    </row>
    <row r="108" spans="1:30">
      <c r="A108">
        <v>53275439</v>
      </c>
      <c r="B108" t="s">
        <v>1104</v>
      </c>
      <c r="C108" t="s">
        <v>212</v>
      </c>
      <c r="D108" t="s">
        <v>47</v>
      </c>
      <c r="E108" t="s">
        <v>35</v>
      </c>
      <c r="F108">
        <v>1605</v>
      </c>
      <c r="G108" t="s">
        <v>844</v>
      </c>
      <c r="H108" t="s">
        <v>45</v>
      </c>
      <c r="I108" t="s">
        <v>48</v>
      </c>
      <c r="J108" t="s">
        <v>46</v>
      </c>
      <c r="K108" t="s">
        <v>116</v>
      </c>
      <c r="L108" t="s">
        <v>855</v>
      </c>
      <c r="M108" t="s">
        <v>124</v>
      </c>
      <c r="N108" t="s">
        <v>123</v>
      </c>
      <c r="O108" t="s">
        <v>215</v>
      </c>
      <c r="P108">
        <v>20260909</v>
      </c>
      <c r="Q108">
        <v>100</v>
      </c>
      <c r="R108">
        <v>100</v>
      </c>
      <c r="S108" t="s">
        <v>217</v>
      </c>
      <c r="T108" t="s">
        <v>49</v>
      </c>
      <c r="U108" t="s">
        <v>47</v>
      </c>
      <c r="V108" t="s">
        <v>47</v>
      </c>
      <c r="W108" t="s">
        <v>47</v>
      </c>
      <c r="X108" t="s">
        <v>125</v>
      </c>
      <c r="Y108" t="s">
        <v>47</v>
      </c>
      <c r="Z108" t="s">
        <v>35</v>
      </c>
      <c r="AA108" t="s">
        <v>50</v>
      </c>
      <c r="AB108" t="s">
        <v>35</v>
      </c>
      <c r="AC108" t="s">
        <v>855</v>
      </c>
      <c r="AD108" t="s">
        <v>1105</v>
      </c>
    </row>
    <row r="109" spans="1:30">
      <c r="A109">
        <v>53276157</v>
      </c>
      <c r="B109" t="s">
        <v>1106</v>
      </c>
      <c r="C109" t="s">
        <v>212</v>
      </c>
      <c r="D109" t="s">
        <v>47</v>
      </c>
      <c r="E109" t="s">
        <v>35</v>
      </c>
      <c r="F109">
        <v>6981</v>
      </c>
      <c r="G109" t="s">
        <v>786</v>
      </c>
      <c r="H109" t="s">
        <v>45</v>
      </c>
      <c r="I109" t="s">
        <v>48</v>
      </c>
      <c r="J109" t="s">
        <v>46</v>
      </c>
      <c r="K109" t="s">
        <v>116</v>
      </c>
      <c r="L109" t="s">
        <v>856</v>
      </c>
      <c r="M109" t="s">
        <v>118</v>
      </c>
      <c r="N109" t="s">
        <v>117</v>
      </c>
      <c r="O109" t="s">
        <v>215</v>
      </c>
      <c r="P109">
        <v>20260909</v>
      </c>
      <c r="Q109">
        <v>100</v>
      </c>
      <c r="R109">
        <v>100</v>
      </c>
      <c r="S109" t="s">
        <v>217</v>
      </c>
      <c r="T109" t="s">
        <v>49</v>
      </c>
      <c r="U109" t="s">
        <v>47</v>
      </c>
      <c r="V109" t="s">
        <v>47</v>
      </c>
      <c r="W109" t="s">
        <v>47</v>
      </c>
      <c r="X109" t="s">
        <v>35</v>
      </c>
      <c r="Y109" t="s">
        <v>47</v>
      </c>
      <c r="Z109" t="s">
        <v>35</v>
      </c>
      <c r="AA109" t="s">
        <v>50</v>
      </c>
      <c r="AB109" t="s">
        <v>35</v>
      </c>
      <c r="AC109" t="s">
        <v>856</v>
      </c>
      <c r="AD109" t="s">
        <v>1107</v>
      </c>
    </row>
    <row r="110" spans="1:30">
      <c r="A110">
        <v>53277339</v>
      </c>
      <c r="B110" t="s">
        <v>1108</v>
      </c>
      <c r="C110" t="s">
        <v>212</v>
      </c>
      <c r="D110" t="s">
        <v>47</v>
      </c>
      <c r="E110" t="s">
        <v>35</v>
      </c>
      <c r="F110">
        <v>4063</v>
      </c>
      <c r="G110" t="s">
        <v>181</v>
      </c>
      <c r="H110" t="s">
        <v>45</v>
      </c>
      <c r="I110" t="s">
        <v>48</v>
      </c>
      <c r="J110" t="s">
        <v>46</v>
      </c>
      <c r="K110" t="s">
        <v>116</v>
      </c>
      <c r="L110" t="s">
        <v>857</v>
      </c>
      <c r="M110" t="s">
        <v>118</v>
      </c>
      <c r="N110" t="s">
        <v>117</v>
      </c>
      <c r="O110" t="s">
        <v>215</v>
      </c>
      <c r="P110">
        <v>20260909</v>
      </c>
      <c r="Q110">
        <v>100</v>
      </c>
      <c r="R110">
        <v>100</v>
      </c>
      <c r="S110" t="s">
        <v>217</v>
      </c>
      <c r="T110" t="s">
        <v>49</v>
      </c>
      <c r="U110" t="s">
        <v>47</v>
      </c>
      <c r="V110" t="s">
        <v>47</v>
      </c>
      <c r="W110" t="s">
        <v>47</v>
      </c>
      <c r="X110" t="s">
        <v>35</v>
      </c>
      <c r="Y110" t="s">
        <v>47</v>
      </c>
      <c r="Z110" t="s">
        <v>35</v>
      </c>
      <c r="AA110" t="s">
        <v>50</v>
      </c>
      <c r="AB110" t="s">
        <v>35</v>
      </c>
      <c r="AC110" t="s">
        <v>857</v>
      </c>
      <c r="AD110" t="s">
        <v>1093</v>
      </c>
    </row>
    <row r="111" spans="1:30">
      <c r="A111">
        <v>53278733</v>
      </c>
      <c r="B111" t="s">
        <v>1109</v>
      </c>
      <c r="C111" t="s">
        <v>212</v>
      </c>
      <c r="D111" t="s">
        <v>47</v>
      </c>
      <c r="E111" t="s">
        <v>35</v>
      </c>
      <c r="F111">
        <v>6981</v>
      </c>
      <c r="G111" t="s">
        <v>786</v>
      </c>
      <c r="H111" t="s">
        <v>45</v>
      </c>
      <c r="I111" t="s">
        <v>48</v>
      </c>
      <c r="J111" t="s">
        <v>46</v>
      </c>
      <c r="K111" t="s">
        <v>116</v>
      </c>
      <c r="L111" t="s">
        <v>858</v>
      </c>
      <c r="M111" t="s">
        <v>124</v>
      </c>
      <c r="N111" t="s">
        <v>123</v>
      </c>
      <c r="O111" t="s">
        <v>215</v>
      </c>
      <c r="P111">
        <v>20260909</v>
      </c>
      <c r="Q111">
        <v>100</v>
      </c>
      <c r="R111">
        <v>100</v>
      </c>
      <c r="S111" t="s">
        <v>217</v>
      </c>
      <c r="T111" t="s">
        <v>49</v>
      </c>
      <c r="U111" t="s">
        <v>47</v>
      </c>
      <c r="V111" t="s">
        <v>47</v>
      </c>
      <c r="W111" t="s">
        <v>47</v>
      </c>
      <c r="X111" t="s">
        <v>125</v>
      </c>
      <c r="Y111" t="s">
        <v>47</v>
      </c>
      <c r="Z111" t="s">
        <v>35</v>
      </c>
      <c r="AA111" t="s">
        <v>50</v>
      </c>
      <c r="AB111" t="s">
        <v>35</v>
      </c>
      <c r="AC111" t="s">
        <v>858</v>
      </c>
      <c r="AD111" t="s">
        <v>1091</v>
      </c>
    </row>
    <row r="112" spans="1:30">
      <c r="A112">
        <v>53278824</v>
      </c>
      <c r="B112" t="s">
        <v>1110</v>
      </c>
      <c r="C112" t="s">
        <v>212</v>
      </c>
      <c r="D112" t="s">
        <v>47</v>
      </c>
      <c r="E112" t="s">
        <v>35</v>
      </c>
      <c r="F112">
        <v>4063</v>
      </c>
      <c r="G112" t="s">
        <v>181</v>
      </c>
      <c r="H112" t="s">
        <v>45</v>
      </c>
      <c r="I112" t="s">
        <v>48</v>
      </c>
      <c r="J112" t="s">
        <v>46</v>
      </c>
      <c r="K112" t="s">
        <v>116</v>
      </c>
      <c r="L112" t="s">
        <v>859</v>
      </c>
      <c r="M112" t="s">
        <v>124</v>
      </c>
      <c r="N112" t="s">
        <v>123</v>
      </c>
      <c r="O112" t="s">
        <v>215</v>
      </c>
      <c r="P112">
        <v>20260909</v>
      </c>
      <c r="Q112">
        <v>100</v>
      </c>
      <c r="R112">
        <v>100</v>
      </c>
      <c r="S112" t="s">
        <v>217</v>
      </c>
      <c r="T112" t="s">
        <v>49</v>
      </c>
      <c r="U112" t="s">
        <v>47</v>
      </c>
      <c r="V112" t="s">
        <v>47</v>
      </c>
      <c r="W112" t="s">
        <v>47</v>
      </c>
      <c r="X112" t="s">
        <v>125</v>
      </c>
      <c r="Y112" t="s">
        <v>47</v>
      </c>
      <c r="Z112" t="s">
        <v>35</v>
      </c>
      <c r="AA112" t="s">
        <v>50</v>
      </c>
      <c r="AB112" t="s">
        <v>35</v>
      </c>
      <c r="AC112" t="s">
        <v>859</v>
      </c>
      <c r="AD112" t="s">
        <v>1111</v>
      </c>
    </row>
    <row r="113" spans="1:30">
      <c r="A113">
        <v>53279027</v>
      </c>
      <c r="B113" t="s">
        <v>1112</v>
      </c>
      <c r="C113" t="s">
        <v>212</v>
      </c>
      <c r="D113" t="s">
        <v>47</v>
      </c>
      <c r="E113" t="s">
        <v>35</v>
      </c>
      <c r="F113">
        <v>6981</v>
      </c>
      <c r="G113" t="s">
        <v>786</v>
      </c>
      <c r="H113" t="s">
        <v>45</v>
      </c>
      <c r="I113" t="s">
        <v>48</v>
      </c>
      <c r="J113" t="s">
        <v>46</v>
      </c>
      <c r="K113" t="s">
        <v>116</v>
      </c>
      <c r="L113" t="s">
        <v>860</v>
      </c>
      <c r="M113" t="s">
        <v>118</v>
      </c>
      <c r="N113" t="s">
        <v>117</v>
      </c>
      <c r="O113" t="s">
        <v>215</v>
      </c>
      <c r="P113">
        <v>20260909</v>
      </c>
      <c r="Q113">
        <v>100</v>
      </c>
      <c r="R113">
        <v>100</v>
      </c>
      <c r="S113" t="s">
        <v>217</v>
      </c>
      <c r="T113" t="s">
        <v>49</v>
      </c>
      <c r="U113" t="s">
        <v>47</v>
      </c>
      <c r="V113" t="s">
        <v>47</v>
      </c>
      <c r="W113" t="s">
        <v>47</v>
      </c>
      <c r="X113" t="s">
        <v>35</v>
      </c>
      <c r="Y113" t="s">
        <v>47</v>
      </c>
      <c r="Z113" t="s">
        <v>35</v>
      </c>
      <c r="AA113" t="s">
        <v>50</v>
      </c>
      <c r="AB113" t="s">
        <v>35</v>
      </c>
      <c r="AC113" t="s">
        <v>860</v>
      </c>
      <c r="AD113" t="s">
        <v>1113</v>
      </c>
    </row>
    <row r="114" spans="1:30">
      <c r="A114">
        <v>53279647</v>
      </c>
      <c r="B114" t="s">
        <v>1114</v>
      </c>
      <c r="C114" t="s">
        <v>212</v>
      </c>
      <c r="D114" t="s">
        <v>47</v>
      </c>
      <c r="E114" t="s">
        <v>35</v>
      </c>
      <c r="F114">
        <v>6613</v>
      </c>
      <c r="G114" t="s">
        <v>165</v>
      </c>
      <c r="H114" t="s">
        <v>45</v>
      </c>
      <c r="I114" t="s">
        <v>48</v>
      </c>
      <c r="J114" t="s">
        <v>46</v>
      </c>
      <c r="K114" t="s">
        <v>116</v>
      </c>
      <c r="L114" t="s">
        <v>861</v>
      </c>
      <c r="M114" t="s">
        <v>118</v>
      </c>
      <c r="N114" t="s">
        <v>117</v>
      </c>
      <c r="O114" t="s">
        <v>215</v>
      </c>
      <c r="P114">
        <v>20260909</v>
      </c>
      <c r="Q114">
        <v>100</v>
      </c>
      <c r="R114">
        <v>100</v>
      </c>
      <c r="S114" t="s">
        <v>217</v>
      </c>
      <c r="T114" t="s">
        <v>49</v>
      </c>
      <c r="U114" t="s">
        <v>47</v>
      </c>
      <c r="V114" t="s">
        <v>47</v>
      </c>
      <c r="W114" t="s">
        <v>47</v>
      </c>
      <c r="X114" t="s">
        <v>35</v>
      </c>
      <c r="Y114" t="s">
        <v>47</v>
      </c>
      <c r="Z114" t="s">
        <v>35</v>
      </c>
      <c r="AA114" t="s">
        <v>50</v>
      </c>
      <c r="AB114" t="s">
        <v>35</v>
      </c>
      <c r="AC114" t="s">
        <v>861</v>
      </c>
      <c r="AD114" t="s">
        <v>1115</v>
      </c>
    </row>
    <row r="115" spans="1:30">
      <c r="A115">
        <v>53280021</v>
      </c>
      <c r="B115" t="s">
        <v>1116</v>
      </c>
      <c r="C115" t="s">
        <v>212</v>
      </c>
      <c r="D115" t="s">
        <v>47</v>
      </c>
      <c r="E115" t="s">
        <v>35</v>
      </c>
      <c r="F115">
        <v>4063</v>
      </c>
      <c r="G115" t="s">
        <v>181</v>
      </c>
      <c r="H115" t="s">
        <v>45</v>
      </c>
      <c r="I115" t="s">
        <v>48</v>
      </c>
      <c r="J115" t="s">
        <v>46</v>
      </c>
      <c r="K115" t="s">
        <v>116</v>
      </c>
      <c r="L115" t="s">
        <v>862</v>
      </c>
      <c r="M115" t="s">
        <v>118</v>
      </c>
      <c r="N115" t="s">
        <v>117</v>
      </c>
      <c r="O115" t="s">
        <v>215</v>
      </c>
      <c r="P115">
        <v>20260909</v>
      </c>
      <c r="Q115">
        <v>100</v>
      </c>
      <c r="R115">
        <v>100</v>
      </c>
      <c r="S115" t="s">
        <v>217</v>
      </c>
      <c r="T115" t="s">
        <v>49</v>
      </c>
      <c r="U115" t="s">
        <v>47</v>
      </c>
      <c r="V115" t="s">
        <v>47</v>
      </c>
      <c r="W115" t="s">
        <v>47</v>
      </c>
      <c r="X115" t="s">
        <v>35</v>
      </c>
      <c r="Y115" t="s">
        <v>47</v>
      </c>
      <c r="Z115" t="s">
        <v>35</v>
      </c>
      <c r="AA115" t="s">
        <v>50</v>
      </c>
      <c r="AB115" t="s">
        <v>35</v>
      </c>
      <c r="AC115" t="s">
        <v>862</v>
      </c>
      <c r="AD115" t="s">
        <v>440</v>
      </c>
    </row>
    <row r="116" spans="1:30">
      <c r="A116">
        <v>53282394</v>
      </c>
      <c r="B116" t="s">
        <v>1117</v>
      </c>
      <c r="C116" t="s">
        <v>212</v>
      </c>
      <c r="D116" t="s">
        <v>47</v>
      </c>
      <c r="E116" t="s">
        <v>35</v>
      </c>
      <c r="F116">
        <v>4063</v>
      </c>
      <c r="G116" t="s">
        <v>181</v>
      </c>
      <c r="H116" t="s">
        <v>45</v>
      </c>
      <c r="I116" t="s">
        <v>48</v>
      </c>
      <c r="J116" t="s">
        <v>46</v>
      </c>
      <c r="K116" t="s">
        <v>116</v>
      </c>
      <c r="L116" t="s">
        <v>863</v>
      </c>
      <c r="M116" t="s">
        <v>124</v>
      </c>
      <c r="N116" t="s">
        <v>123</v>
      </c>
      <c r="O116" t="s">
        <v>215</v>
      </c>
      <c r="P116">
        <v>20260909</v>
      </c>
      <c r="Q116">
        <v>100</v>
      </c>
      <c r="R116">
        <v>100</v>
      </c>
      <c r="S116" t="s">
        <v>217</v>
      </c>
      <c r="T116" t="s">
        <v>49</v>
      </c>
      <c r="U116" t="s">
        <v>47</v>
      </c>
      <c r="V116" t="s">
        <v>47</v>
      </c>
      <c r="W116" t="s">
        <v>47</v>
      </c>
      <c r="X116" t="s">
        <v>125</v>
      </c>
      <c r="Y116" t="s">
        <v>47</v>
      </c>
      <c r="Z116" t="s">
        <v>35</v>
      </c>
      <c r="AA116" t="s">
        <v>50</v>
      </c>
      <c r="AB116" t="s">
        <v>35</v>
      </c>
      <c r="AC116" t="s">
        <v>863</v>
      </c>
      <c r="AD116" t="s">
        <v>437</v>
      </c>
    </row>
    <row r="117" spans="1:30">
      <c r="A117">
        <v>53283268</v>
      </c>
      <c r="B117" t="s">
        <v>1118</v>
      </c>
      <c r="C117" t="s">
        <v>212</v>
      </c>
      <c r="D117" t="s">
        <v>47</v>
      </c>
      <c r="E117" t="s">
        <v>35</v>
      </c>
      <c r="F117">
        <v>5803</v>
      </c>
      <c r="G117" t="s">
        <v>176</v>
      </c>
      <c r="H117" t="s">
        <v>45</v>
      </c>
      <c r="I117" t="s">
        <v>48</v>
      </c>
      <c r="J117" t="s">
        <v>46</v>
      </c>
      <c r="K117" t="s">
        <v>116</v>
      </c>
      <c r="L117" t="s">
        <v>864</v>
      </c>
      <c r="M117" t="s">
        <v>118</v>
      </c>
      <c r="N117" t="s">
        <v>117</v>
      </c>
      <c r="O117" t="s">
        <v>215</v>
      </c>
      <c r="P117">
        <v>20260909</v>
      </c>
      <c r="Q117">
        <v>100</v>
      </c>
      <c r="R117">
        <v>100</v>
      </c>
      <c r="S117" t="s">
        <v>217</v>
      </c>
      <c r="T117" t="s">
        <v>49</v>
      </c>
      <c r="U117" t="s">
        <v>47</v>
      </c>
      <c r="V117" t="s">
        <v>47</v>
      </c>
      <c r="W117" t="s">
        <v>47</v>
      </c>
      <c r="X117" t="s">
        <v>35</v>
      </c>
      <c r="Y117" t="s">
        <v>47</v>
      </c>
      <c r="Z117" t="s">
        <v>35</v>
      </c>
      <c r="AA117" t="s">
        <v>50</v>
      </c>
      <c r="AB117" t="s">
        <v>35</v>
      </c>
      <c r="AC117" t="s">
        <v>864</v>
      </c>
      <c r="AD117" t="s">
        <v>1119</v>
      </c>
    </row>
    <row r="118" spans="1:30">
      <c r="A118">
        <v>53283659</v>
      </c>
      <c r="B118" t="s">
        <v>1120</v>
      </c>
      <c r="C118" t="s">
        <v>290</v>
      </c>
      <c r="D118" t="s">
        <v>47</v>
      </c>
      <c r="E118" t="s">
        <v>35</v>
      </c>
      <c r="F118">
        <v>6613</v>
      </c>
      <c r="G118" t="s">
        <v>165</v>
      </c>
      <c r="H118" t="s">
        <v>45</v>
      </c>
      <c r="I118" t="s">
        <v>48</v>
      </c>
      <c r="J118" t="s">
        <v>46</v>
      </c>
      <c r="K118" t="s">
        <v>116</v>
      </c>
      <c r="L118" t="s">
        <v>1121</v>
      </c>
      <c r="M118" t="s">
        <v>124</v>
      </c>
      <c r="N118" t="s">
        <v>123</v>
      </c>
      <c r="O118" t="s">
        <v>215</v>
      </c>
      <c r="P118">
        <v>20260909</v>
      </c>
      <c r="Q118">
        <v>100</v>
      </c>
      <c r="R118">
        <v>0</v>
      </c>
      <c r="S118">
        <v>1926</v>
      </c>
      <c r="T118" t="s">
        <v>49</v>
      </c>
      <c r="U118" t="s">
        <v>47</v>
      </c>
      <c r="V118" t="s">
        <v>47</v>
      </c>
      <c r="W118" t="s">
        <v>47</v>
      </c>
      <c r="X118" t="s">
        <v>125</v>
      </c>
      <c r="Y118" t="s">
        <v>47</v>
      </c>
      <c r="Z118" t="s">
        <v>35</v>
      </c>
      <c r="AA118" t="s">
        <v>50</v>
      </c>
      <c r="AB118" t="s">
        <v>35</v>
      </c>
      <c r="AC118" t="s">
        <v>1121</v>
      </c>
      <c r="AD118" t="s">
        <v>1122</v>
      </c>
    </row>
    <row r="119" spans="1:30">
      <c r="A119">
        <v>53285354</v>
      </c>
      <c r="B119" t="s">
        <v>1123</v>
      </c>
      <c r="C119" t="s">
        <v>212</v>
      </c>
      <c r="D119" t="s">
        <v>47</v>
      </c>
      <c r="E119" t="s">
        <v>35</v>
      </c>
      <c r="F119">
        <v>6613</v>
      </c>
      <c r="G119" t="s">
        <v>165</v>
      </c>
      <c r="H119" t="s">
        <v>45</v>
      </c>
      <c r="I119" t="s">
        <v>48</v>
      </c>
      <c r="J119" t="s">
        <v>46</v>
      </c>
      <c r="K119" t="s">
        <v>116</v>
      </c>
      <c r="L119" t="s">
        <v>865</v>
      </c>
      <c r="M119" t="s">
        <v>124</v>
      </c>
      <c r="N119" t="s">
        <v>123</v>
      </c>
      <c r="O119" t="s">
        <v>215</v>
      </c>
      <c r="P119">
        <v>20260909</v>
      </c>
      <c r="Q119">
        <v>100</v>
      </c>
      <c r="R119">
        <v>100</v>
      </c>
      <c r="S119" t="s">
        <v>217</v>
      </c>
      <c r="T119" t="s">
        <v>49</v>
      </c>
      <c r="U119" t="s">
        <v>47</v>
      </c>
      <c r="V119" t="s">
        <v>47</v>
      </c>
      <c r="W119" t="s">
        <v>47</v>
      </c>
      <c r="X119" t="s">
        <v>125</v>
      </c>
      <c r="Y119" t="s">
        <v>47</v>
      </c>
      <c r="Z119" t="s">
        <v>35</v>
      </c>
      <c r="AA119" t="s">
        <v>50</v>
      </c>
      <c r="AB119" t="s">
        <v>35</v>
      </c>
      <c r="AC119" t="s">
        <v>865</v>
      </c>
      <c r="AD119" t="s">
        <v>1124</v>
      </c>
    </row>
    <row r="120" spans="1:30">
      <c r="A120">
        <v>53286525</v>
      </c>
      <c r="B120" t="s">
        <v>1125</v>
      </c>
      <c r="C120" t="s">
        <v>212</v>
      </c>
      <c r="D120" t="s">
        <v>47</v>
      </c>
      <c r="E120" t="s">
        <v>35</v>
      </c>
      <c r="F120">
        <v>6613</v>
      </c>
      <c r="G120" t="s">
        <v>165</v>
      </c>
      <c r="H120" t="s">
        <v>45</v>
      </c>
      <c r="I120" t="s">
        <v>48</v>
      </c>
      <c r="J120" t="s">
        <v>46</v>
      </c>
      <c r="K120" t="s">
        <v>116</v>
      </c>
      <c r="L120" t="s">
        <v>866</v>
      </c>
      <c r="M120" t="s">
        <v>118</v>
      </c>
      <c r="N120" t="s">
        <v>117</v>
      </c>
      <c r="O120" t="s">
        <v>215</v>
      </c>
      <c r="P120">
        <v>20260909</v>
      </c>
      <c r="Q120">
        <v>100</v>
      </c>
      <c r="R120">
        <v>100</v>
      </c>
      <c r="S120" t="s">
        <v>217</v>
      </c>
      <c r="T120" t="s">
        <v>49</v>
      </c>
      <c r="U120" t="s">
        <v>47</v>
      </c>
      <c r="V120" t="s">
        <v>47</v>
      </c>
      <c r="W120" t="s">
        <v>47</v>
      </c>
      <c r="X120" t="s">
        <v>35</v>
      </c>
      <c r="Y120" t="s">
        <v>47</v>
      </c>
      <c r="Z120" t="s">
        <v>35</v>
      </c>
      <c r="AA120" t="s">
        <v>50</v>
      </c>
      <c r="AB120" t="s">
        <v>35</v>
      </c>
      <c r="AC120" t="s">
        <v>866</v>
      </c>
      <c r="AD120" t="s">
        <v>1124</v>
      </c>
    </row>
    <row r="121" spans="1:30">
      <c r="A121">
        <v>53287582</v>
      </c>
      <c r="B121" t="s">
        <v>1126</v>
      </c>
      <c r="C121" t="s">
        <v>212</v>
      </c>
      <c r="D121" t="s">
        <v>47</v>
      </c>
      <c r="E121" t="s">
        <v>35</v>
      </c>
      <c r="F121">
        <v>6981</v>
      </c>
      <c r="G121" t="s">
        <v>786</v>
      </c>
      <c r="H121" t="s">
        <v>45</v>
      </c>
      <c r="I121" t="s">
        <v>48</v>
      </c>
      <c r="J121" t="s">
        <v>46</v>
      </c>
      <c r="K121" t="s">
        <v>116</v>
      </c>
      <c r="L121" t="s">
        <v>867</v>
      </c>
      <c r="M121" t="s">
        <v>124</v>
      </c>
      <c r="N121" t="s">
        <v>123</v>
      </c>
      <c r="O121" t="s">
        <v>215</v>
      </c>
      <c r="P121">
        <v>20260909</v>
      </c>
      <c r="Q121">
        <v>100</v>
      </c>
      <c r="R121">
        <v>100</v>
      </c>
      <c r="S121" t="s">
        <v>217</v>
      </c>
      <c r="T121" t="s">
        <v>49</v>
      </c>
      <c r="U121" t="s">
        <v>47</v>
      </c>
      <c r="V121" t="s">
        <v>47</v>
      </c>
      <c r="W121" t="s">
        <v>47</v>
      </c>
      <c r="X121" t="s">
        <v>125</v>
      </c>
      <c r="Y121" t="s">
        <v>47</v>
      </c>
      <c r="Z121" t="s">
        <v>35</v>
      </c>
      <c r="AA121" t="s">
        <v>50</v>
      </c>
      <c r="AB121" t="s">
        <v>35</v>
      </c>
      <c r="AC121" t="s">
        <v>867</v>
      </c>
      <c r="AD121" t="s">
        <v>1127</v>
      </c>
    </row>
    <row r="122" spans="1:30">
      <c r="A122">
        <v>53287750</v>
      </c>
      <c r="B122" t="s">
        <v>1128</v>
      </c>
      <c r="C122" t="s">
        <v>212</v>
      </c>
      <c r="D122" t="s">
        <v>47</v>
      </c>
      <c r="E122" t="s">
        <v>35</v>
      </c>
      <c r="F122">
        <v>5803</v>
      </c>
      <c r="G122" t="s">
        <v>176</v>
      </c>
      <c r="H122" t="s">
        <v>45</v>
      </c>
      <c r="I122" t="s">
        <v>48</v>
      </c>
      <c r="J122" t="s">
        <v>46</v>
      </c>
      <c r="K122" t="s">
        <v>116</v>
      </c>
      <c r="L122" t="s">
        <v>868</v>
      </c>
      <c r="M122" t="s">
        <v>124</v>
      </c>
      <c r="N122" t="s">
        <v>123</v>
      </c>
      <c r="O122" t="s">
        <v>215</v>
      </c>
      <c r="P122">
        <v>20260909</v>
      </c>
      <c r="Q122">
        <v>100</v>
      </c>
      <c r="R122">
        <v>100</v>
      </c>
      <c r="S122" t="s">
        <v>217</v>
      </c>
      <c r="T122" t="s">
        <v>49</v>
      </c>
      <c r="U122" t="s">
        <v>47</v>
      </c>
      <c r="V122" t="s">
        <v>47</v>
      </c>
      <c r="W122" t="s">
        <v>47</v>
      </c>
      <c r="X122" t="s">
        <v>125</v>
      </c>
      <c r="Y122" t="s">
        <v>47</v>
      </c>
      <c r="Z122" t="s">
        <v>35</v>
      </c>
      <c r="AA122" t="s">
        <v>50</v>
      </c>
      <c r="AB122" t="s">
        <v>35</v>
      </c>
      <c r="AC122" t="s">
        <v>868</v>
      </c>
      <c r="AD122" t="s">
        <v>1129</v>
      </c>
    </row>
    <row r="123" spans="1:30">
      <c r="A123">
        <v>53288158</v>
      </c>
      <c r="B123" t="s">
        <v>1130</v>
      </c>
      <c r="C123" t="s">
        <v>212</v>
      </c>
      <c r="D123" t="s">
        <v>47</v>
      </c>
      <c r="E123" t="s">
        <v>35</v>
      </c>
      <c r="F123">
        <v>4063</v>
      </c>
      <c r="G123" t="s">
        <v>181</v>
      </c>
      <c r="H123" t="s">
        <v>45</v>
      </c>
      <c r="I123" t="s">
        <v>48</v>
      </c>
      <c r="J123" t="s">
        <v>46</v>
      </c>
      <c r="K123" t="s">
        <v>116</v>
      </c>
      <c r="L123" t="s">
        <v>869</v>
      </c>
      <c r="M123" t="s">
        <v>118</v>
      </c>
      <c r="N123" t="s">
        <v>117</v>
      </c>
      <c r="O123" t="s">
        <v>215</v>
      </c>
      <c r="P123">
        <v>20260909</v>
      </c>
      <c r="Q123">
        <v>100</v>
      </c>
      <c r="R123">
        <v>100</v>
      </c>
      <c r="S123" t="s">
        <v>217</v>
      </c>
      <c r="T123" t="s">
        <v>49</v>
      </c>
      <c r="U123" t="s">
        <v>47</v>
      </c>
      <c r="V123" t="s">
        <v>47</v>
      </c>
      <c r="W123" t="s">
        <v>47</v>
      </c>
      <c r="X123" t="s">
        <v>35</v>
      </c>
      <c r="Y123" t="s">
        <v>47</v>
      </c>
      <c r="Z123" t="s">
        <v>35</v>
      </c>
      <c r="AA123" t="s">
        <v>50</v>
      </c>
      <c r="AB123" t="s">
        <v>35</v>
      </c>
      <c r="AC123" t="s">
        <v>869</v>
      </c>
      <c r="AD123" t="s">
        <v>1131</v>
      </c>
    </row>
    <row r="124" spans="1:30">
      <c r="A124">
        <v>53289370</v>
      </c>
      <c r="B124" t="s">
        <v>1132</v>
      </c>
      <c r="C124" t="s">
        <v>212</v>
      </c>
      <c r="D124" t="s">
        <v>47</v>
      </c>
      <c r="E124" t="s">
        <v>35</v>
      </c>
      <c r="F124">
        <v>4063</v>
      </c>
      <c r="G124" t="s">
        <v>181</v>
      </c>
      <c r="H124" t="s">
        <v>45</v>
      </c>
      <c r="I124" t="s">
        <v>48</v>
      </c>
      <c r="J124" t="s">
        <v>46</v>
      </c>
      <c r="K124" t="s">
        <v>116</v>
      </c>
      <c r="L124" t="s">
        <v>870</v>
      </c>
      <c r="M124" t="s">
        <v>118</v>
      </c>
      <c r="N124" t="s">
        <v>117</v>
      </c>
      <c r="O124" t="s">
        <v>215</v>
      </c>
      <c r="P124">
        <v>20260909</v>
      </c>
      <c r="Q124">
        <v>100</v>
      </c>
      <c r="R124">
        <v>100</v>
      </c>
      <c r="S124" t="s">
        <v>217</v>
      </c>
      <c r="T124" t="s">
        <v>49</v>
      </c>
      <c r="U124" t="s">
        <v>47</v>
      </c>
      <c r="V124" t="s">
        <v>47</v>
      </c>
      <c r="W124" t="s">
        <v>47</v>
      </c>
      <c r="X124" t="s">
        <v>35</v>
      </c>
      <c r="Y124" t="s">
        <v>47</v>
      </c>
      <c r="Z124" t="s">
        <v>35</v>
      </c>
      <c r="AA124" t="s">
        <v>50</v>
      </c>
      <c r="AB124" t="s">
        <v>35</v>
      </c>
      <c r="AC124" t="s">
        <v>870</v>
      </c>
      <c r="AD124" t="s">
        <v>1131</v>
      </c>
    </row>
    <row r="125" spans="1:30">
      <c r="A125">
        <v>53290616</v>
      </c>
      <c r="B125" t="s">
        <v>1133</v>
      </c>
      <c r="C125" t="s">
        <v>212</v>
      </c>
      <c r="D125" t="s">
        <v>47</v>
      </c>
      <c r="E125" t="s">
        <v>35</v>
      </c>
      <c r="F125">
        <v>6613</v>
      </c>
      <c r="G125" t="s">
        <v>165</v>
      </c>
      <c r="H125" t="s">
        <v>45</v>
      </c>
      <c r="I125" t="s">
        <v>48</v>
      </c>
      <c r="J125" t="s">
        <v>46</v>
      </c>
      <c r="K125" t="s">
        <v>116</v>
      </c>
      <c r="L125" t="s">
        <v>871</v>
      </c>
      <c r="M125" t="s">
        <v>124</v>
      </c>
      <c r="N125" t="s">
        <v>123</v>
      </c>
      <c r="O125" t="s">
        <v>215</v>
      </c>
      <c r="P125">
        <v>20260909</v>
      </c>
      <c r="Q125">
        <v>100</v>
      </c>
      <c r="R125">
        <v>100</v>
      </c>
      <c r="S125" t="s">
        <v>217</v>
      </c>
      <c r="T125" t="s">
        <v>49</v>
      </c>
      <c r="U125" t="s">
        <v>47</v>
      </c>
      <c r="V125" t="s">
        <v>47</v>
      </c>
      <c r="W125" t="s">
        <v>47</v>
      </c>
      <c r="X125" t="s">
        <v>125</v>
      </c>
      <c r="Y125" t="s">
        <v>47</v>
      </c>
      <c r="Z125" t="s">
        <v>35</v>
      </c>
      <c r="AA125" t="s">
        <v>50</v>
      </c>
      <c r="AB125" t="s">
        <v>35</v>
      </c>
      <c r="AC125" t="s">
        <v>871</v>
      </c>
      <c r="AD125" t="s">
        <v>1134</v>
      </c>
    </row>
    <row r="126" spans="1:30">
      <c r="A126">
        <v>53290905</v>
      </c>
      <c r="B126" t="s">
        <v>1135</v>
      </c>
      <c r="C126" t="s">
        <v>212</v>
      </c>
      <c r="D126" t="s">
        <v>47</v>
      </c>
      <c r="E126" t="s">
        <v>35</v>
      </c>
      <c r="F126">
        <v>3436</v>
      </c>
      <c r="G126" t="s">
        <v>152</v>
      </c>
      <c r="H126" t="s">
        <v>45</v>
      </c>
      <c r="I126" t="s">
        <v>48</v>
      </c>
      <c r="J126" t="s">
        <v>46</v>
      </c>
      <c r="K126" t="s">
        <v>116</v>
      </c>
      <c r="L126" t="s">
        <v>872</v>
      </c>
      <c r="M126" t="s">
        <v>118</v>
      </c>
      <c r="N126" t="s">
        <v>117</v>
      </c>
      <c r="O126" t="s">
        <v>215</v>
      </c>
      <c r="P126">
        <v>20260909</v>
      </c>
      <c r="Q126">
        <v>100</v>
      </c>
      <c r="R126">
        <v>100</v>
      </c>
      <c r="S126" t="s">
        <v>217</v>
      </c>
      <c r="T126" t="s">
        <v>49</v>
      </c>
      <c r="U126" t="s">
        <v>47</v>
      </c>
      <c r="V126" t="s">
        <v>47</v>
      </c>
      <c r="W126" t="s">
        <v>47</v>
      </c>
      <c r="X126" t="s">
        <v>35</v>
      </c>
      <c r="Y126" t="s">
        <v>47</v>
      </c>
      <c r="Z126" t="s">
        <v>35</v>
      </c>
      <c r="AA126" t="s">
        <v>50</v>
      </c>
      <c r="AB126" t="s">
        <v>35</v>
      </c>
      <c r="AC126" t="s">
        <v>872</v>
      </c>
      <c r="AD126" t="s">
        <v>1136</v>
      </c>
    </row>
    <row r="127" spans="1:30">
      <c r="A127">
        <v>53291509</v>
      </c>
      <c r="B127" t="s">
        <v>1137</v>
      </c>
      <c r="C127" t="s">
        <v>212</v>
      </c>
      <c r="D127" t="s">
        <v>47</v>
      </c>
      <c r="E127" t="s">
        <v>35</v>
      </c>
      <c r="F127">
        <v>4063</v>
      </c>
      <c r="G127" t="s">
        <v>181</v>
      </c>
      <c r="H127" t="s">
        <v>45</v>
      </c>
      <c r="I127" t="s">
        <v>48</v>
      </c>
      <c r="J127" t="s">
        <v>46</v>
      </c>
      <c r="K127" t="s">
        <v>116</v>
      </c>
      <c r="L127" t="s">
        <v>873</v>
      </c>
      <c r="M127" t="s">
        <v>124</v>
      </c>
      <c r="N127" t="s">
        <v>123</v>
      </c>
      <c r="O127" t="s">
        <v>215</v>
      </c>
      <c r="P127">
        <v>20260909</v>
      </c>
      <c r="Q127">
        <v>200</v>
      </c>
      <c r="R127">
        <v>200</v>
      </c>
      <c r="S127" t="s">
        <v>217</v>
      </c>
      <c r="T127" t="s">
        <v>49</v>
      </c>
      <c r="U127" t="s">
        <v>47</v>
      </c>
      <c r="V127" t="s">
        <v>47</v>
      </c>
      <c r="W127" t="s">
        <v>47</v>
      </c>
      <c r="X127" t="s">
        <v>125</v>
      </c>
      <c r="Y127" t="s">
        <v>47</v>
      </c>
      <c r="Z127" t="s">
        <v>35</v>
      </c>
      <c r="AA127" t="s">
        <v>50</v>
      </c>
      <c r="AB127" t="s">
        <v>35</v>
      </c>
      <c r="AC127" t="s">
        <v>873</v>
      </c>
      <c r="AD127" t="s">
        <v>301</v>
      </c>
    </row>
    <row r="128" spans="1:30">
      <c r="A128">
        <v>53292223</v>
      </c>
      <c r="B128" t="s">
        <v>1138</v>
      </c>
      <c r="C128" t="s">
        <v>212</v>
      </c>
      <c r="D128" t="s">
        <v>47</v>
      </c>
      <c r="E128" t="s">
        <v>35</v>
      </c>
      <c r="F128">
        <v>5803</v>
      </c>
      <c r="G128" t="s">
        <v>176</v>
      </c>
      <c r="H128" t="s">
        <v>45</v>
      </c>
      <c r="I128" t="s">
        <v>48</v>
      </c>
      <c r="J128" t="s">
        <v>46</v>
      </c>
      <c r="K128" t="s">
        <v>116</v>
      </c>
      <c r="L128" t="s">
        <v>874</v>
      </c>
      <c r="M128" t="s">
        <v>118</v>
      </c>
      <c r="N128" t="s">
        <v>117</v>
      </c>
      <c r="O128" t="s">
        <v>215</v>
      </c>
      <c r="P128">
        <v>20260909</v>
      </c>
      <c r="Q128">
        <v>100</v>
      </c>
      <c r="R128">
        <v>100</v>
      </c>
      <c r="S128" t="s">
        <v>217</v>
      </c>
      <c r="T128" t="s">
        <v>49</v>
      </c>
      <c r="U128" t="s">
        <v>47</v>
      </c>
      <c r="V128" t="s">
        <v>47</v>
      </c>
      <c r="W128" t="s">
        <v>47</v>
      </c>
      <c r="X128" t="s">
        <v>35</v>
      </c>
      <c r="Y128" t="s">
        <v>47</v>
      </c>
      <c r="Z128" t="s">
        <v>35</v>
      </c>
      <c r="AA128" t="s">
        <v>50</v>
      </c>
      <c r="AB128" t="s">
        <v>35</v>
      </c>
      <c r="AC128" t="s">
        <v>874</v>
      </c>
      <c r="AD128" t="s">
        <v>1139</v>
      </c>
    </row>
    <row r="129" spans="1:30">
      <c r="A129">
        <v>53293242</v>
      </c>
      <c r="B129" t="s">
        <v>1140</v>
      </c>
      <c r="C129" t="s">
        <v>212</v>
      </c>
      <c r="D129" t="s">
        <v>47</v>
      </c>
      <c r="E129" t="s">
        <v>35</v>
      </c>
      <c r="F129">
        <v>3436</v>
      </c>
      <c r="G129" t="s">
        <v>152</v>
      </c>
      <c r="H129" t="s">
        <v>45</v>
      </c>
      <c r="I129" t="s">
        <v>48</v>
      </c>
      <c r="J129" t="s">
        <v>46</v>
      </c>
      <c r="K129" t="s">
        <v>116</v>
      </c>
      <c r="L129" t="s">
        <v>875</v>
      </c>
      <c r="M129" t="s">
        <v>124</v>
      </c>
      <c r="N129" t="s">
        <v>123</v>
      </c>
      <c r="O129" t="s">
        <v>215</v>
      </c>
      <c r="P129">
        <v>20260909</v>
      </c>
      <c r="Q129">
        <v>100</v>
      </c>
      <c r="R129">
        <v>100</v>
      </c>
      <c r="S129" t="s">
        <v>217</v>
      </c>
      <c r="T129" t="s">
        <v>49</v>
      </c>
      <c r="U129" t="s">
        <v>47</v>
      </c>
      <c r="V129" t="s">
        <v>47</v>
      </c>
      <c r="W129" t="s">
        <v>47</v>
      </c>
      <c r="X129" t="s">
        <v>125</v>
      </c>
      <c r="Y129" t="s">
        <v>47</v>
      </c>
      <c r="Z129" t="s">
        <v>35</v>
      </c>
      <c r="AA129" t="s">
        <v>50</v>
      </c>
      <c r="AB129" t="s">
        <v>35</v>
      </c>
      <c r="AC129" t="s">
        <v>875</v>
      </c>
      <c r="AD129" t="s">
        <v>1141</v>
      </c>
    </row>
    <row r="130" spans="1:30">
      <c r="A130">
        <v>53293752</v>
      </c>
      <c r="B130" t="s">
        <v>1142</v>
      </c>
      <c r="C130" t="s">
        <v>212</v>
      </c>
      <c r="D130" t="s">
        <v>47</v>
      </c>
      <c r="E130" t="s">
        <v>35</v>
      </c>
      <c r="F130">
        <v>5016</v>
      </c>
      <c r="G130" t="s">
        <v>139</v>
      </c>
      <c r="H130" t="s">
        <v>45</v>
      </c>
      <c r="I130" t="s">
        <v>48</v>
      </c>
      <c r="J130" t="s">
        <v>46</v>
      </c>
      <c r="K130" t="s">
        <v>116</v>
      </c>
      <c r="L130" t="s">
        <v>876</v>
      </c>
      <c r="M130" t="s">
        <v>118</v>
      </c>
      <c r="N130" t="s">
        <v>117</v>
      </c>
      <c r="O130" t="s">
        <v>215</v>
      </c>
      <c r="P130">
        <v>20260909</v>
      </c>
      <c r="Q130">
        <v>100</v>
      </c>
      <c r="R130">
        <v>100</v>
      </c>
      <c r="S130" t="s">
        <v>217</v>
      </c>
      <c r="T130" t="s">
        <v>49</v>
      </c>
      <c r="U130" t="s">
        <v>47</v>
      </c>
      <c r="V130" t="s">
        <v>47</v>
      </c>
      <c r="W130" t="s">
        <v>47</v>
      </c>
      <c r="X130" t="s">
        <v>35</v>
      </c>
      <c r="Y130" t="s">
        <v>47</v>
      </c>
      <c r="Z130" t="s">
        <v>35</v>
      </c>
      <c r="AA130" t="s">
        <v>50</v>
      </c>
      <c r="AB130" t="s">
        <v>35</v>
      </c>
      <c r="AC130" t="s">
        <v>876</v>
      </c>
      <c r="AD130" t="s">
        <v>1143</v>
      </c>
    </row>
    <row r="131" spans="1:30">
      <c r="A131">
        <v>53294302</v>
      </c>
      <c r="B131" t="s">
        <v>1144</v>
      </c>
      <c r="C131" t="s">
        <v>212</v>
      </c>
      <c r="D131" t="s">
        <v>47</v>
      </c>
      <c r="E131" t="s">
        <v>35</v>
      </c>
      <c r="F131">
        <v>5803</v>
      </c>
      <c r="G131" t="s">
        <v>176</v>
      </c>
      <c r="H131" t="s">
        <v>45</v>
      </c>
      <c r="I131" t="s">
        <v>130</v>
      </c>
      <c r="J131" t="s">
        <v>46</v>
      </c>
      <c r="K131" t="s">
        <v>116</v>
      </c>
      <c r="L131" t="s">
        <v>1145</v>
      </c>
      <c r="M131" t="s">
        <v>124</v>
      </c>
      <c r="N131" t="s">
        <v>123</v>
      </c>
      <c r="O131" t="s">
        <v>1146</v>
      </c>
      <c r="P131">
        <v>20260909</v>
      </c>
      <c r="Q131">
        <v>100</v>
      </c>
      <c r="R131">
        <v>100</v>
      </c>
      <c r="S131" t="s">
        <v>217</v>
      </c>
      <c r="T131" t="s">
        <v>49</v>
      </c>
      <c r="U131" t="s">
        <v>47</v>
      </c>
      <c r="V131" t="s">
        <v>47</v>
      </c>
      <c r="W131" t="s">
        <v>47</v>
      </c>
      <c r="X131" t="s">
        <v>125</v>
      </c>
      <c r="Y131" t="s">
        <v>47</v>
      </c>
      <c r="Z131" t="s">
        <v>35</v>
      </c>
      <c r="AA131" t="s">
        <v>50</v>
      </c>
      <c r="AB131" t="s">
        <v>35</v>
      </c>
      <c r="AC131" t="s">
        <v>35</v>
      </c>
      <c r="AD131" t="s">
        <v>35</v>
      </c>
    </row>
    <row r="132" spans="1:30">
      <c r="A132">
        <v>53294433</v>
      </c>
      <c r="B132" t="s">
        <v>1147</v>
      </c>
      <c r="C132" t="s">
        <v>212</v>
      </c>
      <c r="D132" t="s">
        <v>47</v>
      </c>
      <c r="E132" t="s">
        <v>35</v>
      </c>
      <c r="F132">
        <v>5016</v>
      </c>
      <c r="G132" t="s">
        <v>139</v>
      </c>
      <c r="H132" t="s">
        <v>45</v>
      </c>
      <c r="I132" t="s">
        <v>130</v>
      </c>
      <c r="J132" t="s">
        <v>46</v>
      </c>
      <c r="K132" t="s">
        <v>116</v>
      </c>
      <c r="L132" t="s">
        <v>1148</v>
      </c>
      <c r="M132" t="s">
        <v>124</v>
      </c>
      <c r="N132" t="s">
        <v>123</v>
      </c>
      <c r="O132" t="s">
        <v>1146</v>
      </c>
      <c r="P132">
        <v>20260909</v>
      </c>
      <c r="Q132">
        <v>100</v>
      </c>
      <c r="R132">
        <v>100</v>
      </c>
      <c r="S132" t="s">
        <v>217</v>
      </c>
      <c r="T132" t="s">
        <v>49</v>
      </c>
      <c r="U132" t="s">
        <v>47</v>
      </c>
      <c r="V132" t="s">
        <v>47</v>
      </c>
      <c r="W132" t="s">
        <v>47</v>
      </c>
      <c r="X132" t="s">
        <v>125</v>
      </c>
      <c r="Y132" t="s">
        <v>47</v>
      </c>
      <c r="Z132" t="s">
        <v>35</v>
      </c>
      <c r="AA132" t="s">
        <v>50</v>
      </c>
      <c r="AB132" t="s">
        <v>35</v>
      </c>
      <c r="AC132" t="s">
        <v>35</v>
      </c>
      <c r="AD132" t="s">
        <v>35</v>
      </c>
    </row>
    <row r="133" spans="1:30">
      <c r="A133">
        <v>53298312</v>
      </c>
      <c r="B133" t="s">
        <v>1149</v>
      </c>
      <c r="C133" t="s">
        <v>212</v>
      </c>
      <c r="D133" t="s">
        <v>47</v>
      </c>
      <c r="E133" t="s">
        <v>35</v>
      </c>
      <c r="F133">
        <v>9984</v>
      </c>
      <c r="G133" t="s">
        <v>191</v>
      </c>
      <c r="H133" t="s">
        <v>45</v>
      </c>
      <c r="I133" t="s">
        <v>48</v>
      </c>
      <c r="J133" t="s">
        <v>223</v>
      </c>
      <c r="K133" t="s">
        <v>224</v>
      </c>
      <c r="L133" t="s">
        <v>877</v>
      </c>
      <c r="M133" t="s">
        <v>118</v>
      </c>
      <c r="N133" t="s">
        <v>117</v>
      </c>
      <c r="O133" t="s">
        <v>215</v>
      </c>
      <c r="P133">
        <v>20260909</v>
      </c>
      <c r="Q133">
        <v>100</v>
      </c>
      <c r="R133">
        <v>100</v>
      </c>
      <c r="S133" t="s">
        <v>217</v>
      </c>
      <c r="T133" t="s">
        <v>49</v>
      </c>
      <c r="U133" t="s">
        <v>47</v>
      </c>
      <c r="V133" t="s">
        <v>47</v>
      </c>
      <c r="W133" t="s">
        <v>47</v>
      </c>
      <c r="X133" t="s">
        <v>35</v>
      </c>
      <c r="Y133" t="s">
        <v>47</v>
      </c>
      <c r="Z133" t="s">
        <v>35</v>
      </c>
      <c r="AA133" t="s">
        <v>50</v>
      </c>
      <c r="AB133" t="s">
        <v>35</v>
      </c>
      <c r="AC133" t="s">
        <v>877</v>
      </c>
      <c r="AD133" t="s">
        <v>1150</v>
      </c>
    </row>
    <row r="134" spans="1:30">
      <c r="A134" s="1" t="s">
        <v>78</v>
      </c>
      <c r="B134" s="1" t="s">
        <v>78</v>
      </c>
      <c r="C134" s="1" t="s">
        <v>78</v>
      </c>
      <c r="D134" s="1" t="s">
        <v>78</v>
      </c>
      <c r="E134" s="1" t="s">
        <v>78</v>
      </c>
      <c r="F134" s="1" t="s">
        <v>78</v>
      </c>
      <c r="G134" s="1" t="s">
        <v>78</v>
      </c>
      <c r="H134" s="1" t="s">
        <v>78</v>
      </c>
      <c r="I134" s="1" t="s">
        <v>78</v>
      </c>
      <c r="J134" s="1" t="s">
        <v>78</v>
      </c>
      <c r="K134" s="1" t="s">
        <v>78</v>
      </c>
      <c r="L134" s="1" t="s">
        <v>78</v>
      </c>
      <c r="M134" s="1" t="s">
        <v>78</v>
      </c>
      <c r="N134" s="1" t="s">
        <v>78</v>
      </c>
      <c r="O134" s="1" t="s">
        <v>78</v>
      </c>
      <c r="P134" s="1" t="s">
        <v>78</v>
      </c>
      <c r="Q134" s="1" t="s">
        <v>78</v>
      </c>
      <c r="R134" s="1" t="s">
        <v>78</v>
      </c>
      <c r="S134" s="1" t="s">
        <v>78</v>
      </c>
      <c r="T134" s="1" t="s">
        <v>78</v>
      </c>
      <c r="U134" s="1" t="s">
        <v>78</v>
      </c>
      <c r="V134" s="1" t="s">
        <v>78</v>
      </c>
      <c r="W134" s="1" t="s">
        <v>78</v>
      </c>
      <c r="X134" s="1" t="s">
        <v>78</v>
      </c>
      <c r="Y134" s="1" t="s">
        <v>78</v>
      </c>
      <c r="Z134" s="1" t="s">
        <v>78</v>
      </c>
      <c r="AA134" s="1" t="s">
        <v>78</v>
      </c>
      <c r="AB134" s="1" t="s">
        <v>78</v>
      </c>
      <c r="AC134" s="1" t="s">
        <v>78</v>
      </c>
      <c r="AD134" s="1" t="s">
        <v>78</v>
      </c>
    </row>
    <row r="135" spans="1:30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>
      <c r="A137" s="1" t="s">
        <v>1152</v>
      </c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>
      <c r="A138" s="1" t="s">
        <v>1153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>
      <c r="A139" t="s">
        <v>4</v>
      </c>
      <c r="B139" t="s">
        <v>6</v>
      </c>
      <c r="C139" t="s">
        <v>7</v>
      </c>
      <c r="D139" t="s">
        <v>8</v>
      </c>
      <c r="E139" t="s">
        <v>9</v>
      </c>
      <c r="F139" t="s">
        <v>10</v>
      </c>
      <c r="G139" t="s">
        <v>11</v>
      </c>
      <c r="H139" t="s">
        <v>12</v>
      </c>
      <c r="I139" t="s">
        <v>13</v>
      </c>
      <c r="J139" t="s">
        <v>14</v>
      </c>
      <c r="K139" t="s">
        <v>15</v>
      </c>
      <c r="L139" t="s">
        <v>79</v>
      </c>
      <c r="M139" t="s">
        <v>16</v>
      </c>
      <c r="N139" t="s">
        <v>17</v>
      </c>
      <c r="O139" t="s">
        <v>18</v>
      </c>
      <c r="P139" t="s">
        <v>19</v>
      </c>
      <c r="Q139" t="s">
        <v>20</v>
      </c>
      <c r="R139" t="s">
        <v>21</v>
      </c>
      <c r="S139" t="s">
        <v>22</v>
      </c>
      <c r="T139" t="s">
        <v>23</v>
      </c>
      <c r="U139" t="s">
        <v>24</v>
      </c>
      <c r="V139" t="s">
        <v>25</v>
      </c>
      <c r="W139" t="s">
        <v>26</v>
      </c>
      <c r="X139" t="s">
        <v>27</v>
      </c>
      <c r="Y139" t="s">
        <v>28</v>
      </c>
      <c r="Z139" t="s">
        <v>29</v>
      </c>
      <c r="AA139" t="s">
        <v>30</v>
      </c>
      <c r="AB139" t="s">
        <v>31</v>
      </c>
      <c r="AC139" t="s">
        <v>32</v>
      </c>
      <c r="AD139" t="s">
        <v>33</v>
      </c>
    </row>
    <row r="140" spans="1:30">
      <c r="A140">
        <v>53294302</v>
      </c>
      <c r="B140" t="s">
        <v>1144</v>
      </c>
      <c r="C140" t="s">
        <v>212</v>
      </c>
      <c r="D140" t="s">
        <v>47</v>
      </c>
      <c r="E140" t="s">
        <v>35</v>
      </c>
      <c r="F140">
        <v>5803</v>
      </c>
      <c r="G140" t="s">
        <v>176</v>
      </c>
      <c r="H140" t="s">
        <v>45</v>
      </c>
      <c r="I140" t="s">
        <v>130</v>
      </c>
      <c r="J140" t="s">
        <v>46</v>
      </c>
      <c r="K140" t="s">
        <v>116</v>
      </c>
      <c r="L140" s="8" t="s">
        <v>1145</v>
      </c>
      <c r="M140" t="s">
        <v>124</v>
      </c>
      <c r="N140" t="s">
        <v>123</v>
      </c>
      <c r="O140" t="s">
        <v>1146</v>
      </c>
      <c r="P140">
        <v>20260909</v>
      </c>
      <c r="Q140">
        <v>100</v>
      </c>
      <c r="R140">
        <v>100</v>
      </c>
      <c r="S140" t="s">
        <v>217</v>
      </c>
      <c r="T140" t="s">
        <v>49</v>
      </c>
      <c r="U140" t="s">
        <v>47</v>
      </c>
      <c r="V140" t="s">
        <v>47</v>
      </c>
      <c r="W140" t="s">
        <v>47</v>
      </c>
      <c r="X140" t="s">
        <v>125</v>
      </c>
      <c r="Y140" t="s">
        <v>47</v>
      </c>
      <c r="Z140" t="s">
        <v>35</v>
      </c>
      <c r="AA140" t="s">
        <v>50</v>
      </c>
      <c r="AB140" t="s">
        <v>35</v>
      </c>
      <c r="AC140" t="s">
        <v>35</v>
      </c>
      <c r="AD140" t="s">
        <v>35</v>
      </c>
    </row>
    <row r="141" spans="1:30">
      <c r="A141">
        <v>53298312</v>
      </c>
      <c r="B141" t="s">
        <v>1149</v>
      </c>
      <c r="C141" t="s">
        <v>212</v>
      </c>
      <c r="D141" t="s">
        <v>47</v>
      </c>
      <c r="E141" t="s">
        <v>35</v>
      </c>
      <c r="F141">
        <v>9984</v>
      </c>
      <c r="G141" t="s">
        <v>191</v>
      </c>
      <c r="H141" t="s">
        <v>45</v>
      </c>
      <c r="I141" t="s">
        <v>48</v>
      </c>
      <c r="J141" t="s">
        <v>223</v>
      </c>
      <c r="K141" t="s">
        <v>224</v>
      </c>
      <c r="L141" s="9" t="s">
        <v>877</v>
      </c>
      <c r="M141" t="s">
        <v>118</v>
      </c>
      <c r="N141" t="s">
        <v>117</v>
      </c>
      <c r="O141" t="s">
        <v>215</v>
      </c>
      <c r="P141">
        <v>20260909</v>
      </c>
      <c r="Q141">
        <v>100</v>
      </c>
      <c r="R141">
        <v>100</v>
      </c>
      <c r="S141" t="s">
        <v>217</v>
      </c>
      <c r="T141" t="s">
        <v>49</v>
      </c>
      <c r="U141" t="s">
        <v>47</v>
      </c>
      <c r="V141" t="s">
        <v>47</v>
      </c>
      <c r="W141" t="s">
        <v>47</v>
      </c>
      <c r="X141" t="s">
        <v>35</v>
      </c>
      <c r="Y141" t="s">
        <v>47</v>
      </c>
      <c r="Z141" t="s">
        <v>35</v>
      </c>
      <c r="AA141" t="s">
        <v>50</v>
      </c>
      <c r="AB141" t="s">
        <v>35</v>
      </c>
      <c r="AC141" t="s">
        <v>877</v>
      </c>
      <c r="AD141" t="s">
        <v>1150</v>
      </c>
    </row>
    <row r="143" spans="1:30">
      <c r="A143" t="s">
        <v>1151</v>
      </c>
    </row>
    <row r="144" spans="1:30">
      <c r="A144" t="s">
        <v>1155</v>
      </c>
      <c r="B144" t="s">
        <v>109</v>
      </c>
      <c r="C144" t="s">
        <v>10</v>
      </c>
      <c r="D144" t="s">
        <v>11</v>
      </c>
      <c r="E144" t="s">
        <v>12</v>
      </c>
      <c r="F144" t="s">
        <v>1154</v>
      </c>
      <c r="G144" t="s">
        <v>14</v>
      </c>
      <c r="H144" t="s">
        <v>15</v>
      </c>
      <c r="I144" t="s">
        <v>17</v>
      </c>
      <c r="J144" t="s">
        <v>662</v>
      </c>
      <c r="K144" t="s">
        <v>21</v>
      </c>
      <c r="L144" t="s">
        <v>665</v>
      </c>
      <c r="M144" t="s">
        <v>111</v>
      </c>
      <c r="N144" t="s">
        <v>27</v>
      </c>
      <c r="O144" t="s">
        <v>112</v>
      </c>
    </row>
    <row r="145" spans="1:20">
      <c r="A145" s="7" t="s">
        <v>878</v>
      </c>
      <c r="B145" s="1">
        <v>20260911</v>
      </c>
      <c r="C145" s="1">
        <v>5803</v>
      </c>
      <c r="D145" s="1" t="s">
        <v>176</v>
      </c>
      <c r="E145" s="1" t="s">
        <v>45</v>
      </c>
      <c r="F145" s="1" t="s">
        <v>130</v>
      </c>
      <c r="G145" s="1" t="s">
        <v>46</v>
      </c>
      <c r="H145" s="1" t="s">
        <v>116</v>
      </c>
      <c r="I145" s="1" t="s">
        <v>123</v>
      </c>
      <c r="J145" s="1" t="s">
        <v>124</v>
      </c>
      <c r="K145" s="1">
        <v>100</v>
      </c>
      <c r="L145" s="1">
        <v>5493</v>
      </c>
      <c r="M145" s="1">
        <v>549300</v>
      </c>
      <c r="N145" s="1" t="s">
        <v>125</v>
      </c>
      <c r="O145" s="1">
        <v>0</v>
      </c>
    </row>
    <row r="146" spans="1:20">
      <c r="A146" s="10" t="s">
        <v>877</v>
      </c>
      <c r="B146" s="1">
        <v>20260911</v>
      </c>
      <c r="C146" s="1">
        <v>9984</v>
      </c>
      <c r="D146" s="1" t="s">
        <v>191</v>
      </c>
      <c r="E146" s="1" t="s">
        <v>45</v>
      </c>
      <c r="F146" s="13" t="s">
        <v>115</v>
      </c>
      <c r="G146" s="1" t="s">
        <v>223</v>
      </c>
      <c r="H146" s="1" t="s">
        <v>224</v>
      </c>
      <c r="I146" s="1" t="s">
        <v>117</v>
      </c>
      <c r="J146" s="1" t="s">
        <v>118</v>
      </c>
      <c r="K146" s="1">
        <v>100</v>
      </c>
      <c r="L146" s="12">
        <v>6782.4</v>
      </c>
      <c r="M146" s="1">
        <v>678240</v>
      </c>
      <c r="N146" s="1" t="s">
        <v>35</v>
      </c>
      <c r="O146" s="1">
        <v>0</v>
      </c>
    </row>
    <row r="148" spans="1:20">
      <c r="A148" t="s">
        <v>1156</v>
      </c>
    </row>
    <row r="149" spans="1:20">
      <c r="A149" t="s">
        <v>82</v>
      </c>
      <c r="B149" t="s">
        <v>720</v>
      </c>
      <c r="C149" t="s">
        <v>726</v>
      </c>
      <c r="D149" s="11" t="s">
        <v>727</v>
      </c>
      <c r="E149" t="s">
        <v>728</v>
      </c>
      <c r="F149" t="s">
        <v>729</v>
      </c>
      <c r="G149" t="s">
        <v>662</v>
      </c>
      <c r="H149" t="s">
        <v>730</v>
      </c>
      <c r="I149" t="s">
        <v>731</v>
      </c>
      <c r="J149" s="11" t="s">
        <v>732</v>
      </c>
      <c r="K149" s="11" t="s">
        <v>733</v>
      </c>
      <c r="L149" t="s">
        <v>734</v>
      </c>
      <c r="M149" t="s">
        <v>735</v>
      </c>
      <c r="N149" t="s">
        <v>507</v>
      </c>
      <c r="O149" t="s">
        <v>508</v>
      </c>
      <c r="P149" t="s">
        <v>736</v>
      </c>
      <c r="Q149" t="s">
        <v>737</v>
      </c>
      <c r="R149" t="s">
        <v>738</v>
      </c>
      <c r="S149" t="s">
        <v>739</v>
      </c>
      <c r="T149" t="s">
        <v>740</v>
      </c>
    </row>
    <row r="150" spans="1:20">
      <c r="A150" s="1">
        <v>9984</v>
      </c>
      <c r="B150" s="1" t="s">
        <v>684</v>
      </c>
      <c r="C150" s="1" t="s">
        <v>36</v>
      </c>
      <c r="D150" s="13" t="s">
        <v>706</v>
      </c>
      <c r="E150" s="1" t="s">
        <v>685</v>
      </c>
      <c r="F150" s="1" t="s">
        <v>686</v>
      </c>
      <c r="G150" s="1" t="s">
        <v>674</v>
      </c>
      <c r="H150" s="1">
        <v>100</v>
      </c>
      <c r="I150" s="1">
        <v>0</v>
      </c>
      <c r="J150" s="12">
        <v>6782.4</v>
      </c>
      <c r="K150" s="12">
        <v>20260909</v>
      </c>
      <c r="L150" s="1">
        <v>20270308</v>
      </c>
      <c r="M150" s="1">
        <v>6810</v>
      </c>
      <c r="N150" s="1">
        <v>254</v>
      </c>
      <c r="O150" s="1">
        <v>3.87</v>
      </c>
      <c r="P150" s="1">
        <v>681000</v>
      </c>
      <c r="Q150" s="1">
        <v>2707</v>
      </c>
      <c r="R150" s="1">
        <v>0.399121</v>
      </c>
      <c r="S150" s="1">
        <v>30</v>
      </c>
      <c r="T150" s="1">
        <v>0</v>
      </c>
    </row>
  </sheetData>
  <phoneticPr fontId="1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8B15A-499A-4F9F-93CF-814D299E598C}">
  <dimension ref="A1:E12"/>
  <sheetViews>
    <sheetView workbookViewId="0">
      <selection activeCell="C13" sqref="C13"/>
    </sheetView>
  </sheetViews>
  <sheetFormatPr defaultRowHeight="18.75"/>
  <cols>
    <col min="1" max="1" width="9.375" bestFit="1" customWidth="1"/>
    <col min="2" max="2" width="12.75" customWidth="1"/>
    <col min="3" max="3" width="15.875" customWidth="1"/>
    <col min="4" max="4" width="15.125" customWidth="1"/>
    <col min="5" max="5" width="15.5" customWidth="1"/>
  </cols>
  <sheetData>
    <row r="1" spans="1:5">
      <c r="C1" t="s">
        <v>515</v>
      </c>
      <c r="D1" t="s">
        <v>516</v>
      </c>
      <c r="E1" t="s">
        <v>517</v>
      </c>
    </row>
    <row r="2" spans="1:5">
      <c r="A2" t="s">
        <v>881</v>
      </c>
      <c r="B2">
        <v>7203</v>
      </c>
      <c r="C2">
        <v>100</v>
      </c>
      <c r="D2">
        <v>2468.5</v>
      </c>
      <c r="E2">
        <v>3469</v>
      </c>
    </row>
    <row r="3" spans="1:5">
      <c r="B3" s="1"/>
      <c r="C3" s="1" t="s">
        <v>64</v>
      </c>
      <c r="D3" s="1" t="s">
        <v>64</v>
      </c>
      <c r="E3" s="1" t="s">
        <v>64</v>
      </c>
    </row>
    <row r="4" spans="1:5">
      <c r="B4" s="1"/>
      <c r="C4" t="s">
        <v>515</v>
      </c>
      <c r="D4" t="s">
        <v>516</v>
      </c>
      <c r="E4" t="s">
        <v>517</v>
      </c>
    </row>
    <row r="5" spans="1:5">
      <c r="A5" t="s">
        <v>882</v>
      </c>
      <c r="B5" s="1">
        <v>3436</v>
      </c>
      <c r="C5" s="1">
        <v>100</v>
      </c>
      <c r="D5" s="1">
        <v>2383</v>
      </c>
      <c r="E5" s="1">
        <v>3783</v>
      </c>
    </row>
    <row r="6" spans="1:5">
      <c r="B6" s="1"/>
      <c r="C6" s="1" t="s">
        <v>64</v>
      </c>
      <c r="D6" s="1" t="s">
        <v>64</v>
      </c>
      <c r="E6" s="1" t="s">
        <v>64</v>
      </c>
    </row>
    <row r="7" spans="1:5">
      <c r="C7" t="s">
        <v>515</v>
      </c>
      <c r="D7" t="s">
        <v>518</v>
      </c>
      <c r="E7" t="s">
        <v>517</v>
      </c>
    </row>
    <row r="8" spans="1:5">
      <c r="A8" t="s">
        <v>883</v>
      </c>
      <c r="B8">
        <v>9432</v>
      </c>
      <c r="C8">
        <v>100</v>
      </c>
      <c r="D8">
        <v>122</v>
      </c>
      <c r="E8">
        <v>222</v>
      </c>
    </row>
    <row r="9" spans="1:5">
      <c r="C9" s="1" t="s">
        <v>64</v>
      </c>
      <c r="D9" s="1" t="s">
        <v>64</v>
      </c>
      <c r="E9" s="1" t="s">
        <v>64</v>
      </c>
    </row>
    <row r="10" spans="1:5">
      <c r="C10" t="s">
        <v>515</v>
      </c>
      <c r="D10" t="s">
        <v>516</v>
      </c>
      <c r="E10" t="s">
        <v>517</v>
      </c>
    </row>
    <row r="11" spans="1:5">
      <c r="A11" t="s">
        <v>884</v>
      </c>
      <c r="B11">
        <v>6758</v>
      </c>
      <c r="C11">
        <v>100</v>
      </c>
      <c r="D11">
        <v>2954</v>
      </c>
      <c r="E11">
        <v>4354</v>
      </c>
    </row>
    <row r="12" spans="1:5">
      <c r="C12" s="1" t="s">
        <v>64</v>
      </c>
      <c r="D12" s="1" t="s">
        <v>64</v>
      </c>
      <c r="E12" s="1" t="s">
        <v>64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BDCB-CB63-4A03-915F-6C60A9D44428}">
  <dimension ref="A1:O134"/>
  <sheetViews>
    <sheetView topLeftCell="A109" workbookViewId="0">
      <selection activeCell="L125" sqref="L125"/>
    </sheetView>
  </sheetViews>
  <sheetFormatPr defaultRowHeight="18.75"/>
  <cols>
    <col min="1" max="1" width="19.25" customWidth="1"/>
    <col min="2" max="2" width="13" customWidth="1"/>
    <col min="15" max="15" width="10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 t="s">
        <v>744</v>
      </c>
      <c r="B3" s="1">
        <v>20260911</v>
      </c>
      <c r="C3" s="1">
        <v>6613</v>
      </c>
      <c r="D3" s="1" t="s">
        <v>165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1968</v>
      </c>
      <c r="M3" s="1">
        <v>196800</v>
      </c>
      <c r="N3" s="1" t="s">
        <v>35</v>
      </c>
      <c r="O3" s="1">
        <v>0</v>
      </c>
    </row>
    <row r="4" spans="1:15">
      <c r="A4" s="6" t="s">
        <v>745</v>
      </c>
      <c r="B4" s="1">
        <v>20260911</v>
      </c>
      <c r="C4" s="1">
        <v>6613</v>
      </c>
      <c r="D4" s="1" t="s">
        <v>165</v>
      </c>
      <c r="E4" s="1" t="s">
        <v>45</v>
      </c>
      <c r="F4" s="1" t="s">
        <v>115</v>
      </c>
      <c r="G4" s="1" t="s">
        <v>46</v>
      </c>
      <c r="H4" s="1" t="s">
        <v>116</v>
      </c>
      <c r="I4" s="1" t="s">
        <v>123</v>
      </c>
      <c r="J4" s="1" t="s">
        <v>124</v>
      </c>
      <c r="K4" s="1">
        <v>100</v>
      </c>
      <c r="L4" s="1">
        <v>1973</v>
      </c>
      <c r="M4" s="1">
        <v>197300</v>
      </c>
      <c r="N4" s="1" t="s">
        <v>125</v>
      </c>
      <c r="O4" s="1">
        <v>0</v>
      </c>
    </row>
    <row r="5" spans="1:15">
      <c r="A5" s="6" t="s">
        <v>746</v>
      </c>
      <c r="B5" s="1">
        <v>20260911</v>
      </c>
      <c r="C5" s="1">
        <v>6613</v>
      </c>
      <c r="D5" s="1" t="s">
        <v>165</v>
      </c>
      <c r="E5" s="1" t="s">
        <v>45</v>
      </c>
      <c r="F5" s="1" t="s">
        <v>130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1988</v>
      </c>
      <c r="M5" s="1">
        <v>198800</v>
      </c>
      <c r="N5" s="1" t="s">
        <v>35</v>
      </c>
      <c r="O5" s="1">
        <v>0</v>
      </c>
    </row>
    <row r="6" spans="1:15">
      <c r="A6" s="6" t="s">
        <v>747</v>
      </c>
      <c r="B6" s="1">
        <v>20260911</v>
      </c>
      <c r="C6" s="1">
        <v>5803</v>
      </c>
      <c r="D6" s="1" t="s">
        <v>176</v>
      </c>
      <c r="E6" s="1" t="s">
        <v>45</v>
      </c>
      <c r="F6" s="1" t="s">
        <v>130</v>
      </c>
      <c r="G6" s="1" t="s">
        <v>223</v>
      </c>
      <c r="H6" s="1" t="s">
        <v>224</v>
      </c>
      <c r="I6" s="1" t="s">
        <v>123</v>
      </c>
      <c r="J6" s="1" t="s">
        <v>124</v>
      </c>
      <c r="K6" s="1">
        <v>100</v>
      </c>
      <c r="L6" s="1">
        <v>5436</v>
      </c>
      <c r="M6" s="1">
        <v>543600</v>
      </c>
      <c r="N6" s="1" t="s">
        <v>125</v>
      </c>
      <c r="O6" s="1">
        <v>0</v>
      </c>
    </row>
    <row r="7" spans="1:15">
      <c r="A7" s="6" t="s">
        <v>748</v>
      </c>
      <c r="B7" s="1">
        <v>20260911</v>
      </c>
      <c r="C7" s="1">
        <v>3436</v>
      </c>
      <c r="D7" s="1" t="s">
        <v>152</v>
      </c>
      <c r="E7" s="1" t="s">
        <v>45</v>
      </c>
      <c r="F7" s="1" t="s">
        <v>115</v>
      </c>
      <c r="G7" s="1" t="s">
        <v>46</v>
      </c>
      <c r="H7" s="1" t="s">
        <v>116</v>
      </c>
      <c r="I7" s="1" t="s">
        <v>117</v>
      </c>
      <c r="J7" s="1" t="s">
        <v>118</v>
      </c>
      <c r="K7" s="1">
        <v>100</v>
      </c>
      <c r="L7" s="1">
        <v>3158</v>
      </c>
      <c r="M7" s="1">
        <v>315800</v>
      </c>
      <c r="N7" s="1" t="s">
        <v>35</v>
      </c>
      <c r="O7" s="1">
        <v>0</v>
      </c>
    </row>
    <row r="8" spans="1:15">
      <c r="A8" s="6" t="s">
        <v>749</v>
      </c>
      <c r="B8" s="1">
        <v>20260911</v>
      </c>
      <c r="C8" s="1">
        <v>6613</v>
      </c>
      <c r="D8" s="1" t="s">
        <v>165</v>
      </c>
      <c r="E8" s="1" t="s">
        <v>45</v>
      </c>
      <c r="F8" s="1" t="s">
        <v>115</v>
      </c>
      <c r="G8" s="1" t="s">
        <v>46</v>
      </c>
      <c r="H8" s="1" t="s">
        <v>116</v>
      </c>
      <c r="I8" s="1" t="s">
        <v>123</v>
      </c>
      <c r="J8" s="1" t="s">
        <v>124</v>
      </c>
      <c r="K8" s="1">
        <v>100</v>
      </c>
      <c r="L8" s="1">
        <v>1947.4</v>
      </c>
      <c r="M8" s="1">
        <v>194740</v>
      </c>
      <c r="N8" s="1" t="s">
        <v>125</v>
      </c>
      <c r="O8" s="1">
        <v>0</v>
      </c>
    </row>
    <row r="9" spans="1:15">
      <c r="A9" s="1" t="s">
        <v>750</v>
      </c>
      <c r="B9" s="1">
        <v>20260911</v>
      </c>
      <c r="C9" s="1">
        <v>6613</v>
      </c>
      <c r="D9" s="1" t="s">
        <v>165</v>
      </c>
      <c r="E9" s="1" t="s">
        <v>45</v>
      </c>
      <c r="F9" s="1" t="s">
        <v>115</v>
      </c>
      <c r="G9" s="1" t="s">
        <v>46</v>
      </c>
      <c r="H9" s="1" t="s">
        <v>116</v>
      </c>
      <c r="I9" s="1" t="s">
        <v>117</v>
      </c>
      <c r="J9" s="1" t="s">
        <v>118</v>
      </c>
      <c r="K9" s="1">
        <v>100</v>
      </c>
      <c r="L9" s="1">
        <v>1949.8</v>
      </c>
      <c r="M9" s="1">
        <v>194980</v>
      </c>
      <c r="N9" s="1" t="s">
        <v>35</v>
      </c>
      <c r="O9" s="1">
        <v>0</v>
      </c>
    </row>
    <row r="10" spans="1:15">
      <c r="A10" t="s">
        <v>751</v>
      </c>
      <c r="B10">
        <v>20260911</v>
      </c>
      <c r="C10">
        <v>5801</v>
      </c>
      <c r="D10" t="s">
        <v>752</v>
      </c>
      <c r="E10" t="s">
        <v>45</v>
      </c>
      <c r="F10" t="s">
        <v>115</v>
      </c>
      <c r="G10" t="s">
        <v>46</v>
      </c>
      <c r="H10" t="s">
        <v>116</v>
      </c>
      <c r="I10" t="s">
        <v>117</v>
      </c>
      <c r="J10" t="s">
        <v>118</v>
      </c>
      <c r="K10">
        <v>100</v>
      </c>
      <c r="L10">
        <v>3980</v>
      </c>
      <c r="M10">
        <v>398000</v>
      </c>
      <c r="N10" t="s">
        <v>35</v>
      </c>
      <c r="O10">
        <v>0</v>
      </c>
    </row>
    <row r="11" spans="1:15">
      <c r="A11" t="s">
        <v>753</v>
      </c>
      <c r="B11">
        <v>20260911</v>
      </c>
      <c r="C11">
        <v>5801</v>
      </c>
      <c r="D11" t="s">
        <v>752</v>
      </c>
      <c r="E11" t="s">
        <v>45</v>
      </c>
      <c r="F11" t="s">
        <v>115</v>
      </c>
      <c r="G11" t="s">
        <v>46</v>
      </c>
      <c r="H11" t="s">
        <v>116</v>
      </c>
      <c r="I11" t="s">
        <v>123</v>
      </c>
      <c r="J11" t="s">
        <v>124</v>
      </c>
      <c r="K11">
        <v>100</v>
      </c>
      <c r="L11">
        <v>4016.1</v>
      </c>
      <c r="M11">
        <v>401610</v>
      </c>
      <c r="N11" t="s">
        <v>125</v>
      </c>
      <c r="O11">
        <v>0</v>
      </c>
    </row>
    <row r="12" spans="1:15">
      <c r="A12" t="s">
        <v>754</v>
      </c>
      <c r="B12">
        <v>20260911</v>
      </c>
      <c r="C12">
        <v>3436</v>
      </c>
      <c r="D12" t="s">
        <v>152</v>
      </c>
      <c r="E12" t="s">
        <v>45</v>
      </c>
      <c r="F12" t="s">
        <v>115</v>
      </c>
      <c r="G12" t="s">
        <v>46</v>
      </c>
      <c r="H12" t="s">
        <v>116</v>
      </c>
      <c r="I12" t="s">
        <v>117</v>
      </c>
      <c r="J12" t="s">
        <v>118</v>
      </c>
      <c r="K12">
        <v>100</v>
      </c>
      <c r="L12">
        <v>3144.5</v>
      </c>
      <c r="M12">
        <v>314450</v>
      </c>
      <c r="N12" t="s">
        <v>35</v>
      </c>
      <c r="O12">
        <v>0</v>
      </c>
    </row>
    <row r="13" spans="1:15">
      <c r="A13" t="s">
        <v>755</v>
      </c>
      <c r="B13">
        <v>20260911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1903.9</v>
      </c>
      <c r="M13">
        <v>190390</v>
      </c>
      <c r="N13" t="s">
        <v>35</v>
      </c>
      <c r="O13">
        <v>0</v>
      </c>
    </row>
    <row r="14" spans="1:15">
      <c r="A14" t="s">
        <v>756</v>
      </c>
      <c r="B14">
        <v>20260911</v>
      </c>
      <c r="C14">
        <v>3436</v>
      </c>
      <c r="D14" t="s">
        <v>152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3159</v>
      </c>
      <c r="M14">
        <v>315900</v>
      </c>
      <c r="N14" t="s">
        <v>125</v>
      </c>
      <c r="O14">
        <v>0</v>
      </c>
    </row>
    <row r="15" spans="1:15">
      <c r="A15" t="s">
        <v>757</v>
      </c>
      <c r="B15">
        <v>20260911</v>
      </c>
      <c r="C15">
        <v>6613</v>
      </c>
      <c r="D15" t="s">
        <v>165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1929</v>
      </c>
      <c r="M15">
        <v>192900</v>
      </c>
      <c r="N15" t="s">
        <v>35</v>
      </c>
      <c r="O15">
        <v>0</v>
      </c>
    </row>
    <row r="16" spans="1:15">
      <c r="A16" t="s">
        <v>758</v>
      </c>
      <c r="B16">
        <v>20260911</v>
      </c>
      <c r="C16">
        <v>3436</v>
      </c>
      <c r="D16" t="s">
        <v>152</v>
      </c>
      <c r="E16" t="s">
        <v>45</v>
      </c>
      <c r="F16" t="s">
        <v>115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3170.8</v>
      </c>
      <c r="M16">
        <v>317080</v>
      </c>
      <c r="N16" t="s">
        <v>125</v>
      </c>
      <c r="O16">
        <v>0</v>
      </c>
    </row>
    <row r="17" spans="1:15">
      <c r="A17" t="s">
        <v>759</v>
      </c>
      <c r="B17">
        <v>20260911</v>
      </c>
      <c r="C17">
        <v>6613</v>
      </c>
      <c r="D17" t="s">
        <v>165</v>
      </c>
      <c r="E17" t="s">
        <v>45</v>
      </c>
      <c r="F17" t="s">
        <v>115</v>
      </c>
      <c r="G17" t="s">
        <v>46</v>
      </c>
      <c r="H17" t="s">
        <v>116</v>
      </c>
      <c r="I17" t="s">
        <v>123</v>
      </c>
      <c r="J17" t="s">
        <v>124</v>
      </c>
      <c r="K17">
        <v>100</v>
      </c>
      <c r="L17">
        <v>1935</v>
      </c>
      <c r="M17">
        <v>193500</v>
      </c>
      <c r="N17" t="s">
        <v>125</v>
      </c>
      <c r="O17">
        <v>0</v>
      </c>
    </row>
    <row r="18" spans="1:15">
      <c r="A18" t="s">
        <v>759</v>
      </c>
      <c r="B18">
        <v>20260911</v>
      </c>
      <c r="C18">
        <v>6613</v>
      </c>
      <c r="D18" t="s">
        <v>165</v>
      </c>
      <c r="E18" t="s">
        <v>45</v>
      </c>
      <c r="F18" t="s">
        <v>130</v>
      </c>
      <c r="G18" t="s">
        <v>46</v>
      </c>
      <c r="H18" t="s">
        <v>116</v>
      </c>
      <c r="I18" t="s">
        <v>123</v>
      </c>
      <c r="J18" t="s">
        <v>124</v>
      </c>
      <c r="K18">
        <v>200</v>
      </c>
      <c r="L18">
        <v>1935</v>
      </c>
      <c r="M18">
        <v>387000</v>
      </c>
      <c r="N18" t="s">
        <v>125</v>
      </c>
      <c r="O18">
        <v>0</v>
      </c>
    </row>
    <row r="19" spans="1:15">
      <c r="A19" t="s">
        <v>760</v>
      </c>
      <c r="B19">
        <v>20260911</v>
      </c>
      <c r="C19">
        <v>6613</v>
      </c>
      <c r="D19" t="s">
        <v>165</v>
      </c>
      <c r="E19" t="s">
        <v>45</v>
      </c>
      <c r="F19" t="s">
        <v>115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1943</v>
      </c>
      <c r="M19">
        <v>194300</v>
      </c>
      <c r="N19" t="s">
        <v>35</v>
      </c>
      <c r="O19">
        <v>0</v>
      </c>
    </row>
    <row r="20" spans="1:15">
      <c r="A20" t="s">
        <v>761</v>
      </c>
      <c r="B20">
        <v>20260911</v>
      </c>
      <c r="C20">
        <v>6613</v>
      </c>
      <c r="D20" t="s">
        <v>165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1945</v>
      </c>
      <c r="M20">
        <v>194500</v>
      </c>
      <c r="N20" t="s">
        <v>125</v>
      </c>
      <c r="O20">
        <v>0</v>
      </c>
    </row>
    <row r="21" spans="1:15">
      <c r="A21" t="s">
        <v>762</v>
      </c>
      <c r="B21">
        <v>20260911</v>
      </c>
      <c r="C21">
        <v>3853</v>
      </c>
      <c r="D21" t="s">
        <v>718</v>
      </c>
      <c r="E21" t="s">
        <v>45</v>
      </c>
      <c r="F21" t="s">
        <v>130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1107</v>
      </c>
      <c r="M21">
        <v>110700</v>
      </c>
      <c r="N21" t="s">
        <v>35</v>
      </c>
      <c r="O21">
        <v>0</v>
      </c>
    </row>
    <row r="22" spans="1:15">
      <c r="A22" t="s">
        <v>763</v>
      </c>
      <c r="B22">
        <v>20260911</v>
      </c>
      <c r="C22">
        <v>3436</v>
      </c>
      <c r="D22" t="s">
        <v>152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3155.1</v>
      </c>
      <c r="M22">
        <v>315510</v>
      </c>
      <c r="N22" t="s">
        <v>35</v>
      </c>
      <c r="O22">
        <v>0</v>
      </c>
    </row>
    <row r="23" spans="1:15">
      <c r="A23" t="s">
        <v>764</v>
      </c>
      <c r="B23">
        <v>20260911</v>
      </c>
      <c r="C23">
        <v>3436</v>
      </c>
      <c r="D23" t="s">
        <v>152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3144.1</v>
      </c>
      <c r="M23">
        <v>314410</v>
      </c>
      <c r="N23" t="s">
        <v>125</v>
      </c>
      <c r="O23">
        <v>0</v>
      </c>
    </row>
    <row r="24" spans="1:15">
      <c r="A24" t="s">
        <v>765</v>
      </c>
      <c r="B24">
        <v>20260911</v>
      </c>
      <c r="C24">
        <v>7974</v>
      </c>
      <c r="D24" t="s">
        <v>766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8607.7000000000007</v>
      </c>
      <c r="M24">
        <v>860770</v>
      </c>
      <c r="N24" t="s">
        <v>35</v>
      </c>
      <c r="O24">
        <v>0</v>
      </c>
    </row>
    <row r="25" spans="1:15">
      <c r="A25" t="s">
        <v>767</v>
      </c>
      <c r="B25">
        <v>20260911</v>
      </c>
      <c r="C25">
        <v>2767</v>
      </c>
      <c r="D25" t="s">
        <v>704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2511.8000000000002</v>
      </c>
      <c r="M25">
        <v>251180</v>
      </c>
      <c r="N25" t="s">
        <v>35</v>
      </c>
      <c r="O25">
        <v>0</v>
      </c>
    </row>
    <row r="26" spans="1:15">
      <c r="A26" t="s">
        <v>768</v>
      </c>
      <c r="B26">
        <v>20260911</v>
      </c>
      <c r="C26">
        <v>3853</v>
      </c>
      <c r="D26" t="s">
        <v>718</v>
      </c>
      <c r="E26" t="s">
        <v>45</v>
      </c>
      <c r="F26" t="s">
        <v>130</v>
      </c>
      <c r="G26" t="s">
        <v>46</v>
      </c>
      <c r="H26" t="s">
        <v>116</v>
      </c>
      <c r="I26" t="s">
        <v>123</v>
      </c>
      <c r="J26" t="s">
        <v>124</v>
      </c>
      <c r="K26">
        <v>100</v>
      </c>
      <c r="L26">
        <v>1108</v>
      </c>
      <c r="M26">
        <v>110800</v>
      </c>
      <c r="N26" t="s">
        <v>125</v>
      </c>
      <c r="O26">
        <v>0</v>
      </c>
    </row>
    <row r="27" spans="1:15">
      <c r="A27" t="s">
        <v>769</v>
      </c>
      <c r="B27">
        <v>20260911</v>
      </c>
      <c r="C27">
        <v>7974</v>
      </c>
      <c r="D27" t="s">
        <v>766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8632.4</v>
      </c>
      <c r="M27">
        <v>863240</v>
      </c>
      <c r="N27" t="s">
        <v>125</v>
      </c>
      <c r="O27">
        <v>0</v>
      </c>
    </row>
    <row r="28" spans="1:15">
      <c r="A28" t="s">
        <v>770</v>
      </c>
      <c r="B28">
        <v>20260911</v>
      </c>
      <c r="C28">
        <v>2767</v>
      </c>
      <c r="D28" t="s">
        <v>704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2511.9</v>
      </c>
      <c r="M28">
        <v>251190</v>
      </c>
      <c r="N28" t="s">
        <v>125</v>
      </c>
      <c r="O28">
        <v>0</v>
      </c>
    </row>
    <row r="29" spans="1:15">
      <c r="A29" t="s">
        <v>771</v>
      </c>
      <c r="B29">
        <v>20260911</v>
      </c>
      <c r="C29">
        <v>3436</v>
      </c>
      <c r="D29" t="s">
        <v>152</v>
      </c>
      <c r="E29" t="s">
        <v>45</v>
      </c>
      <c r="F29" t="s">
        <v>115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3113.3</v>
      </c>
      <c r="M29">
        <v>311330</v>
      </c>
      <c r="N29" t="s">
        <v>35</v>
      </c>
      <c r="O29">
        <v>0</v>
      </c>
    </row>
    <row r="30" spans="1:15">
      <c r="A30" t="s">
        <v>772</v>
      </c>
      <c r="B30">
        <v>20260911</v>
      </c>
      <c r="C30">
        <v>3436</v>
      </c>
      <c r="D30" t="s">
        <v>152</v>
      </c>
      <c r="E30" t="s">
        <v>45</v>
      </c>
      <c r="F30" t="s">
        <v>115</v>
      </c>
      <c r="G30" t="s">
        <v>46</v>
      </c>
      <c r="H30" t="s">
        <v>116</v>
      </c>
      <c r="I30" t="s">
        <v>117</v>
      </c>
      <c r="J30" t="s">
        <v>118</v>
      </c>
      <c r="K30">
        <v>100</v>
      </c>
      <c r="L30">
        <v>3124</v>
      </c>
      <c r="M30">
        <v>312400</v>
      </c>
      <c r="N30" t="s">
        <v>35</v>
      </c>
      <c r="O30">
        <v>0</v>
      </c>
    </row>
    <row r="31" spans="1:15">
      <c r="A31" t="s">
        <v>773</v>
      </c>
      <c r="B31">
        <v>20260911</v>
      </c>
      <c r="C31">
        <v>3436</v>
      </c>
      <c r="D31" t="s">
        <v>152</v>
      </c>
      <c r="E31" t="s">
        <v>45</v>
      </c>
      <c r="F31" t="s">
        <v>115</v>
      </c>
      <c r="G31" t="s">
        <v>46</v>
      </c>
      <c r="H31" t="s">
        <v>116</v>
      </c>
      <c r="I31" t="s">
        <v>123</v>
      </c>
      <c r="J31" t="s">
        <v>124</v>
      </c>
      <c r="K31">
        <v>100</v>
      </c>
      <c r="L31">
        <v>3114.6</v>
      </c>
      <c r="M31">
        <v>311460</v>
      </c>
      <c r="N31" t="s">
        <v>125</v>
      </c>
      <c r="O31">
        <v>0</v>
      </c>
    </row>
    <row r="32" spans="1:15">
      <c r="A32" t="s">
        <v>773</v>
      </c>
      <c r="B32">
        <v>20260911</v>
      </c>
      <c r="C32">
        <v>3436</v>
      </c>
      <c r="D32" t="s">
        <v>152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3114.5</v>
      </c>
      <c r="M32">
        <v>311450</v>
      </c>
      <c r="N32" t="s">
        <v>125</v>
      </c>
      <c r="O32">
        <v>0</v>
      </c>
    </row>
    <row r="33" spans="1:15">
      <c r="A33" t="s">
        <v>774</v>
      </c>
      <c r="B33">
        <v>20260911</v>
      </c>
      <c r="C33">
        <v>3436</v>
      </c>
      <c r="D33" t="s">
        <v>152</v>
      </c>
      <c r="E33" t="s">
        <v>45</v>
      </c>
      <c r="F33" t="s">
        <v>130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3131</v>
      </c>
      <c r="M33">
        <v>313100</v>
      </c>
      <c r="N33" t="s">
        <v>35</v>
      </c>
      <c r="O33">
        <v>0</v>
      </c>
    </row>
    <row r="34" spans="1:15">
      <c r="A34" t="s">
        <v>775</v>
      </c>
      <c r="B34">
        <v>20260911</v>
      </c>
      <c r="C34">
        <v>4082</v>
      </c>
      <c r="D34" t="s">
        <v>776</v>
      </c>
      <c r="E34" t="s">
        <v>45</v>
      </c>
      <c r="F34" t="s">
        <v>115</v>
      </c>
      <c r="G34" t="s">
        <v>46</v>
      </c>
      <c r="H34" t="s">
        <v>116</v>
      </c>
      <c r="I34" t="s">
        <v>117</v>
      </c>
      <c r="J34" t="s">
        <v>118</v>
      </c>
      <c r="K34">
        <v>100</v>
      </c>
      <c r="L34">
        <v>2550.3000000000002</v>
      </c>
      <c r="M34">
        <v>255030</v>
      </c>
      <c r="N34" t="s">
        <v>35</v>
      </c>
      <c r="O34">
        <v>0</v>
      </c>
    </row>
    <row r="35" spans="1:15">
      <c r="A35" t="s">
        <v>777</v>
      </c>
      <c r="B35">
        <v>20260911</v>
      </c>
      <c r="C35">
        <v>6613</v>
      </c>
      <c r="D35" t="s">
        <v>165</v>
      </c>
      <c r="E35" t="s">
        <v>45</v>
      </c>
      <c r="F35" t="s">
        <v>130</v>
      </c>
      <c r="G35" t="s">
        <v>46</v>
      </c>
      <c r="H35" t="s">
        <v>116</v>
      </c>
      <c r="I35" t="s">
        <v>117</v>
      </c>
      <c r="J35" t="s">
        <v>118</v>
      </c>
      <c r="K35">
        <v>100</v>
      </c>
      <c r="L35">
        <v>1952</v>
      </c>
      <c r="M35">
        <v>195200</v>
      </c>
      <c r="N35" t="s">
        <v>35</v>
      </c>
      <c r="O35">
        <v>0</v>
      </c>
    </row>
    <row r="36" spans="1:15">
      <c r="A36" t="s">
        <v>778</v>
      </c>
      <c r="B36">
        <v>20260911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123</v>
      </c>
      <c r="J36" t="s">
        <v>124</v>
      </c>
      <c r="K36">
        <v>100</v>
      </c>
      <c r="L36">
        <v>3137.7</v>
      </c>
      <c r="M36">
        <v>313770</v>
      </c>
      <c r="N36" t="s">
        <v>125</v>
      </c>
      <c r="O36">
        <v>0</v>
      </c>
    </row>
    <row r="37" spans="1:15">
      <c r="A37" t="s">
        <v>779</v>
      </c>
      <c r="B37">
        <v>20260911</v>
      </c>
      <c r="C37">
        <v>3436</v>
      </c>
      <c r="D37" t="s">
        <v>152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3145.4</v>
      </c>
      <c r="M37">
        <v>314540</v>
      </c>
      <c r="N37" t="s">
        <v>35</v>
      </c>
      <c r="O37">
        <v>0</v>
      </c>
    </row>
    <row r="38" spans="1:15">
      <c r="A38" t="s">
        <v>780</v>
      </c>
      <c r="B38">
        <v>20260911</v>
      </c>
      <c r="C38">
        <v>4082</v>
      </c>
      <c r="D38" t="s">
        <v>776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2560.5</v>
      </c>
      <c r="M38">
        <v>256050</v>
      </c>
      <c r="N38" t="s">
        <v>125</v>
      </c>
      <c r="O38">
        <v>0</v>
      </c>
    </row>
    <row r="39" spans="1:15">
      <c r="A39" t="s">
        <v>781</v>
      </c>
      <c r="B39">
        <v>20260911</v>
      </c>
      <c r="C39">
        <v>6613</v>
      </c>
      <c r="D39" t="s">
        <v>165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1957.1</v>
      </c>
      <c r="M39">
        <v>195710</v>
      </c>
      <c r="N39" t="s">
        <v>125</v>
      </c>
      <c r="O39">
        <v>0</v>
      </c>
    </row>
    <row r="40" spans="1:15">
      <c r="A40" t="s">
        <v>782</v>
      </c>
      <c r="B40">
        <v>20260911</v>
      </c>
      <c r="C40">
        <v>6613</v>
      </c>
      <c r="D40" t="s">
        <v>165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1962.9</v>
      </c>
      <c r="M40">
        <v>196290</v>
      </c>
      <c r="N40" t="s">
        <v>35</v>
      </c>
      <c r="O40">
        <v>0</v>
      </c>
    </row>
    <row r="41" spans="1:15">
      <c r="A41" t="s">
        <v>783</v>
      </c>
      <c r="B41">
        <v>20260911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3132.3</v>
      </c>
      <c r="M41">
        <v>313230</v>
      </c>
      <c r="N41" t="s">
        <v>125</v>
      </c>
      <c r="O41">
        <v>0</v>
      </c>
    </row>
    <row r="42" spans="1:15">
      <c r="A42" t="s">
        <v>784</v>
      </c>
      <c r="B42">
        <v>20260911</v>
      </c>
      <c r="C42">
        <v>3436</v>
      </c>
      <c r="D42" t="s">
        <v>152</v>
      </c>
      <c r="E42" t="s">
        <v>45</v>
      </c>
      <c r="F42" t="s">
        <v>115</v>
      </c>
      <c r="G42" t="s">
        <v>46</v>
      </c>
      <c r="H42" t="s">
        <v>116</v>
      </c>
      <c r="I42" t="s">
        <v>117</v>
      </c>
      <c r="J42" t="s">
        <v>118</v>
      </c>
      <c r="K42">
        <v>100</v>
      </c>
      <c r="L42">
        <v>3148.4</v>
      </c>
      <c r="M42">
        <v>314840</v>
      </c>
      <c r="N42" t="s">
        <v>35</v>
      </c>
      <c r="O42">
        <v>0</v>
      </c>
    </row>
    <row r="43" spans="1:15">
      <c r="A43" t="s">
        <v>785</v>
      </c>
      <c r="B43">
        <v>20260911</v>
      </c>
      <c r="C43">
        <v>6981</v>
      </c>
      <c r="D43" t="s">
        <v>786</v>
      </c>
      <c r="E43" t="s">
        <v>45</v>
      </c>
      <c r="F43" t="s">
        <v>130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7154</v>
      </c>
      <c r="M43">
        <v>715400</v>
      </c>
      <c r="N43" t="s">
        <v>35</v>
      </c>
      <c r="O43">
        <v>0</v>
      </c>
    </row>
    <row r="44" spans="1:15">
      <c r="A44" t="s">
        <v>787</v>
      </c>
      <c r="B44">
        <v>20260911</v>
      </c>
      <c r="C44">
        <v>3436</v>
      </c>
      <c r="D44" t="s">
        <v>152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3149</v>
      </c>
      <c r="M44">
        <v>314900</v>
      </c>
      <c r="N44" t="s">
        <v>125</v>
      </c>
      <c r="O44">
        <v>0</v>
      </c>
    </row>
    <row r="45" spans="1:15">
      <c r="A45" t="s">
        <v>788</v>
      </c>
      <c r="B45">
        <v>20260911</v>
      </c>
      <c r="C45">
        <v>3436</v>
      </c>
      <c r="D45" t="s">
        <v>152</v>
      </c>
      <c r="E45" t="s">
        <v>45</v>
      </c>
      <c r="F45" t="s">
        <v>115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3144.8</v>
      </c>
      <c r="M45">
        <v>314480</v>
      </c>
      <c r="N45" t="s">
        <v>35</v>
      </c>
      <c r="O45">
        <v>0</v>
      </c>
    </row>
    <row r="46" spans="1:15">
      <c r="A46" t="s">
        <v>789</v>
      </c>
      <c r="B46">
        <v>20260911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1969.4</v>
      </c>
      <c r="M46">
        <v>196940</v>
      </c>
      <c r="N46" t="s">
        <v>125</v>
      </c>
      <c r="O46">
        <v>0</v>
      </c>
    </row>
    <row r="47" spans="1:15">
      <c r="A47" t="s">
        <v>790</v>
      </c>
      <c r="B47">
        <v>20260911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3149.9</v>
      </c>
      <c r="M47">
        <v>314990</v>
      </c>
      <c r="N47" t="s">
        <v>125</v>
      </c>
      <c r="O47">
        <v>0</v>
      </c>
    </row>
    <row r="48" spans="1:15">
      <c r="A48" t="s">
        <v>791</v>
      </c>
      <c r="B48">
        <v>20260911</v>
      </c>
      <c r="C48">
        <v>6613</v>
      </c>
      <c r="D48" t="s">
        <v>165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1978</v>
      </c>
      <c r="M48">
        <v>197800</v>
      </c>
      <c r="N48" t="s">
        <v>35</v>
      </c>
      <c r="O48">
        <v>0</v>
      </c>
    </row>
    <row r="49" spans="1:15">
      <c r="A49" t="s">
        <v>792</v>
      </c>
      <c r="B49">
        <v>20260911</v>
      </c>
      <c r="C49">
        <v>3436</v>
      </c>
      <c r="D49" t="s">
        <v>152</v>
      </c>
      <c r="E49" t="s">
        <v>45</v>
      </c>
      <c r="F49" t="s">
        <v>115</v>
      </c>
      <c r="G49" t="s">
        <v>46</v>
      </c>
      <c r="H49" t="s">
        <v>116</v>
      </c>
      <c r="I49" t="s">
        <v>117</v>
      </c>
      <c r="J49" t="s">
        <v>118</v>
      </c>
      <c r="K49">
        <v>100</v>
      </c>
      <c r="L49">
        <v>3149.8</v>
      </c>
      <c r="M49">
        <v>314980</v>
      </c>
      <c r="N49" t="s">
        <v>35</v>
      </c>
      <c r="O49">
        <v>0</v>
      </c>
    </row>
    <row r="50" spans="1:15">
      <c r="A50" t="s">
        <v>793</v>
      </c>
      <c r="B50">
        <v>20260911</v>
      </c>
      <c r="C50">
        <v>6981</v>
      </c>
      <c r="D50" t="s">
        <v>786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7145.6</v>
      </c>
      <c r="M50">
        <v>714560</v>
      </c>
      <c r="N50" t="s">
        <v>35</v>
      </c>
      <c r="O50">
        <v>0</v>
      </c>
    </row>
    <row r="51" spans="1:15">
      <c r="A51" t="s">
        <v>794</v>
      </c>
      <c r="B51">
        <v>20260911</v>
      </c>
      <c r="C51">
        <v>6981</v>
      </c>
      <c r="D51" t="s">
        <v>786</v>
      </c>
      <c r="E51" t="s">
        <v>45</v>
      </c>
      <c r="F51" t="s">
        <v>115</v>
      </c>
      <c r="G51" t="s">
        <v>46</v>
      </c>
      <c r="H51" t="s">
        <v>116</v>
      </c>
      <c r="I51" t="s">
        <v>123</v>
      </c>
      <c r="J51" t="s">
        <v>124</v>
      </c>
      <c r="K51">
        <v>100</v>
      </c>
      <c r="L51">
        <v>7125.5</v>
      </c>
      <c r="M51">
        <v>712550</v>
      </c>
      <c r="N51" t="s">
        <v>125</v>
      </c>
      <c r="O51">
        <v>0</v>
      </c>
    </row>
    <row r="52" spans="1:15">
      <c r="A52" t="s">
        <v>794</v>
      </c>
      <c r="B52">
        <v>20260911</v>
      </c>
      <c r="C52">
        <v>6981</v>
      </c>
      <c r="D52" t="s">
        <v>786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7125.1</v>
      </c>
      <c r="M52">
        <v>712510</v>
      </c>
      <c r="N52" t="s">
        <v>125</v>
      </c>
      <c r="O52">
        <v>0</v>
      </c>
    </row>
    <row r="53" spans="1:15">
      <c r="A53" t="s">
        <v>795</v>
      </c>
      <c r="B53">
        <v>20260911</v>
      </c>
      <c r="C53">
        <v>6981</v>
      </c>
      <c r="D53" t="s">
        <v>786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7123.8</v>
      </c>
      <c r="M53">
        <v>712380</v>
      </c>
      <c r="N53" t="s">
        <v>35</v>
      </c>
      <c r="O53">
        <v>0</v>
      </c>
    </row>
    <row r="54" spans="1:15">
      <c r="A54" t="s">
        <v>796</v>
      </c>
      <c r="B54">
        <v>20260911</v>
      </c>
      <c r="C54">
        <v>3436</v>
      </c>
      <c r="D54" t="s">
        <v>152</v>
      </c>
      <c r="E54" t="s">
        <v>45</v>
      </c>
      <c r="F54" t="s">
        <v>130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3140</v>
      </c>
      <c r="M54">
        <v>314000</v>
      </c>
      <c r="N54" t="s">
        <v>125</v>
      </c>
      <c r="O54">
        <v>0</v>
      </c>
    </row>
    <row r="55" spans="1:15">
      <c r="A55" t="s">
        <v>797</v>
      </c>
      <c r="B55">
        <v>20260911</v>
      </c>
      <c r="C55">
        <v>2269</v>
      </c>
      <c r="D55" t="s">
        <v>798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4353.7</v>
      </c>
      <c r="M55">
        <v>435370</v>
      </c>
      <c r="N55" t="s">
        <v>35</v>
      </c>
      <c r="O55">
        <v>0</v>
      </c>
    </row>
    <row r="56" spans="1:15">
      <c r="A56" t="s">
        <v>799</v>
      </c>
      <c r="B56">
        <v>20260911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117</v>
      </c>
      <c r="J56" t="s">
        <v>118</v>
      </c>
      <c r="K56">
        <v>100</v>
      </c>
      <c r="L56">
        <v>3145.9</v>
      </c>
      <c r="M56">
        <v>314590</v>
      </c>
      <c r="N56" t="s">
        <v>35</v>
      </c>
      <c r="O56">
        <v>0</v>
      </c>
    </row>
    <row r="57" spans="1:15">
      <c r="A57" t="s">
        <v>800</v>
      </c>
      <c r="B57">
        <v>20260911</v>
      </c>
      <c r="C57">
        <v>6981</v>
      </c>
      <c r="D57" t="s">
        <v>786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7131.6</v>
      </c>
      <c r="M57">
        <v>713160</v>
      </c>
      <c r="N57" t="s">
        <v>125</v>
      </c>
      <c r="O57">
        <v>0</v>
      </c>
    </row>
    <row r="58" spans="1:15">
      <c r="A58" t="s">
        <v>801</v>
      </c>
      <c r="B58">
        <v>20260911</v>
      </c>
      <c r="C58">
        <v>6981</v>
      </c>
      <c r="D58" t="s">
        <v>786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7141.7</v>
      </c>
      <c r="M58">
        <v>714170</v>
      </c>
      <c r="N58" t="s">
        <v>35</v>
      </c>
      <c r="O58">
        <v>0</v>
      </c>
    </row>
    <row r="59" spans="1:15">
      <c r="A59" t="s">
        <v>802</v>
      </c>
      <c r="B59">
        <v>20260911</v>
      </c>
      <c r="C59">
        <v>6981</v>
      </c>
      <c r="D59" t="s">
        <v>786</v>
      </c>
      <c r="E59" t="s">
        <v>45</v>
      </c>
      <c r="F59" t="s">
        <v>115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7128.2</v>
      </c>
      <c r="M59">
        <v>712820</v>
      </c>
      <c r="N59" t="s">
        <v>125</v>
      </c>
      <c r="O59">
        <v>0</v>
      </c>
    </row>
    <row r="60" spans="1:15">
      <c r="A60" t="s">
        <v>803</v>
      </c>
      <c r="B60">
        <v>20260911</v>
      </c>
      <c r="C60">
        <v>3436</v>
      </c>
      <c r="D60" t="s">
        <v>152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3136.3</v>
      </c>
      <c r="M60">
        <v>313630</v>
      </c>
      <c r="N60" t="s">
        <v>125</v>
      </c>
      <c r="O60">
        <v>0</v>
      </c>
    </row>
    <row r="61" spans="1:15">
      <c r="A61" t="s">
        <v>804</v>
      </c>
      <c r="B61">
        <v>20260911</v>
      </c>
      <c r="C61">
        <v>6613</v>
      </c>
      <c r="D61" t="s">
        <v>165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1972.4</v>
      </c>
      <c r="M61">
        <v>197240</v>
      </c>
      <c r="N61" t="s">
        <v>125</v>
      </c>
      <c r="O61">
        <v>0</v>
      </c>
    </row>
    <row r="62" spans="1:15">
      <c r="A62" t="s">
        <v>805</v>
      </c>
      <c r="B62">
        <v>20260911</v>
      </c>
      <c r="C62">
        <v>3436</v>
      </c>
      <c r="D62" t="s">
        <v>152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3156.8</v>
      </c>
      <c r="M62">
        <v>315680</v>
      </c>
      <c r="N62" t="s">
        <v>35</v>
      </c>
      <c r="O62">
        <v>0</v>
      </c>
    </row>
    <row r="63" spans="1:15">
      <c r="A63" t="s">
        <v>806</v>
      </c>
      <c r="B63">
        <v>20260911</v>
      </c>
      <c r="C63">
        <v>6981</v>
      </c>
      <c r="D63" t="s">
        <v>786</v>
      </c>
      <c r="E63" t="s">
        <v>45</v>
      </c>
      <c r="F63" t="s">
        <v>115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7137.2</v>
      </c>
      <c r="M63">
        <v>713720</v>
      </c>
      <c r="N63" t="s">
        <v>35</v>
      </c>
      <c r="O63">
        <v>0</v>
      </c>
    </row>
    <row r="64" spans="1:15">
      <c r="A64" t="s">
        <v>807</v>
      </c>
      <c r="B64">
        <v>20260911</v>
      </c>
      <c r="C64">
        <v>6613</v>
      </c>
      <c r="D64" t="s">
        <v>165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1981.7</v>
      </c>
      <c r="M64">
        <v>198170</v>
      </c>
      <c r="N64" t="s">
        <v>35</v>
      </c>
      <c r="O64">
        <v>0</v>
      </c>
    </row>
    <row r="65" spans="1:15">
      <c r="A65" t="s">
        <v>808</v>
      </c>
      <c r="B65">
        <v>20260911</v>
      </c>
      <c r="C65">
        <v>2269</v>
      </c>
      <c r="D65" t="s">
        <v>798</v>
      </c>
      <c r="E65" t="s">
        <v>45</v>
      </c>
      <c r="F65" t="s">
        <v>115</v>
      </c>
      <c r="G65" t="s">
        <v>46</v>
      </c>
      <c r="H65" t="s">
        <v>116</v>
      </c>
      <c r="I65" t="s">
        <v>123</v>
      </c>
      <c r="J65" t="s">
        <v>124</v>
      </c>
      <c r="K65">
        <v>100</v>
      </c>
      <c r="L65">
        <v>4339.3999999999996</v>
      </c>
      <c r="M65">
        <v>433940</v>
      </c>
      <c r="N65" t="s">
        <v>125</v>
      </c>
      <c r="O65">
        <v>0</v>
      </c>
    </row>
    <row r="66" spans="1:15">
      <c r="A66" t="s">
        <v>809</v>
      </c>
      <c r="B66">
        <v>20260911</v>
      </c>
      <c r="C66">
        <v>6981</v>
      </c>
      <c r="D66" t="s">
        <v>786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7135</v>
      </c>
      <c r="M66">
        <v>713500</v>
      </c>
      <c r="N66" t="s">
        <v>125</v>
      </c>
      <c r="O66">
        <v>0</v>
      </c>
    </row>
    <row r="67" spans="1:15">
      <c r="A67" t="s">
        <v>810</v>
      </c>
      <c r="B67">
        <v>20260911</v>
      </c>
      <c r="C67">
        <v>6981</v>
      </c>
      <c r="D67" t="s">
        <v>786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7137.5</v>
      </c>
      <c r="M67">
        <v>713750</v>
      </c>
      <c r="N67" t="s">
        <v>35</v>
      </c>
      <c r="O67">
        <v>0</v>
      </c>
    </row>
    <row r="68" spans="1:15">
      <c r="A68" t="s">
        <v>811</v>
      </c>
      <c r="B68">
        <v>20260911</v>
      </c>
      <c r="C68">
        <v>3436</v>
      </c>
      <c r="D68" t="s">
        <v>152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3141.7</v>
      </c>
      <c r="M68">
        <v>314170</v>
      </c>
      <c r="N68" t="s">
        <v>125</v>
      </c>
      <c r="O68">
        <v>0</v>
      </c>
    </row>
    <row r="69" spans="1:15">
      <c r="A69" t="s">
        <v>812</v>
      </c>
      <c r="B69">
        <v>20260911</v>
      </c>
      <c r="C69">
        <v>6981</v>
      </c>
      <c r="D69" t="s">
        <v>786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7118.8</v>
      </c>
      <c r="M69">
        <v>711880</v>
      </c>
      <c r="N69" t="s">
        <v>125</v>
      </c>
      <c r="O69">
        <v>0</v>
      </c>
    </row>
    <row r="70" spans="1:15">
      <c r="A70" t="s">
        <v>813</v>
      </c>
      <c r="B70">
        <v>20260911</v>
      </c>
      <c r="C70">
        <v>6613</v>
      </c>
      <c r="D70" t="s">
        <v>165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1962</v>
      </c>
      <c r="M70">
        <v>196200</v>
      </c>
      <c r="N70" t="s">
        <v>125</v>
      </c>
      <c r="O70">
        <v>0</v>
      </c>
    </row>
    <row r="71" spans="1:15">
      <c r="A71" t="s">
        <v>814</v>
      </c>
      <c r="B71">
        <v>20260911</v>
      </c>
      <c r="C71">
        <v>5803</v>
      </c>
      <c r="D71" t="s">
        <v>176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5494.8</v>
      </c>
      <c r="M71">
        <v>549480</v>
      </c>
      <c r="N71" t="s">
        <v>35</v>
      </c>
      <c r="O71">
        <v>0</v>
      </c>
    </row>
    <row r="72" spans="1:15">
      <c r="A72" t="s">
        <v>815</v>
      </c>
      <c r="B72">
        <v>20260911</v>
      </c>
      <c r="C72">
        <v>6613</v>
      </c>
      <c r="D72" t="s">
        <v>165</v>
      </c>
      <c r="E72" t="s">
        <v>45</v>
      </c>
      <c r="F72" t="s">
        <v>115</v>
      </c>
      <c r="G72" t="s">
        <v>46</v>
      </c>
      <c r="H72" t="s">
        <v>116</v>
      </c>
      <c r="I72" t="s">
        <v>117</v>
      </c>
      <c r="J72" t="s">
        <v>118</v>
      </c>
      <c r="K72">
        <v>100</v>
      </c>
      <c r="L72">
        <v>1952.5</v>
      </c>
      <c r="M72">
        <v>195250</v>
      </c>
      <c r="N72" t="s">
        <v>35</v>
      </c>
      <c r="O72">
        <v>0</v>
      </c>
    </row>
    <row r="73" spans="1:15">
      <c r="A73" t="s">
        <v>816</v>
      </c>
      <c r="B73">
        <v>20260911</v>
      </c>
      <c r="C73">
        <v>6613</v>
      </c>
      <c r="D73" t="s">
        <v>165</v>
      </c>
      <c r="E73" t="s">
        <v>45</v>
      </c>
      <c r="F73" t="s">
        <v>130</v>
      </c>
      <c r="G73" t="s">
        <v>46</v>
      </c>
      <c r="H73" t="s">
        <v>116</v>
      </c>
      <c r="I73" t="s">
        <v>117</v>
      </c>
      <c r="J73" t="s">
        <v>118</v>
      </c>
      <c r="K73">
        <v>100</v>
      </c>
      <c r="L73">
        <v>1958</v>
      </c>
      <c r="M73">
        <v>195800</v>
      </c>
      <c r="N73" t="s">
        <v>35</v>
      </c>
      <c r="O73">
        <v>0</v>
      </c>
    </row>
    <row r="74" spans="1:15">
      <c r="A74" t="s">
        <v>817</v>
      </c>
      <c r="B74">
        <v>20260911</v>
      </c>
      <c r="C74">
        <v>6613</v>
      </c>
      <c r="D74" t="s">
        <v>165</v>
      </c>
      <c r="E74" t="s">
        <v>45</v>
      </c>
      <c r="F74" t="s">
        <v>115</v>
      </c>
      <c r="G74" t="s">
        <v>46</v>
      </c>
      <c r="H74" t="s">
        <v>116</v>
      </c>
      <c r="I74" t="s">
        <v>117</v>
      </c>
      <c r="J74" t="s">
        <v>118</v>
      </c>
      <c r="K74">
        <v>100</v>
      </c>
      <c r="L74">
        <v>1942</v>
      </c>
      <c r="M74">
        <v>194200</v>
      </c>
      <c r="N74" t="s">
        <v>35</v>
      </c>
      <c r="O74">
        <v>0</v>
      </c>
    </row>
    <row r="75" spans="1:15">
      <c r="A75" t="s">
        <v>818</v>
      </c>
      <c r="B75">
        <v>20260911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123</v>
      </c>
      <c r="J75" t="s">
        <v>124</v>
      </c>
      <c r="K75">
        <v>100</v>
      </c>
      <c r="L75">
        <v>5520</v>
      </c>
      <c r="M75">
        <v>552000</v>
      </c>
      <c r="N75" t="s">
        <v>125</v>
      </c>
      <c r="O75">
        <v>0</v>
      </c>
    </row>
    <row r="76" spans="1:15">
      <c r="A76" t="s">
        <v>819</v>
      </c>
      <c r="B76">
        <v>20260911</v>
      </c>
      <c r="C76">
        <v>6613</v>
      </c>
      <c r="D76" t="s">
        <v>165</v>
      </c>
      <c r="E76" t="s">
        <v>45</v>
      </c>
      <c r="F76" t="s">
        <v>115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1937.2</v>
      </c>
      <c r="M76">
        <v>193720</v>
      </c>
      <c r="N76" t="s">
        <v>35</v>
      </c>
      <c r="O76">
        <v>0</v>
      </c>
    </row>
    <row r="77" spans="1:15">
      <c r="A77" t="s">
        <v>820</v>
      </c>
      <c r="B77">
        <v>20260911</v>
      </c>
      <c r="C77">
        <v>3436</v>
      </c>
      <c r="D77" t="s">
        <v>152</v>
      </c>
      <c r="E77" t="s">
        <v>45</v>
      </c>
      <c r="F77" t="s">
        <v>115</v>
      </c>
      <c r="G77" t="s">
        <v>46</v>
      </c>
      <c r="H77" t="s">
        <v>116</v>
      </c>
      <c r="I77" t="s">
        <v>117</v>
      </c>
      <c r="J77" t="s">
        <v>118</v>
      </c>
      <c r="K77">
        <v>100</v>
      </c>
      <c r="L77">
        <v>3141.7</v>
      </c>
      <c r="M77">
        <v>314170</v>
      </c>
      <c r="N77" t="s">
        <v>35</v>
      </c>
      <c r="O77">
        <v>0</v>
      </c>
    </row>
    <row r="78" spans="1:15">
      <c r="A78" t="s">
        <v>821</v>
      </c>
      <c r="B78">
        <v>20260911</v>
      </c>
      <c r="C78">
        <v>6613</v>
      </c>
      <c r="D78" t="s">
        <v>165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1940.2</v>
      </c>
      <c r="M78">
        <v>194020</v>
      </c>
      <c r="N78" t="s">
        <v>125</v>
      </c>
      <c r="O78">
        <v>0</v>
      </c>
    </row>
    <row r="79" spans="1:15">
      <c r="A79" t="s">
        <v>822</v>
      </c>
      <c r="B79">
        <v>20260911</v>
      </c>
      <c r="C79">
        <v>5803</v>
      </c>
      <c r="D79" t="s">
        <v>176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5471</v>
      </c>
      <c r="M79">
        <v>547100</v>
      </c>
      <c r="N79" t="s">
        <v>35</v>
      </c>
      <c r="O79">
        <v>0</v>
      </c>
    </row>
    <row r="80" spans="1:15">
      <c r="A80" t="s">
        <v>823</v>
      </c>
      <c r="B80">
        <v>20260911</v>
      </c>
      <c r="C80">
        <v>3436</v>
      </c>
      <c r="D80" t="s">
        <v>152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3145.6</v>
      </c>
      <c r="M80">
        <v>314560</v>
      </c>
      <c r="N80" t="s">
        <v>125</v>
      </c>
      <c r="O80">
        <v>0</v>
      </c>
    </row>
    <row r="81" spans="1:15">
      <c r="A81" t="s">
        <v>824</v>
      </c>
      <c r="B81">
        <v>20260911</v>
      </c>
      <c r="C81">
        <v>6613</v>
      </c>
      <c r="D81" t="s">
        <v>165</v>
      </c>
      <c r="E81" t="s">
        <v>45</v>
      </c>
      <c r="F81" t="s">
        <v>115</v>
      </c>
      <c r="G81" t="s">
        <v>46</v>
      </c>
      <c r="H81" t="s">
        <v>116</v>
      </c>
      <c r="I81" t="s">
        <v>123</v>
      </c>
      <c r="J81" t="s">
        <v>124</v>
      </c>
      <c r="K81">
        <v>100</v>
      </c>
      <c r="L81">
        <v>1950</v>
      </c>
      <c r="M81">
        <v>195000</v>
      </c>
      <c r="N81" t="s">
        <v>125</v>
      </c>
      <c r="O81">
        <v>0</v>
      </c>
    </row>
    <row r="82" spans="1:15">
      <c r="A82" t="s">
        <v>825</v>
      </c>
      <c r="B82">
        <v>20260911</v>
      </c>
      <c r="C82">
        <v>5803</v>
      </c>
      <c r="D82" t="s">
        <v>176</v>
      </c>
      <c r="E82" t="s">
        <v>45</v>
      </c>
      <c r="F82" t="s">
        <v>115</v>
      </c>
      <c r="G82" t="s">
        <v>46</v>
      </c>
      <c r="H82" t="s">
        <v>116</v>
      </c>
      <c r="I82" t="s">
        <v>123</v>
      </c>
      <c r="J82" t="s">
        <v>124</v>
      </c>
      <c r="K82">
        <v>100</v>
      </c>
      <c r="L82">
        <v>5485.2</v>
      </c>
      <c r="M82">
        <v>548520</v>
      </c>
      <c r="N82" t="s">
        <v>125</v>
      </c>
      <c r="O82">
        <v>0</v>
      </c>
    </row>
    <row r="83" spans="1:15">
      <c r="A83" s="1" t="s">
        <v>826</v>
      </c>
      <c r="B83" s="1">
        <v>20260911</v>
      </c>
      <c r="C83" s="1">
        <v>6613</v>
      </c>
      <c r="D83" s="1" t="s">
        <v>165</v>
      </c>
      <c r="E83" s="1" t="s">
        <v>45</v>
      </c>
      <c r="F83" s="1" t="s">
        <v>115</v>
      </c>
      <c r="G83" s="1" t="s">
        <v>46</v>
      </c>
      <c r="H83" s="1" t="s">
        <v>116</v>
      </c>
      <c r="I83" s="1" t="s">
        <v>123</v>
      </c>
      <c r="J83" s="1" t="s">
        <v>124</v>
      </c>
      <c r="K83" s="1">
        <v>200</v>
      </c>
      <c r="L83" s="1">
        <v>1942.5</v>
      </c>
      <c r="M83" s="1">
        <v>388500</v>
      </c>
      <c r="N83" s="1" t="s">
        <v>125</v>
      </c>
      <c r="O83" s="1">
        <v>0</v>
      </c>
    </row>
    <row r="84" spans="1:15">
      <c r="A84" s="1" t="s">
        <v>828</v>
      </c>
      <c r="B84" s="1">
        <v>20260911</v>
      </c>
      <c r="C84" s="1" t="s">
        <v>829</v>
      </c>
      <c r="D84" s="1" t="s">
        <v>830</v>
      </c>
      <c r="E84" s="1" t="s">
        <v>45</v>
      </c>
      <c r="F84" s="1" t="s">
        <v>130</v>
      </c>
      <c r="G84" s="1" t="s">
        <v>46</v>
      </c>
      <c r="H84" s="1" t="s">
        <v>116</v>
      </c>
      <c r="I84" s="1" t="s">
        <v>117</v>
      </c>
      <c r="J84" s="1" t="s">
        <v>118</v>
      </c>
      <c r="K84" s="1">
        <v>100</v>
      </c>
      <c r="L84" s="1">
        <v>4180</v>
      </c>
      <c r="M84" s="1">
        <v>418000</v>
      </c>
      <c r="N84" s="1" t="s">
        <v>35</v>
      </c>
      <c r="O84" s="1">
        <v>0</v>
      </c>
    </row>
    <row r="85" spans="1:15">
      <c r="A85" s="1" t="s">
        <v>831</v>
      </c>
      <c r="B85" s="1">
        <v>20260911</v>
      </c>
      <c r="C85" s="1" t="s">
        <v>829</v>
      </c>
      <c r="D85" s="1" t="s">
        <v>830</v>
      </c>
      <c r="E85" s="1" t="s">
        <v>45</v>
      </c>
      <c r="F85" s="1" t="s">
        <v>115</v>
      </c>
      <c r="G85" s="1" t="s">
        <v>46</v>
      </c>
      <c r="H85" s="1" t="s">
        <v>116</v>
      </c>
      <c r="I85" s="1" t="s">
        <v>123</v>
      </c>
      <c r="J85" s="1" t="s">
        <v>124</v>
      </c>
      <c r="K85" s="1">
        <v>100</v>
      </c>
      <c r="L85" s="1">
        <v>4162</v>
      </c>
      <c r="M85" s="1">
        <v>416200</v>
      </c>
      <c r="N85" s="1" t="s">
        <v>125</v>
      </c>
      <c r="O85" s="1">
        <v>0</v>
      </c>
    </row>
    <row r="86" spans="1:15">
      <c r="A86" s="1" t="s">
        <v>832</v>
      </c>
      <c r="B86" s="1">
        <v>20260911</v>
      </c>
      <c r="C86" s="1">
        <v>6613</v>
      </c>
      <c r="D86" s="1" t="s">
        <v>165</v>
      </c>
      <c r="E86" s="1" t="s">
        <v>45</v>
      </c>
      <c r="F86" s="1" t="s">
        <v>115</v>
      </c>
      <c r="G86" s="1" t="s">
        <v>46</v>
      </c>
      <c r="H86" s="1" t="s">
        <v>116</v>
      </c>
      <c r="I86" s="1" t="s">
        <v>117</v>
      </c>
      <c r="J86" s="1" t="s">
        <v>118</v>
      </c>
      <c r="K86" s="1">
        <v>100</v>
      </c>
      <c r="L86" s="1">
        <v>1939.9</v>
      </c>
      <c r="M86" s="1">
        <v>193990</v>
      </c>
      <c r="N86" s="1" t="s">
        <v>35</v>
      </c>
      <c r="O86" s="1">
        <v>0</v>
      </c>
    </row>
    <row r="87" spans="1:15">
      <c r="A87" s="1" t="s">
        <v>833</v>
      </c>
      <c r="B87" s="1">
        <v>20260911</v>
      </c>
      <c r="C87" s="1">
        <v>6613</v>
      </c>
      <c r="D87" s="1" t="s">
        <v>165</v>
      </c>
      <c r="E87" s="1" t="s">
        <v>45</v>
      </c>
      <c r="F87" s="1" t="s">
        <v>130</v>
      </c>
      <c r="G87" s="1" t="s">
        <v>46</v>
      </c>
      <c r="H87" s="1" t="s">
        <v>116</v>
      </c>
      <c r="I87" s="1" t="s">
        <v>117</v>
      </c>
      <c r="J87" s="1" t="s">
        <v>118</v>
      </c>
      <c r="K87" s="1">
        <v>100</v>
      </c>
      <c r="L87" s="1">
        <v>1944</v>
      </c>
      <c r="M87" s="1">
        <v>194400</v>
      </c>
      <c r="N87" s="1" t="s">
        <v>35</v>
      </c>
      <c r="O87" s="1">
        <v>0</v>
      </c>
    </row>
    <row r="88" spans="1:15">
      <c r="A88" s="1" t="s">
        <v>834</v>
      </c>
      <c r="B88" s="1">
        <v>20260911</v>
      </c>
      <c r="C88" s="1">
        <v>6613</v>
      </c>
      <c r="D88" s="1" t="s">
        <v>165</v>
      </c>
      <c r="E88" s="1" t="s">
        <v>45</v>
      </c>
      <c r="F88" s="1" t="s">
        <v>130</v>
      </c>
      <c r="G88" s="1" t="s">
        <v>46</v>
      </c>
      <c r="H88" s="1" t="s">
        <v>116</v>
      </c>
      <c r="I88" s="1" t="s">
        <v>123</v>
      </c>
      <c r="J88" s="1" t="s">
        <v>124</v>
      </c>
      <c r="K88" s="1">
        <v>100</v>
      </c>
      <c r="L88" s="1">
        <v>1927</v>
      </c>
      <c r="M88" s="1">
        <v>192700</v>
      </c>
      <c r="N88" s="1" t="s">
        <v>125</v>
      </c>
      <c r="O88" s="1">
        <v>0</v>
      </c>
    </row>
    <row r="89" spans="1:15">
      <c r="A89" s="1" t="s">
        <v>835</v>
      </c>
      <c r="B89" s="1">
        <v>20260911</v>
      </c>
      <c r="C89" s="1">
        <v>6613</v>
      </c>
      <c r="D89" s="1" t="s">
        <v>165</v>
      </c>
      <c r="E89" s="1" t="s">
        <v>45</v>
      </c>
      <c r="F89" s="1" t="s">
        <v>115</v>
      </c>
      <c r="G89" s="1" t="s">
        <v>46</v>
      </c>
      <c r="H89" s="1" t="s">
        <v>116</v>
      </c>
      <c r="I89" s="1" t="s">
        <v>123</v>
      </c>
      <c r="J89" s="1" t="s">
        <v>124</v>
      </c>
      <c r="K89" s="1">
        <v>100</v>
      </c>
      <c r="L89" s="1">
        <v>1925.4</v>
      </c>
      <c r="M89" s="1">
        <v>192540</v>
      </c>
      <c r="N89" s="1" t="s">
        <v>125</v>
      </c>
      <c r="O89" s="1">
        <v>0</v>
      </c>
    </row>
    <row r="90" spans="1:15">
      <c r="A90" s="1" t="s">
        <v>836</v>
      </c>
      <c r="B90" s="1">
        <v>20260911</v>
      </c>
      <c r="C90" s="1">
        <v>6613</v>
      </c>
      <c r="D90" s="1" t="s">
        <v>165</v>
      </c>
      <c r="E90" s="1" t="s">
        <v>45</v>
      </c>
      <c r="F90" s="1" t="s">
        <v>130</v>
      </c>
      <c r="G90" s="1" t="s">
        <v>46</v>
      </c>
      <c r="H90" s="1" t="s">
        <v>116</v>
      </c>
      <c r="I90" s="1" t="s">
        <v>117</v>
      </c>
      <c r="J90" s="1" t="s">
        <v>118</v>
      </c>
      <c r="K90" s="1">
        <v>100</v>
      </c>
      <c r="L90" s="1">
        <v>1924</v>
      </c>
      <c r="M90" s="1">
        <v>192400</v>
      </c>
      <c r="N90" s="1" t="s">
        <v>35</v>
      </c>
      <c r="O90" s="1">
        <v>0</v>
      </c>
    </row>
    <row r="91" spans="1:15">
      <c r="A91" s="1" t="s">
        <v>837</v>
      </c>
      <c r="B91" s="1">
        <v>20260911</v>
      </c>
      <c r="C91" s="1">
        <v>6613</v>
      </c>
      <c r="D91" s="1" t="s">
        <v>165</v>
      </c>
      <c r="E91" s="1" t="s">
        <v>45</v>
      </c>
      <c r="F91" s="1" t="s">
        <v>115</v>
      </c>
      <c r="G91" s="1" t="s">
        <v>46</v>
      </c>
      <c r="H91" s="1" t="s">
        <v>116</v>
      </c>
      <c r="I91" s="1" t="s">
        <v>123</v>
      </c>
      <c r="J91" s="1" t="s">
        <v>124</v>
      </c>
      <c r="K91" s="1">
        <v>100</v>
      </c>
      <c r="L91" s="1">
        <v>1924</v>
      </c>
      <c r="M91" s="1">
        <v>192400</v>
      </c>
      <c r="N91" s="1" t="s">
        <v>125</v>
      </c>
      <c r="O91" s="1">
        <v>0</v>
      </c>
    </row>
    <row r="92" spans="1:15">
      <c r="A92" s="1" t="s">
        <v>838</v>
      </c>
      <c r="B92" s="1">
        <v>20260911</v>
      </c>
      <c r="C92" s="1">
        <v>4063</v>
      </c>
      <c r="D92" s="1" t="s">
        <v>181</v>
      </c>
      <c r="E92" s="1" t="s">
        <v>45</v>
      </c>
      <c r="F92" s="1" t="s">
        <v>115</v>
      </c>
      <c r="G92" s="1" t="s">
        <v>46</v>
      </c>
      <c r="H92" s="1" t="s">
        <v>116</v>
      </c>
      <c r="I92" s="1" t="s">
        <v>117</v>
      </c>
      <c r="J92" s="1" t="s">
        <v>118</v>
      </c>
      <c r="K92" s="1">
        <v>100</v>
      </c>
      <c r="L92" s="1">
        <v>5713</v>
      </c>
      <c r="M92" s="1">
        <v>571300</v>
      </c>
      <c r="N92" s="1" t="s">
        <v>35</v>
      </c>
      <c r="O92" s="1">
        <v>0</v>
      </c>
    </row>
    <row r="93" spans="1:15">
      <c r="A93" s="1" t="s">
        <v>839</v>
      </c>
      <c r="B93" s="1">
        <v>20260911</v>
      </c>
      <c r="C93" s="1">
        <v>6613</v>
      </c>
      <c r="D93" s="1" t="s">
        <v>165</v>
      </c>
      <c r="E93" s="1" t="s">
        <v>45</v>
      </c>
      <c r="F93" s="1" t="s">
        <v>130</v>
      </c>
      <c r="G93" s="1" t="s">
        <v>46</v>
      </c>
      <c r="H93" s="1" t="s">
        <v>116</v>
      </c>
      <c r="I93" s="1" t="s">
        <v>117</v>
      </c>
      <c r="J93" s="1" t="s">
        <v>118</v>
      </c>
      <c r="K93" s="1">
        <v>100</v>
      </c>
      <c r="L93" s="1">
        <v>1932</v>
      </c>
      <c r="M93" s="1">
        <v>193200</v>
      </c>
      <c r="N93" s="1" t="s">
        <v>35</v>
      </c>
      <c r="O93" s="1">
        <v>0</v>
      </c>
    </row>
    <row r="94" spans="1:15">
      <c r="A94" s="1" t="s">
        <v>840</v>
      </c>
      <c r="B94" s="1">
        <v>20260911</v>
      </c>
      <c r="C94" s="1">
        <v>4063</v>
      </c>
      <c r="D94" s="1" t="s">
        <v>181</v>
      </c>
      <c r="E94" s="1" t="s">
        <v>45</v>
      </c>
      <c r="F94" s="1" t="s">
        <v>130</v>
      </c>
      <c r="G94" s="1" t="s">
        <v>46</v>
      </c>
      <c r="H94" s="1" t="s">
        <v>116</v>
      </c>
      <c r="I94" s="1" t="s">
        <v>123</v>
      </c>
      <c r="J94" s="1" t="s">
        <v>124</v>
      </c>
      <c r="K94" s="1">
        <v>100</v>
      </c>
      <c r="L94" s="1">
        <v>5714</v>
      </c>
      <c r="M94" s="1">
        <v>571400</v>
      </c>
      <c r="N94" s="1" t="s">
        <v>125</v>
      </c>
      <c r="O94" s="1">
        <v>0</v>
      </c>
    </row>
    <row r="95" spans="1:15">
      <c r="A95" s="1" t="s">
        <v>841</v>
      </c>
      <c r="B95" s="1">
        <v>20260911</v>
      </c>
      <c r="C95" s="1">
        <v>4063</v>
      </c>
      <c r="D95" s="1" t="s">
        <v>181</v>
      </c>
      <c r="E95" s="1" t="s">
        <v>45</v>
      </c>
      <c r="F95" s="1" t="s">
        <v>115</v>
      </c>
      <c r="G95" s="1" t="s">
        <v>46</v>
      </c>
      <c r="H95" s="1" t="s">
        <v>116</v>
      </c>
      <c r="I95" s="1" t="s">
        <v>117</v>
      </c>
      <c r="J95" s="1" t="s">
        <v>118</v>
      </c>
      <c r="K95" s="1">
        <v>100</v>
      </c>
      <c r="L95" s="1">
        <v>5715.4</v>
      </c>
      <c r="M95" s="1">
        <v>571540</v>
      </c>
      <c r="N95" s="1" t="s">
        <v>35</v>
      </c>
      <c r="O95" s="1">
        <v>0</v>
      </c>
    </row>
    <row r="96" spans="1:15">
      <c r="A96" s="1" t="s">
        <v>842</v>
      </c>
      <c r="B96" s="1">
        <v>20260911</v>
      </c>
      <c r="C96" s="1">
        <v>6613</v>
      </c>
      <c r="D96" s="1" t="s">
        <v>165</v>
      </c>
      <c r="E96" s="1" t="s">
        <v>45</v>
      </c>
      <c r="F96" s="1" t="s">
        <v>115</v>
      </c>
      <c r="G96" s="1" t="s">
        <v>46</v>
      </c>
      <c r="H96" s="1" t="s">
        <v>116</v>
      </c>
      <c r="I96" s="1" t="s">
        <v>117</v>
      </c>
      <c r="J96" s="1" t="s">
        <v>118</v>
      </c>
      <c r="K96" s="1">
        <v>100</v>
      </c>
      <c r="L96" s="1">
        <v>1939</v>
      </c>
      <c r="M96" s="1">
        <v>193900</v>
      </c>
      <c r="N96" s="1" t="s">
        <v>35</v>
      </c>
      <c r="O96" s="1">
        <v>0</v>
      </c>
    </row>
    <row r="97" spans="1:15">
      <c r="A97" s="1" t="s">
        <v>843</v>
      </c>
      <c r="B97" s="1">
        <v>20260911</v>
      </c>
      <c r="C97" s="1">
        <v>1605</v>
      </c>
      <c r="D97" s="1" t="s">
        <v>844</v>
      </c>
      <c r="E97" s="1" t="s">
        <v>45</v>
      </c>
      <c r="F97" s="1" t="s">
        <v>115</v>
      </c>
      <c r="G97" s="1" t="s">
        <v>46</v>
      </c>
      <c r="H97" s="1" t="s">
        <v>116</v>
      </c>
      <c r="I97" s="1" t="s">
        <v>117</v>
      </c>
      <c r="J97" s="1" t="s">
        <v>118</v>
      </c>
      <c r="K97" s="1">
        <v>100</v>
      </c>
      <c r="L97" s="1">
        <v>3924.7</v>
      </c>
      <c r="M97" s="1">
        <v>392470</v>
      </c>
      <c r="N97" s="1" t="s">
        <v>35</v>
      </c>
      <c r="O97" s="1">
        <v>0</v>
      </c>
    </row>
    <row r="98" spans="1:15">
      <c r="A98" s="1" t="s">
        <v>845</v>
      </c>
      <c r="B98" s="1">
        <v>20260911</v>
      </c>
      <c r="C98" s="1">
        <v>6613</v>
      </c>
      <c r="D98" s="1" t="s">
        <v>165</v>
      </c>
      <c r="E98" s="1" t="s">
        <v>45</v>
      </c>
      <c r="F98" s="1" t="s">
        <v>115</v>
      </c>
      <c r="G98" s="1" t="s">
        <v>46</v>
      </c>
      <c r="H98" s="1" t="s">
        <v>116</v>
      </c>
      <c r="I98" s="1" t="s">
        <v>123</v>
      </c>
      <c r="J98" s="1" t="s">
        <v>124</v>
      </c>
      <c r="K98" s="1">
        <v>100</v>
      </c>
      <c r="L98" s="1">
        <v>1939.4</v>
      </c>
      <c r="M98" s="1">
        <v>193940</v>
      </c>
      <c r="N98" s="1" t="s">
        <v>125</v>
      </c>
      <c r="O98" s="1">
        <v>0</v>
      </c>
    </row>
    <row r="99" spans="1:15">
      <c r="A99" t="s">
        <v>845</v>
      </c>
      <c r="B99">
        <v>20260911</v>
      </c>
      <c r="C99">
        <v>6613</v>
      </c>
      <c r="D99" t="s">
        <v>165</v>
      </c>
      <c r="E99" t="s">
        <v>45</v>
      </c>
      <c r="F99" t="s">
        <v>115</v>
      </c>
      <c r="G99" t="s">
        <v>46</v>
      </c>
      <c r="H99" t="s">
        <v>116</v>
      </c>
      <c r="I99" t="s">
        <v>123</v>
      </c>
      <c r="J99" t="s">
        <v>124</v>
      </c>
      <c r="K99">
        <v>100</v>
      </c>
      <c r="L99">
        <v>1939.4</v>
      </c>
      <c r="M99">
        <v>193940</v>
      </c>
      <c r="N99" t="s">
        <v>125</v>
      </c>
      <c r="O99">
        <v>0</v>
      </c>
    </row>
    <row r="100" spans="1:15">
      <c r="A100" s="1" t="s">
        <v>846</v>
      </c>
      <c r="B100" s="1">
        <v>20260911</v>
      </c>
      <c r="C100" s="1">
        <v>6981</v>
      </c>
      <c r="D100" s="1" t="s">
        <v>786</v>
      </c>
      <c r="E100" s="1" t="s">
        <v>45</v>
      </c>
      <c r="F100" s="1" t="s">
        <v>115</v>
      </c>
      <c r="G100" s="1" t="s">
        <v>46</v>
      </c>
      <c r="H100" s="1" t="s">
        <v>116</v>
      </c>
      <c r="I100" s="1" t="s">
        <v>117</v>
      </c>
      <c r="J100" s="1" t="s">
        <v>118</v>
      </c>
      <c r="K100" s="1">
        <v>100</v>
      </c>
      <c r="L100" s="1">
        <v>7163.6</v>
      </c>
      <c r="M100" s="1">
        <v>716360</v>
      </c>
      <c r="N100" s="1" t="s">
        <v>35</v>
      </c>
      <c r="O100" s="1">
        <v>0</v>
      </c>
    </row>
    <row r="101" spans="1:15">
      <c r="A101" s="1" t="s">
        <v>847</v>
      </c>
      <c r="B101" s="1">
        <v>20260911</v>
      </c>
      <c r="C101" s="1">
        <v>6981</v>
      </c>
      <c r="D101" s="1" t="s">
        <v>786</v>
      </c>
      <c r="E101" s="1" t="s">
        <v>45</v>
      </c>
      <c r="F101" s="1" t="s">
        <v>115</v>
      </c>
      <c r="G101" s="1" t="s">
        <v>46</v>
      </c>
      <c r="H101" s="1" t="s">
        <v>116</v>
      </c>
      <c r="I101" s="1" t="s">
        <v>123</v>
      </c>
      <c r="J101" s="1" t="s">
        <v>124</v>
      </c>
      <c r="K101" s="1">
        <v>100</v>
      </c>
      <c r="L101" s="1">
        <v>7127.2</v>
      </c>
      <c r="M101" s="1">
        <v>712720</v>
      </c>
      <c r="N101" s="1" t="s">
        <v>125</v>
      </c>
      <c r="O101" s="1">
        <v>0</v>
      </c>
    </row>
    <row r="102" spans="1:15">
      <c r="A102" s="1" t="s">
        <v>848</v>
      </c>
      <c r="B102" s="1">
        <v>20260911</v>
      </c>
      <c r="C102" s="1">
        <v>4063</v>
      </c>
      <c r="D102" s="1" t="s">
        <v>181</v>
      </c>
      <c r="E102" s="1" t="s">
        <v>45</v>
      </c>
      <c r="F102" s="1" t="s">
        <v>115</v>
      </c>
      <c r="G102" s="1" t="s">
        <v>46</v>
      </c>
      <c r="H102" s="1" t="s">
        <v>116</v>
      </c>
      <c r="I102" s="1" t="s">
        <v>123</v>
      </c>
      <c r="J102" s="1" t="s">
        <v>124</v>
      </c>
      <c r="K102" s="1">
        <v>100</v>
      </c>
      <c r="L102" s="1">
        <v>5716.2</v>
      </c>
      <c r="M102" s="1">
        <v>571620</v>
      </c>
      <c r="N102" s="1" t="s">
        <v>125</v>
      </c>
      <c r="O102" s="1">
        <v>0</v>
      </c>
    </row>
    <row r="103" spans="1:15">
      <c r="A103" s="1" t="s">
        <v>849</v>
      </c>
      <c r="B103" s="1">
        <v>20260911</v>
      </c>
      <c r="C103" s="1">
        <v>6981</v>
      </c>
      <c r="D103" s="1" t="s">
        <v>786</v>
      </c>
      <c r="E103" s="1" t="s">
        <v>45</v>
      </c>
      <c r="F103" s="1" t="s">
        <v>115</v>
      </c>
      <c r="G103" s="1" t="s">
        <v>46</v>
      </c>
      <c r="H103" s="1" t="s">
        <v>116</v>
      </c>
      <c r="I103" s="1" t="s">
        <v>117</v>
      </c>
      <c r="J103" s="1" t="s">
        <v>118</v>
      </c>
      <c r="K103" s="1">
        <v>100</v>
      </c>
      <c r="L103" s="1">
        <v>7130</v>
      </c>
      <c r="M103" s="1">
        <v>713000</v>
      </c>
      <c r="N103" s="1" t="s">
        <v>35</v>
      </c>
      <c r="O103" s="1">
        <v>0</v>
      </c>
    </row>
    <row r="104" spans="1:15">
      <c r="A104" s="1" t="s">
        <v>850</v>
      </c>
      <c r="B104" s="1">
        <v>20260911</v>
      </c>
      <c r="C104" s="1">
        <v>4063</v>
      </c>
      <c r="D104" s="1" t="s">
        <v>181</v>
      </c>
      <c r="E104" s="1" t="s">
        <v>45</v>
      </c>
      <c r="F104" s="1" t="s">
        <v>115</v>
      </c>
      <c r="G104" s="1" t="s">
        <v>46</v>
      </c>
      <c r="H104" s="1" t="s">
        <v>116</v>
      </c>
      <c r="I104" s="1" t="s">
        <v>117</v>
      </c>
      <c r="J104" s="1" t="s">
        <v>118</v>
      </c>
      <c r="K104" s="1">
        <v>100</v>
      </c>
      <c r="L104" s="1">
        <v>5720</v>
      </c>
      <c r="M104" s="1">
        <v>572000</v>
      </c>
      <c r="N104" s="1" t="s">
        <v>35</v>
      </c>
      <c r="O104" s="1">
        <v>0</v>
      </c>
    </row>
    <row r="105" spans="1:15">
      <c r="A105" s="1" t="s">
        <v>851</v>
      </c>
      <c r="B105" s="1">
        <v>20260911</v>
      </c>
      <c r="C105" s="1">
        <v>6981</v>
      </c>
      <c r="D105" s="1" t="s">
        <v>786</v>
      </c>
      <c r="E105" s="1" t="s">
        <v>45</v>
      </c>
      <c r="F105" s="1" t="s">
        <v>115</v>
      </c>
      <c r="G105" s="1" t="s">
        <v>46</v>
      </c>
      <c r="H105" s="1" t="s">
        <v>116</v>
      </c>
      <c r="I105" s="1" t="s">
        <v>123</v>
      </c>
      <c r="J105" s="1" t="s">
        <v>124</v>
      </c>
      <c r="K105" s="1">
        <v>100</v>
      </c>
      <c r="L105" s="1">
        <v>7135</v>
      </c>
      <c r="M105" s="1">
        <v>713500</v>
      </c>
      <c r="N105" s="1" t="s">
        <v>125</v>
      </c>
      <c r="O105" s="1">
        <v>0</v>
      </c>
    </row>
    <row r="106" spans="1:15">
      <c r="A106" s="1" t="s">
        <v>852</v>
      </c>
      <c r="B106" s="1">
        <v>20260911</v>
      </c>
      <c r="C106" s="1">
        <v>6981</v>
      </c>
      <c r="D106" s="1" t="s">
        <v>786</v>
      </c>
      <c r="E106" s="1" t="s">
        <v>45</v>
      </c>
      <c r="F106" s="1" t="s">
        <v>115</v>
      </c>
      <c r="G106" s="1" t="s">
        <v>46</v>
      </c>
      <c r="H106" s="1" t="s">
        <v>116</v>
      </c>
      <c r="I106" s="1" t="s">
        <v>117</v>
      </c>
      <c r="J106" s="1" t="s">
        <v>118</v>
      </c>
      <c r="K106" s="1">
        <v>100</v>
      </c>
      <c r="L106" s="1">
        <v>7137.8</v>
      </c>
      <c r="M106" s="1">
        <v>713780</v>
      </c>
      <c r="N106" s="1" t="s">
        <v>35</v>
      </c>
      <c r="O106" s="1">
        <v>0</v>
      </c>
    </row>
    <row r="107" spans="1:15">
      <c r="A107" s="1" t="s">
        <v>853</v>
      </c>
      <c r="B107" s="1">
        <v>20260911</v>
      </c>
      <c r="C107" s="1">
        <v>4063</v>
      </c>
      <c r="D107" s="1" t="s">
        <v>181</v>
      </c>
      <c r="E107" s="1" t="s">
        <v>45</v>
      </c>
      <c r="F107" s="1" t="s">
        <v>115</v>
      </c>
      <c r="G107" s="1" t="s">
        <v>46</v>
      </c>
      <c r="H107" s="1" t="s">
        <v>116</v>
      </c>
      <c r="I107" s="1" t="s">
        <v>123</v>
      </c>
      <c r="J107" s="1" t="s">
        <v>124</v>
      </c>
      <c r="K107" s="1">
        <v>100</v>
      </c>
      <c r="L107" s="1">
        <v>5721.9</v>
      </c>
      <c r="M107" s="1">
        <v>572190</v>
      </c>
      <c r="N107" s="1" t="s">
        <v>125</v>
      </c>
      <c r="O107" s="1">
        <v>0</v>
      </c>
    </row>
    <row r="108" spans="1:15">
      <c r="A108" s="1" t="s">
        <v>854</v>
      </c>
      <c r="B108" s="1">
        <v>20260911</v>
      </c>
      <c r="C108" s="1">
        <v>6981</v>
      </c>
      <c r="D108" s="1" t="s">
        <v>786</v>
      </c>
      <c r="E108" s="1" t="s">
        <v>45</v>
      </c>
      <c r="F108" s="1" t="s">
        <v>115</v>
      </c>
      <c r="G108" s="1" t="s">
        <v>46</v>
      </c>
      <c r="H108" s="1" t="s">
        <v>116</v>
      </c>
      <c r="I108" s="1" t="s">
        <v>123</v>
      </c>
      <c r="J108" s="1" t="s">
        <v>124</v>
      </c>
      <c r="K108" s="1">
        <v>100</v>
      </c>
      <c r="L108" s="1">
        <v>7122.4</v>
      </c>
      <c r="M108" s="1">
        <v>712240</v>
      </c>
      <c r="N108" s="1" t="s">
        <v>125</v>
      </c>
      <c r="O108" s="1">
        <v>0</v>
      </c>
    </row>
    <row r="109" spans="1:15">
      <c r="A109" s="1" t="s">
        <v>855</v>
      </c>
      <c r="B109" s="1">
        <v>20260911</v>
      </c>
      <c r="C109" s="1">
        <v>1605</v>
      </c>
      <c r="D109" s="1" t="s">
        <v>844</v>
      </c>
      <c r="E109" s="1" t="s">
        <v>45</v>
      </c>
      <c r="F109" s="1" t="s">
        <v>115</v>
      </c>
      <c r="G109" s="1" t="s">
        <v>46</v>
      </c>
      <c r="H109" s="1" t="s">
        <v>116</v>
      </c>
      <c r="I109" s="1" t="s">
        <v>123</v>
      </c>
      <c r="J109" s="1" t="s">
        <v>124</v>
      </c>
      <c r="K109" s="1">
        <v>100</v>
      </c>
      <c r="L109" s="1">
        <v>3919.7</v>
      </c>
      <c r="M109" s="1">
        <v>391970</v>
      </c>
      <c r="N109" s="1" t="s">
        <v>125</v>
      </c>
      <c r="O109" s="1">
        <v>0</v>
      </c>
    </row>
    <row r="110" spans="1:15">
      <c r="A110" s="1" t="s">
        <v>856</v>
      </c>
      <c r="B110" s="1">
        <v>20260911</v>
      </c>
      <c r="C110" s="1">
        <v>6981</v>
      </c>
      <c r="D110" s="1" t="s">
        <v>786</v>
      </c>
      <c r="E110" s="1" t="s">
        <v>45</v>
      </c>
      <c r="F110" s="1" t="s">
        <v>115</v>
      </c>
      <c r="G110" s="1" t="s">
        <v>46</v>
      </c>
      <c r="H110" s="1" t="s">
        <v>116</v>
      </c>
      <c r="I110" s="1" t="s">
        <v>117</v>
      </c>
      <c r="J110" s="1" t="s">
        <v>118</v>
      </c>
      <c r="K110" s="1">
        <v>100</v>
      </c>
      <c r="L110" s="1">
        <v>7120.7</v>
      </c>
      <c r="M110" s="1">
        <v>712070</v>
      </c>
      <c r="N110" s="1" t="s">
        <v>35</v>
      </c>
      <c r="O110" s="1">
        <v>0</v>
      </c>
    </row>
    <row r="111" spans="1:15">
      <c r="A111" s="1" t="s">
        <v>857</v>
      </c>
      <c r="B111" s="1">
        <v>20260911</v>
      </c>
      <c r="C111" s="1">
        <v>4063</v>
      </c>
      <c r="D111" s="1" t="s">
        <v>181</v>
      </c>
      <c r="E111" s="1" t="s">
        <v>45</v>
      </c>
      <c r="F111" s="1" t="s">
        <v>115</v>
      </c>
      <c r="G111" s="1" t="s">
        <v>46</v>
      </c>
      <c r="H111" s="1" t="s">
        <v>116</v>
      </c>
      <c r="I111" s="1" t="s">
        <v>117</v>
      </c>
      <c r="J111" s="1" t="s">
        <v>118</v>
      </c>
      <c r="K111" s="1">
        <v>100</v>
      </c>
      <c r="L111" s="1">
        <v>5716.8</v>
      </c>
      <c r="M111" s="1">
        <v>571680</v>
      </c>
      <c r="N111" s="1" t="s">
        <v>35</v>
      </c>
      <c r="O111" s="1">
        <v>0</v>
      </c>
    </row>
    <row r="112" spans="1:15">
      <c r="A112" s="1" t="s">
        <v>858</v>
      </c>
      <c r="B112" s="1">
        <v>20260911</v>
      </c>
      <c r="C112" s="1">
        <v>6981</v>
      </c>
      <c r="D112" s="1" t="s">
        <v>786</v>
      </c>
      <c r="E112" s="1" t="s">
        <v>45</v>
      </c>
      <c r="F112" s="1" t="s">
        <v>115</v>
      </c>
      <c r="G112" s="1" t="s">
        <v>46</v>
      </c>
      <c r="H112" s="1" t="s">
        <v>116</v>
      </c>
      <c r="I112" s="1" t="s">
        <v>123</v>
      </c>
      <c r="J112" s="1" t="s">
        <v>124</v>
      </c>
      <c r="K112" s="1">
        <v>100</v>
      </c>
      <c r="L112" s="1">
        <v>7127.1</v>
      </c>
      <c r="M112" s="1">
        <v>712710</v>
      </c>
      <c r="N112" s="1" t="s">
        <v>125</v>
      </c>
      <c r="O112" s="1">
        <v>0</v>
      </c>
    </row>
    <row r="113" spans="1:15">
      <c r="A113" s="1" t="s">
        <v>859</v>
      </c>
      <c r="B113" s="1">
        <v>20260911</v>
      </c>
      <c r="C113" s="1">
        <v>4063</v>
      </c>
      <c r="D113" s="1" t="s">
        <v>181</v>
      </c>
      <c r="E113" s="1" t="s">
        <v>45</v>
      </c>
      <c r="F113" s="1" t="s">
        <v>115</v>
      </c>
      <c r="G113" s="1" t="s">
        <v>46</v>
      </c>
      <c r="H113" s="1" t="s">
        <v>116</v>
      </c>
      <c r="I113" s="1" t="s">
        <v>123</v>
      </c>
      <c r="J113" s="1" t="s">
        <v>124</v>
      </c>
      <c r="K113" s="1">
        <v>100</v>
      </c>
      <c r="L113" s="1">
        <v>5718.7</v>
      </c>
      <c r="M113" s="1">
        <v>571870</v>
      </c>
      <c r="N113" s="1" t="s">
        <v>125</v>
      </c>
      <c r="O113" s="1">
        <v>0</v>
      </c>
    </row>
    <row r="114" spans="1:15">
      <c r="A114" s="1" t="s">
        <v>860</v>
      </c>
      <c r="B114" s="1">
        <v>20260911</v>
      </c>
      <c r="C114" s="1">
        <v>6981</v>
      </c>
      <c r="D114" s="1" t="s">
        <v>786</v>
      </c>
      <c r="E114" s="1" t="s">
        <v>45</v>
      </c>
      <c r="F114" s="1" t="s">
        <v>115</v>
      </c>
      <c r="G114" s="1" t="s">
        <v>46</v>
      </c>
      <c r="H114" s="1" t="s">
        <v>116</v>
      </c>
      <c r="I114" s="1" t="s">
        <v>117</v>
      </c>
      <c r="J114" s="1" t="s">
        <v>118</v>
      </c>
      <c r="K114" s="1">
        <v>100</v>
      </c>
      <c r="L114" s="1">
        <v>7139.6</v>
      </c>
      <c r="M114" s="1">
        <v>713960</v>
      </c>
      <c r="N114" s="1" t="s">
        <v>35</v>
      </c>
      <c r="O114" s="1">
        <v>0</v>
      </c>
    </row>
    <row r="115" spans="1:15">
      <c r="A115" s="6" t="s">
        <v>861</v>
      </c>
      <c r="B115" s="1">
        <v>20260911</v>
      </c>
      <c r="C115" s="1">
        <v>6613</v>
      </c>
      <c r="D115" s="1" t="s">
        <v>165</v>
      </c>
      <c r="E115" s="1" t="s">
        <v>45</v>
      </c>
      <c r="F115" s="1" t="s">
        <v>115</v>
      </c>
      <c r="G115" s="1" t="s">
        <v>46</v>
      </c>
      <c r="H115" s="1" t="s">
        <v>116</v>
      </c>
      <c r="I115" s="1" t="s">
        <v>117</v>
      </c>
      <c r="J115" s="1" t="s">
        <v>118</v>
      </c>
      <c r="K115" s="1">
        <v>100</v>
      </c>
      <c r="L115" s="1">
        <v>1925.6</v>
      </c>
      <c r="M115" s="1">
        <v>192560</v>
      </c>
      <c r="N115" s="1" t="s">
        <v>35</v>
      </c>
      <c r="O115" s="1">
        <v>0</v>
      </c>
    </row>
    <row r="116" spans="1:15">
      <c r="A116" s="6" t="s">
        <v>862</v>
      </c>
      <c r="B116" s="1">
        <v>20260911</v>
      </c>
      <c r="C116" s="1">
        <v>4063</v>
      </c>
      <c r="D116" s="1" t="s">
        <v>181</v>
      </c>
      <c r="E116" s="1" t="s">
        <v>45</v>
      </c>
      <c r="F116" s="1" t="s">
        <v>115</v>
      </c>
      <c r="G116" s="1" t="s">
        <v>46</v>
      </c>
      <c r="H116" s="1" t="s">
        <v>116</v>
      </c>
      <c r="I116" s="1" t="s">
        <v>117</v>
      </c>
      <c r="J116" s="1" t="s">
        <v>118</v>
      </c>
      <c r="K116" s="1">
        <v>100</v>
      </c>
      <c r="L116" s="1">
        <v>5722.4</v>
      </c>
      <c r="M116" s="1">
        <v>572240</v>
      </c>
      <c r="N116" s="1" t="s">
        <v>35</v>
      </c>
      <c r="O116" s="1">
        <v>0</v>
      </c>
    </row>
    <row r="117" spans="1:15">
      <c r="A117" s="6" t="s">
        <v>863</v>
      </c>
      <c r="B117" s="1">
        <v>20260911</v>
      </c>
      <c r="C117" s="1">
        <v>4063</v>
      </c>
      <c r="D117" s="1" t="s">
        <v>181</v>
      </c>
      <c r="E117" s="1" t="s">
        <v>45</v>
      </c>
      <c r="F117" s="1" t="s">
        <v>115</v>
      </c>
      <c r="G117" s="1" t="s">
        <v>46</v>
      </c>
      <c r="H117" s="1" t="s">
        <v>116</v>
      </c>
      <c r="I117" s="1" t="s">
        <v>123</v>
      </c>
      <c r="J117" s="1" t="s">
        <v>124</v>
      </c>
      <c r="K117" s="1">
        <v>100</v>
      </c>
      <c r="L117" s="1">
        <v>5721.7</v>
      </c>
      <c r="M117" s="1">
        <v>572170</v>
      </c>
      <c r="N117" s="1" t="s">
        <v>125</v>
      </c>
      <c r="O117" s="1">
        <v>0</v>
      </c>
    </row>
    <row r="118" spans="1:15">
      <c r="A118" s="6" t="s">
        <v>864</v>
      </c>
      <c r="B118" s="1">
        <v>20260911</v>
      </c>
      <c r="C118" s="1">
        <v>5803</v>
      </c>
      <c r="D118" s="1" t="s">
        <v>176</v>
      </c>
      <c r="E118" s="1" t="s">
        <v>45</v>
      </c>
      <c r="F118" s="1" t="s">
        <v>115</v>
      </c>
      <c r="G118" s="1" t="s">
        <v>46</v>
      </c>
      <c r="H118" s="1" t="s">
        <v>116</v>
      </c>
      <c r="I118" s="1" t="s">
        <v>117</v>
      </c>
      <c r="J118" s="1" t="s">
        <v>118</v>
      </c>
      <c r="K118" s="1">
        <v>100</v>
      </c>
      <c r="L118" s="1">
        <v>5481.8</v>
      </c>
      <c r="M118" s="1">
        <v>548180</v>
      </c>
      <c r="N118" s="1" t="s">
        <v>35</v>
      </c>
      <c r="O118" s="1">
        <v>0</v>
      </c>
    </row>
    <row r="119" spans="1:15">
      <c r="A119" s="6" t="s">
        <v>865</v>
      </c>
      <c r="B119" s="1">
        <v>20260911</v>
      </c>
      <c r="C119" s="1">
        <v>6613</v>
      </c>
      <c r="D119" s="1" t="s">
        <v>165</v>
      </c>
      <c r="E119" s="1" t="s">
        <v>45</v>
      </c>
      <c r="F119" s="1" t="s">
        <v>115</v>
      </c>
      <c r="G119" s="1" t="s">
        <v>46</v>
      </c>
      <c r="H119" s="1" t="s">
        <v>116</v>
      </c>
      <c r="I119" s="1" t="s">
        <v>123</v>
      </c>
      <c r="J119" s="1" t="s">
        <v>124</v>
      </c>
      <c r="K119" s="1">
        <v>100</v>
      </c>
      <c r="L119" s="1">
        <v>1918.1</v>
      </c>
      <c r="M119" s="1">
        <v>191810</v>
      </c>
      <c r="N119" s="1" t="s">
        <v>125</v>
      </c>
      <c r="O119" s="1">
        <v>0</v>
      </c>
    </row>
    <row r="120" spans="1:15">
      <c r="A120" s="6" t="s">
        <v>866</v>
      </c>
      <c r="B120" s="1">
        <v>20260911</v>
      </c>
      <c r="C120" s="1">
        <v>6613</v>
      </c>
      <c r="D120" s="1" t="s">
        <v>165</v>
      </c>
      <c r="E120" s="1" t="s">
        <v>45</v>
      </c>
      <c r="F120" s="1" t="s">
        <v>115</v>
      </c>
      <c r="G120" s="1" t="s">
        <v>46</v>
      </c>
      <c r="H120" s="1" t="s">
        <v>116</v>
      </c>
      <c r="I120" s="1" t="s">
        <v>117</v>
      </c>
      <c r="J120" s="1" t="s">
        <v>118</v>
      </c>
      <c r="K120" s="1">
        <v>100</v>
      </c>
      <c r="L120" s="1">
        <v>1918.4</v>
      </c>
      <c r="M120" s="1">
        <v>191840</v>
      </c>
      <c r="N120" s="1" t="s">
        <v>35</v>
      </c>
      <c r="O120" s="1">
        <v>0</v>
      </c>
    </row>
    <row r="121" spans="1:15">
      <c r="A121" s="6" t="s">
        <v>867</v>
      </c>
      <c r="B121" s="1">
        <v>20260911</v>
      </c>
      <c r="C121" s="1">
        <v>6981</v>
      </c>
      <c r="D121" s="1" t="s">
        <v>786</v>
      </c>
      <c r="E121" s="1" t="s">
        <v>45</v>
      </c>
      <c r="F121" s="1" t="s">
        <v>115</v>
      </c>
      <c r="G121" s="1" t="s">
        <v>46</v>
      </c>
      <c r="H121" s="1" t="s">
        <v>116</v>
      </c>
      <c r="I121" s="1" t="s">
        <v>123</v>
      </c>
      <c r="J121" s="1" t="s">
        <v>124</v>
      </c>
      <c r="K121" s="1">
        <v>100</v>
      </c>
      <c r="L121" s="1">
        <v>7142.2</v>
      </c>
      <c r="M121" s="1">
        <v>714220</v>
      </c>
      <c r="N121" s="1" t="s">
        <v>125</v>
      </c>
      <c r="O121" s="1">
        <v>0</v>
      </c>
    </row>
    <row r="122" spans="1:15">
      <c r="A122" s="1" t="s">
        <v>868</v>
      </c>
      <c r="B122" s="1">
        <v>20260911</v>
      </c>
      <c r="C122" s="1">
        <v>5803</v>
      </c>
      <c r="D122" s="1" t="s">
        <v>176</v>
      </c>
      <c r="E122" s="1" t="s">
        <v>45</v>
      </c>
      <c r="F122" s="1" t="s">
        <v>115</v>
      </c>
      <c r="G122" s="1" t="s">
        <v>46</v>
      </c>
      <c r="H122" s="1" t="s">
        <v>116</v>
      </c>
      <c r="I122" s="1" t="s">
        <v>123</v>
      </c>
      <c r="J122" s="1" t="s">
        <v>124</v>
      </c>
      <c r="K122" s="1">
        <v>100</v>
      </c>
      <c r="L122" s="1">
        <v>5490.2</v>
      </c>
      <c r="M122" s="1">
        <v>549020</v>
      </c>
      <c r="N122" s="1" t="s">
        <v>125</v>
      </c>
      <c r="O122" s="1">
        <v>0</v>
      </c>
    </row>
    <row r="123" spans="1:15">
      <c r="A123" s="1" t="s">
        <v>869</v>
      </c>
      <c r="B123" s="1">
        <v>20260911</v>
      </c>
      <c r="C123" s="1">
        <v>4063</v>
      </c>
      <c r="D123" s="1" t="s">
        <v>181</v>
      </c>
      <c r="E123" s="1" t="s">
        <v>45</v>
      </c>
      <c r="F123" s="1" t="s">
        <v>115</v>
      </c>
      <c r="G123" s="1" t="s">
        <v>46</v>
      </c>
      <c r="H123" s="1" t="s">
        <v>116</v>
      </c>
      <c r="I123" s="1" t="s">
        <v>117</v>
      </c>
      <c r="J123" s="1" t="s">
        <v>118</v>
      </c>
      <c r="K123" s="1">
        <v>100</v>
      </c>
      <c r="L123" s="1">
        <v>5720.8</v>
      </c>
      <c r="M123" s="1">
        <v>572080</v>
      </c>
      <c r="N123" s="1" t="s">
        <v>35</v>
      </c>
      <c r="O123" s="1">
        <v>0</v>
      </c>
    </row>
    <row r="124" spans="1:15">
      <c r="A124" s="1" t="s">
        <v>870</v>
      </c>
      <c r="B124" s="1">
        <v>20260911</v>
      </c>
      <c r="C124" s="1">
        <v>4063</v>
      </c>
      <c r="D124" s="1" t="s">
        <v>181</v>
      </c>
      <c r="E124" s="1" t="s">
        <v>45</v>
      </c>
      <c r="F124" s="1" t="s">
        <v>115</v>
      </c>
      <c r="G124" s="1" t="s">
        <v>46</v>
      </c>
      <c r="H124" s="1" t="s">
        <v>116</v>
      </c>
      <c r="I124" s="1" t="s">
        <v>117</v>
      </c>
      <c r="J124" s="1" t="s">
        <v>118</v>
      </c>
      <c r="K124" s="1">
        <v>100</v>
      </c>
      <c r="L124" s="1">
        <v>5720.2</v>
      </c>
      <c r="M124" s="1">
        <v>572020</v>
      </c>
      <c r="N124" s="1" t="s">
        <v>35</v>
      </c>
      <c r="O124" s="1">
        <v>0</v>
      </c>
    </row>
    <row r="125" spans="1:15">
      <c r="A125" s="1" t="s">
        <v>871</v>
      </c>
      <c r="B125" s="1">
        <v>20260911</v>
      </c>
      <c r="C125" s="1">
        <v>6613</v>
      </c>
      <c r="D125" s="1" t="s">
        <v>165</v>
      </c>
      <c r="E125" s="1" t="s">
        <v>45</v>
      </c>
      <c r="F125" s="1" t="s">
        <v>115</v>
      </c>
      <c r="G125" s="1" t="s">
        <v>46</v>
      </c>
      <c r="H125" s="1" t="s">
        <v>116</v>
      </c>
      <c r="I125" s="1" t="s">
        <v>123</v>
      </c>
      <c r="J125" s="1" t="s">
        <v>124</v>
      </c>
      <c r="K125" s="1">
        <v>100</v>
      </c>
      <c r="L125" s="1">
        <v>1908</v>
      </c>
      <c r="M125" s="1">
        <v>190800</v>
      </c>
      <c r="N125" s="1" t="s">
        <v>125</v>
      </c>
      <c r="O125" s="1">
        <v>0</v>
      </c>
    </row>
    <row r="126" spans="1:15">
      <c r="A126" s="1" t="s">
        <v>872</v>
      </c>
      <c r="B126" s="1">
        <v>20260911</v>
      </c>
      <c r="C126" s="1">
        <v>3436</v>
      </c>
      <c r="D126" s="1" t="s">
        <v>152</v>
      </c>
      <c r="E126" s="1" t="s">
        <v>45</v>
      </c>
      <c r="F126" s="1" t="s">
        <v>115</v>
      </c>
      <c r="G126" s="1" t="s">
        <v>46</v>
      </c>
      <c r="H126" s="1" t="s">
        <v>116</v>
      </c>
      <c r="I126" s="1" t="s">
        <v>117</v>
      </c>
      <c r="J126" s="1" t="s">
        <v>118</v>
      </c>
      <c r="K126" s="1">
        <v>100</v>
      </c>
      <c r="L126" s="1">
        <v>3132.3</v>
      </c>
      <c r="M126" s="1">
        <v>313230</v>
      </c>
      <c r="N126" s="1" t="s">
        <v>35</v>
      </c>
      <c r="O126" s="1">
        <v>0</v>
      </c>
    </row>
    <row r="127" spans="1:15">
      <c r="A127" s="1" t="s">
        <v>873</v>
      </c>
      <c r="B127" s="1">
        <v>20260911</v>
      </c>
      <c r="C127" s="1">
        <v>4063</v>
      </c>
      <c r="D127" s="1" t="s">
        <v>181</v>
      </c>
      <c r="E127" s="1" t="s">
        <v>45</v>
      </c>
      <c r="F127" s="1" t="s">
        <v>115</v>
      </c>
      <c r="G127" s="1" t="s">
        <v>46</v>
      </c>
      <c r="H127" s="1" t="s">
        <v>116</v>
      </c>
      <c r="I127" s="1" t="s">
        <v>123</v>
      </c>
      <c r="J127" s="1" t="s">
        <v>124</v>
      </c>
      <c r="K127" s="1">
        <v>200</v>
      </c>
      <c r="L127" s="1">
        <v>5720.9</v>
      </c>
      <c r="M127" s="1">
        <v>1144180</v>
      </c>
      <c r="N127" s="1" t="s">
        <v>125</v>
      </c>
      <c r="O127" s="1">
        <v>0</v>
      </c>
    </row>
    <row r="128" spans="1:15">
      <c r="A128" s="1" t="s">
        <v>874</v>
      </c>
      <c r="B128" s="1">
        <v>20260911</v>
      </c>
      <c r="C128" s="1">
        <v>5803</v>
      </c>
      <c r="D128" s="1" t="s">
        <v>176</v>
      </c>
      <c r="E128" s="1" t="s">
        <v>45</v>
      </c>
      <c r="F128" s="1" t="s">
        <v>115</v>
      </c>
      <c r="G128" s="1" t="s">
        <v>46</v>
      </c>
      <c r="H128" s="1" t="s">
        <v>116</v>
      </c>
      <c r="I128" s="1" t="s">
        <v>117</v>
      </c>
      <c r="J128" s="1" t="s">
        <v>118</v>
      </c>
      <c r="K128" s="1">
        <v>100</v>
      </c>
      <c r="L128" s="1">
        <v>5512.2</v>
      </c>
      <c r="M128" s="1">
        <v>551220</v>
      </c>
      <c r="N128" s="1" t="s">
        <v>35</v>
      </c>
      <c r="O128" s="1">
        <v>0</v>
      </c>
    </row>
    <row r="129" spans="1:15">
      <c r="A129" s="1" t="s">
        <v>875</v>
      </c>
      <c r="B129" s="1">
        <v>20260911</v>
      </c>
      <c r="C129" s="1">
        <v>3436</v>
      </c>
      <c r="D129" s="1" t="s">
        <v>152</v>
      </c>
      <c r="E129" s="1" t="s">
        <v>45</v>
      </c>
      <c r="F129" s="1" t="s">
        <v>115</v>
      </c>
      <c r="G129" s="1" t="s">
        <v>46</v>
      </c>
      <c r="H129" s="1" t="s">
        <v>116</v>
      </c>
      <c r="I129" s="1" t="s">
        <v>123</v>
      </c>
      <c r="J129" s="1" t="s">
        <v>124</v>
      </c>
      <c r="K129" s="1">
        <v>100</v>
      </c>
      <c r="L129" s="1">
        <v>3127.3</v>
      </c>
      <c r="M129" s="1">
        <v>312730</v>
      </c>
      <c r="N129" s="1" t="s">
        <v>125</v>
      </c>
      <c r="O129" s="1">
        <v>0</v>
      </c>
    </row>
    <row r="130" spans="1:15">
      <c r="A130" s="1" t="s">
        <v>876</v>
      </c>
      <c r="B130" s="1">
        <v>20260911</v>
      </c>
      <c r="C130" s="1">
        <v>5016</v>
      </c>
      <c r="D130" s="1" t="s">
        <v>139</v>
      </c>
      <c r="E130" s="1" t="s">
        <v>45</v>
      </c>
      <c r="F130" s="1" t="s">
        <v>115</v>
      </c>
      <c r="G130" s="1" t="s">
        <v>46</v>
      </c>
      <c r="H130" s="1" t="s">
        <v>116</v>
      </c>
      <c r="I130" s="1" t="s">
        <v>117</v>
      </c>
      <c r="J130" s="1" t="s">
        <v>118</v>
      </c>
      <c r="K130" s="1">
        <v>100</v>
      </c>
      <c r="L130" s="1">
        <v>3897.3</v>
      </c>
      <c r="M130" s="1">
        <v>389730</v>
      </c>
      <c r="N130" s="1" t="s">
        <v>35</v>
      </c>
      <c r="O130" s="1">
        <v>0</v>
      </c>
    </row>
    <row r="131" spans="1:15">
      <c r="A131" s="1" t="s">
        <v>877</v>
      </c>
      <c r="B131" s="1">
        <v>20260911</v>
      </c>
      <c r="C131" s="1">
        <v>9984</v>
      </c>
      <c r="D131" s="1" t="s">
        <v>191</v>
      </c>
      <c r="E131" s="1" t="s">
        <v>45</v>
      </c>
      <c r="F131" s="1" t="s">
        <v>115</v>
      </c>
      <c r="G131" s="1" t="s">
        <v>223</v>
      </c>
      <c r="H131" s="1" t="s">
        <v>224</v>
      </c>
      <c r="I131" s="1" t="s">
        <v>117</v>
      </c>
      <c r="J131" s="1" t="s">
        <v>118</v>
      </c>
      <c r="K131" s="1">
        <v>100</v>
      </c>
      <c r="L131" s="1">
        <v>6782.4</v>
      </c>
      <c r="M131" s="1">
        <v>678240</v>
      </c>
      <c r="N131" s="1" t="s">
        <v>35</v>
      </c>
      <c r="O131" s="1">
        <v>0</v>
      </c>
    </row>
    <row r="132" spans="1:15">
      <c r="A132" s="1" t="s">
        <v>878</v>
      </c>
      <c r="B132" s="1">
        <v>20260911</v>
      </c>
      <c r="C132" s="1">
        <v>5803</v>
      </c>
      <c r="D132" s="1" t="s">
        <v>176</v>
      </c>
      <c r="E132" s="1" t="s">
        <v>45</v>
      </c>
      <c r="F132" s="1" t="s">
        <v>130</v>
      </c>
      <c r="G132" s="1" t="s">
        <v>46</v>
      </c>
      <c r="H132" s="1" t="s">
        <v>116</v>
      </c>
      <c r="I132" s="1" t="s">
        <v>123</v>
      </c>
      <c r="J132" s="1" t="s">
        <v>124</v>
      </c>
      <c r="K132" s="1">
        <v>100</v>
      </c>
      <c r="L132" s="1">
        <v>5493</v>
      </c>
      <c r="M132" s="1">
        <v>549300</v>
      </c>
      <c r="N132" s="1" t="s">
        <v>125</v>
      </c>
      <c r="O132" s="1">
        <v>0</v>
      </c>
    </row>
    <row r="133" spans="1:15">
      <c r="A133" s="1" t="s">
        <v>878</v>
      </c>
      <c r="B133" s="1">
        <v>20260911</v>
      </c>
      <c r="C133" s="1">
        <v>5016</v>
      </c>
      <c r="D133" s="1" t="s">
        <v>139</v>
      </c>
      <c r="E133" s="1" t="s">
        <v>45</v>
      </c>
      <c r="F133" s="1" t="s">
        <v>130</v>
      </c>
      <c r="G133" s="1" t="s">
        <v>46</v>
      </c>
      <c r="H133" s="1" t="s">
        <v>116</v>
      </c>
      <c r="I133" s="1" t="s">
        <v>123</v>
      </c>
      <c r="J133" s="1" t="s">
        <v>124</v>
      </c>
      <c r="K133" s="1">
        <v>100</v>
      </c>
      <c r="L133" s="1">
        <v>3909</v>
      </c>
      <c r="M133" s="1">
        <v>390900</v>
      </c>
      <c r="N133" s="1" t="s">
        <v>125</v>
      </c>
      <c r="O133" s="1">
        <v>0</v>
      </c>
    </row>
    <row r="134" spans="1:15">
      <c r="A134" s="1" t="s">
        <v>64</v>
      </c>
      <c r="B134" s="1" t="s">
        <v>64</v>
      </c>
      <c r="C134" s="1" t="s">
        <v>64</v>
      </c>
      <c r="D134" s="1" t="s">
        <v>64</v>
      </c>
      <c r="E134" s="1" t="s">
        <v>64</v>
      </c>
      <c r="F134" s="1" t="s">
        <v>64</v>
      </c>
      <c r="G134" s="1" t="s">
        <v>64</v>
      </c>
      <c r="H134" s="1" t="s">
        <v>64</v>
      </c>
      <c r="I134" s="1" t="s">
        <v>64</v>
      </c>
      <c r="J134" s="1" t="s">
        <v>64</v>
      </c>
      <c r="K134" s="1" t="s">
        <v>64</v>
      </c>
      <c r="L134" s="1" t="s">
        <v>64</v>
      </c>
      <c r="M134" s="1" t="s">
        <v>64</v>
      </c>
      <c r="N134" s="1" t="s">
        <v>64</v>
      </c>
      <c r="O134" s="1" t="s">
        <v>64</v>
      </c>
    </row>
  </sheetData>
  <phoneticPr fontId="1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E640-A069-4A3B-953E-F3069CE538CE}">
  <dimension ref="A1:O70"/>
  <sheetViews>
    <sheetView workbookViewId="0">
      <selection activeCell="C72" sqref="C72"/>
    </sheetView>
  </sheetViews>
  <sheetFormatPr defaultRowHeight="18.75"/>
  <cols>
    <col min="1" max="1" width="22.875" customWidth="1"/>
    <col min="2" max="2" width="15.5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663</v>
      </c>
      <c r="J2" t="s">
        <v>662</v>
      </c>
      <c r="K2" t="s">
        <v>664</v>
      </c>
      <c r="L2" t="s">
        <v>665</v>
      </c>
      <c r="M2" t="s">
        <v>111</v>
      </c>
      <c r="N2" t="s">
        <v>27</v>
      </c>
      <c r="O2" t="s">
        <v>112</v>
      </c>
    </row>
    <row r="3" spans="1:15">
      <c r="A3" s="1" t="s">
        <v>113</v>
      </c>
      <c r="B3" s="1">
        <v>20260814</v>
      </c>
      <c r="C3" s="1">
        <v>7011</v>
      </c>
      <c r="D3" s="1" t="s">
        <v>114</v>
      </c>
      <c r="E3" s="1" t="s">
        <v>45</v>
      </c>
      <c r="F3" s="1" t="s">
        <v>115</v>
      </c>
      <c r="G3" s="1" t="s">
        <v>46</v>
      </c>
      <c r="H3" s="1" t="s">
        <v>116</v>
      </c>
      <c r="I3" s="1" t="s">
        <v>117</v>
      </c>
      <c r="J3" s="1" t="s">
        <v>118</v>
      </c>
      <c r="K3" s="1">
        <v>100</v>
      </c>
      <c r="L3" s="1">
        <v>4061</v>
      </c>
      <c r="M3" s="1">
        <v>406100</v>
      </c>
      <c r="N3" s="1" t="s">
        <v>35</v>
      </c>
      <c r="O3" s="1">
        <v>0</v>
      </c>
    </row>
    <row r="4" spans="1:15">
      <c r="A4" t="s">
        <v>119</v>
      </c>
      <c r="B4">
        <v>20260814</v>
      </c>
      <c r="C4">
        <v>7012</v>
      </c>
      <c r="D4" t="s">
        <v>120</v>
      </c>
      <c r="E4" t="s">
        <v>45</v>
      </c>
      <c r="F4" t="s">
        <v>115</v>
      </c>
      <c r="G4" t="s">
        <v>46</v>
      </c>
      <c r="H4" t="s">
        <v>116</v>
      </c>
      <c r="I4" t="s">
        <v>117</v>
      </c>
      <c r="J4" t="s">
        <v>118</v>
      </c>
      <c r="K4">
        <v>100</v>
      </c>
      <c r="L4">
        <v>2724.5</v>
      </c>
      <c r="M4">
        <v>272450</v>
      </c>
      <c r="N4" t="s">
        <v>35</v>
      </c>
      <c r="O4">
        <v>0</v>
      </c>
    </row>
    <row r="5" spans="1:15">
      <c r="A5" s="1" t="s">
        <v>121</v>
      </c>
      <c r="B5" s="1">
        <v>20260814</v>
      </c>
      <c r="C5" s="1">
        <v>7011</v>
      </c>
      <c r="D5" s="1" t="s">
        <v>114</v>
      </c>
      <c r="E5" s="1" t="s">
        <v>45</v>
      </c>
      <c r="F5" s="1" t="s">
        <v>115</v>
      </c>
      <c r="G5" s="1" t="s">
        <v>46</v>
      </c>
      <c r="H5" s="1" t="s">
        <v>116</v>
      </c>
      <c r="I5" s="1" t="s">
        <v>117</v>
      </c>
      <c r="J5" s="1" t="s">
        <v>118</v>
      </c>
      <c r="K5" s="1">
        <v>100</v>
      </c>
      <c r="L5" s="1">
        <v>4054.8</v>
      </c>
      <c r="M5" s="1">
        <v>405480</v>
      </c>
      <c r="N5" s="1" t="s">
        <v>35</v>
      </c>
      <c r="O5" s="1">
        <v>0</v>
      </c>
    </row>
    <row r="6" spans="1:15">
      <c r="A6" t="s">
        <v>122</v>
      </c>
      <c r="B6">
        <v>20260814</v>
      </c>
      <c r="C6">
        <v>7011</v>
      </c>
      <c r="D6" t="s">
        <v>114</v>
      </c>
      <c r="E6" t="s">
        <v>45</v>
      </c>
      <c r="F6" t="s">
        <v>115</v>
      </c>
      <c r="G6" t="s">
        <v>46</v>
      </c>
      <c r="H6" t="s">
        <v>116</v>
      </c>
      <c r="I6" t="s">
        <v>123</v>
      </c>
      <c r="J6" t="s">
        <v>124</v>
      </c>
      <c r="K6">
        <v>200</v>
      </c>
      <c r="L6">
        <v>4062.2</v>
      </c>
      <c r="M6">
        <v>812440</v>
      </c>
      <c r="N6" t="s">
        <v>125</v>
      </c>
      <c r="O6">
        <v>0</v>
      </c>
    </row>
    <row r="7" spans="1:15">
      <c r="A7" t="s">
        <v>126</v>
      </c>
      <c r="B7">
        <v>20260814</v>
      </c>
      <c r="C7">
        <v>7011</v>
      </c>
      <c r="D7" t="s">
        <v>114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4036.9</v>
      </c>
      <c r="M7">
        <v>403690</v>
      </c>
      <c r="N7" t="s">
        <v>35</v>
      </c>
      <c r="O7">
        <v>0</v>
      </c>
    </row>
    <row r="8" spans="1:15">
      <c r="A8" t="s">
        <v>127</v>
      </c>
      <c r="B8">
        <v>20260814</v>
      </c>
      <c r="C8">
        <v>7011</v>
      </c>
      <c r="D8" t="s">
        <v>114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4018</v>
      </c>
      <c r="M8">
        <v>401800</v>
      </c>
      <c r="N8" t="s">
        <v>125</v>
      </c>
      <c r="O8">
        <v>0</v>
      </c>
    </row>
    <row r="9" spans="1:15">
      <c r="A9" t="s">
        <v>128</v>
      </c>
      <c r="B9">
        <v>20260814</v>
      </c>
      <c r="C9">
        <v>7011</v>
      </c>
      <c r="D9" t="s">
        <v>114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4021</v>
      </c>
      <c r="M9">
        <v>402100</v>
      </c>
      <c r="N9" t="s">
        <v>35</v>
      </c>
      <c r="O9">
        <v>0</v>
      </c>
    </row>
    <row r="10" spans="1:15">
      <c r="A10" s="1" t="s">
        <v>129</v>
      </c>
      <c r="B10" s="1">
        <v>20260814</v>
      </c>
      <c r="C10" s="1">
        <v>7011</v>
      </c>
      <c r="D10" s="1" t="s">
        <v>114</v>
      </c>
      <c r="E10" s="1" t="s">
        <v>45</v>
      </c>
      <c r="F10" s="1" t="s">
        <v>130</v>
      </c>
      <c r="G10" s="1" t="s">
        <v>46</v>
      </c>
      <c r="H10" s="1" t="s">
        <v>116</v>
      </c>
      <c r="I10" s="1" t="s">
        <v>117</v>
      </c>
      <c r="J10" s="1" t="s">
        <v>118</v>
      </c>
      <c r="K10" s="1">
        <v>100</v>
      </c>
      <c r="L10" s="1">
        <v>4029</v>
      </c>
      <c r="M10" s="1">
        <v>402900</v>
      </c>
      <c r="N10" s="1" t="s">
        <v>35</v>
      </c>
      <c r="O10" s="1">
        <v>0</v>
      </c>
    </row>
    <row r="11" spans="1:15">
      <c r="A11" s="1" t="s">
        <v>131</v>
      </c>
      <c r="B11" s="1">
        <v>20260814</v>
      </c>
      <c r="C11" s="1">
        <v>7012</v>
      </c>
      <c r="D11" s="1" t="s">
        <v>120</v>
      </c>
      <c r="E11" s="1" t="s">
        <v>45</v>
      </c>
      <c r="F11" s="1" t="s">
        <v>115</v>
      </c>
      <c r="G11" s="1" t="s">
        <v>46</v>
      </c>
      <c r="H11" s="1" t="s">
        <v>116</v>
      </c>
      <c r="I11" s="1" t="s">
        <v>123</v>
      </c>
      <c r="J11" s="1" t="s">
        <v>124</v>
      </c>
      <c r="K11" s="1">
        <v>100</v>
      </c>
      <c r="L11" s="1">
        <v>2730.5</v>
      </c>
      <c r="M11" s="1">
        <v>273050</v>
      </c>
      <c r="N11" s="1" t="s">
        <v>125</v>
      </c>
      <c r="O11" s="1">
        <v>0</v>
      </c>
    </row>
    <row r="12" spans="1:15">
      <c r="A12" s="1" t="s">
        <v>132</v>
      </c>
      <c r="B12" s="1">
        <v>20260814</v>
      </c>
      <c r="C12" s="1">
        <v>7012</v>
      </c>
      <c r="D12" s="1" t="s">
        <v>120</v>
      </c>
      <c r="E12" s="1" t="s">
        <v>45</v>
      </c>
      <c r="F12" s="1" t="s">
        <v>115</v>
      </c>
      <c r="G12" s="1" t="s">
        <v>46</v>
      </c>
      <c r="H12" s="1" t="s">
        <v>116</v>
      </c>
      <c r="I12" s="1" t="s">
        <v>117</v>
      </c>
      <c r="J12" s="1" t="s">
        <v>118</v>
      </c>
      <c r="K12" s="1">
        <v>100</v>
      </c>
      <c r="L12" s="1">
        <v>2733</v>
      </c>
      <c r="M12" s="1">
        <v>273300</v>
      </c>
      <c r="N12" s="1" t="s">
        <v>35</v>
      </c>
      <c r="O12" s="1">
        <v>0</v>
      </c>
    </row>
    <row r="13" spans="1:15">
      <c r="A13" s="1" t="s">
        <v>133</v>
      </c>
      <c r="B13" s="1">
        <v>20260814</v>
      </c>
      <c r="C13" s="1">
        <v>7011</v>
      </c>
      <c r="D13" s="1" t="s">
        <v>114</v>
      </c>
      <c r="E13" s="1" t="s">
        <v>45</v>
      </c>
      <c r="F13" s="1" t="s">
        <v>115</v>
      </c>
      <c r="G13" s="1" t="s">
        <v>46</v>
      </c>
      <c r="H13" s="1" t="s">
        <v>116</v>
      </c>
      <c r="I13" s="1" t="s">
        <v>123</v>
      </c>
      <c r="J13" s="1" t="s">
        <v>124</v>
      </c>
      <c r="K13" s="1">
        <v>100</v>
      </c>
      <c r="L13" s="1">
        <v>4038.1</v>
      </c>
      <c r="M13" s="1">
        <v>403810</v>
      </c>
      <c r="N13" s="1" t="s">
        <v>125</v>
      </c>
      <c r="O13" s="1">
        <v>0</v>
      </c>
    </row>
    <row r="14" spans="1:15">
      <c r="A14" s="1" t="s">
        <v>134</v>
      </c>
      <c r="B14" s="1">
        <v>20260814</v>
      </c>
      <c r="C14" s="1">
        <v>7011</v>
      </c>
      <c r="D14" s="1" t="s">
        <v>114</v>
      </c>
      <c r="E14" s="1" t="s">
        <v>45</v>
      </c>
      <c r="F14" s="1" t="s">
        <v>115</v>
      </c>
      <c r="G14" s="1" t="s">
        <v>46</v>
      </c>
      <c r="H14" s="1" t="s">
        <v>116</v>
      </c>
      <c r="I14" s="1" t="s">
        <v>117</v>
      </c>
      <c r="J14" s="1" t="s">
        <v>118</v>
      </c>
      <c r="K14" s="1">
        <v>100</v>
      </c>
      <c r="L14" s="1">
        <v>4032.9</v>
      </c>
      <c r="M14" s="1">
        <v>403290</v>
      </c>
      <c r="N14" s="1" t="s">
        <v>35</v>
      </c>
      <c r="O14" s="1">
        <v>0</v>
      </c>
    </row>
    <row r="15" spans="1:15">
      <c r="A15" s="1" t="s">
        <v>135</v>
      </c>
      <c r="B15" s="1">
        <v>20260814</v>
      </c>
      <c r="C15" s="1">
        <v>7011</v>
      </c>
      <c r="D15" s="1" t="s">
        <v>114</v>
      </c>
      <c r="E15" s="1" t="s">
        <v>45</v>
      </c>
      <c r="F15" s="1" t="s">
        <v>115</v>
      </c>
      <c r="G15" s="1" t="s">
        <v>46</v>
      </c>
      <c r="H15" s="1" t="s">
        <v>116</v>
      </c>
      <c r="I15" s="1" t="s">
        <v>123</v>
      </c>
      <c r="J15" s="1" t="s">
        <v>124</v>
      </c>
      <c r="K15" s="1">
        <v>100</v>
      </c>
      <c r="L15" s="1">
        <v>4051.8</v>
      </c>
      <c r="M15" s="1">
        <v>405180</v>
      </c>
      <c r="N15" s="1" t="s">
        <v>125</v>
      </c>
      <c r="O15" s="1">
        <v>0</v>
      </c>
    </row>
    <row r="16" spans="1:15">
      <c r="A16" t="s">
        <v>136</v>
      </c>
      <c r="B16">
        <v>20260814</v>
      </c>
      <c r="C16">
        <v>7012</v>
      </c>
      <c r="D16" t="s">
        <v>120</v>
      </c>
      <c r="E16" t="s">
        <v>45</v>
      </c>
      <c r="F16" t="s">
        <v>115</v>
      </c>
      <c r="G16" t="s">
        <v>46</v>
      </c>
      <c r="H16" t="s">
        <v>116</v>
      </c>
      <c r="I16" t="s">
        <v>117</v>
      </c>
      <c r="J16" t="s">
        <v>118</v>
      </c>
      <c r="K16">
        <v>100</v>
      </c>
      <c r="L16">
        <v>2746.8</v>
      </c>
      <c r="M16">
        <v>274680</v>
      </c>
      <c r="N16" t="s">
        <v>35</v>
      </c>
      <c r="O16">
        <v>0</v>
      </c>
    </row>
    <row r="17" spans="1:15">
      <c r="A17" s="1" t="s">
        <v>137</v>
      </c>
      <c r="B17" s="1">
        <v>20260814</v>
      </c>
      <c r="C17" s="1">
        <v>7011</v>
      </c>
      <c r="D17" s="1" t="s">
        <v>114</v>
      </c>
      <c r="E17" s="1" t="s">
        <v>45</v>
      </c>
      <c r="F17" s="1" t="s">
        <v>115</v>
      </c>
      <c r="G17" s="1" t="s">
        <v>46</v>
      </c>
      <c r="H17" s="1" t="s">
        <v>116</v>
      </c>
      <c r="I17" s="1" t="s">
        <v>123</v>
      </c>
      <c r="J17" s="1" t="s">
        <v>124</v>
      </c>
      <c r="K17" s="1">
        <v>100</v>
      </c>
      <c r="L17" s="1">
        <v>4058</v>
      </c>
      <c r="M17" s="1">
        <v>405800</v>
      </c>
      <c r="N17" s="1" t="s">
        <v>125</v>
      </c>
      <c r="O17" s="1">
        <v>0</v>
      </c>
    </row>
    <row r="18" spans="1:15">
      <c r="A18" t="s">
        <v>138</v>
      </c>
      <c r="B18">
        <v>20260814</v>
      </c>
      <c r="C18">
        <v>5016</v>
      </c>
      <c r="D18" t="s">
        <v>139</v>
      </c>
      <c r="E18" t="s">
        <v>45</v>
      </c>
      <c r="F18" t="s">
        <v>115</v>
      </c>
      <c r="G18" t="s">
        <v>46</v>
      </c>
      <c r="H18" t="s">
        <v>116</v>
      </c>
      <c r="I18" t="s">
        <v>117</v>
      </c>
      <c r="J18" t="s">
        <v>118</v>
      </c>
      <c r="K18">
        <v>100</v>
      </c>
      <c r="L18">
        <v>3783.9</v>
      </c>
      <c r="M18">
        <v>378390</v>
      </c>
      <c r="N18" t="s">
        <v>35</v>
      </c>
      <c r="O18">
        <v>0</v>
      </c>
    </row>
    <row r="19" spans="1:15">
      <c r="A19" t="s">
        <v>140</v>
      </c>
      <c r="B19">
        <v>20260814</v>
      </c>
      <c r="C19">
        <v>7012</v>
      </c>
      <c r="D19" t="s">
        <v>120</v>
      </c>
      <c r="E19" t="s">
        <v>45</v>
      </c>
      <c r="F19" t="s">
        <v>115</v>
      </c>
      <c r="G19" t="s">
        <v>46</v>
      </c>
      <c r="H19" t="s">
        <v>116</v>
      </c>
      <c r="I19" t="s">
        <v>123</v>
      </c>
      <c r="J19" t="s">
        <v>124</v>
      </c>
      <c r="K19">
        <v>100</v>
      </c>
      <c r="L19">
        <v>2749</v>
      </c>
      <c r="M19">
        <v>274900</v>
      </c>
      <c r="N19" t="s">
        <v>125</v>
      </c>
      <c r="O19">
        <v>0</v>
      </c>
    </row>
    <row r="20" spans="1:15">
      <c r="A20" t="s">
        <v>141</v>
      </c>
      <c r="B20">
        <v>20260814</v>
      </c>
      <c r="C20">
        <v>7011</v>
      </c>
      <c r="D20" t="s">
        <v>114</v>
      </c>
      <c r="E20" t="s">
        <v>45</v>
      </c>
      <c r="F20" t="s">
        <v>115</v>
      </c>
      <c r="G20" t="s">
        <v>46</v>
      </c>
      <c r="H20" t="s">
        <v>116</v>
      </c>
      <c r="I20" t="s">
        <v>117</v>
      </c>
      <c r="J20" t="s">
        <v>118</v>
      </c>
      <c r="K20">
        <v>100</v>
      </c>
      <c r="L20">
        <v>4065.9</v>
      </c>
      <c r="M20">
        <v>406590</v>
      </c>
      <c r="N20" t="s">
        <v>35</v>
      </c>
      <c r="O20">
        <v>0</v>
      </c>
    </row>
    <row r="21" spans="1:15">
      <c r="A21" t="s">
        <v>142</v>
      </c>
      <c r="B21">
        <v>20260814</v>
      </c>
      <c r="C21">
        <v>7011</v>
      </c>
      <c r="D21" t="s">
        <v>114</v>
      </c>
      <c r="E21" t="s">
        <v>45</v>
      </c>
      <c r="F21" t="s">
        <v>115</v>
      </c>
      <c r="G21" t="s">
        <v>46</v>
      </c>
      <c r="H21" t="s">
        <v>116</v>
      </c>
      <c r="I21" t="s">
        <v>123</v>
      </c>
      <c r="J21" t="s">
        <v>124</v>
      </c>
      <c r="K21">
        <v>100</v>
      </c>
      <c r="L21">
        <v>4066</v>
      </c>
      <c r="M21">
        <v>406600</v>
      </c>
      <c r="N21" t="s">
        <v>125</v>
      </c>
      <c r="O21">
        <v>0</v>
      </c>
    </row>
    <row r="22" spans="1:15">
      <c r="A22" t="s">
        <v>143</v>
      </c>
      <c r="B22">
        <v>20260814</v>
      </c>
      <c r="C22">
        <v>7011</v>
      </c>
      <c r="D22" t="s">
        <v>114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4065.9</v>
      </c>
      <c r="M22">
        <v>406590</v>
      </c>
      <c r="N22" t="s">
        <v>35</v>
      </c>
      <c r="O22">
        <v>0</v>
      </c>
    </row>
    <row r="23" spans="1:15">
      <c r="A23" t="s">
        <v>144</v>
      </c>
      <c r="B23">
        <v>20260814</v>
      </c>
      <c r="C23">
        <v>7011</v>
      </c>
      <c r="D23" t="s">
        <v>114</v>
      </c>
      <c r="E23" t="s">
        <v>45</v>
      </c>
      <c r="F23" t="s">
        <v>115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4073.1</v>
      </c>
      <c r="M23">
        <v>407310</v>
      </c>
      <c r="N23" t="s">
        <v>125</v>
      </c>
      <c r="O23">
        <v>0</v>
      </c>
    </row>
    <row r="24" spans="1:15">
      <c r="A24" t="s">
        <v>145</v>
      </c>
      <c r="B24">
        <v>20260814</v>
      </c>
      <c r="C24">
        <v>7011</v>
      </c>
      <c r="D24" t="s">
        <v>114</v>
      </c>
      <c r="E24" t="s">
        <v>45</v>
      </c>
      <c r="F24" t="s">
        <v>115</v>
      </c>
      <c r="G24" t="s">
        <v>46</v>
      </c>
      <c r="H24" t="s">
        <v>116</v>
      </c>
      <c r="I24" t="s">
        <v>117</v>
      </c>
      <c r="J24" t="s">
        <v>118</v>
      </c>
      <c r="K24">
        <v>100</v>
      </c>
      <c r="L24">
        <v>4076</v>
      </c>
      <c r="M24">
        <v>407600</v>
      </c>
      <c r="N24" t="s">
        <v>35</v>
      </c>
      <c r="O24">
        <v>0</v>
      </c>
    </row>
    <row r="25" spans="1:15">
      <c r="A25" s="1" t="s">
        <v>146</v>
      </c>
      <c r="B25" s="1">
        <v>20260814</v>
      </c>
      <c r="C25" s="1">
        <v>7011</v>
      </c>
      <c r="D25" s="1" t="s">
        <v>114</v>
      </c>
      <c r="E25" s="1" t="s">
        <v>45</v>
      </c>
      <c r="F25" s="1" t="s">
        <v>130</v>
      </c>
      <c r="G25" s="1" t="s">
        <v>46</v>
      </c>
      <c r="H25" s="1" t="s">
        <v>116</v>
      </c>
      <c r="I25" s="1" t="s">
        <v>123</v>
      </c>
      <c r="J25" s="1" t="s">
        <v>124</v>
      </c>
      <c r="K25" s="1">
        <v>100</v>
      </c>
      <c r="L25" s="1">
        <v>4066</v>
      </c>
      <c r="M25" s="1">
        <v>406600</v>
      </c>
      <c r="N25" s="1" t="s">
        <v>125</v>
      </c>
      <c r="O25" s="1">
        <v>0</v>
      </c>
    </row>
    <row r="26" spans="1:15">
      <c r="A26" s="1" t="s">
        <v>147</v>
      </c>
      <c r="B26" s="1">
        <v>20260814</v>
      </c>
      <c r="C26" s="1">
        <v>7011</v>
      </c>
      <c r="D26" s="1" t="s">
        <v>114</v>
      </c>
      <c r="E26" s="1" t="s">
        <v>45</v>
      </c>
      <c r="F26" s="1" t="s">
        <v>115</v>
      </c>
      <c r="G26" s="1" t="s">
        <v>46</v>
      </c>
      <c r="H26" s="1" t="s">
        <v>116</v>
      </c>
      <c r="I26" s="1" t="s">
        <v>117</v>
      </c>
      <c r="J26" s="1" t="s">
        <v>118</v>
      </c>
      <c r="K26" s="1">
        <v>100</v>
      </c>
      <c r="L26" s="1">
        <v>4067.3</v>
      </c>
      <c r="M26" s="1">
        <v>406730</v>
      </c>
      <c r="N26" s="1" t="s">
        <v>35</v>
      </c>
      <c r="O26" s="1">
        <v>0</v>
      </c>
    </row>
    <row r="27" spans="1:15">
      <c r="A27" s="1" t="s">
        <v>148</v>
      </c>
      <c r="B27" s="1">
        <v>20260814</v>
      </c>
      <c r="C27" s="1">
        <v>7012</v>
      </c>
      <c r="D27" s="1" t="s">
        <v>120</v>
      </c>
      <c r="E27" s="1" t="s">
        <v>45</v>
      </c>
      <c r="F27" s="1" t="s">
        <v>115</v>
      </c>
      <c r="G27" s="1" t="s">
        <v>46</v>
      </c>
      <c r="H27" s="1" t="s">
        <v>116</v>
      </c>
      <c r="I27" s="1" t="s">
        <v>123</v>
      </c>
      <c r="J27" s="1" t="s">
        <v>124</v>
      </c>
      <c r="K27" s="1">
        <v>100</v>
      </c>
      <c r="L27" s="1">
        <v>2744.3</v>
      </c>
      <c r="M27" s="1">
        <v>274430</v>
      </c>
      <c r="N27" s="1" t="s">
        <v>125</v>
      </c>
      <c r="O27" s="1">
        <v>0</v>
      </c>
    </row>
    <row r="28" spans="1:15">
      <c r="A28" s="1" t="s">
        <v>149</v>
      </c>
      <c r="B28" s="1">
        <v>20260814</v>
      </c>
      <c r="C28" s="1">
        <v>7011</v>
      </c>
      <c r="D28" s="1" t="s">
        <v>114</v>
      </c>
      <c r="E28" s="1" t="s">
        <v>45</v>
      </c>
      <c r="F28" s="1" t="s">
        <v>115</v>
      </c>
      <c r="G28" s="1" t="s">
        <v>46</v>
      </c>
      <c r="H28" s="1" t="s">
        <v>116</v>
      </c>
      <c r="I28" s="1" t="s">
        <v>123</v>
      </c>
      <c r="J28" s="1" t="s">
        <v>124</v>
      </c>
      <c r="K28" s="1">
        <v>100</v>
      </c>
      <c r="L28" s="1">
        <v>4072.8</v>
      </c>
      <c r="M28" s="1">
        <v>407280</v>
      </c>
      <c r="N28" s="1" t="s">
        <v>125</v>
      </c>
      <c r="O28" s="1">
        <v>0</v>
      </c>
    </row>
    <row r="29" spans="1:15">
      <c r="A29" s="1" t="s">
        <v>150</v>
      </c>
      <c r="B29" s="1">
        <v>20260814</v>
      </c>
      <c r="C29" s="1">
        <v>7012</v>
      </c>
      <c r="D29" s="1" t="s">
        <v>120</v>
      </c>
      <c r="E29" s="1" t="s">
        <v>45</v>
      </c>
      <c r="F29" s="1" t="s">
        <v>115</v>
      </c>
      <c r="G29" s="1" t="s">
        <v>46</v>
      </c>
      <c r="H29" s="1" t="s">
        <v>116</v>
      </c>
      <c r="I29" s="1" t="s">
        <v>117</v>
      </c>
      <c r="J29" s="1" t="s">
        <v>118</v>
      </c>
      <c r="K29" s="1">
        <v>100</v>
      </c>
      <c r="L29" s="1">
        <v>2745.9</v>
      </c>
      <c r="M29" s="1">
        <v>274590</v>
      </c>
      <c r="N29" s="1" t="s">
        <v>35</v>
      </c>
      <c r="O29" s="1">
        <v>0</v>
      </c>
    </row>
    <row r="30" spans="1:15">
      <c r="A30" s="1" t="s">
        <v>151</v>
      </c>
      <c r="B30" s="1">
        <v>20260814</v>
      </c>
      <c r="C30" s="1">
        <v>3436</v>
      </c>
      <c r="D30" s="1" t="s">
        <v>152</v>
      </c>
      <c r="E30" s="1" t="s">
        <v>45</v>
      </c>
      <c r="F30" s="1" t="s">
        <v>115</v>
      </c>
      <c r="G30" s="1" t="s">
        <v>46</v>
      </c>
      <c r="H30" s="1" t="s">
        <v>116</v>
      </c>
      <c r="I30" s="1" t="s">
        <v>117</v>
      </c>
      <c r="J30" s="1" t="s">
        <v>118</v>
      </c>
      <c r="K30" s="1">
        <v>100</v>
      </c>
      <c r="L30" s="1">
        <v>3601</v>
      </c>
      <c r="M30" s="1">
        <v>360100</v>
      </c>
      <c r="N30" s="1" t="s">
        <v>35</v>
      </c>
      <c r="O30" s="1">
        <v>0</v>
      </c>
    </row>
    <row r="31" spans="1:15">
      <c r="A31" s="1" t="s">
        <v>153</v>
      </c>
      <c r="B31" s="1">
        <v>20260814</v>
      </c>
      <c r="C31" s="1">
        <v>7012</v>
      </c>
      <c r="D31" s="1" t="s">
        <v>120</v>
      </c>
      <c r="E31" s="1" t="s">
        <v>45</v>
      </c>
      <c r="F31" s="1" t="s">
        <v>130</v>
      </c>
      <c r="G31" s="1" t="s">
        <v>46</v>
      </c>
      <c r="H31" s="1" t="s">
        <v>116</v>
      </c>
      <c r="I31" s="1" t="s">
        <v>123</v>
      </c>
      <c r="J31" s="1" t="s">
        <v>124</v>
      </c>
      <c r="K31" s="1">
        <v>100</v>
      </c>
      <c r="L31" s="1">
        <v>2744</v>
      </c>
      <c r="M31" s="1">
        <v>274400</v>
      </c>
      <c r="N31" s="1" t="s">
        <v>125</v>
      </c>
      <c r="O31" s="1">
        <v>0</v>
      </c>
    </row>
    <row r="32" spans="1:15">
      <c r="A32" s="1" t="s">
        <v>154</v>
      </c>
      <c r="B32" s="1">
        <v>20260814</v>
      </c>
      <c r="C32" s="1">
        <v>3436</v>
      </c>
      <c r="D32" s="1" t="s">
        <v>152</v>
      </c>
      <c r="E32" s="1" t="s">
        <v>45</v>
      </c>
      <c r="F32" s="1" t="s">
        <v>115</v>
      </c>
      <c r="G32" s="1" t="s">
        <v>46</v>
      </c>
      <c r="H32" s="1" t="s">
        <v>116</v>
      </c>
      <c r="I32" s="1" t="s">
        <v>123</v>
      </c>
      <c r="J32" s="1" t="s">
        <v>124</v>
      </c>
      <c r="K32" s="1">
        <v>100</v>
      </c>
      <c r="L32" s="1">
        <v>3609</v>
      </c>
      <c r="M32" s="1">
        <v>360900</v>
      </c>
      <c r="N32" s="1" t="s">
        <v>125</v>
      </c>
      <c r="O32" s="1">
        <v>0</v>
      </c>
    </row>
    <row r="33" spans="1:15">
      <c r="A33" s="1" t="s">
        <v>155</v>
      </c>
      <c r="B33" s="1">
        <v>20260814</v>
      </c>
      <c r="C33" s="1">
        <v>3436</v>
      </c>
      <c r="D33" s="1" t="s">
        <v>152</v>
      </c>
      <c r="E33" s="1" t="s">
        <v>45</v>
      </c>
      <c r="F33" s="1" t="s">
        <v>115</v>
      </c>
      <c r="G33" s="1" t="s">
        <v>46</v>
      </c>
      <c r="H33" s="1" t="s">
        <v>116</v>
      </c>
      <c r="I33" s="1" t="s">
        <v>117</v>
      </c>
      <c r="J33" s="1" t="s">
        <v>118</v>
      </c>
      <c r="K33" s="1">
        <v>100</v>
      </c>
      <c r="L33" s="1">
        <v>3607.8</v>
      </c>
      <c r="M33" s="1">
        <v>360780</v>
      </c>
      <c r="N33" s="1" t="s">
        <v>35</v>
      </c>
      <c r="O33" s="1">
        <v>0</v>
      </c>
    </row>
    <row r="34" spans="1:15">
      <c r="A34" s="1" t="s">
        <v>156</v>
      </c>
      <c r="B34" s="1">
        <v>20260814</v>
      </c>
      <c r="C34" s="1">
        <v>7012</v>
      </c>
      <c r="D34" s="1" t="s">
        <v>120</v>
      </c>
      <c r="E34" s="1" t="s">
        <v>45</v>
      </c>
      <c r="F34" s="1" t="s">
        <v>115</v>
      </c>
      <c r="G34" s="1" t="s">
        <v>46</v>
      </c>
      <c r="H34" s="1" t="s">
        <v>116</v>
      </c>
      <c r="I34" s="1" t="s">
        <v>117</v>
      </c>
      <c r="J34" s="1" t="s">
        <v>118</v>
      </c>
      <c r="K34" s="1">
        <v>100</v>
      </c>
      <c r="L34" s="1">
        <v>2745.5</v>
      </c>
      <c r="M34" s="1">
        <v>274550</v>
      </c>
      <c r="N34" s="1" t="s">
        <v>35</v>
      </c>
      <c r="O34" s="1">
        <v>0</v>
      </c>
    </row>
    <row r="35" spans="1:15">
      <c r="A35" s="1" t="s">
        <v>157</v>
      </c>
      <c r="B35" s="1">
        <v>20260814</v>
      </c>
      <c r="C35" s="1">
        <v>7012</v>
      </c>
      <c r="D35" s="1" t="s">
        <v>120</v>
      </c>
      <c r="E35" s="1" t="s">
        <v>45</v>
      </c>
      <c r="F35" s="1" t="s">
        <v>115</v>
      </c>
      <c r="G35" s="1" t="s">
        <v>46</v>
      </c>
      <c r="H35" s="1" t="s">
        <v>116</v>
      </c>
      <c r="I35" s="1" t="s">
        <v>123</v>
      </c>
      <c r="J35" s="1" t="s">
        <v>124</v>
      </c>
      <c r="K35" s="1">
        <v>100</v>
      </c>
      <c r="L35" s="1">
        <v>2742.6</v>
      </c>
      <c r="M35" s="1">
        <v>274260</v>
      </c>
      <c r="N35" s="1" t="s">
        <v>125</v>
      </c>
      <c r="O35" s="1">
        <v>0</v>
      </c>
    </row>
    <row r="36" spans="1:15">
      <c r="A36" t="s">
        <v>158</v>
      </c>
      <c r="B36">
        <v>20260814</v>
      </c>
      <c r="C36">
        <v>3436</v>
      </c>
      <c r="D36" t="s">
        <v>152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3654.4</v>
      </c>
      <c r="M36">
        <v>365440</v>
      </c>
      <c r="N36" t="s">
        <v>35</v>
      </c>
      <c r="O36">
        <v>0</v>
      </c>
    </row>
    <row r="37" spans="1:15">
      <c r="A37" t="s">
        <v>159</v>
      </c>
      <c r="B37">
        <v>20260814</v>
      </c>
      <c r="C37">
        <v>5016</v>
      </c>
      <c r="D37" t="s">
        <v>139</v>
      </c>
      <c r="E37" t="s">
        <v>45</v>
      </c>
      <c r="F37" t="s">
        <v>115</v>
      </c>
      <c r="G37" t="s">
        <v>46</v>
      </c>
      <c r="H37" t="s">
        <v>116</v>
      </c>
      <c r="I37" t="s">
        <v>123</v>
      </c>
      <c r="J37" t="s">
        <v>124</v>
      </c>
      <c r="K37">
        <v>100</v>
      </c>
      <c r="L37">
        <v>3784.9</v>
      </c>
      <c r="M37">
        <v>378490</v>
      </c>
      <c r="N37" t="s">
        <v>125</v>
      </c>
      <c r="O37">
        <v>0</v>
      </c>
    </row>
    <row r="38" spans="1:15">
      <c r="A38" t="s">
        <v>160</v>
      </c>
      <c r="B38">
        <v>20260814</v>
      </c>
      <c r="C38">
        <v>3436</v>
      </c>
      <c r="D38" t="s">
        <v>152</v>
      </c>
      <c r="E38" t="s">
        <v>45</v>
      </c>
      <c r="F38" t="s">
        <v>115</v>
      </c>
      <c r="G38" t="s">
        <v>46</v>
      </c>
      <c r="H38" t="s">
        <v>116</v>
      </c>
      <c r="I38" t="s">
        <v>123</v>
      </c>
      <c r="J38" t="s">
        <v>124</v>
      </c>
      <c r="K38">
        <v>100</v>
      </c>
      <c r="L38">
        <v>3653.4</v>
      </c>
      <c r="M38">
        <v>365340</v>
      </c>
      <c r="N38" t="s">
        <v>125</v>
      </c>
      <c r="O38">
        <v>0</v>
      </c>
    </row>
    <row r="39" spans="1:15">
      <c r="A39" t="s">
        <v>161</v>
      </c>
      <c r="B39">
        <v>20260814</v>
      </c>
      <c r="C39">
        <v>3436</v>
      </c>
      <c r="D39" t="s">
        <v>152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3640.2</v>
      </c>
      <c r="M39">
        <v>364020</v>
      </c>
      <c r="N39" t="s">
        <v>125</v>
      </c>
      <c r="O39">
        <v>0</v>
      </c>
    </row>
    <row r="40" spans="1:15">
      <c r="A40" t="s">
        <v>162</v>
      </c>
      <c r="B40">
        <v>20260814</v>
      </c>
      <c r="C40">
        <v>3436</v>
      </c>
      <c r="D40" t="s">
        <v>152</v>
      </c>
      <c r="E40" t="s">
        <v>45</v>
      </c>
      <c r="F40" t="s">
        <v>130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3642</v>
      </c>
      <c r="M40">
        <v>364200</v>
      </c>
      <c r="N40" t="s">
        <v>35</v>
      </c>
      <c r="O40">
        <v>0</v>
      </c>
    </row>
    <row r="41" spans="1:15">
      <c r="A41" t="s">
        <v>163</v>
      </c>
      <c r="B41">
        <v>20260814</v>
      </c>
      <c r="C41">
        <v>3436</v>
      </c>
      <c r="D41" t="s">
        <v>152</v>
      </c>
      <c r="E41" t="s">
        <v>45</v>
      </c>
      <c r="F41" t="s">
        <v>115</v>
      </c>
      <c r="G41" t="s">
        <v>46</v>
      </c>
      <c r="H41" t="s">
        <v>116</v>
      </c>
      <c r="I41" t="s">
        <v>123</v>
      </c>
      <c r="J41" t="s">
        <v>124</v>
      </c>
      <c r="K41">
        <v>100</v>
      </c>
      <c r="L41">
        <v>3646.7</v>
      </c>
      <c r="M41">
        <v>364670</v>
      </c>
      <c r="N41" t="s">
        <v>125</v>
      </c>
      <c r="O41">
        <v>0</v>
      </c>
    </row>
    <row r="42" spans="1:15">
      <c r="A42" t="s">
        <v>164</v>
      </c>
      <c r="B42">
        <v>20260814</v>
      </c>
      <c r="C42">
        <v>6613</v>
      </c>
      <c r="D42" t="s">
        <v>165</v>
      </c>
      <c r="E42" t="s">
        <v>45</v>
      </c>
      <c r="F42" t="s">
        <v>130</v>
      </c>
      <c r="G42" t="s">
        <v>46</v>
      </c>
      <c r="H42" t="s">
        <v>116</v>
      </c>
      <c r="I42" t="s">
        <v>117</v>
      </c>
      <c r="J42" t="s">
        <v>118</v>
      </c>
      <c r="K42">
        <v>200</v>
      </c>
      <c r="L42">
        <v>1724</v>
      </c>
      <c r="M42">
        <v>344800</v>
      </c>
      <c r="N42" t="s">
        <v>35</v>
      </c>
      <c r="O42">
        <v>0</v>
      </c>
    </row>
    <row r="43" spans="1:15">
      <c r="A43" t="s">
        <v>166</v>
      </c>
      <c r="B43">
        <v>20260814</v>
      </c>
      <c r="C43">
        <v>5016</v>
      </c>
      <c r="D43" t="s">
        <v>139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3796.8</v>
      </c>
      <c r="M43">
        <v>379680</v>
      </c>
      <c r="N43" t="s">
        <v>35</v>
      </c>
      <c r="O43">
        <v>0</v>
      </c>
    </row>
    <row r="44" spans="1:15">
      <c r="A44" t="s">
        <v>167</v>
      </c>
      <c r="B44">
        <v>20260814</v>
      </c>
      <c r="C44">
        <v>6613</v>
      </c>
      <c r="D44" t="s">
        <v>165</v>
      </c>
      <c r="E44" t="s">
        <v>45</v>
      </c>
      <c r="F44" t="s">
        <v>130</v>
      </c>
      <c r="G44" t="s">
        <v>46</v>
      </c>
      <c r="H44" t="s">
        <v>116</v>
      </c>
      <c r="I44" t="s">
        <v>117</v>
      </c>
      <c r="J44" t="s">
        <v>118</v>
      </c>
      <c r="K44">
        <v>100</v>
      </c>
      <c r="L44">
        <v>1795</v>
      </c>
      <c r="M44">
        <v>179500</v>
      </c>
      <c r="N44" t="s">
        <v>35</v>
      </c>
      <c r="O44">
        <v>0</v>
      </c>
    </row>
    <row r="45" spans="1:15">
      <c r="A45" t="s">
        <v>168</v>
      </c>
      <c r="B45">
        <v>20260814</v>
      </c>
      <c r="C45">
        <v>6613</v>
      </c>
      <c r="D45" t="s">
        <v>165</v>
      </c>
      <c r="E45" t="s">
        <v>45</v>
      </c>
      <c r="F45" t="s">
        <v>115</v>
      </c>
      <c r="G45" t="s">
        <v>46</v>
      </c>
      <c r="H45" t="s">
        <v>116</v>
      </c>
      <c r="I45" t="s">
        <v>123</v>
      </c>
      <c r="J45" t="s">
        <v>124</v>
      </c>
      <c r="K45">
        <v>300</v>
      </c>
      <c r="L45">
        <v>1760.9</v>
      </c>
      <c r="M45">
        <v>528270</v>
      </c>
      <c r="N45" t="s">
        <v>125</v>
      </c>
      <c r="O45">
        <v>0</v>
      </c>
    </row>
    <row r="46" spans="1:15">
      <c r="A46" t="s">
        <v>169</v>
      </c>
      <c r="B46">
        <v>20260814</v>
      </c>
      <c r="C46">
        <v>3436</v>
      </c>
      <c r="D46" t="s">
        <v>152</v>
      </c>
      <c r="E46" t="s">
        <v>45</v>
      </c>
      <c r="F46" t="s">
        <v>115</v>
      </c>
      <c r="G46" t="s">
        <v>46</v>
      </c>
      <c r="H46" t="s">
        <v>116</v>
      </c>
      <c r="I46" t="s">
        <v>117</v>
      </c>
      <c r="J46" t="s">
        <v>118</v>
      </c>
      <c r="K46">
        <v>100</v>
      </c>
      <c r="L46">
        <v>3629.9</v>
      </c>
      <c r="M46">
        <v>362990</v>
      </c>
      <c r="N46" t="s">
        <v>35</v>
      </c>
      <c r="O46">
        <v>0</v>
      </c>
    </row>
    <row r="47" spans="1:15">
      <c r="A47" t="s">
        <v>170</v>
      </c>
      <c r="B47">
        <v>20260814</v>
      </c>
      <c r="C47">
        <v>3436</v>
      </c>
      <c r="D47" t="s">
        <v>152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3615.1</v>
      </c>
      <c r="M47">
        <v>361510</v>
      </c>
      <c r="N47" t="s">
        <v>125</v>
      </c>
      <c r="O47">
        <v>0</v>
      </c>
    </row>
    <row r="48" spans="1:15">
      <c r="A48" t="s">
        <v>171</v>
      </c>
      <c r="B48">
        <v>20260814</v>
      </c>
      <c r="C48">
        <v>8136</v>
      </c>
      <c r="D48" t="s">
        <v>172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1180.4000000000001</v>
      </c>
      <c r="M48">
        <v>118040</v>
      </c>
      <c r="N48" t="s">
        <v>35</v>
      </c>
      <c r="O48">
        <v>0</v>
      </c>
    </row>
    <row r="49" spans="1:15">
      <c r="A49" t="s">
        <v>173</v>
      </c>
      <c r="B49">
        <v>20260814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100</v>
      </c>
      <c r="L49">
        <v>3820.1</v>
      </c>
      <c r="M49">
        <v>382010</v>
      </c>
      <c r="N49" t="s">
        <v>125</v>
      </c>
      <c r="O49">
        <v>0</v>
      </c>
    </row>
    <row r="50" spans="1:15">
      <c r="A50" s="1" t="s">
        <v>174</v>
      </c>
      <c r="B50" s="1">
        <v>20260814</v>
      </c>
      <c r="C50" s="1">
        <v>6613</v>
      </c>
      <c r="D50" s="1" t="s">
        <v>165</v>
      </c>
      <c r="E50" s="1" t="s">
        <v>45</v>
      </c>
      <c r="F50" s="1" t="s">
        <v>130</v>
      </c>
      <c r="G50" s="1" t="s">
        <v>46</v>
      </c>
      <c r="H50" s="1" t="s">
        <v>116</v>
      </c>
      <c r="I50" s="1" t="s">
        <v>117</v>
      </c>
      <c r="J50" s="1" t="s">
        <v>118</v>
      </c>
      <c r="K50" s="1">
        <v>100</v>
      </c>
      <c r="L50" s="1">
        <v>1785</v>
      </c>
      <c r="M50" s="1">
        <v>178500</v>
      </c>
      <c r="N50" s="1" t="s">
        <v>35</v>
      </c>
      <c r="O50" s="1">
        <v>0</v>
      </c>
    </row>
    <row r="51" spans="1:15">
      <c r="A51" t="s">
        <v>175</v>
      </c>
      <c r="B51">
        <v>20260814</v>
      </c>
      <c r="C51">
        <v>5803</v>
      </c>
      <c r="D51" t="s">
        <v>176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5741.9</v>
      </c>
      <c r="M51">
        <v>574190</v>
      </c>
      <c r="N51" t="s">
        <v>35</v>
      </c>
      <c r="O51">
        <v>0</v>
      </c>
    </row>
    <row r="52" spans="1:15">
      <c r="A52" s="1" t="s">
        <v>177</v>
      </c>
      <c r="B52" s="1">
        <v>20260814</v>
      </c>
      <c r="C52" s="1">
        <v>5016</v>
      </c>
      <c r="D52" s="1" t="s">
        <v>139</v>
      </c>
      <c r="E52" s="1" t="s">
        <v>45</v>
      </c>
      <c r="F52" s="1" t="s">
        <v>115</v>
      </c>
      <c r="G52" s="1" t="s">
        <v>46</v>
      </c>
      <c r="H52" s="1" t="s">
        <v>116</v>
      </c>
      <c r="I52" s="1" t="s">
        <v>117</v>
      </c>
      <c r="J52" s="1" t="s">
        <v>118</v>
      </c>
      <c r="K52" s="1">
        <v>100</v>
      </c>
      <c r="L52" s="1">
        <v>3876</v>
      </c>
      <c r="M52" s="1">
        <v>387600</v>
      </c>
      <c r="N52" s="1" t="s">
        <v>35</v>
      </c>
      <c r="O52" s="1">
        <v>0</v>
      </c>
    </row>
    <row r="53" spans="1:15">
      <c r="A53" t="s">
        <v>178</v>
      </c>
      <c r="B53">
        <v>20260814</v>
      </c>
      <c r="C53">
        <v>5803</v>
      </c>
      <c r="D53" t="s">
        <v>176</v>
      </c>
      <c r="E53" t="s">
        <v>45</v>
      </c>
      <c r="F53" t="s">
        <v>115</v>
      </c>
      <c r="G53" t="s">
        <v>46</v>
      </c>
      <c r="H53" t="s">
        <v>116</v>
      </c>
      <c r="I53" t="s">
        <v>123</v>
      </c>
      <c r="J53" t="s">
        <v>124</v>
      </c>
      <c r="K53">
        <v>100</v>
      </c>
      <c r="L53">
        <v>5749.1</v>
      </c>
      <c r="M53">
        <v>574910</v>
      </c>
      <c r="N53" t="s">
        <v>125</v>
      </c>
      <c r="O53">
        <v>0</v>
      </c>
    </row>
    <row r="54" spans="1:15">
      <c r="A54" t="s">
        <v>179</v>
      </c>
      <c r="B54">
        <v>20260814</v>
      </c>
      <c r="C54">
        <v>8136</v>
      </c>
      <c r="D54" t="s">
        <v>172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1188.0999999999999</v>
      </c>
      <c r="M54">
        <v>118810</v>
      </c>
      <c r="N54" t="s">
        <v>125</v>
      </c>
      <c r="O54">
        <v>0</v>
      </c>
    </row>
    <row r="55" spans="1:15">
      <c r="A55" t="s">
        <v>180</v>
      </c>
      <c r="B55">
        <v>20260814</v>
      </c>
      <c r="C55">
        <v>4063</v>
      </c>
      <c r="D55" t="s">
        <v>181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6384</v>
      </c>
      <c r="M55">
        <v>638400</v>
      </c>
      <c r="N55" t="s">
        <v>35</v>
      </c>
      <c r="O55">
        <v>0</v>
      </c>
    </row>
    <row r="56" spans="1:15">
      <c r="A56" t="s">
        <v>182</v>
      </c>
      <c r="B56">
        <v>20260814</v>
      </c>
      <c r="C56">
        <v>6613</v>
      </c>
      <c r="D56" t="s">
        <v>165</v>
      </c>
      <c r="E56" t="s">
        <v>45</v>
      </c>
      <c r="F56" t="s">
        <v>130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1767</v>
      </c>
      <c r="M56">
        <v>176700</v>
      </c>
      <c r="N56" t="s">
        <v>125</v>
      </c>
      <c r="O56">
        <v>0</v>
      </c>
    </row>
    <row r="57" spans="1:15">
      <c r="A57" t="s">
        <v>183</v>
      </c>
      <c r="B57">
        <v>20260814</v>
      </c>
      <c r="C57">
        <v>4063</v>
      </c>
      <c r="D57" t="s">
        <v>181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6387.2</v>
      </c>
      <c r="M57">
        <v>638720</v>
      </c>
      <c r="N57" t="s">
        <v>125</v>
      </c>
      <c r="O57">
        <v>0</v>
      </c>
    </row>
    <row r="58" spans="1:15">
      <c r="A58" t="s">
        <v>184</v>
      </c>
      <c r="B58">
        <v>20260814</v>
      </c>
      <c r="C58">
        <v>4063</v>
      </c>
      <c r="D58" t="s">
        <v>181</v>
      </c>
      <c r="E58" t="s">
        <v>45</v>
      </c>
      <c r="F58" t="s">
        <v>130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6396</v>
      </c>
      <c r="M58">
        <v>639600</v>
      </c>
      <c r="N58" t="s">
        <v>35</v>
      </c>
      <c r="O58">
        <v>0</v>
      </c>
    </row>
    <row r="59" spans="1:15">
      <c r="A59" t="s">
        <v>185</v>
      </c>
      <c r="B59">
        <v>20260814</v>
      </c>
      <c r="C59">
        <v>5016</v>
      </c>
      <c r="D59" t="s">
        <v>139</v>
      </c>
      <c r="E59" t="s">
        <v>45</v>
      </c>
      <c r="F59" t="s">
        <v>186</v>
      </c>
      <c r="G59" t="s">
        <v>46</v>
      </c>
      <c r="H59" t="s">
        <v>116</v>
      </c>
      <c r="I59" t="s">
        <v>123</v>
      </c>
      <c r="J59" t="s">
        <v>124</v>
      </c>
      <c r="K59">
        <v>100</v>
      </c>
      <c r="L59">
        <v>3858.1</v>
      </c>
      <c r="M59">
        <v>385810</v>
      </c>
      <c r="N59" t="s">
        <v>125</v>
      </c>
      <c r="O59">
        <v>0</v>
      </c>
    </row>
    <row r="60" spans="1:15">
      <c r="A60" t="s">
        <v>187</v>
      </c>
      <c r="B60">
        <v>20260814</v>
      </c>
      <c r="C60">
        <v>4063</v>
      </c>
      <c r="D60" t="s">
        <v>181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6378.5</v>
      </c>
      <c r="M60">
        <v>637850</v>
      </c>
      <c r="N60" t="s">
        <v>125</v>
      </c>
      <c r="O60">
        <v>0</v>
      </c>
    </row>
    <row r="61" spans="1:15">
      <c r="A61" t="s">
        <v>188</v>
      </c>
      <c r="B61">
        <v>20260814</v>
      </c>
      <c r="C61">
        <v>4063</v>
      </c>
      <c r="D61" t="s">
        <v>181</v>
      </c>
      <c r="E61" t="s">
        <v>45</v>
      </c>
      <c r="F61" t="s">
        <v>115</v>
      </c>
      <c r="G61" t="s">
        <v>46</v>
      </c>
      <c r="H61" t="s">
        <v>116</v>
      </c>
      <c r="I61" t="s">
        <v>117</v>
      </c>
      <c r="J61" t="s">
        <v>118</v>
      </c>
      <c r="K61">
        <v>100</v>
      </c>
      <c r="L61">
        <v>6386.9</v>
      </c>
      <c r="M61">
        <v>638690</v>
      </c>
      <c r="N61" t="s">
        <v>35</v>
      </c>
      <c r="O61">
        <v>0</v>
      </c>
    </row>
    <row r="62" spans="1:15">
      <c r="A62" t="s">
        <v>189</v>
      </c>
      <c r="B62">
        <v>20260814</v>
      </c>
      <c r="C62">
        <v>4063</v>
      </c>
      <c r="D62" t="s">
        <v>181</v>
      </c>
      <c r="E62" t="s">
        <v>45</v>
      </c>
      <c r="F62" t="s">
        <v>130</v>
      </c>
      <c r="G62" t="s">
        <v>46</v>
      </c>
      <c r="H62" t="s">
        <v>116</v>
      </c>
      <c r="I62" t="s">
        <v>123</v>
      </c>
      <c r="J62" t="s">
        <v>124</v>
      </c>
      <c r="K62">
        <v>100</v>
      </c>
      <c r="L62">
        <v>6392</v>
      </c>
      <c r="M62">
        <v>639200</v>
      </c>
      <c r="N62" t="s">
        <v>125</v>
      </c>
      <c r="O62">
        <v>0</v>
      </c>
    </row>
    <row r="63" spans="1:15">
      <c r="A63" t="s">
        <v>190</v>
      </c>
      <c r="B63">
        <v>20260814</v>
      </c>
      <c r="C63">
        <v>9984</v>
      </c>
      <c r="D63" t="s">
        <v>191</v>
      </c>
      <c r="E63" t="s">
        <v>45</v>
      </c>
      <c r="F63" t="s">
        <v>130</v>
      </c>
      <c r="G63" t="s">
        <v>46</v>
      </c>
      <c r="H63" t="s">
        <v>116</v>
      </c>
      <c r="I63" t="s">
        <v>117</v>
      </c>
      <c r="J63" t="s">
        <v>118</v>
      </c>
      <c r="K63">
        <v>100</v>
      </c>
      <c r="L63">
        <v>5526</v>
      </c>
      <c r="M63">
        <v>552600</v>
      </c>
      <c r="N63" t="s">
        <v>35</v>
      </c>
      <c r="O63">
        <v>0</v>
      </c>
    </row>
    <row r="64" spans="1:15">
      <c r="A64" t="s">
        <v>192</v>
      </c>
      <c r="B64">
        <v>20260814</v>
      </c>
      <c r="C64">
        <v>9984</v>
      </c>
      <c r="D64" t="s">
        <v>191</v>
      </c>
      <c r="E64" t="s">
        <v>45</v>
      </c>
      <c r="F64" t="s">
        <v>130</v>
      </c>
      <c r="G64" t="s">
        <v>46</v>
      </c>
      <c r="H64" t="s">
        <v>116</v>
      </c>
      <c r="I64" t="s">
        <v>123</v>
      </c>
      <c r="J64" t="s">
        <v>124</v>
      </c>
      <c r="K64">
        <v>100</v>
      </c>
      <c r="L64">
        <v>5530</v>
      </c>
      <c r="M64">
        <v>553000</v>
      </c>
      <c r="N64" t="s">
        <v>125</v>
      </c>
      <c r="O64">
        <v>0</v>
      </c>
    </row>
    <row r="65" spans="1:15">
      <c r="A65" t="s">
        <v>193</v>
      </c>
      <c r="B65">
        <v>20260814</v>
      </c>
      <c r="C65">
        <v>6988</v>
      </c>
      <c r="D65" t="s">
        <v>194</v>
      </c>
      <c r="E65" t="s">
        <v>45</v>
      </c>
      <c r="F65" t="s">
        <v>130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3563</v>
      </c>
      <c r="M65">
        <v>356300</v>
      </c>
      <c r="N65" t="s">
        <v>35</v>
      </c>
      <c r="O65">
        <v>0</v>
      </c>
    </row>
    <row r="66" spans="1:15">
      <c r="A66" t="s">
        <v>195</v>
      </c>
      <c r="B66">
        <v>20260814</v>
      </c>
      <c r="C66">
        <v>6988</v>
      </c>
      <c r="D66" t="s">
        <v>194</v>
      </c>
      <c r="E66" t="s">
        <v>45</v>
      </c>
      <c r="F66" t="s">
        <v>130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3569</v>
      </c>
      <c r="M66">
        <v>356900</v>
      </c>
      <c r="N66" t="s">
        <v>125</v>
      </c>
      <c r="O66">
        <v>0</v>
      </c>
    </row>
    <row r="67" spans="1:15">
      <c r="A67" s="1" t="s">
        <v>78</v>
      </c>
      <c r="B67" s="1" t="s">
        <v>78</v>
      </c>
      <c r="C67" s="1" t="s">
        <v>78</v>
      </c>
      <c r="D67" s="1" t="s">
        <v>78</v>
      </c>
      <c r="E67" s="1" t="s">
        <v>78</v>
      </c>
      <c r="F67" s="1" t="s">
        <v>78</v>
      </c>
      <c r="G67" s="1" t="s">
        <v>78</v>
      </c>
      <c r="H67" s="1" t="s">
        <v>78</v>
      </c>
      <c r="I67" s="1" t="s">
        <v>78</v>
      </c>
      <c r="J67" s="1" t="s">
        <v>78</v>
      </c>
      <c r="K67" s="1" t="s">
        <v>78</v>
      </c>
      <c r="L67" s="1" t="s">
        <v>78</v>
      </c>
      <c r="M67" s="1" t="s">
        <v>78</v>
      </c>
      <c r="N67" s="1" t="s">
        <v>78</v>
      </c>
      <c r="O67" s="1" t="s">
        <v>78</v>
      </c>
    </row>
    <row r="69" spans="1:15">
      <c r="A69" s="1" t="s">
        <v>673</v>
      </c>
      <c r="B69" s="1">
        <v>20260904</v>
      </c>
      <c r="C69" s="1">
        <v>7012</v>
      </c>
      <c r="D69" s="1" t="s">
        <v>120</v>
      </c>
      <c r="E69" s="1" t="s">
        <v>45</v>
      </c>
      <c r="F69" s="1" t="s">
        <v>130</v>
      </c>
      <c r="G69" s="1" t="s">
        <v>46</v>
      </c>
      <c r="H69" s="1" t="s">
        <v>116</v>
      </c>
      <c r="I69" s="1" t="s">
        <v>117</v>
      </c>
      <c r="J69" s="1" t="s">
        <v>118</v>
      </c>
      <c r="K69" s="1">
        <v>100</v>
      </c>
      <c r="L69" s="1">
        <v>2446.5</v>
      </c>
      <c r="M69" s="1">
        <v>244650</v>
      </c>
      <c r="N69" s="1" t="s">
        <v>35</v>
      </c>
      <c r="O69" s="1">
        <v>0</v>
      </c>
    </row>
    <row r="70" spans="1:15">
      <c r="A70" t="s">
        <v>671</v>
      </c>
      <c r="B70">
        <v>20260904</v>
      </c>
      <c r="C70">
        <v>7012</v>
      </c>
      <c r="D70" t="s">
        <v>120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2458.9</v>
      </c>
      <c r="M70">
        <v>245890</v>
      </c>
      <c r="N70" t="s">
        <v>125</v>
      </c>
      <c r="O70">
        <v>0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0713-3839-4EF2-AC3A-4AFF405FA6D8}">
  <dimension ref="A1:O86"/>
  <sheetViews>
    <sheetView workbookViewId="0">
      <selection activeCell="C87" sqref="C87"/>
    </sheetView>
  </sheetViews>
  <sheetFormatPr defaultRowHeight="18.75"/>
  <cols>
    <col min="1" max="1" width="19.25" customWidth="1"/>
    <col min="2" max="2" width="13" customWidth="1"/>
  </cols>
  <sheetData>
    <row r="1" spans="1:15">
      <c r="A1" t="s">
        <v>196</v>
      </c>
    </row>
    <row r="2" spans="1:15">
      <c r="A2" t="s">
        <v>108</v>
      </c>
      <c r="B2" t="s">
        <v>109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17</v>
      </c>
      <c r="J2" t="s">
        <v>662</v>
      </c>
      <c r="K2" t="s">
        <v>21</v>
      </c>
      <c r="L2" t="s">
        <v>110</v>
      </c>
      <c r="M2" t="s">
        <v>111</v>
      </c>
      <c r="N2" t="s">
        <v>27</v>
      </c>
      <c r="O2" t="s">
        <v>112</v>
      </c>
    </row>
    <row r="3" spans="1:15">
      <c r="A3" s="6">
        <v>46268.489386574074</v>
      </c>
      <c r="B3" s="1">
        <v>20260907</v>
      </c>
      <c r="C3" s="1">
        <v>7203</v>
      </c>
      <c r="D3" s="1" t="s">
        <v>520</v>
      </c>
      <c r="E3" s="1" t="s">
        <v>36</v>
      </c>
      <c r="F3" s="1" t="s">
        <v>524</v>
      </c>
      <c r="G3" s="1" t="s">
        <v>38</v>
      </c>
      <c r="H3" s="1" t="s">
        <v>522</v>
      </c>
      <c r="I3" s="1" t="s">
        <v>521</v>
      </c>
      <c r="J3" s="1" t="s">
        <v>674</v>
      </c>
      <c r="K3" s="1">
        <v>100</v>
      </c>
      <c r="L3" s="1">
        <v>2997</v>
      </c>
      <c r="M3" s="1">
        <v>299700</v>
      </c>
      <c r="N3" s="1" t="s">
        <v>675</v>
      </c>
      <c r="O3" s="1">
        <v>0</v>
      </c>
    </row>
    <row r="4" spans="1:15">
      <c r="A4" s="6">
        <v>46268.494513888887</v>
      </c>
      <c r="B4" s="1">
        <v>20260907</v>
      </c>
      <c r="C4" s="1">
        <v>7203</v>
      </c>
      <c r="D4" s="1" t="s">
        <v>520</v>
      </c>
      <c r="E4" s="1" t="s">
        <v>36</v>
      </c>
      <c r="F4" s="1" t="s">
        <v>524</v>
      </c>
      <c r="G4" s="1" t="s">
        <v>38</v>
      </c>
      <c r="H4" s="1" t="s">
        <v>522</v>
      </c>
      <c r="I4" s="1" t="s">
        <v>521</v>
      </c>
      <c r="J4" s="1" t="s">
        <v>674</v>
      </c>
      <c r="K4" s="1">
        <v>100</v>
      </c>
      <c r="L4" s="1">
        <v>2997</v>
      </c>
      <c r="M4" s="1">
        <v>299700</v>
      </c>
      <c r="N4" s="1" t="s">
        <v>675</v>
      </c>
      <c r="O4" s="1">
        <v>0</v>
      </c>
    </row>
    <row r="5" spans="1:15">
      <c r="A5" s="6">
        <v>46268.564282407409</v>
      </c>
      <c r="B5" s="1">
        <v>20260907</v>
      </c>
      <c r="C5" s="1">
        <v>7203</v>
      </c>
      <c r="D5" s="1" t="s">
        <v>520</v>
      </c>
      <c r="E5" s="1" t="s">
        <v>36</v>
      </c>
      <c r="F5" s="1" t="s">
        <v>524</v>
      </c>
      <c r="G5" s="1" t="s">
        <v>38</v>
      </c>
      <c r="H5" s="1" t="s">
        <v>522</v>
      </c>
      <c r="I5" s="1" t="s">
        <v>521</v>
      </c>
      <c r="J5" s="1" t="s">
        <v>674</v>
      </c>
      <c r="K5" s="1">
        <v>100</v>
      </c>
      <c r="L5" s="1">
        <v>2997</v>
      </c>
      <c r="M5" s="1">
        <v>299700</v>
      </c>
      <c r="N5" s="1" t="s">
        <v>675</v>
      </c>
      <c r="O5" s="1">
        <v>0</v>
      </c>
    </row>
    <row r="6" spans="1:15">
      <c r="A6" s="1" t="s">
        <v>64</v>
      </c>
      <c r="B6" s="1" t="s">
        <v>64</v>
      </c>
      <c r="C6" s="1" t="s">
        <v>64</v>
      </c>
      <c r="D6" s="1" t="s">
        <v>64</v>
      </c>
      <c r="E6" s="1" t="s">
        <v>64</v>
      </c>
      <c r="F6" s="1" t="s">
        <v>64</v>
      </c>
      <c r="G6" s="1" t="s">
        <v>64</v>
      </c>
      <c r="H6" s="1" t="s">
        <v>64</v>
      </c>
      <c r="I6" s="1" t="s">
        <v>64</v>
      </c>
      <c r="J6" s="1" t="s">
        <v>64</v>
      </c>
      <c r="K6" s="1" t="s">
        <v>64</v>
      </c>
      <c r="L6" s="1" t="s">
        <v>64</v>
      </c>
      <c r="M6" s="1" t="s">
        <v>64</v>
      </c>
      <c r="N6" s="1" t="s">
        <v>64</v>
      </c>
      <c r="O6" s="1" t="s">
        <v>64</v>
      </c>
    </row>
    <row r="7" spans="1:15">
      <c r="A7" t="s">
        <v>229</v>
      </c>
      <c r="B7">
        <v>20260818</v>
      </c>
      <c r="C7">
        <v>9984</v>
      </c>
      <c r="D7" t="s">
        <v>191</v>
      </c>
      <c r="E7" t="s">
        <v>45</v>
      </c>
      <c r="F7" t="s">
        <v>115</v>
      </c>
      <c r="G7" t="s">
        <v>46</v>
      </c>
      <c r="H7" t="s">
        <v>116</v>
      </c>
      <c r="I7" t="s">
        <v>117</v>
      </c>
      <c r="J7" t="s">
        <v>118</v>
      </c>
      <c r="K7">
        <v>100</v>
      </c>
      <c r="L7">
        <v>5895</v>
      </c>
      <c r="M7">
        <v>589500</v>
      </c>
      <c r="N7" t="s">
        <v>35</v>
      </c>
      <c r="O7">
        <v>0</v>
      </c>
    </row>
    <row r="8" spans="1:15">
      <c r="A8" t="s">
        <v>233</v>
      </c>
      <c r="B8">
        <v>20260818</v>
      </c>
      <c r="C8">
        <v>9984</v>
      </c>
      <c r="D8" t="s">
        <v>191</v>
      </c>
      <c r="E8" t="s">
        <v>45</v>
      </c>
      <c r="F8" t="s">
        <v>115</v>
      </c>
      <c r="G8" t="s">
        <v>46</v>
      </c>
      <c r="H8" t="s">
        <v>116</v>
      </c>
      <c r="I8" t="s">
        <v>123</v>
      </c>
      <c r="J8" t="s">
        <v>124</v>
      </c>
      <c r="K8">
        <v>100</v>
      </c>
      <c r="L8">
        <v>5905</v>
      </c>
      <c r="M8">
        <v>590500</v>
      </c>
      <c r="N8" t="s">
        <v>125</v>
      </c>
      <c r="O8">
        <v>0</v>
      </c>
    </row>
    <row r="9" spans="1:15">
      <c r="A9" t="s">
        <v>236</v>
      </c>
      <c r="B9">
        <v>20260818</v>
      </c>
      <c r="C9">
        <v>9984</v>
      </c>
      <c r="D9" t="s">
        <v>191</v>
      </c>
      <c r="E9" t="s">
        <v>45</v>
      </c>
      <c r="F9" t="s">
        <v>115</v>
      </c>
      <c r="G9" t="s">
        <v>46</v>
      </c>
      <c r="H9" t="s">
        <v>116</v>
      </c>
      <c r="I9" t="s">
        <v>117</v>
      </c>
      <c r="J9" t="s">
        <v>118</v>
      </c>
      <c r="K9">
        <v>100</v>
      </c>
      <c r="L9">
        <v>5942.9</v>
      </c>
      <c r="M9">
        <v>594290</v>
      </c>
      <c r="N9" t="s">
        <v>35</v>
      </c>
      <c r="O9">
        <v>0</v>
      </c>
    </row>
    <row r="10" spans="1:15">
      <c r="A10" t="s">
        <v>239</v>
      </c>
      <c r="B10">
        <v>20260818</v>
      </c>
      <c r="C10">
        <v>9984</v>
      </c>
      <c r="D10" t="s">
        <v>191</v>
      </c>
      <c r="E10" t="s">
        <v>45</v>
      </c>
      <c r="F10" t="s">
        <v>130</v>
      </c>
      <c r="G10" t="s">
        <v>46</v>
      </c>
      <c r="H10" t="s">
        <v>116</v>
      </c>
      <c r="I10" t="s">
        <v>123</v>
      </c>
      <c r="J10" t="s">
        <v>124</v>
      </c>
      <c r="K10">
        <v>100</v>
      </c>
      <c r="L10">
        <v>5960</v>
      </c>
      <c r="M10">
        <v>596000</v>
      </c>
      <c r="N10" t="s">
        <v>125</v>
      </c>
      <c r="O10">
        <v>0</v>
      </c>
    </row>
    <row r="11" spans="1:15">
      <c r="A11" t="s">
        <v>242</v>
      </c>
      <c r="B11">
        <v>20260818</v>
      </c>
      <c r="C11">
        <v>3436</v>
      </c>
      <c r="D11" t="s">
        <v>152</v>
      </c>
      <c r="E11" t="s">
        <v>45</v>
      </c>
      <c r="F11" t="s">
        <v>115</v>
      </c>
      <c r="G11" t="s">
        <v>46</v>
      </c>
      <c r="H11" t="s">
        <v>116</v>
      </c>
      <c r="I11" t="s">
        <v>117</v>
      </c>
      <c r="J11" t="s">
        <v>118</v>
      </c>
      <c r="K11">
        <v>100</v>
      </c>
      <c r="L11">
        <v>4204.8</v>
      </c>
      <c r="M11">
        <v>420480</v>
      </c>
      <c r="N11" t="s">
        <v>35</v>
      </c>
      <c r="O11">
        <v>0</v>
      </c>
    </row>
    <row r="12" spans="1:15">
      <c r="A12" t="s">
        <v>245</v>
      </c>
      <c r="B12">
        <v>20260818</v>
      </c>
      <c r="C12">
        <v>3436</v>
      </c>
      <c r="D12" t="s">
        <v>152</v>
      </c>
      <c r="E12" t="s">
        <v>45</v>
      </c>
      <c r="F12" t="s">
        <v>130</v>
      </c>
      <c r="G12" t="s">
        <v>46</v>
      </c>
      <c r="H12" t="s">
        <v>116</v>
      </c>
      <c r="I12" t="s">
        <v>123</v>
      </c>
      <c r="J12" t="s">
        <v>124</v>
      </c>
      <c r="K12">
        <v>100</v>
      </c>
      <c r="L12">
        <v>4222</v>
      </c>
      <c r="M12">
        <v>422200</v>
      </c>
      <c r="N12" t="s">
        <v>125</v>
      </c>
      <c r="O12">
        <v>0</v>
      </c>
    </row>
    <row r="13" spans="1:15">
      <c r="A13" t="s">
        <v>248</v>
      </c>
      <c r="B13">
        <v>20260818</v>
      </c>
      <c r="C13">
        <v>6613</v>
      </c>
      <c r="D13" t="s">
        <v>165</v>
      </c>
      <c r="E13" t="s">
        <v>45</v>
      </c>
      <c r="F13" t="s">
        <v>115</v>
      </c>
      <c r="G13" t="s">
        <v>46</v>
      </c>
      <c r="H13" t="s">
        <v>116</v>
      </c>
      <c r="I13" t="s">
        <v>117</v>
      </c>
      <c r="J13" t="s">
        <v>118</v>
      </c>
      <c r="K13">
        <v>100</v>
      </c>
      <c r="L13">
        <v>1782</v>
      </c>
      <c r="M13">
        <v>178200</v>
      </c>
      <c r="N13" t="s">
        <v>35</v>
      </c>
      <c r="O13">
        <v>0</v>
      </c>
    </row>
    <row r="14" spans="1:15">
      <c r="A14" t="s">
        <v>251</v>
      </c>
      <c r="B14">
        <v>20260818</v>
      </c>
      <c r="C14">
        <v>6613</v>
      </c>
      <c r="D14" t="s">
        <v>165</v>
      </c>
      <c r="E14" t="s">
        <v>45</v>
      </c>
      <c r="F14" t="s">
        <v>115</v>
      </c>
      <c r="G14" t="s">
        <v>46</v>
      </c>
      <c r="H14" t="s">
        <v>116</v>
      </c>
      <c r="I14" t="s">
        <v>123</v>
      </c>
      <c r="J14" t="s">
        <v>124</v>
      </c>
      <c r="K14">
        <v>100</v>
      </c>
      <c r="L14">
        <v>1790.9</v>
      </c>
      <c r="M14">
        <v>179090</v>
      </c>
      <c r="N14" t="s">
        <v>125</v>
      </c>
      <c r="O14">
        <v>0</v>
      </c>
    </row>
    <row r="15" spans="1:15">
      <c r="A15" t="s">
        <v>254</v>
      </c>
      <c r="B15">
        <v>20260818</v>
      </c>
      <c r="C15">
        <v>9984</v>
      </c>
      <c r="D15" t="s">
        <v>191</v>
      </c>
      <c r="E15" t="s">
        <v>45</v>
      </c>
      <c r="F15" t="s">
        <v>115</v>
      </c>
      <c r="G15" t="s">
        <v>46</v>
      </c>
      <c r="H15" t="s">
        <v>116</v>
      </c>
      <c r="I15" t="s">
        <v>117</v>
      </c>
      <c r="J15" t="s">
        <v>118</v>
      </c>
      <c r="K15">
        <v>100</v>
      </c>
      <c r="L15">
        <v>5909</v>
      </c>
      <c r="M15">
        <v>590900</v>
      </c>
      <c r="N15" t="s">
        <v>35</v>
      </c>
      <c r="O15">
        <v>0</v>
      </c>
    </row>
    <row r="16" spans="1:15">
      <c r="A16" t="s">
        <v>257</v>
      </c>
      <c r="B16">
        <v>20260818</v>
      </c>
      <c r="C16">
        <v>9984</v>
      </c>
      <c r="D16" t="s">
        <v>191</v>
      </c>
      <c r="E16" t="s">
        <v>45</v>
      </c>
      <c r="F16" t="s">
        <v>130</v>
      </c>
      <c r="G16" t="s">
        <v>46</v>
      </c>
      <c r="H16" t="s">
        <v>116</v>
      </c>
      <c r="I16" t="s">
        <v>123</v>
      </c>
      <c r="J16" t="s">
        <v>124</v>
      </c>
      <c r="K16">
        <v>100</v>
      </c>
      <c r="L16">
        <v>5932</v>
      </c>
      <c r="M16">
        <v>593200</v>
      </c>
      <c r="N16" t="s">
        <v>125</v>
      </c>
      <c r="O16">
        <v>0</v>
      </c>
    </row>
    <row r="17" spans="1:15">
      <c r="A17" t="s">
        <v>260</v>
      </c>
      <c r="B17">
        <v>20260818</v>
      </c>
      <c r="C17">
        <v>5803</v>
      </c>
      <c r="D17" t="s">
        <v>176</v>
      </c>
      <c r="E17" t="s">
        <v>45</v>
      </c>
      <c r="F17" t="s">
        <v>115</v>
      </c>
      <c r="G17" t="s">
        <v>46</v>
      </c>
      <c r="H17" t="s">
        <v>116</v>
      </c>
      <c r="I17" t="s">
        <v>117</v>
      </c>
      <c r="J17" t="s">
        <v>118</v>
      </c>
      <c r="K17">
        <v>100</v>
      </c>
      <c r="L17">
        <v>5689</v>
      </c>
      <c r="M17">
        <v>568900</v>
      </c>
      <c r="N17" t="s">
        <v>35</v>
      </c>
      <c r="O17">
        <v>0</v>
      </c>
    </row>
    <row r="18" spans="1:15">
      <c r="A18" t="s">
        <v>263</v>
      </c>
      <c r="B18">
        <v>20260818</v>
      </c>
      <c r="C18">
        <v>5803</v>
      </c>
      <c r="D18" t="s">
        <v>176</v>
      </c>
      <c r="E18" t="s">
        <v>45</v>
      </c>
      <c r="F18" t="s">
        <v>115</v>
      </c>
      <c r="G18" t="s">
        <v>46</v>
      </c>
      <c r="H18" t="s">
        <v>116</v>
      </c>
      <c r="I18" t="s">
        <v>123</v>
      </c>
      <c r="J18" t="s">
        <v>124</v>
      </c>
      <c r="K18">
        <v>100</v>
      </c>
      <c r="L18">
        <v>5713.4</v>
      </c>
      <c r="M18">
        <v>571340</v>
      </c>
      <c r="N18" t="s">
        <v>125</v>
      </c>
      <c r="O18">
        <v>0</v>
      </c>
    </row>
    <row r="19" spans="1:15">
      <c r="A19" t="s">
        <v>266</v>
      </c>
      <c r="B19">
        <v>20260818</v>
      </c>
      <c r="C19">
        <v>5016</v>
      </c>
      <c r="D19" t="s">
        <v>139</v>
      </c>
      <c r="E19" t="s">
        <v>45</v>
      </c>
      <c r="F19" t="s">
        <v>130</v>
      </c>
      <c r="G19" t="s">
        <v>46</v>
      </c>
      <c r="H19" t="s">
        <v>116</v>
      </c>
      <c r="I19" t="s">
        <v>117</v>
      </c>
      <c r="J19" t="s">
        <v>118</v>
      </c>
      <c r="K19">
        <v>100</v>
      </c>
      <c r="L19">
        <v>3871</v>
      </c>
      <c r="M19">
        <v>387100</v>
      </c>
      <c r="N19" t="s">
        <v>35</v>
      </c>
      <c r="O19">
        <v>0</v>
      </c>
    </row>
    <row r="20" spans="1:15">
      <c r="A20" t="s">
        <v>269</v>
      </c>
      <c r="B20">
        <v>20260818</v>
      </c>
      <c r="C20">
        <v>5016</v>
      </c>
      <c r="D20" t="s">
        <v>139</v>
      </c>
      <c r="E20" t="s">
        <v>45</v>
      </c>
      <c r="F20" t="s">
        <v>115</v>
      </c>
      <c r="G20" t="s">
        <v>46</v>
      </c>
      <c r="H20" t="s">
        <v>116</v>
      </c>
      <c r="I20" t="s">
        <v>123</v>
      </c>
      <c r="J20" t="s">
        <v>124</v>
      </c>
      <c r="K20">
        <v>100</v>
      </c>
      <c r="L20">
        <v>3870.5</v>
      </c>
      <c r="M20">
        <v>387050</v>
      </c>
      <c r="N20" t="s">
        <v>125</v>
      </c>
      <c r="O20">
        <v>0</v>
      </c>
    </row>
    <row r="21" spans="1:15">
      <c r="A21" t="s">
        <v>271</v>
      </c>
      <c r="B21">
        <v>20260818</v>
      </c>
      <c r="C21">
        <v>5016</v>
      </c>
      <c r="D21" t="s">
        <v>139</v>
      </c>
      <c r="E21" t="s">
        <v>45</v>
      </c>
      <c r="F21" t="s">
        <v>115</v>
      </c>
      <c r="G21" t="s">
        <v>46</v>
      </c>
      <c r="H21" t="s">
        <v>116</v>
      </c>
      <c r="I21" t="s">
        <v>117</v>
      </c>
      <c r="J21" t="s">
        <v>118</v>
      </c>
      <c r="K21">
        <v>100</v>
      </c>
      <c r="L21">
        <v>3878</v>
      </c>
      <c r="M21">
        <v>387800</v>
      </c>
      <c r="N21" t="s">
        <v>35</v>
      </c>
      <c r="O21">
        <v>0</v>
      </c>
    </row>
    <row r="22" spans="1:15">
      <c r="A22" t="s">
        <v>274</v>
      </c>
      <c r="B22">
        <v>20260818</v>
      </c>
      <c r="C22">
        <v>6613</v>
      </c>
      <c r="D22" t="s">
        <v>165</v>
      </c>
      <c r="E22" t="s">
        <v>45</v>
      </c>
      <c r="F22" t="s">
        <v>115</v>
      </c>
      <c r="G22" t="s">
        <v>46</v>
      </c>
      <c r="H22" t="s">
        <v>116</v>
      </c>
      <c r="I22" t="s">
        <v>117</v>
      </c>
      <c r="J22" t="s">
        <v>118</v>
      </c>
      <c r="K22">
        <v>100</v>
      </c>
      <c r="L22">
        <v>1816</v>
      </c>
      <c r="M22">
        <v>181600</v>
      </c>
      <c r="N22" t="s">
        <v>35</v>
      </c>
      <c r="O22">
        <v>0</v>
      </c>
    </row>
    <row r="23" spans="1:15">
      <c r="A23" t="s">
        <v>277</v>
      </c>
      <c r="B23">
        <v>20260818</v>
      </c>
      <c r="C23">
        <v>5803</v>
      </c>
      <c r="D23" t="s">
        <v>176</v>
      </c>
      <c r="E23" t="s">
        <v>45</v>
      </c>
      <c r="F23" t="s">
        <v>130</v>
      </c>
      <c r="G23" t="s">
        <v>46</v>
      </c>
      <c r="H23" t="s">
        <v>116</v>
      </c>
      <c r="I23" t="s">
        <v>123</v>
      </c>
      <c r="J23" t="s">
        <v>124</v>
      </c>
      <c r="K23">
        <v>100</v>
      </c>
      <c r="L23">
        <v>5781</v>
      </c>
      <c r="M23">
        <v>578100</v>
      </c>
      <c r="N23" t="s">
        <v>125</v>
      </c>
      <c r="O23">
        <v>0</v>
      </c>
    </row>
    <row r="24" spans="1:15">
      <c r="A24" t="s">
        <v>280</v>
      </c>
      <c r="B24">
        <v>20260818</v>
      </c>
      <c r="C24">
        <v>6613</v>
      </c>
      <c r="D24" t="s">
        <v>165</v>
      </c>
      <c r="E24" t="s">
        <v>45</v>
      </c>
      <c r="F24" t="s">
        <v>115</v>
      </c>
      <c r="G24" t="s">
        <v>46</v>
      </c>
      <c r="H24" t="s">
        <v>116</v>
      </c>
      <c r="I24" t="s">
        <v>123</v>
      </c>
      <c r="J24" t="s">
        <v>124</v>
      </c>
      <c r="K24">
        <v>100</v>
      </c>
      <c r="L24">
        <v>1821.2</v>
      </c>
      <c r="M24">
        <v>182120</v>
      </c>
      <c r="N24" t="s">
        <v>125</v>
      </c>
      <c r="O24">
        <v>0</v>
      </c>
    </row>
    <row r="25" spans="1:15">
      <c r="A25" t="s">
        <v>283</v>
      </c>
      <c r="B25">
        <v>20260818</v>
      </c>
      <c r="C25">
        <v>5016</v>
      </c>
      <c r="D25" t="s">
        <v>139</v>
      </c>
      <c r="E25" t="s">
        <v>45</v>
      </c>
      <c r="F25" t="s">
        <v>115</v>
      </c>
      <c r="G25" t="s">
        <v>46</v>
      </c>
      <c r="H25" t="s">
        <v>116</v>
      </c>
      <c r="I25" t="s">
        <v>117</v>
      </c>
      <c r="J25" t="s">
        <v>118</v>
      </c>
      <c r="K25">
        <v>100</v>
      </c>
      <c r="L25">
        <v>3856</v>
      </c>
      <c r="M25">
        <v>385600</v>
      </c>
      <c r="N25" t="s">
        <v>35</v>
      </c>
      <c r="O25">
        <v>0</v>
      </c>
    </row>
    <row r="26" spans="1:15">
      <c r="A26" t="s">
        <v>467</v>
      </c>
      <c r="B26">
        <v>20260818</v>
      </c>
      <c r="C26">
        <v>5803</v>
      </c>
      <c r="D26" t="s">
        <v>176</v>
      </c>
      <c r="E26" t="s">
        <v>45</v>
      </c>
      <c r="F26" t="s">
        <v>130</v>
      </c>
      <c r="G26" t="s">
        <v>46</v>
      </c>
      <c r="H26" t="s">
        <v>116</v>
      </c>
      <c r="I26" t="s">
        <v>117</v>
      </c>
      <c r="J26" t="s">
        <v>118</v>
      </c>
      <c r="K26">
        <v>100</v>
      </c>
      <c r="L26">
        <v>5753</v>
      </c>
      <c r="M26">
        <v>575300</v>
      </c>
      <c r="N26" t="s">
        <v>35</v>
      </c>
      <c r="O26">
        <v>0</v>
      </c>
    </row>
    <row r="27" spans="1:15">
      <c r="A27" t="s">
        <v>294</v>
      </c>
      <c r="B27">
        <v>20260818</v>
      </c>
      <c r="C27">
        <v>5803</v>
      </c>
      <c r="D27" t="s">
        <v>176</v>
      </c>
      <c r="E27" t="s">
        <v>45</v>
      </c>
      <c r="F27" t="s">
        <v>115</v>
      </c>
      <c r="G27" t="s">
        <v>46</v>
      </c>
      <c r="H27" t="s">
        <v>116</v>
      </c>
      <c r="I27" t="s">
        <v>123</v>
      </c>
      <c r="J27" t="s">
        <v>124</v>
      </c>
      <c r="K27">
        <v>100</v>
      </c>
      <c r="L27">
        <v>5712.4</v>
      </c>
      <c r="M27">
        <v>571240</v>
      </c>
      <c r="N27" t="s">
        <v>125</v>
      </c>
      <c r="O27">
        <v>0</v>
      </c>
    </row>
    <row r="28" spans="1:15">
      <c r="A28" t="s">
        <v>297</v>
      </c>
      <c r="B28">
        <v>20260818</v>
      </c>
      <c r="C28">
        <v>5016</v>
      </c>
      <c r="D28" t="s">
        <v>139</v>
      </c>
      <c r="E28" t="s">
        <v>45</v>
      </c>
      <c r="F28" t="s">
        <v>115</v>
      </c>
      <c r="G28" t="s">
        <v>46</v>
      </c>
      <c r="H28" t="s">
        <v>116</v>
      </c>
      <c r="I28" t="s">
        <v>123</v>
      </c>
      <c r="J28" t="s">
        <v>124</v>
      </c>
      <c r="K28">
        <v>100</v>
      </c>
      <c r="L28">
        <v>3829.4</v>
      </c>
      <c r="M28">
        <v>382940</v>
      </c>
      <c r="N28" t="s">
        <v>125</v>
      </c>
      <c r="O28">
        <v>0</v>
      </c>
    </row>
    <row r="29" spans="1:15">
      <c r="A29" t="s">
        <v>468</v>
      </c>
      <c r="B29">
        <v>20260818</v>
      </c>
      <c r="C29">
        <v>5803</v>
      </c>
      <c r="D29" t="s">
        <v>176</v>
      </c>
      <c r="E29" t="s">
        <v>45</v>
      </c>
      <c r="F29" t="s">
        <v>130</v>
      </c>
      <c r="G29" t="s">
        <v>46</v>
      </c>
      <c r="H29" t="s">
        <v>116</v>
      </c>
      <c r="I29" t="s">
        <v>117</v>
      </c>
      <c r="J29" t="s">
        <v>118</v>
      </c>
      <c r="K29">
        <v>100</v>
      </c>
      <c r="L29">
        <v>5715</v>
      </c>
      <c r="M29">
        <v>571500</v>
      </c>
      <c r="N29" t="s">
        <v>35</v>
      </c>
      <c r="O29">
        <v>0</v>
      </c>
    </row>
    <row r="30" spans="1:15">
      <c r="A30" t="s">
        <v>303</v>
      </c>
      <c r="B30">
        <v>20260818</v>
      </c>
      <c r="C30">
        <v>5803</v>
      </c>
      <c r="D30" t="s">
        <v>176</v>
      </c>
      <c r="E30" t="s">
        <v>45</v>
      </c>
      <c r="F30" t="s">
        <v>115</v>
      </c>
      <c r="G30" t="s">
        <v>46</v>
      </c>
      <c r="H30" t="s">
        <v>116</v>
      </c>
      <c r="I30" t="s">
        <v>123</v>
      </c>
      <c r="J30" t="s">
        <v>124</v>
      </c>
      <c r="K30">
        <v>100</v>
      </c>
      <c r="L30">
        <v>5739.4</v>
      </c>
      <c r="M30">
        <v>573940</v>
      </c>
      <c r="N30" t="s">
        <v>125</v>
      </c>
      <c r="O30">
        <v>0</v>
      </c>
    </row>
    <row r="31" spans="1:15">
      <c r="A31" t="s">
        <v>305</v>
      </c>
      <c r="B31">
        <v>20260818</v>
      </c>
      <c r="C31">
        <v>5803</v>
      </c>
      <c r="D31" t="s">
        <v>176</v>
      </c>
      <c r="E31" t="s">
        <v>45</v>
      </c>
      <c r="F31" t="s">
        <v>115</v>
      </c>
      <c r="G31" t="s">
        <v>46</v>
      </c>
      <c r="H31" t="s">
        <v>116</v>
      </c>
      <c r="I31" t="s">
        <v>117</v>
      </c>
      <c r="J31" t="s">
        <v>118</v>
      </c>
      <c r="K31">
        <v>100</v>
      </c>
      <c r="L31">
        <v>5763.6</v>
      </c>
      <c r="M31">
        <v>576360</v>
      </c>
      <c r="N31" t="s">
        <v>35</v>
      </c>
      <c r="O31">
        <v>0</v>
      </c>
    </row>
    <row r="32" spans="1:15">
      <c r="A32" t="s">
        <v>308</v>
      </c>
      <c r="B32">
        <v>20260818</v>
      </c>
      <c r="C32">
        <v>5803</v>
      </c>
      <c r="D32" t="s">
        <v>176</v>
      </c>
      <c r="E32" t="s">
        <v>45</v>
      </c>
      <c r="F32" t="s">
        <v>115</v>
      </c>
      <c r="G32" t="s">
        <v>46</v>
      </c>
      <c r="H32" t="s">
        <v>116</v>
      </c>
      <c r="I32" t="s">
        <v>123</v>
      </c>
      <c r="J32" t="s">
        <v>124</v>
      </c>
      <c r="K32">
        <v>100</v>
      </c>
      <c r="L32">
        <v>5755.1</v>
      </c>
      <c r="M32">
        <v>575510</v>
      </c>
      <c r="N32" t="s">
        <v>125</v>
      </c>
      <c r="O32">
        <v>0</v>
      </c>
    </row>
    <row r="33" spans="1:15">
      <c r="A33" t="s">
        <v>312</v>
      </c>
      <c r="B33">
        <v>20260818</v>
      </c>
      <c r="C33">
        <v>5803</v>
      </c>
      <c r="D33" t="s">
        <v>176</v>
      </c>
      <c r="E33" t="s">
        <v>45</v>
      </c>
      <c r="F33" t="s">
        <v>115</v>
      </c>
      <c r="G33" t="s">
        <v>46</v>
      </c>
      <c r="H33" t="s">
        <v>116</v>
      </c>
      <c r="I33" t="s">
        <v>117</v>
      </c>
      <c r="J33" t="s">
        <v>118</v>
      </c>
      <c r="K33">
        <v>100</v>
      </c>
      <c r="L33">
        <v>5744</v>
      </c>
      <c r="M33">
        <v>574400</v>
      </c>
      <c r="N33" t="s">
        <v>35</v>
      </c>
      <c r="O33">
        <v>0</v>
      </c>
    </row>
    <row r="34" spans="1:15">
      <c r="A34" t="s">
        <v>315</v>
      </c>
      <c r="B34">
        <v>20260818</v>
      </c>
      <c r="C34">
        <v>5803</v>
      </c>
      <c r="D34" t="s">
        <v>176</v>
      </c>
      <c r="E34" t="s">
        <v>45</v>
      </c>
      <c r="F34" t="s">
        <v>115</v>
      </c>
      <c r="G34" t="s">
        <v>46</v>
      </c>
      <c r="H34" t="s">
        <v>116</v>
      </c>
      <c r="I34" t="s">
        <v>123</v>
      </c>
      <c r="J34" t="s">
        <v>124</v>
      </c>
      <c r="K34">
        <v>100</v>
      </c>
      <c r="L34">
        <v>5715.2</v>
      </c>
      <c r="M34">
        <v>571520</v>
      </c>
      <c r="N34" t="s">
        <v>125</v>
      </c>
      <c r="O34">
        <v>0</v>
      </c>
    </row>
    <row r="35" spans="1:15">
      <c r="A35" t="s">
        <v>318</v>
      </c>
      <c r="B35">
        <v>20260818</v>
      </c>
      <c r="C35">
        <v>5016</v>
      </c>
      <c r="D35" t="s">
        <v>139</v>
      </c>
      <c r="E35" t="s">
        <v>45</v>
      </c>
      <c r="F35" t="s">
        <v>115</v>
      </c>
      <c r="G35" t="s">
        <v>46</v>
      </c>
      <c r="H35" t="s">
        <v>116</v>
      </c>
      <c r="I35" t="s">
        <v>123</v>
      </c>
      <c r="J35" t="s">
        <v>124</v>
      </c>
      <c r="K35">
        <v>200</v>
      </c>
      <c r="L35">
        <v>3810.5</v>
      </c>
      <c r="M35">
        <v>762100</v>
      </c>
      <c r="N35" t="s">
        <v>125</v>
      </c>
      <c r="O35">
        <v>0</v>
      </c>
    </row>
    <row r="36" spans="1:15">
      <c r="A36" t="s">
        <v>321</v>
      </c>
      <c r="B36">
        <v>20260818</v>
      </c>
      <c r="C36">
        <v>5803</v>
      </c>
      <c r="D36" t="s">
        <v>176</v>
      </c>
      <c r="E36" t="s">
        <v>45</v>
      </c>
      <c r="F36" t="s">
        <v>115</v>
      </c>
      <c r="G36" t="s">
        <v>46</v>
      </c>
      <c r="H36" t="s">
        <v>116</v>
      </c>
      <c r="I36" t="s">
        <v>117</v>
      </c>
      <c r="J36" t="s">
        <v>118</v>
      </c>
      <c r="K36">
        <v>100</v>
      </c>
      <c r="L36">
        <v>5699.2</v>
      </c>
      <c r="M36">
        <v>569920</v>
      </c>
      <c r="N36" t="s">
        <v>35</v>
      </c>
      <c r="O36">
        <v>0</v>
      </c>
    </row>
    <row r="37" spans="1:15">
      <c r="A37" t="s">
        <v>324</v>
      </c>
      <c r="B37">
        <v>20260818</v>
      </c>
      <c r="C37">
        <v>5803</v>
      </c>
      <c r="D37" t="s">
        <v>176</v>
      </c>
      <c r="E37" t="s">
        <v>45</v>
      </c>
      <c r="F37" t="s">
        <v>115</v>
      </c>
      <c r="G37" t="s">
        <v>46</v>
      </c>
      <c r="H37" t="s">
        <v>116</v>
      </c>
      <c r="I37" t="s">
        <v>117</v>
      </c>
      <c r="J37" t="s">
        <v>118</v>
      </c>
      <c r="K37">
        <v>100</v>
      </c>
      <c r="L37">
        <v>5691.9</v>
      </c>
      <c r="M37">
        <v>569190</v>
      </c>
      <c r="N37" t="s">
        <v>35</v>
      </c>
      <c r="O37">
        <v>0</v>
      </c>
    </row>
    <row r="38" spans="1:15">
      <c r="A38" t="s">
        <v>327</v>
      </c>
      <c r="B38">
        <v>20260818</v>
      </c>
      <c r="C38">
        <v>5016</v>
      </c>
      <c r="D38" t="s">
        <v>139</v>
      </c>
      <c r="E38" t="s">
        <v>45</v>
      </c>
      <c r="F38" t="s">
        <v>115</v>
      </c>
      <c r="G38" t="s">
        <v>46</v>
      </c>
      <c r="H38" t="s">
        <v>116</v>
      </c>
      <c r="I38" t="s">
        <v>117</v>
      </c>
      <c r="J38" t="s">
        <v>118</v>
      </c>
      <c r="K38">
        <v>100</v>
      </c>
      <c r="L38">
        <v>3821.9</v>
      </c>
      <c r="M38">
        <v>382190</v>
      </c>
      <c r="N38" t="s">
        <v>35</v>
      </c>
      <c r="O38">
        <v>0</v>
      </c>
    </row>
    <row r="39" spans="1:15">
      <c r="A39" t="s">
        <v>330</v>
      </c>
      <c r="B39">
        <v>20260818</v>
      </c>
      <c r="C39">
        <v>5803</v>
      </c>
      <c r="D39" t="s">
        <v>176</v>
      </c>
      <c r="E39" t="s">
        <v>45</v>
      </c>
      <c r="F39" t="s">
        <v>115</v>
      </c>
      <c r="G39" t="s">
        <v>46</v>
      </c>
      <c r="H39" t="s">
        <v>116</v>
      </c>
      <c r="I39" t="s">
        <v>123</v>
      </c>
      <c r="J39" t="s">
        <v>124</v>
      </c>
      <c r="K39">
        <v>100</v>
      </c>
      <c r="L39">
        <v>5722</v>
      </c>
      <c r="M39">
        <v>572200</v>
      </c>
      <c r="N39" t="s">
        <v>125</v>
      </c>
      <c r="O39">
        <v>0</v>
      </c>
    </row>
    <row r="40" spans="1:15">
      <c r="A40" t="s">
        <v>333</v>
      </c>
      <c r="B40">
        <v>20260818</v>
      </c>
      <c r="C40">
        <v>5016</v>
      </c>
      <c r="D40" t="s">
        <v>139</v>
      </c>
      <c r="E40" t="s">
        <v>45</v>
      </c>
      <c r="F40" t="s">
        <v>115</v>
      </c>
      <c r="G40" t="s">
        <v>46</v>
      </c>
      <c r="H40" t="s">
        <v>116</v>
      </c>
      <c r="I40" t="s">
        <v>117</v>
      </c>
      <c r="J40" t="s">
        <v>118</v>
      </c>
      <c r="K40">
        <v>100</v>
      </c>
      <c r="L40">
        <v>3839.6</v>
      </c>
      <c r="M40">
        <v>383960</v>
      </c>
      <c r="N40" t="s">
        <v>35</v>
      </c>
      <c r="O40">
        <v>0</v>
      </c>
    </row>
    <row r="41" spans="1:15">
      <c r="A41" t="s">
        <v>336</v>
      </c>
      <c r="B41">
        <v>20260818</v>
      </c>
      <c r="C41">
        <v>6613</v>
      </c>
      <c r="D41" t="s">
        <v>165</v>
      </c>
      <c r="E41" t="s">
        <v>45</v>
      </c>
      <c r="F41" t="s">
        <v>115</v>
      </c>
      <c r="G41" t="s">
        <v>46</v>
      </c>
      <c r="H41" t="s">
        <v>116</v>
      </c>
      <c r="I41" t="s">
        <v>117</v>
      </c>
      <c r="J41" t="s">
        <v>118</v>
      </c>
      <c r="K41">
        <v>100</v>
      </c>
      <c r="L41">
        <v>1784.2</v>
      </c>
      <c r="M41">
        <v>178420</v>
      </c>
      <c r="N41" t="s">
        <v>35</v>
      </c>
      <c r="O41">
        <v>0</v>
      </c>
    </row>
    <row r="42" spans="1:15">
      <c r="A42" t="s">
        <v>339</v>
      </c>
      <c r="B42">
        <v>20260818</v>
      </c>
      <c r="C42">
        <v>5803</v>
      </c>
      <c r="D42" t="s">
        <v>176</v>
      </c>
      <c r="E42" t="s">
        <v>45</v>
      </c>
      <c r="F42" t="s">
        <v>130</v>
      </c>
      <c r="G42" t="s">
        <v>46</v>
      </c>
      <c r="H42" t="s">
        <v>116</v>
      </c>
      <c r="I42" t="s">
        <v>123</v>
      </c>
      <c r="J42" t="s">
        <v>124</v>
      </c>
      <c r="K42">
        <v>100</v>
      </c>
      <c r="L42">
        <v>5697</v>
      </c>
      <c r="M42">
        <v>569700</v>
      </c>
      <c r="N42" t="s">
        <v>125</v>
      </c>
      <c r="O42">
        <v>0</v>
      </c>
    </row>
    <row r="43" spans="1:15">
      <c r="A43" t="s">
        <v>342</v>
      </c>
      <c r="B43">
        <v>20260818</v>
      </c>
      <c r="C43">
        <v>5803</v>
      </c>
      <c r="D43" t="s">
        <v>176</v>
      </c>
      <c r="E43" t="s">
        <v>45</v>
      </c>
      <c r="F43" t="s">
        <v>115</v>
      </c>
      <c r="G43" t="s">
        <v>46</v>
      </c>
      <c r="H43" t="s">
        <v>116</v>
      </c>
      <c r="I43" t="s">
        <v>117</v>
      </c>
      <c r="J43" t="s">
        <v>118</v>
      </c>
      <c r="K43">
        <v>100</v>
      </c>
      <c r="L43">
        <v>5687.7</v>
      </c>
      <c r="M43">
        <v>568770</v>
      </c>
      <c r="N43" t="s">
        <v>35</v>
      </c>
      <c r="O43">
        <v>0</v>
      </c>
    </row>
    <row r="44" spans="1:15">
      <c r="A44" t="s">
        <v>345</v>
      </c>
      <c r="B44">
        <v>20260818</v>
      </c>
      <c r="C44">
        <v>5803</v>
      </c>
      <c r="D44" t="s">
        <v>176</v>
      </c>
      <c r="E44" t="s">
        <v>45</v>
      </c>
      <c r="F44" t="s">
        <v>115</v>
      </c>
      <c r="G44" t="s">
        <v>46</v>
      </c>
      <c r="H44" t="s">
        <v>116</v>
      </c>
      <c r="I44" t="s">
        <v>123</v>
      </c>
      <c r="J44" t="s">
        <v>124</v>
      </c>
      <c r="K44">
        <v>100</v>
      </c>
      <c r="L44">
        <v>5706.2</v>
      </c>
      <c r="M44">
        <v>570620</v>
      </c>
      <c r="N44" t="s">
        <v>125</v>
      </c>
      <c r="O44">
        <v>0</v>
      </c>
    </row>
    <row r="45" spans="1:15">
      <c r="A45" t="s">
        <v>469</v>
      </c>
      <c r="B45">
        <v>20260818</v>
      </c>
      <c r="C45">
        <v>5803</v>
      </c>
      <c r="D45" t="s">
        <v>176</v>
      </c>
      <c r="E45" t="s">
        <v>45</v>
      </c>
      <c r="F45" t="s">
        <v>130</v>
      </c>
      <c r="G45" t="s">
        <v>46</v>
      </c>
      <c r="H45" t="s">
        <v>116</v>
      </c>
      <c r="I45" t="s">
        <v>117</v>
      </c>
      <c r="J45" t="s">
        <v>118</v>
      </c>
      <c r="K45">
        <v>100</v>
      </c>
      <c r="L45">
        <v>5694</v>
      </c>
      <c r="M45">
        <v>569400</v>
      </c>
      <c r="N45" t="s">
        <v>35</v>
      </c>
      <c r="O45">
        <v>0</v>
      </c>
    </row>
    <row r="46" spans="1:15">
      <c r="A46" t="s">
        <v>351</v>
      </c>
      <c r="B46">
        <v>20260818</v>
      </c>
      <c r="C46">
        <v>6613</v>
      </c>
      <c r="D46" t="s">
        <v>165</v>
      </c>
      <c r="E46" t="s">
        <v>45</v>
      </c>
      <c r="F46" t="s">
        <v>115</v>
      </c>
      <c r="G46" t="s">
        <v>46</v>
      </c>
      <c r="H46" t="s">
        <v>116</v>
      </c>
      <c r="I46" t="s">
        <v>123</v>
      </c>
      <c r="J46" t="s">
        <v>124</v>
      </c>
      <c r="K46">
        <v>100</v>
      </c>
      <c r="L46">
        <v>1785.8</v>
      </c>
      <c r="M46">
        <v>178580</v>
      </c>
      <c r="N46" t="s">
        <v>125</v>
      </c>
      <c r="O46">
        <v>0</v>
      </c>
    </row>
    <row r="47" spans="1:15">
      <c r="A47" t="s">
        <v>354</v>
      </c>
      <c r="B47">
        <v>20260818</v>
      </c>
      <c r="C47">
        <v>5803</v>
      </c>
      <c r="D47" t="s">
        <v>176</v>
      </c>
      <c r="E47" t="s">
        <v>45</v>
      </c>
      <c r="F47" t="s">
        <v>115</v>
      </c>
      <c r="G47" t="s">
        <v>46</v>
      </c>
      <c r="H47" t="s">
        <v>116</v>
      </c>
      <c r="I47" t="s">
        <v>123</v>
      </c>
      <c r="J47" t="s">
        <v>124</v>
      </c>
      <c r="K47">
        <v>100</v>
      </c>
      <c r="L47">
        <v>5679.3</v>
      </c>
      <c r="M47">
        <v>567930</v>
      </c>
      <c r="N47" t="s">
        <v>125</v>
      </c>
      <c r="O47">
        <v>0</v>
      </c>
    </row>
    <row r="48" spans="1:15">
      <c r="A48" t="s">
        <v>357</v>
      </c>
      <c r="B48">
        <v>20260818</v>
      </c>
      <c r="C48">
        <v>3436</v>
      </c>
      <c r="D48" t="s">
        <v>152</v>
      </c>
      <c r="E48" t="s">
        <v>45</v>
      </c>
      <c r="F48" t="s">
        <v>115</v>
      </c>
      <c r="G48" t="s">
        <v>46</v>
      </c>
      <c r="H48" t="s">
        <v>116</v>
      </c>
      <c r="I48" t="s">
        <v>117</v>
      </c>
      <c r="J48" t="s">
        <v>118</v>
      </c>
      <c r="K48">
        <v>100</v>
      </c>
      <c r="L48">
        <v>3929</v>
      </c>
      <c r="M48">
        <v>392900</v>
      </c>
      <c r="N48" t="s">
        <v>35</v>
      </c>
      <c r="O48">
        <v>0</v>
      </c>
    </row>
    <row r="49" spans="1:15">
      <c r="A49" t="s">
        <v>360</v>
      </c>
      <c r="B49">
        <v>20260818</v>
      </c>
      <c r="C49">
        <v>5016</v>
      </c>
      <c r="D49" t="s">
        <v>139</v>
      </c>
      <c r="E49" t="s">
        <v>45</v>
      </c>
      <c r="F49" t="s">
        <v>115</v>
      </c>
      <c r="G49" t="s">
        <v>46</v>
      </c>
      <c r="H49" t="s">
        <v>116</v>
      </c>
      <c r="I49" t="s">
        <v>123</v>
      </c>
      <c r="J49" t="s">
        <v>124</v>
      </c>
      <c r="K49">
        <v>200</v>
      </c>
      <c r="L49">
        <v>3857.4</v>
      </c>
      <c r="M49">
        <v>771480</v>
      </c>
      <c r="N49" t="s">
        <v>125</v>
      </c>
      <c r="O49">
        <v>0</v>
      </c>
    </row>
    <row r="50" spans="1:15">
      <c r="A50" t="s">
        <v>363</v>
      </c>
      <c r="B50">
        <v>20260818</v>
      </c>
      <c r="C50">
        <v>5803</v>
      </c>
      <c r="D50" t="s">
        <v>176</v>
      </c>
      <c r="E50" t="s">
        <v>45</v>
      </c>
      <c r="F50" t="s">
        <v>115</v>
      </c>
      <c r="G50" t="s">
        <v>46</v>
      </c>
      <c r="H50" t="s">
        <v>116</v>
      </c>
      <c r="I50" t="s">
        <v>117</v>
      </c>
      <c r="J50" t="s">
        <v>118</v>
      </c>
      <c r="K50">
        <v>100</v>
      </c>
      <c r="L50">
        <v>5702.6</v>
      </c>
      <c r="M50">
        <v>570260</v>
      </c>
      <c r="N50" t="s">
        <v>35</v>
      </c>
      <c r="O50">
        <v>0</v>
      </c>
    </row>
    <row r="51" spans="1:15">
      <c r="A51" t="s">
        <v>365</v>
      </c>
      <c r="B51">
        <v>20260818</v>
      </c>
      <c r="C51">
        <v>5016</v>
      </c>
      <c r="D51" t="s">
        <v>139</v>
      </c>
      <c r="E51" t="s">
        <v>45</v>
      </c>
      <c r="F51" t="s">
        <v>115</v>
      </c>
      <c r="G51" t="s">
        <v>46</v>
      </c>
      <c r="H51" t="s">
        <v>116</v>
      </c>
      <c r="I51" t="s">
        <v>117</v>
      </c>
      <c r="J51" t="s">
        <v>118</v>
      </c>
      <c r="K51">
        <v>100</v>
      </c>
      <c r="L51">
        <v>3856.9</v>
      </c>
      <c r="M51">
        <v>385690</v>
      </c>
      <c r="N51" t="s">
        <v>35</v>
      </c>
      <c r="O51">
        <v>0</v>
      </c>
    </row>
    <row r="52" spans="1:15">
      <c r="A52" t="s">
        <v>368</v>
      </c>
      <c r="B52">
        <v>20260818</v>
      </c>
      <c r="C52">
        <v>3436</v>
      </c>
      <c r="D52" t="s">
        <v>152</v>
      </c>
      <c r="E52" t="s">
        <v>45</v>
      </c>
      <c r="F52" t="s">
        <v>115</v>
      </c>
      <c r="G52" t="s">
        <v>46</v>
      </c>
      <c r="H52" t="s">
        <v>116</v>
      </c>
      <c r="I52" t="s">
        <v>123</v>
      </c>
      <c r="J52" t="s">
        <v>124</v>
      </c>
      <c r="K52">
        <v>100</v>
      </c>
      <c r="L52">
        <v>3942.1</v>
      </c>
      <c r="M52">
        <v>394210</v>
      </c>
      <c r="N52" t="s">
        <v>125</v>
      </c>
      <c r="O52">
        <v>0</v>
      </c>
    </row>
    <row r="53" spans="1:15">
      <c r="A53" t="s">
        <v>371</v>
      </c>
      <c r="B53">
        <v>20260818</v>
      </c>
      <c r="C53">
        <v>3436</v>
      </c>
      <c r="D53" t="s">
        <v>152</v>
      </c>
      <c r="E53" t="s">
        <v>45</v>
      </c>
      <c r="F53" t="s">
        <v>115</v>
      </c>
      <c r="G53" t="s">
        <v>46</v>
      </c>
      <c r="H53" t="s">
        <v>116</v>
      </c>
      <c r="I53" t="s">
        <v>117</v>
      </c>
      <c r="J53" t="s">
        <v>118</v>
      </c>
      <c r="K53">
        <v>100</v>
      </c>
      <c r="L53">
        <v>3952.9</v>
      </c>
      <c r="M53">
        <v>395290</v>
      </c>
      <c r="N53" t="s">
        <v>35</v>
      </c>
      <c r="O53">
        <v>0</v>
      </c>
    </row>
    <row r="54" spans="1:15">
      <c r="A54" t="s">
        <v>374</v>
      </c>
      <c r="B54">
        <v>20260818</v>
      </c>
      <c r="C54">
        <v>5016</v>
      </c>
      <c r="D54" t="s">
        <v>139</v>
      </c>
      <c r="E54" t="s">
        <v>45</v>
      </c>
      <c r="F54" t="s">
        <v>115</v>
      </c>
      <c r="G54" t="s">
        <v>46</v>
      </c>
      <c r="H54" t="s">
        <v>116</v>
      </c>
      <c r="I54" t="s">
        <v>123</v>
      </c>
      <c r="J54" t="s">
        <v>124</v>
      </c>
      <c r="K54">
        <v>100</v>
      </c>
      <c r="L54">
        <v>3843.4</v>
      </c>
      <c r="M54">
        <v>384340</v>
      </c>
      <c r="N54" t="s">
        <v>125</v>
      </c>
      <c r="O54">
        <v>0</v>
      </c>
    </row>
    <row r="55" spans="1:15">
      <c r="A55" t="s">
        <v>377</v>
      </c>
      <c r="B55">
        <v>20260818</v>
      </c>
      <c r="C55">
        <v>5016</v>
      </c>
      <c r="D55" t="s">
        <v>139</v>
      </c>
      <c r="E55" t="s">
        <v>45</v>
      </c>
      <c r="F55" t="s">
        <v>115</v>
      </c>
      <c r="G55" t="s">
        <v>46</v>
      </c>
      <c r="H55" t="s">
        <v>116</v>
      </c>
      <c r="I55" t="s">
        <v>117</v>
      </c>
      <c r="J55" t="s">
        <v>118</v>
      </c>
      <c r="K55">
        <v>100</v>
      </c>
      <c r="L55">
        <v>3840.9</v>
      </c>
      <c r="M55">
        <v>384090</v>
      </c>
      <c r="N55" t="s">
        <v>35</v>
      </c>
      <c r="O55">
        <v>0</v>
      </c>
    </row>
    <row r="56" spans="1:15">
      <c r="A56" t="s">
        <v>380</v>
      </c>
      <c r="B56">
        <v>20260818</v>
      </c>
      <c r="C56">
        <v>3436</v>
      </c>
      <c r="D56" t="s">
        <v>152</v>
      </c>
      <c r="E56" t="s">
        <v>45</v>
      </c>
      <c r="F56" t="s">
        <v>115</v>
      </c>
      <c r="G56" t="s">
        <v>46</v>
      </c>
      <c r="H56" t="s">
        <v>116</v>
      </c>
      <c r="I56" t="s">
        <v>123</v>
      </c>
      <c r="J56" t="s">
        <v>124</v>
      </c>
      <c r="K56">
        <v>100</v>
      </c>
      <c r="L56">
        <v>3981.8</v>
      </c>
      <c r="M56">
        <v>398180</v>
      </c>
      <c r="N56" t="s">
        <v>125</v>
      </c>
      <c r="O56">
        <v>0</v>
      </c>
    </row>
    <row r="57" spans="1:15">
      <c r="A57" t="s">
        <v>383</v>
      </c>
      <c r="B57">
        <v>20260818</v>
      </c>
      <c r="C57">
        <v>5016</v>
      </c>
      <c r="D57" t="s">
        <v>139</v>
      </c>
      <c r="E57" t="s">
        <v>45</v>
      </c>
      <c r="F57" t="s">
        <v>115</v>
      </c>
      <c r="G57" t="s">
        <v>46</v>
      </c>
      <c r="H57" t="s">
        <v>116</v>
      </c>
      <c r="I57" t="s">
        <v>123</v>
      </c>
      <c r="J57" t="s">
        <v>124</v>
      </c>
      <c r="K57">
        <v>100</v>
      </c>
      <c r="L57">
        <v>3835.2</v>
      </c>
      <c r="M57">
        <v>383520</v>
      </c>
      <c r="N57" t="s">
        <v>125</v>
      </c>
      <c r="O57">
        <v>0</v>
      </c>
    </row>
    <row r="58" spans="1:15">
      <c r="A58" t="s">
        <v>386</v>
      </c>
      <c r="B58">
        <v>20260818</v>
      </c>
      <c r="C58">
        <v>5016</v>
      </c>
      <c r="D58" t="s">
        <v>139</v>
      </c>
      <c r="E58" t="s">
        <v>45</v>
      </c>
      <c r="F58" t="s">
        <v>115</v>
      </c>
      <c r="G58" t="s">
        <v>46</v>
      </c>
      <c r="H58" t="s">
        <v>116</v>
      </c>
      <c r="I58" t="s">
        <v>117</v>
      </c>
      <c r="J58" t="s">
        <v>118</v>
      </c>
      <c r="K58">
        <v>100</v>
      </c>
      <c r="L58">
        <v>3832.1</v>
      </c>
      <c r="M58">
        <v>383210</v>
      </c>
      <c r="N58" t="s">
        <v>35</v>
      </c>
      <c r="O58">
        <v>0</v>
      </c>
    </row>
    <row r="59" spans="1:15">
      <c r="A59" t="s">
        <v>389</v>
      </c>
      <c r="B59">
        <v>20260818</v>
      </c>
      <c r="C59">
        <v>3436</v>
      </c>
      <c r="D59" t="s">
        <v>152</v>
      </c>
      <c r="E59" t="s">
        <v>45</v>
      </c>
      <c r="F59" t="s">
        <v>115</v>
      </c>
      <c r="G59" t="s">
        <v>46</v>
      </c>
      <c r="H59" t="s">
        <v>116</v>
      </c>
      <c r="I59" t="s">
        <v>117</v>
      </c>
      <c r="J59" t="s">
        <v>118</v>
      </c>
      <c r="K59">
        <v>100</v>
      </c>
      <c r="L59">
        <v>3964.9</v>
      </c>
      <c r="M59">
        <v>396490</v>
      </c>
      <c r="N59" t="s">
        <v>35</v>
      </c>
      <c r="O59">
        <v>0</v>
      </c>
    </row>
    <row r="60" spans="1:15">
      <c r="A60" t="s">
        <v>392</v>
      </c>
      <c r="B60">
        <v>20260818</v>
      </c>
      <c r="C60">
        <v>5016</v>
      </c>
      <c r="D60" t="s">
        <v>139</v>
      </c>
      <c r="E60" t="s">
        <v>45</v>
      </c>
      <c r="F60" t="s">
        <v>115</v>
      </c>
      <c r="G60" t="s">
        <v>46</v>
      </c>
      <c r="H60" t="s">
        <v>116</v>
      </c>
      <c r="I60" t="s">
        <v>123</v>
      </c>
      <c r="J60" t="s">
        <v>124</v>
      </c>
      <c r="K60">
        <v>100</v>
      </c>
      <c r="L60">
        <v>3831.9</v>
      </c>
      <c r="M60">
        <v>383190</v>
      </c>
      <c r="N60" t="s">
        <v>125</v>
      </c>
      <c r="O60">
        <v>0</v>
      </c>
    </row>
    <row r="61" spans="1:15">
      <c r="A61" t="s">
        <v>396</v>
      </c>
      <c r="B61">
        <v>20260818</v>
      </c>
      <c r="C61">
        <v>5803</v>
      </c>
      <c r="D61" t="s">
        <v>176</v>
      </c>
      <c r="E61" t="s">
        <v>45</v>
      </c>
      <c r="F61" t="s">
        <v>115</v>
      </c>
      <c r="G61" t="s">
        <v>46</v>
      </c>
      <c r="H61" t="s">
        <v>116</v>
      </c>
      <c r="I61" t="s">
        <v>123</v>
      </c>
      <c r="J61" t="s">
        <v>124</v>
      </c>
      <c r="K61">
        <v>100</v>
      </c>
      <c r="L61">
        <v>5652</v>
      </c>
      <c r="M61">
        <v>565200</v>
      </c>
      <c r="N61" t="s">
        <v>125</v>
      </c>
      <c r="O61">
        <v>0</v>
      </c>
    </row>
    <row r="62" spans="1:15">
      <c r="A62" t="s">
        <v>399</v>
      </c>
      <c r="B62">
        <v>20260818</v>
      </c>
      <c r="C62">
        <v>5016</v>
      </c>
      <c r="D62" t="s">
        <v>139</v>
      </c>
      <c r="E62" t="s">
        <v>45</v>
      </c>
      <c r="F62" t="s">
        <v>115</v>
      </c>
      <c r="G62" t="s">
        <v>46</v>
      </c>
      <c r="H62" t="s">
        <v>116</v>
      </c>
      <c r="I62" t="s">
        <v>117</v>
      </c>
      <c r="J62" t="s">
        <v>118</v>
      </c>
      <c r="K62">
        <v>100</v>
      </c>
      <c r="L62">
        <v>3832.9</v>
      </c>
      <c r="M62">
        <v>383290</v>
      </c>
      <c r="N62" t="s">
        <v>35</v>
      </c>
      <c r="O62">
        <v>0</v>
      </c>
    </row>
    <row r="63" spans="1:15">
      <c r="A63" t="s">
        <v>401</v>
      </c>
      <c r="B63">
        <v>20260818</v>
      </c>
      <c r="C63">
        <v>5016</v>
      </c>
      <c r="D63" t="s">
        <v>139</v>
      </c>
      <c r="E63" t="s">
        <v>45</v>
      </c>
      <c r="F63" t="s">
        <v>115</v>
      </c>
      <c r="G63" t="s">
        <v>46</v>
      </c>
      <c r="H63" t="s">
        <v>116</v>
      </c>
      <c r="I63" t="s">
        <v>123</v>
      </c>
      <c r="J63" t="s">
        <v>124</v>
      </c>
      <c r="K63">
        <v>100</v>
      </c>
      <c r="L63">
        <v>3827.1</v>
      </c>
      <c r="M63">
        <v>382710</v>
      </c>
      <c r="N63" t="s">
        <v>125</v>
      </c>
      <c r="O63">
        <v>0</v>
      </c>
    </row>
    <row r="64" spans="1:15">
      <c r="A64" t="s">
        <v>406</v>
      </c>
      <c r="B64">
        <v>20260818</v>
      </c>
      <c r="C64">
        <v>7013</v>
      </c>
      <c r="D64" t="s">
        <v>404</v>
      </c>
      <c r="E64" t="s">
        <v>45</v>
      </c>
      <c r="F64" t="s">
        <v>115</v>
      </c>
      <c r="G64" t="s">
        <v>46</v>
      </c>
      <c r="H64" t="s">
        <v>116</v>
      </c>
      <c r="I64" t="s">
        <v>117</v>
      </c>
      <c r="J64" t="s">
        <v>118</v>
      </c>
      <c r="K64">
        <v>100</v>
      </c>
      <c r="L64">
        <v>3037.4</v>
      </c>
      <c r="M64">
        <v>303740</v>
      </c>
      <c r="N64" t="s">
        <v>35</v>
      </c>
      <c r="O64">
        <v>0</v>
      </c>
    </row>
    <row r="65" spans="1:15">
      <c r="A65" t="s">
        <v>409</v>
      </c>
      <c r="B65">
        <v>20260818</v>
      </c>
      <c r="C65">
        <v>5016</v>
      </c>
      <c r="D65" t="s">
        <v>139</v>
      </c>
      <c r="E65" t="s">
        <v>45</v>
      </c>
      <c r="F65" t="s">
        <v>115</v>
      </c>
      <c r="G65" t="s">
        <v>46</v>
      </c>
      <c r="H65" t="s">
        <v>116</v>
      </c>
      <c r="I65" t="s">
        <v>117</v>
      </c>
      <c r="J65" t="s">
        <v>118</v>
      </c>
      <c r="K65">
        <v>100</v>
      </c>
      <c r="L65">
        <v>3822.1</v>
      </c>
      <c r="M65">
        <v>382210</v>
      </c>
      <c r="N65" t="s">
        <v>35</v>
      </c>
      <c r="O65">
        <v>0</v>
      </c>
    </row>
    <row r="66" spans="1:15">
      <c r="A66" t="s">
        <v>412</v>
      </c>
      <c r="B66">
        <v>20260818</v>
      </c>
      <c r="C66">
        <v>3436</v>
      </c>
      <c r="D66" t="s">
        <v>152</v>
      </c>
      <c r="E66" t="s">
        <v>45</v>
      </c>
      <c r="F66" t="s">
        <v>115</v>
      </c>
      <c r="G66" t="s">
        <v>46</v>
      </c>
      <c r="H66" t="s">
        <v>116</v>
      </c>
      <c r="I66" t="s">
        <v>123</v>
      </c>
      <c r="J66" t="s">
        <v>124</v>
      </c>
      <c r="K66">
        <v>100</v>
      </c>
      <c r="L66">
        <v>3946.9</v>
      </c>
      <c r="M66">
        <v>394690</v>
      </c>
      <c r="N66" t="s">
        <v>125</v>
      </c>
      <c r="O66">
        <v>0</v>
      </c>
    </row>
    <row r="67" spans="1:15">
      <c r="A67" t="s">
        <v>415</v>
      </c>
      <c r="B67">
        <v>20260818</v>
      </c>
      <c r="C67">
        <v>5803</v>
      </c>
      <c r="D67" t="s">
        <v>176</v>
      </c>
      <c r="E67" t="s">
        <v>45</v>
      </c>
      <c r="F67" t="s">
        <v>115</v>
      </c>
      <c r="G67" t="s">
        <v>46</v>
      </c>
      <c r="H67" t="s">
        <v>116</v>
      </c>
      <c r="I67" t="s">
        <v>117</v>
      </c>
      <c r="J67" t="s">
        <v>118</v>
      </c>
      <c r="K67">
        <v>100</v>
      </c>
      <c r="L67">
        <v>5654.2</v>
      </c>
      <c r="M67">
        <v>565420</v>
      </c>
      <c r="N67" t="s">
        <v>35</v>
      </c>
      <c r="O67">
        <v>0</v>
      </c>
    </row>
    <row r="68" spans="1:15">
      <c r="A68" t="s">
        <v>418</v>
      </c>
      <c r="B68">
        <v>20260818</v>
      </c>
      <c r="C68">
        <v>5803</v>
      </c>
      <c r="D68" t="s">
        <v>176</v>
      </c>
      <c r="E68" t="s">
        <v>45</v>
      </c>
      <c r="F68" t="s">
        <v>115</v>
      </c>
      <c r="G68" t="s">
        <v>46</v>
      </c>
      <c r="H68" t="s">
        <v>116</v>
      </c>
      <c r="I68" t="s">
        <v>123</v>
      </c>
      <c r="J68" t="s">
        <v>124</v>
      </c>
      <c r="K68">
        <v>100</v>
      </c>
      <c r="L68">
        <v>5644.5</v>
      </c>
      <c r="M68">
        <v>564450</v>
      </c>
      <c r="N68" t="s">
        <v>125</v>
      </c>
      <c r="O68">
        <v>0</v>
      </c>
    </row>
    <row r="69" spans="1:15">
      <c r="A69" t="s">
        <v>421</v>
      </c>
      <c r="B69">
        <v>20260818</v>
      </c>
      <c r="C69">
        <v>5016</v>
      </c>
      <c r="D69" t="s">
        <v>139</v>
      </c>
      <c r="E69" t="s">
        <v>45</v>
      </c>
      <c r="F69" t="s">
        <v>115</v>
      </c>
      <c r="G69" t="s">
        <v>46</v>
      </c>
      <c r="H69" t="s">
        <v>116</v>
      </c>
      <c r="I69" t="s">
        <v>123</v>
      </c>
      <c r="J69" t="s">
        <v>124</v>
      </c>
      <c r="K69">
        <v>100</v>
      </c>
      <c r="L69">
        <v>3822.1</v>
      </c>
      <c r="M69">
        <v>382210</v>
      </c>
      <c r="N69" t="s">
        <v>125</v>
      </c>
      <c r="O69">
        <v>0</v>
      </c>
    </row>
    <row r="70" spans="1:15">
      <c r="A70" t="s">
        <v>423</v>
      </c>
      <c r="B70">
        <v>20260818</v>
      </c>
      <c r="C70">
        <v>7013</v>
      </c>
      <c r="D70" t="s">
        <v>404</v>
      </c>
      <c r="E70" t="s">
        <v>45</v>
      </c>
      <c r="F70" t="s">
        <v>115</v>
      </c>
      <c r="G70" t="s">
        <v>46</v>
      </c>
      <c r="H70" t="s">
        <v>116</v>
      </c>
      <c r="I70" t="s">
        <v>123</v>
      </c>
      <c r="J70" t="s">
        <v>124</v>
      </c>
      <c r="K70">
        <v>100</v>
      </c>
      <c r="L70">
        <v>3031.4</v>
      </c>
      <c r="M70">
        <v>303140</v>
      </c>
      <c r="N70" t="s">
        <v>125</v>
      </c>
      <c r="O70">
        <v>0</v>
      </c>
    </row>
    <row r="71" spans="1:15">
      <c r="A71" t="s">
        <v>427</v>
      </c>
      <c r="B71">
        <v>20260818</v>
      </c>
      <c r="C71">
        <v>5016</v>
      </c>
      <c r="D71" t="s">
        <v>139</v>
      </c>
      <c r="E71" t="s">
        <v>45</v>
      </c>
      <c r="F71" t="s">
        <v>115</v>
      </c>
      <c r="G71" t="s">
        <v>46</v>
      </c>
      <c r="H71" t="s">
        <v>116</v>
      </c>
      <c r="I71" t="s">
        <v>117</v>
      </c>
      <c r="J71" t="s">
        <v>118</v>
      </c>
      <c r="K71">
        <v>100</v>
      </c>
      <c r="L71">
        <v>3797.4</v>
      </c>
      <c r="M71">
        <v>379740</v>
      </c>
      <c r="N71" t="s">
        <v>35</v>
      </c>
      <c r="O71">
        <v>0</v>
      </c>
    </row>
    <row r="72" spans="1:15">
      <c r="A72" t="s">
        <v>430</v>
      </c>
      <c r="B72">
        <v>20260818</v>
      </c>
      <c r="C72">
        <v>5016</v>
      </c>
      <c r="D72" t="s">
        <v>139</v>
      </c>
      <c r="E72" t="s">
        <v>45</v>
      </c>
      <c r="F72" t="s">
        <v>115</v>
      </c>
      <c r="G72" t="s">
        <v>46</v>
      </c>
      <c r="H72" t="s">
        <v>116</v>
      </c>
      <c r="I72" t="s">
        <v>123</v>
      </c>
      <c r="J72" t="s">
        <v>124</v>
      </c>
      <c r="K72">
        <v>100</v>
      </c>
      <c r="L72">
        <v>3801.9</v>
      </c>
      <c r="M72">
        <v>380190</v>
      </c>
      <c r="N72" t="s">
        <v>125</v>
      </c>
      <c r="O72">
        <v>0</v>
      </c>
    </row>
    <row r="73" spans="1:15">
      <c r="A73" t="s">
        <v>433</v>
      </c>
      <c r="B73">
        <v>20260818</v>
      </c>
      <c r="C73">
        <v>5803</v>
      </c>
      <c r="D73" t="s">
        <v>176</v>
      </c>
      <c r="E73" t="s">
        <v>45</v>
      </c>
      <c r="F73" t="s">
        <v>115</v>
      </c>
      <c r="G73" t="s">
        <v>46</v>
      </c>
      <c r="H73" t="s">
        <v>116</v>
      </c>
      <c r="I73" t="s">
        <v>117</v>
      </c>
      <c r="J73" t="s">
        <v>118</v>
      </c>
      <c r="K73">
        <v>200</v>
      </c>
      <c r="L73">
        <v>5714.4</v>
      </c>
      <c r="M73">
        <v>1142880</v>
      </c>
      <c r="N73" t="s">
        <v>35</v>
      </c>
      <c r="O73">
        <v>0</v>
      </c>
    </row>
    <row r="74" spans="1:15">
      <c r="A74" t="s">
        <v>436</v>
      </c>
      <c r="B74">
        <v>20260818</v>
      </c>
      <c r="C74">
        <v>5803</v>
      </c>
      <c r="D74" t="s">
        <v>176</v>
      </c>
      <c r="E74" t="s">
        <v>45</v>
      </c>
      <c r="F74" t="s">
        <v>115</v>
      </c>
      <c r="G74" t="s">
        <v>46</v>
      </c>
      <c r="H74" t="s">
        <v>116</v>
      </c>
      <c r="I74" t="s">
        <v>123</v>
      </c>
      <c r="J74" t="s">
        <v>124</v>
      </c>
      <c r="K74">
        <v>200</v>
      </c>
      <c r="L74">
        <v>5721.1</v>
      </c>
      <c r="M74">
        <v>1144220</v>
      </c>
      <c r="N74" t="s">
        <v>125</v>
      </c>
      <c r="O74">
        <v>0</v>
      </c>
    </row>
    <row r="75" spans="1:15">
      <c r="A75" t="s">
        <v>439</v>
      </c>
      <c r="B75">
        <v>20260818</v>
      </c>
      <c r="C75">
        <v>5803</v>
      </c>
      <c r="D75" t="s">
        <v>176</v>
      </c>
      <c r="E75" t="s">
        <v>45</v>
      </c>
      <c r="F75" t="s">
        <v>115</v>
      </c>
      <c r="G75" t="s">
        <v>46</v>
      </c>
      <c r="H75" t="s">
        <v>116</v>
      </c>
      <c r="I75" t="s">
        <v>117</v>
      </c>
      <c r="J75" t="s">
        <v>118</v>
      </c>
      <c r="K75">
        <v>100</v>
      </c>
      <c r="L75">
        <v>5723</v>
      </c>
      <c r="M75">
        <v>572300</v>
      </c>
      <c r="N75" t="s">
        <v>35</v>
      </c>
      <c r="O75">
        <v>0</v>
      </c>
    </row>
    <row r="76" spans="1:15">
      <c r="A76" t="s">
        <v>439</v>
      </c>
      <c r="B76">
        <v>20260818</v>
      </c>
      <c r="C76">
        <v>5803</v>
      </c>
      <c r="D76" t="s">
        <v>176</v>
      </c>
      <c r="E76" t="s">
        <v>45</v>
      </c>
      <c r="F76" t="s">
        <v>130</v>
      </c>
      <c r="G76" t="s">
        <v>46</v>
      </c>
      <c r="H76" t="s">
        <v>116</v>
      </c>
      <c r="I76" t="s">
        <v>117</v>
      </c>
      <c r="J76" t="s">
        <v>118</v>
      </c>
      <c r="K76">
        <v>100</v>
      </c>
      <c r="L76">
        <v>5723</v>
      </c>
      <c r="M76">
        <v>572300</v>
      </c>
      <c r="N76" t="s">
        <v>35</v>
      </c>
      <c r="O76">
        <v>0</v>
      </c>
    </row>
    <row r="77" spans="1:15">
      <c r="A77" t="s">
        <v>442</v>
      </c>
      <c r="B77">
        <v>20260818</v>
      </c>
      <c r="C77">
        <v>5803</v>
      </c>
      <c r="D77" t="s">
        <v>176</v>
      </c>
      <c r="E77" t="s">
        <v>45</v>
      </c>
      <c r="F77" t="s">
        <v>130</v>
      </c>
      <c r="G77" t="s">
        <v>46</v>
      </c>
      <c r="H77" t="s">
        <v>116</v>
      </c>
      <c r="I77" t="s">
        <v>123</v>
      </c>
      <c r="J77" t="s">
        <v>124</v>
      </c>
      <c r="K77">
        <v>100</v>
      </c>
      <c r="L77">
        <v>5705</v>
      </c>
      <c r="M77">
        <v>570500</v>
      </c>
      <c r="N77" t="s">
        <v>125</v>
      </c>
      <c r="O77">
        <v>0</v>
      </c>
    </row>
    <row r="78" spans="1:15">
      <c r="A78" t="s">
        <v>445</v>
      </c>
      <c r="B78">
        <v>20260818</v>
      </c>
      <c r="C78">
        <v>5803</v>
      </c>
      <c r="D78" t="s">
        <v>176</v>
      </c>
      <c r="E78" t="s">
        <v>45</v>
      </c>
      <c r="F78" t="s">
        <v>115</v>
      </c>
      <c r="G78" t="s">
        <v>46</v>
      </c>
      <c r="H78" t="s">
        <v>116</v>
      </c>
      <c r="I78" t="s">
        <v>123</v>
      </c>
      <c r="J78" t="s">
        <v>124</v>
      </c>
      <c r="K78">
        <v>100</v>
      </c>
      <c r="L78">
        <v>5700</v>
      </c>
      <c r="M78">
        <v>570000</v>
      </c>
      <c r="N78" t="s">
        <v>125</v>
      </c>
      <c r="O78">
        <v>0</v>
      </c>
    </row>
    <row r="79" spans="1:15">
      <c r="A79" t="s">
        <v>452</v>
      </c>
      <c r="B79">
        <v>20260818</v>
      </c>
      <c r="C79">
        <v>5016</v>
      </c>
      <c r="D79" t="s">
        <v>139</v>
      </c>
      <c r="E79" t="s">
        <v>45</v>
      </c>
      <c r="F79" t="s">
        <v>115</v>
      </c>
      <c r="G79" t="s">
        <v>46</v>
      </c>
      <c r="H79" t="s">
        <v>116</v>
      </c>
      <c r="I79" t="s">
        <v>117</v>
      </c>
      <c r="J79" t="s">
        <v>118</v>
      </c>
      <c r="K79">
        <v>100</v>
      </c>
      <c r="L79">
        <v>3802.8</v>
      </c>
      <c r="M79">
        <v>380280</v>
      </c>
      <c r="N79" t="s">
        <v>35</v>
      </c>
      <c r="O79">
        <v>0</v>
      </c>
    </row>
    <row r="80" spans="1:15">
      <c r="A80" t="s">
        <v>455</v>
      </c>
      <c r="B80">
        <v>20260818</v>
      </c>
      <c r="C80">
        <v>5016</v>
      </c>
      <c r="D80" t="s">
        <v>139</v>
      </c>
      <c r="E80" t="s">
        <v>45</v>
      </c>
      <c r="F80" t="s">
        <v>115</v>
      </c>
      <c r="G80" t="s">
        <v>46</v>
      </c>
      <c r="H80" t="s">
        <v>116</v>
      </c>
      <c r="I80" t="s">
        <v>123</v>
      </c>
      <c r="J80" t="s">
        <v>124</v>
      </c>
      <c r="K80">
        <v>100</v>
      </c>
      <c r="L80">
        <v>3798</v>
      </c>
      <c r="M80">
        <v>379800</v>
      </c>
      <c r="N80" t="s">
        <v>125</v>
      </c>
      <c r="O80">
        <v>0</v>
      </c>
    </row>
    <row r="81" spans="1:15">
      <c r="A81" s="1" t="s">
        <v>64</v>
      </c>
      <c r="B81" s="1" t="s">
        <v>64</v>
      </c>
      <c r="C81" s="1" t="s">
        <v>64</v>
      </c>
      <c r="D81" s="1" t="s">
        <v>64</v>
      </c>
      <c r="E81" s="1" t="s">
        <v>64</v>
      </c>
      <c r="F81" s="1" t="s">
        <v>64</v>
      </c>
      <c r="G81" s="1" t="s">
        <v>64</v>
      </c>
      <c r="H81" s="1" t="s">
        <v>64</v>
      </c>
      <c r="I81" s="1" t="s">
        <v>64</v>
      </c>
      <c r="J81" s="1" t="s">
        <v>64</v>
      </c>
      <c r="K81" s="1" t="s">
        <v>64</v>
      </c>
      <c r="L81" s="1" t="s">
        <v>64</v>
      </c>
      <c r="M81" s="1" t="s">
        <v>64</v>
      </c>
      <c r="N81" s="1" t="s">
        <v>64</v>
      </c>
      <c r="O81" s="1" t="s">
        <v>64</v>
      </c>
    </row>
    <row r="84" spans="1:15">
      <c r="A84" t="s">
        <v>743</v>
      </c>
    </row>
    <row r="85" spans="1:15">
      <c r="A85" t="s">
        <v>108</v>
      </c>
      <c r="B85" t="s">
        <v>109</v>
      </c>
      <c r="C85" t="s">
        <v>10</v>
      </c>
      <c r="D85" t="s">
        <v>11</v>
      </c>
      <c r="E85" t="s">
        <v>12</v>
      </c>
      <c r="F85" t="s">
        <v>13</v>
      </c>
      <c r="G85" t="s">
        <v>14</v>
      </c>
      <c r="H85" t="s">
        <v>15</v>
      </c>
      <c r="I85" t="s">
        <v>17</v>
      </c>
      <c r="J85" t="s">
        <v>662</v>
      </c>
      <c r="K85" t="s">
        <v>21</v>
      </c>
      <c r="L85" t="s">
        <v>110</v>
      </c>
      <c r="M85" t="s">
        <v>111</v>
      </c>
      <c r="N85" t="s">
        <v>27</v>
      </c>
      <c r="O85" t="s">
        <v>112</v>
      </c>
    </row>
    <row r="86" spans="1:15">
      <c r="A86" t="s">
        <v>709</v>
      </c>
      <c r="B86">
        <v>20260910</v>
      </c>
      <c r="C86">
        <v>5803</v>
      </c>
      <c r="D86" t="s">
        <v>176</v>
      </c>
      <c r="E86" t="s">
        <v>45</v>
      </c>
      <c r="F86" t="s">
        <v>115</v>
      </c>
      <c r="G86" t="s">
        <v>223</v>
      </c>
      <c r="H86" t="s">
        <v>224</v>
      </c>
      <c r="I86" t="s">
        <v>117</v>
      </c>
      <c r="J86" t="s">
        <v>118</v>
      </c>
      <c r="K86">
        <v>100</v>
      </c>
      <c r="L86">
        <v>5162.8</v>
      </c>
      <c r="M86">
        <v>516280</v>
      </c>
      <c r="N86" t="s">
        <v>35</v>
      </c>
      <c r="O86"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388B0-4DEB-46E6-B822-10EE253C01CB}">
  <dimension ref="A1:T13"/>
  <sheetViews>
    <sheetView workbookViewId="0">
      <selection activeCell="A9" sqref="A9:XFD9"/>
    </sheetView>
  </sheetViews>
  <sheetFormatPr defaultRowHeight="18.75"/>
  <cols>
    <col min="11" max="11" width="10.5" customWidth="1"/>
  </cols>
  <sheetData>
    <row r="1" spans="1:20">
      <c r="A1" t="s">
        <v>885</v>
      </c>
    </row>
    <row r="2" spans="1:20">
      <c r="A2" t="s">
        <v>82</v>
      </c>
      <c r="B2" t="s">
        <v>720</v>
      </c>
      <c r="C2" t="s">
        <v>726</v>
      </c>
      <c r="D2" t="s">
        <v>727</v>
      </c>
      <c r="E2" t="s">
        <v>728</v>
      </c>
      <c r="F2" t="s">
        <v>729</v>
      </c>
      <c r="G2" t="s">
        <v>662</v>
      </c>
      <c r="H2" t="s">
        <v>730</v>
      </c>
      <c r="I2" t="s">
        <v>731</v>
      </c>
      <c r="J2" t="s">
        <v>732</v>
      </c>
      <c r="K2" t="s">
        <v>733</v>
      </c>
      <c r="L2" t="s">
        <v>734</v>
      </c>
      <c r="M2" t="s">
        <v>735</v>
      </c>
      <c r="N2" t="s">
        <v>507</v>
      </c>
      <c r="O2" t="s">
        <v>508</v>
      </c>
      <c r="P2" t="s">
        <v>736</v>
      </c>
      <c r="Q2" t="s">
        <v>737</v>
      </c>
      <c r="R2" t="s">
        <v>738</v>
      </c>
      <c r="S2" t="s">
        <v>739</v>
      </c>
      <c r="T2" t="s">
        <v>740</v>
      </c>
    </row>
    <row r="3" spans="1:20">
      <c r="A3" s="1">
        <v>5016</v>
      </c>
      <c r="B3" s="1" t="s">
        <v>719</v>
      </c>
      <c r="C3" s="1" t="s">
        <v>36</v>
      </c>
      <c r="D3" s="1" t="s">
        <v>706</v>
      </c>
      <c r="E3" s="1" t="s">
        <v>685</v>
      </c>
      <c r="F3" s="1" t="s">
        <v>686</v>
      </c>
      <c r="G3" s="1" t="s">
        <v>674</v>
      </c>
      <c r="H3" s="1">
        <v>100</v>
      </c>
      <c r="I3" s="1">
        <v>0</v>
      </c>
      <c r="J3" s="1">
        <v>5653.6</v>
      </c>
      <c r="K3" s="1">
        <v>20260511</v>
      </c>
      <c r="L3" s="1">
        <v>20261110</v>
      </c>
      <c r="M3" s="1">
        <v>3909</v>
      </c>
      <c r="N3" s="1">
        <v>183</v>
      </c>
      <c r="O3" s="1">
        <v>4.91</v>
      </c>
      <c r="P3" s="1">
        <v>390900</v>
      </c>
      <c r="Q3" s="1">
        <v>-180136</v>
      </c>
      <c r="R3" s="1">
        <v>-31.862176000000002</v>
      </c>
      <c r="S3" s="1">
        <v>30</v>
      </c>
      <c r="T3" s="1">
        <v>0</v>
      </c>
    </row>
    <row r="4" spans="1:20">
      <c r="A4">
        <v>5016</v>
      </c>
      <c r="B4" t="s">
        <v>719</v>
      </c>
      <c r="C4" t="s">
        <v>36</v>
      </c>
      <c r="D4" t="s">
        <v>706</v>
      </c>
      <c r="E4" t="s">
        <v>685</v>
      </c>
      <c r="F4" t="s">
        <v>686</v>
      </c>
      <c r="G4" t="s">
        <v>674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3909</v>
      </c>
      <c r="N4">
        <v>183</v>
      </c>
      <c r="O4">
        <v>4.91</v>
      </c>
      <c r="P4">
        <v>390900</v>
      </c>
      <c r="Q4">
        <v>-184722</v>
      </c>
      <c r="R4">
        <v>-32.394297000000002</v>
      </c>
      <c r="S4">
        <v>30</v>
      </c>
      <c r="T4">
        <v>0</v>
      </c>
    </row>
    <row r="5" spans="1:20">
      <c r="A5">
        <v>5016</v>
      </c>
      <c r="B5" t="s">
        <v>719</v>
      </c>
      <c r="C5" t="s">
        <v>36</v>
      </c>
      <c r="D5" t="s">
        <v>706</v>
      </c>
      <c r="E5" t="s">
        <v>685</v>
      </c>
      <c r="F5" t="s">
        <v>686</v>
      </c>
      <c r="G5" t="s">
        <v>674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3909</v>
      </c>
      <c r="N5">
        <v>183</v>
      </c>
      <c r="O5">
        <v>4.91</v>
      </c>
      <c r="P5">
        <v>390900</v>
      </c>
      <c r="Q5">
        <v>-144137</v>
      </c>
      <c r="R5">
        <v>-27.118908999999999</v>
      </c>
      <c r="S5">
        <v>30</v>
      </c>
      <c r="T5">
        <v>0</v>
      </c>
    </row>
    <row r="6" spans="1:20">
      <c r="A6">
        <v>5803</v>
      </c>
      <c r="B6" t="s">
        <v>490</v>
      </c>
      <c r="C6" t="s">
        <v>36</v>
      </c>
      <c r="D6" t="s">
        <v>706</v>
      </c>
      <c r="E6" t="s">
        <v>685</v>
      </c>
      <c r="F6" t="s">
        <v>686</v>
      </c>
      <c r="G6" t="s">
        <v>674</v>
      </c>
      <c r="H6">
        <v>100</v>
      </c>
      <c r="I6">
        <v>0</v>
      </c>
      <c r="J6">
        <v>6452.8</v>
      </c>
      <c r="K6">
        <v>20260624</v>
      </c>
      <c r="L6">
        <v>20261223</v>
      </c>
      <c r="M6">
        <v>5493</v>
      </c>
      <c r="N6">
        <v>410</v>
      </c>
      <c r="O6">
        <v>8.07</v>
      </c>
      <c r="P6">
        <v>549300</v>
      </c>
      <c r="Q6">
        <v>-99842</v>
      </c>
      <c r="R6">
        <v>-15.472663000000001</v>
      </c>
      <c r="S6">
        <v>30</v>
      </c>
      <c r="T6">
        <v>0</v>
      </c>
    </row>
    <row r="7" spans="1:20">
      <c r="A7">
        <v>5803</v>
      </c>
      <c r="B7" t="s">
        <v>490</v>
      </c>
      <c r="C7" t="s">
        <v>36</v>
      </c>
      <c r="D7" t="s">
        <v>706</v>
      </c>
      <c r="E7" t="s">
        <v>685</v>
      </c>
      <c r="F7" t="s">
        <v>686</v>
      </c>
      <c r="G7" t="s">
        <v>674</v>
      </c>
      <c r="H7">
        <v>100</v>
      </c>
      <c r="I7">
        <v>0</v>
      </c>
      <c r="J7">
        <v>6449.9</v>
      </c>
      <c r="K7">
        <v>20260624</v>
      </c>
      <c r="L7">
        <v>20261223</v>
      </c>
      <c r="M7">
        <v>5493</v>
      </c>
      <c r="N7">
        <v>410</v>
      </c>
      <c r="O7">
        <v>8.07</v>
      </c>
      <c r="P7">
        <v>549300</v>
      </c>
      <c r="Q7">
        <v>-99769</v>
      </c>
      <c r="R7">
        <v>-15.468302</v>
      </c>
      <c r="S7">
        <v>30</v>
      </c>
      <c r="T7">
        <v>0</v>
      </c>
    </row>
    <row r="8" spans="1:20">
      <c r="A8">
        <v>9984</v>
      </c>
      <c r="B8" t="s">
        <v>684</v>
      </c>
      <c r="C8" t="s">
        <v>36</v>
      </c>
      <c r="D8" t="s">
        <v>706</v>
      </c>
      <c r="E8" t="s">
        <v>685</v>
      </c>
      <c r="F8" t="s">
        <v>686</v>
      </c>
      <c r="G8" t="s">
        <v>674</v>
      </c>
      <c r="H8">
        <v>100</v>
      </c>
      <c r="I8">
        <v>0</v>
      </c>
      <c r="J8">
        <v>7240.1</v>
      </c>
      <c r="K8">
        <v>20260622</v>
      </c>
      <c r="L8">
        <v>20261221</v>
      </c>
      <c r="M8">
        <v>6810</v>
      </c>
      <c r="N8">
        <v>254</v>
      </c>
      <c r="O8">
        <v>3.87</v>
      </c>
      <c r="P8">
        <v>681000</v>
      </c>
      <c r="Q8">
        <v>-47674</v>
      </c>
      <c r="R8">
        <v>-6.5847160000000002</v>
      </c>
      <c r="S8">
        <v>30</v>
      </c>
      <c r="T8">
        <v>0</v>
      </c>
    </row>
    <row r="9" spans="1:20">
      <c r="A9" s="1">
        <v>9984</v>
      </c>
      <c r="B9" s="1" t="s">
        <v>684</v>
      </c>
      <c r="C9" s="1" t="s">
        <v>36</v>
      </c>
      <c r="D9" s="1" t="s">
        <v>706</v>
      </c>
      <c r="E9" s="1" t="s">
        <v>685</v>
      </c>
      <c r="F9" s="1" t="s">
        <v>686</v>
      </c>
      <c r="G9" s="1" t="s">
        <v>674</v>
      </c>
      <c r="H9" s="1">
        <v>100</v>
      </c>
      <c r="I9" s="1">
        <v>0</v>
      </c>
      <c r="J9" s="1">
        <v>6782.4</v>
      </c>
      <c r="K9" s="1">
        <v>20260909</v>
      </c>
      <c r="L9" s="1">
        <v>20270308</v>
      </c>
      <c r="M9" s="1">
        <v>6810</v>
      </c>
      <c r="N9" s="1">
        <v>254</v>
      </c>
      <c r="O9" s="1">
        <v>3.87</v>
      </c>
      <c r="P9" s="1">
        <v>681000</v>
      </c>
      <c r="Q9" s="1">
        <v>2707</v>
      </c>
      <c r="R9" s="1">
        <v>0.399121</v>
      </c>
      <c r="S9" s="1">
        <v>30</v>
      </c>
      <c r="T9" s="1">
        <v>0</v>
      </c>
    </row>
    <row r="10" spans="1:20">
      <c r="A10" s="1" t="s">
        <v>64</v>
      </c>
      <c r="B10" s="1" t="s">
        <v>64</v>
      </c>
      <c r="C10" s="1" t="s">
        <v>64</v>
      </c>
      <c r="D10" s="1" t="s">
        <v>64</v>
      </c>
      <c r="E10" s="1" t="s">
        <v>64</v>
      </c>
      <c r="F10" s="1" t="s">
        <v>64</v>
      </c>
      <c r="G10" s="1" t="s">
        <v>64</v>
      </c>
      <c r="H10" s="1" t="s">
        <v>64</v>
      </c>
      <c r="I10" s="1" t="s">
        <v>64</v>
      </c>
      <c r="J10" s="1" t="s">
        <v>64</v>
      </c>
      <c r="K10" s="1" t="s">
        <v>64</v>
      </c>
      <c r="L10" s="1" t="s">
        <v>64</v>
      </c>
      <c r="M10" s="1" t="s">
        <v>64</v>
      </c>
      <c r="N10" s="1" t="s">
        <v>64</v>
      </c>
      <c r="O10" s="1" t="s">
        <v>64</v>
      </c>
      <c r="P10" s="1" t="s">
        <v>64</v>
      </c>
      <c r="Q10" s="1" t="s">
        <v>64</v>
      </c>
      <c r="R10" s="1" t="s">
        <v>64</v>
      </c>
      <c r="S10" s="1" t="s">
        <v>64</v>
      </c>
      <c r="T10" s="1" t="s">
        <v>64</v>
      </c>
    </row>
    <row r="11" spans="1:20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</sheetData>
  <phoneticPr fontId="1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F7499-9BEC-4466-88E4-72ACDC841B5E}">
  <dimension ref="A1:C303"/>
  <sheetViews>
    <sheetView workbookViewId="0">
      <selection activeCell="K13" sqref="K13"/>
    </sheetView>
  </sheetViews>
  <sheetFormatPr defaultRowHeight="18.75"/>
  <sheetData>
    <row r="1" spans="1:3">
      <c r="A1" t="s">
        <v>661</v>
      </c>
    </row>
    <row r="2" spans="1:3">
      <c r="A2" t="s">
        <v>526</v>
      </c>
      <c r="B2" t="s">
        <v>511</v>
      </c>
      <c r="C2" t="s">
        <v>527</v>
      </c>
    </row>
    <row r="3" spans="1:3">
      <c r="A3" t="s">
        <v>528</v>
      </c>
      <c r="B3">
        <v>3597200</v>
      </c>
      <c r="C3">
        <v>3077</v>
      </c>
    </row>
    <row r="4" spans="1:3">
      <c r="A4" t="s">
        <v>529</v>
      </c>
      <c r="B4">
        <v>4100</v>
      </c>
      <c r="C4">
        <v>3082</v>
      </c>
    </row>
    <row r="5" spans="1:3">
      <c r="A5" t="s">
        <v>529</v>
      </c>
      <c r="B5">
        <v>6500</v>
      </c>
      <c r="C5">
        <v>3081</v>
      </c>
    </row>
    <row r="6" spans="1:3">
      <c r="A6" t="s">
        <v>530</v>
      </c>
      <c r="B6">
        <v>200</v>
      </c>
      <c r="C6">
        <v>3081</v>
      </c>
    </row>
    <row r="7" spans="1:3">
      <c r="A7" t="s">
        <v>530</v>
      </c>
      <c r="B7">
        <v>100</v>
      </c>
      <c r="C7">
        <v>3081</v>
      </c>
    </row>
    <row r="8" spans="1:3">
      <c r="A8" t="s">
        <v>530</v>
      </c>
      <c r="B8">
        <v>100</v>
      </c>
      <c r="C8">
        <v>3080</v>
      </c>
    </row>
    <row r="9" spans="1:3">
      <c r="A9" t="s">
        <v>531</v>
      </c>
      <c r="B9">
        <v>100</v>
      </c>
      <c r="C9">
        <v>3080</v>
      </c>
    </row>
    <row r="10" spans="1:3">
      <c r="A10" t="s">
        <v>531</v>
      </c>
      <c r="B10">
        <v>200</v>
      </c>
      <c r="C10">
        <v>3080</v>
      </c>
    </row>
    <row r="11" spans="1:3">
      <c r="A11" t="s">
        <v>532</v>
      </c>
      <c r="B11">
        <v>300</v>
      </c>
      <c r="C11">
        <v>3081</v>
      </c>
    </row>
    <row r="12" spans="1:3">
      <c r="A12" t="s">
        <v>532</v>
      </c>
      <c r="B12">
        <v>3800</v>
      </c>
      <c r="C12">
        <v>3081</v>
      </c>
    </row>
    <row r="13" spans="1:3">
      <c r="A13" t="s">
        <v>532</v>
      </c>
      <c r="B13">
        <v>6500</v>
      </c>
      <c r="C13">
        <v>3081</v>
      </c>
    </row>
    <row r="14" spans="1:3">
      <c r="A14" t="s">
        <v>532</v>
      </c>
      <c r="B14">
        <v>100</v>
      </c>
      <c r="C14">
        <v>3080</v>
      </c>
    </row>
    <row r="15" spans="1:3">
      <c r="A15" t="s">
        <v>532</v>
      </c>
      <c r="B15">
        <v>200</v>
      </c>
      <c r="C15">
        <v>3081</v>
      </c>
    </row>
    <row r="16" spans="1:3">
      <c r="A16" t="s">
        <v>533</v>
      </c>
      <c r="B16">
        <v>200</v>
      </c>
      <c r="C16">
        <v>3080</v>
      </c>
    </row>
    <row r="17" spans="1:3">
      <c r="A17" t="s">
        <v>534</v>
      </c>
      <c r="B17">
        <v>200</v>
      </c>
      <c r="C17">
        <v>3080</v>
      </c>
    </row>
    <row r="18" spans="1:3">
      <c r="A18" t="s">
        <v>534</v>
      </c>
      <c r="B18">
        <v>200</v>
      </c>
      <c r="C18">
        <v>3080</v>
      </c>
    </row>
    <row r="19" spans="1:3">
      <c r="A19" t="s">
        <v>534</v>
      </c>
      <c r="B19">
        <v>100</v>
      </c>
      <c r="C19">
        <v>3080</v>
      </c>
    </row>
    <row r="20" spans="1:3">
      <c r="A20" t="s">
        <v>535</v>
      </c>
      <c r="B20">
        <v>300</v>
      </c>
      <c r="C20">
        <v>3081</v>
      </c>
    </row>
    <row r="21" spans="1:3">
      <c r="A21" t="s">
        <v>535</v>
      </c>
      <c r="B21">
        <v>100</v>
      </c>
      <c r="C21">
        <v>3081</v>
      </c>
    </row>
    <row r="22" spans="1:3">
      <c r="A22" t="s">
        <v>536</v>
      </c>
      <c r="B22">
        <v>100</v>
      </c>
      <c r="C22">
        <v>3081</v>
      </c>
    </row>
    <row r="23" spans="1:3">
      <c r="A23" t="s">
        <v>537</v>
      </c>
      <c r="B23">
        <v>100</v>
      </c>
      <c r="C23">
        <v>3080</v>
      </c>
    </row>
    <row r="24" spans="1:3">
      <c r="A24" t="s">
        <v>538</v>
      </c>
      <c r="B24">
        <v>100</v>
      </c>
      <c r="C24">
        <v>3081</v>
      </c>
    </row>
    <row r="25" spans="1:3">
      <c r="A25" t="s">
        <v>538</v>
      </c>
      <c r="B25">
        <v>400</v>
      </c>
      <c r="C25">
        <v>3081</v>
      </c>
    </row>
    <row r="26" spans="1:3">
      <c r="A26" t="s">
        <v>538</v>
      </c>
      <c r="B26">
        <v>100</v>
      </c>
      <c r="C26">
        <v>3080</v>
      </c>
    </row>
    <row r="27" spans="1:3">
      <c r="A27" t="s">
        <v>539</v>
      </c>
      <c r="B27">
        <v>500</v>
      </c>
      <c r="C27">
        <v>3080</v>
      </c>
    </row>
    <row r="28" spans="1:3">
      <c r="A28" t="s">
        <v>540</v>
      </c>
      <c r="B28">
        <v>100</v>
      </c>
      <c r="C28">
        <v>3080</v>
      </c>
    </row>
    <row r="29" spans="1:3">
      <c r="A29" t="s">
        <v>541</v>
      </c>
      <c r="B29">
        <v>100</v>
      </c>
      <c r="C29">
        <v>3080</v>
      </c>
    </row>
    <row r="30" spans="1:3">
      <c r="A30" t="s">
        <v>542</v>
      </c>
      <c r="B30">
        <v>400</v>
      </c>
      <c r="C30">
        <v>3080</v>
      </c>
    </row>
    <row r="31" spans="1:3">
      <c r="A31" t="s">
        <v>542</v>
      </c>
      <c r="B31">
        <v>200</v>
      </c>
      <c r="C31">
        <v>3080</v>
      </c>
    </row>
    <row r="32" spans="1:3">
      <c r="A32" t="s">
        <v>542</v>
      </c>
      <c r="B32">
        <v>200</v>
      </c>
      <c r="C32">
        <v>3080</v>
      </c>
    </row>
    <row r="33" spans="1:3">
      <c r="A33" t="s">
        <v>542</v>
      </c>
      <c r="B33">
        <v>400</v>
      </c>
      <c r="C33">
        <v>3080</v>
      </c>
    </row>
    <row r="34" spans="1:3">
      <c r="A34" t="s">
        <v>543</v>
      </c>
      <c r="B34">
        <v>100</v>
      </c>
      <c r="C34">
        <v>3081</v>
      </c>
    </row>
    <row r="35" spans="1:3">
      <c r="A35" t="s">
        <v>544</v>
      </c>
      <c r="B35">
        <v>3100</v>
      </c>
      <c r="C35">
        <v>3080</v>
      </c>
    </row>
    <row r="36" spans="1:3">
      <c r="A36" t="s">
        <v>544</v>
      </c>
      <c r="B36">
        <v>1100</v>
      </c>
      <c r="C36">
        <v>3080</v>
      </c>
    </row>
    <row r="37" spans="1:3">
      <c r="A37" t="s">
        <v>544</v>
      </c>
      <c r="B37">
        <v>1100</v>
      </c>
      <c r="C37">
        <v>3080</v>
      </c>
    </row>
    <row r="38" spans="1:3">
      <c r="A38" t="s">
        <v>544</v>
      </c>
      <c r="B38">
        <v>100</v>
      </c>
      <c r="C38">
        <v>3080</v>
      </c>
    </row>
    <row r="39" spans="1:3">
      <c r="A39" t="s">
        <v>544</v>
      </c>
      <c r="B39">
        <v>10500</v>
      </c>
      <c r="C39">
        <v>3080</v>
      </c>
    </row>
    <row r="40" spans="1:3">
      <c r="A40" t="s">
        <v>544</v>
      </c>
      <c r="B40">
        <v>100</v>
      </c>
      <c r="C40">
        <v>3080</v>
      </c>
    </row>
    <row r="41" spans="1:3">
      <c r="A41" t="s">
        <v>544</v>
      </c>
      <c r="B41">
        <v>100</v>
      </c>
      <c r="C41">
        <v>3080</v>
      </c>
    </row>
    <row r="42" spans="1:3">
      <c r="A42" t="s">
        <v>544</v>
      </c>
      <c r="B42">
        <v>100</v>
      </c>
      <c r="C42">
        <v>3080</v>
      </c>
    </row>
    <row r="43" spans="1:3">
      <c r="A43" t="s">
        <v>544</v>
      </c>
      <c r="B43">
        <v>200</v>
      </c>
      <c r="C43">
        <v>3080</v>
      </c>
    </row>
    <row r="44" spans="1:3">
      <c r="A44" t="s">
        <v>544</v>
      </c>
      <c r="B44">
        <v>100</v>
      </c>
      <c r="C44">
        <v>3080</v>
      </c>
    </row>
    <row r="45" spans="1:3">
      <c r="A45" t="s">
        <v>544</v>
      </c>
      <c r="B45">
        <v>500</v>
      </c>
      <c r="C45">
        <v>3079</v>
      </c>
    </row>
    <row r="46" spans="1:3">
      <c r="A46" t="s">
        <v>544</v>
      </c>
      <c r="B46">
        <v>300</v>
      </c>
      <c r="C46">
        <v>3079</v>
      </c>
    </row>
    <row r="47" spans="1:3">
      <c r="A47" t="s">
        <v>545</v>
      </c>
      <c r="B47">
        <v>800</v>
      </c>
      <c r="C47">
        <v>3079</v>
      </c>
    </row>
    <row r="48" spans="1:3">
      <c r="A48" t="s">
        <v>545</v>
      </c>
      <c r="B48">
        <v>100</v>
      </c>
      <c r="C48">
        <v>3079</v>
      </c>
    </row>
    <row r="49" spans="1:3">
      <c r="A49" t="s">
        <v>546</v>
      </c>
      <c r="B49">
        <v>200</v>
      </c>
      <c r="C49">
        <v>3079</v>
      </c>
    </row>
    <row r="50" spans="1:3">
      <c r="A50" t="s">
        <v>546</v>
      </c>
      <c r="B50">
        <v>100</v>
      </c>
      <c r="C50">
        <v>3079</v>
      </c>
    </row>
    <row r="51" spans="1:3">
      <c r="A51" t="s">
        <v>546</v>
      </c>
      <c r="B51">
        <v>200</v>
      </c>
      <c r="C51">
        <v>3079</v>
      </c>
    </row>
    <row r="52" spans="1:3">
      <c r="A52" t="s">
        <v>547</v>
      </c>
      <c r="B52">
        <v>200</v>
      </c>
      <c r="C52">
        <v>3079</v>
      </c>
    </row>
    <row r="53" spans="1:3">
      <c r="A53" t="s">
        <v>547</v>
      </c>
      <c r="B53">
        <v>100</v>
      </c>
      <c r="C53">
        <v>3079</v>
      </c>
    </row>
    <row r="54" spans="1:3">
      <c r="A54" t="s">
        <v>547</v>
      </c>
      <c r="B54">
        <v>400</v>
      </c>
      <c r="C54">
        <v>3079</v>
      </c>
    </row>
    <row r="55" spans="1:3">
      <c r="A55" t="s">
        <v>548</v>
      </c>
      <c r="B55">
        <v>100</v>
      </c>
      <c r="C55">
        <v>3079</v>
      </c>
    </row>
    <row r="56" spans="1:3">
      <c r="A56" t="s">
        <v>548</v>
      </c>
      <c r="B56">
        <v>100</v>
      </c>
      <c r="C56">
        <v>3079</v>
      </c>
    </row>
    <row r="57" spans="1:3">
      <c r="A57" t="s">
        <v>549</v>
      </c>
      <c r="B57">
        <v>400</v>
      </c>
      <c r="C57">
        <v>3080</v>
      </c>
    </row>
    <row r="58" spans="1:3">
      <c r="A58" t="s">
        <v>549</v>
      </c>
      <c r="B58">
        <v>3100</v>
      </c>
      <c r="C58">
        <v>3079</v>
      </c>
    </row>
    <row r="59" spans="1:3">
      <c r="A59" t="s">
        <v>549</v>
      </c>
      <c r="B59">
        <v>100</v>
      </c>
      <c r="C59">
        <v>3079</v>
      </c>
    </row>
    <row r="60" spans="1:3">
      <c r="A60" t="s">
        <v>549</v>
      </c>
      <c r="B60">
        <v>100</v>
      </c>
      <c r="C60">
        <v>3080</v>
      </c>
    </row>
    <row r="61" spans="1:3">
      <c r="A61" t="s">
        <v>549</v>
      </c>
      <c r="B61">
        <v>100</v>
      </c>
      <c r="C61">
        <v>3079</v>
      </c>
    </row>
    <row r="62" spans="1:3">
      <c r="A62" t="s">
        <v>549</v>
      </c>
      <c r="B62">
        <v>100</v>
      </c>
      <c r="C62">
        <v>3079</v>
      </c>
    </row>
    <row r="63" spans="1:3">
      <c r="A63" t="s">
        <v>549</v>
      </c>
      <c r="B63">
        <v>200</v>
      </c>
      <c r="C63">
        <v>3080</v>
      </c>
    </row>
    <row r="64" spans="1:3">
      <c r="A64" t="s">
        <v>550</v>
      </c>
      <c r="B64">
        <v>100</v>
      </c>
      <c r="C64">
        <v>3079</v>
      </c>
    </row>
    <row r="65" spans="1:3">
      <c r="A65" t="s">
        <v>550</v>
      </c>
      <c r="B65">
        <v>300</v>
      </c>
      <c r="C65">
        <v>3080</v>
      </c>
    </row>
    <row r="66" spans="1:3">
      <c r="A66" t="s">
        <v>550</v>
      </c>
      <c r="B66">
        <v>200</v>
      </c>
      <c r="C66">
        <v>3079</v>
      </c>
    </row>
    <row r="67" spans="1:3">
      <c r="A67" t="s">
        <v>550</v>
      </c>
      <c r="B67">
        <v>100</v>
      </c>
      <c r="C67">
        <v>3079</v>
      </c>
    </row>
    <row r="68" spans="1:3">
      <c r="A68" t="s">
        <v>551</v>
      </c>
      <c r="B68">
        <v>100</v>
      </c>
      <c r="C68">
        <v>3079</v>
      </c>
    </row>
    <row r="69" spans="1:3">
      <c r="A69" t="s">
        <v>551</v>
      </c>
      <c r="B69">
        <v>200</v>
      </c>
      <c r="C69">
        <v>3079</v>
      </c>
    </row>
    <row r="70" spans="1:3">
      <c r="A70" t="s">
        <v>551</v>
      </c>
      <c r="B70">
        <v>400</v>
      </c>
      <c r="C70">
        <v>3079</v>
      </c>
    </row>
    <row r="71" spans="1:3">
      <c r="A71" t="s">
        <v>551</v>
      </c>
      <c r="B71">
        <v>900</v>
      </c>
      <c r="C71">
        <v>3079</v>
      </c>
    </row>
    <row r="72" spans="1:3">
      <c r="A72" t="s">
        <v>551</v>
      </c>
      <c r="B72">
        <v>300</v>
      </c>
      <c r="C72">
        <v>3079</v>
      </c>
    </row>
    <row r="73" spans="1:3">
      <c r="A73" t="s">
        <v>551</v>
      </c>
      <c r="B73">
        <v>100</v>
      </c>
      <c r="C73">
        <v>3079</v>
      </c>
    </row>
    <row r="74" spans="1:3">
      <c r="A74" t="s">
        <v>551</v>
      </c>
      <c r="B74">
        <v>100</v>
      </c>
      <c r="C74">
        <v>3079</v>
      </c>
    </row>
    <row r="75" spans="1:3">
      <c r="A75" t="s">
        <v>551</v>
      </c>
      <c r="B75">
        <v>500</v>
      </c>
      <c r="C75">
        <v>3079</v>
      </c>
    </row>
    <row r="76" spans="1:3">
      <c r="A76" t="s">
        <v>551</v>
      </c>
      <c r="B76">
        <v>1000</v>
      </c>
      <c r="C76">
        <v>3079</v>
      </c>
    </row>
    <row r="77" spans="1:3">
      <c r="A77" t="s">
        <v>551</v>
      </c>
      <c r="B77">
        <v>400</v>
      </c>
      <c r="C77">
        <v>3079</v>
      </c>
    </row>
    <row r="78" spans="1:3">
      <c r="A78" t="s">
        <v>551</v>
      </c>
      <c r="B78">
        <v>100</v>
      </c>
      <c r="C78">
        <v>3079</v>
      </c>
    </row>
    <row r="79" spans="1:3">
      <c r="A79" t="s">
        <v>552</v>
      </c>
      <c r="B79">
        <v>100</v>
      </c>
      <c r="C79">
        <v>3080</v>
      </c>
    </row>
    <row r="80" spans="1:3">
      <c r="A80" t="s">
        <v>553</v>
      </c>
      <c r="B80">
        <v>1000</v>
      </c>
      <c r="C80">
        <v>3079</v>
      </c>
    </row>
    <row r="81" spans="1:3">
      <c r="A81" t="s">
        <v>553</v>
      </c>
      <c r="B81">
        <v>800</v>
      </c>
      <c r="C81">
        <v>3079</v>
      </c>
    </row>
    <row r="82" spans="1:3">
      <c r="A82" t="s">
        <v>553</v>
      </c>
      <c r="B82">
        <v>300</v>
      </c>
      <c r="C82">
        <v>3079</v>
      </c>
    </row>
    <row r="83" spans="1:3">
      <c r="A83" t="s">
        <v>553</v>
      </c>
      <c r="B83">
        <v>200</v>
      </c>
      <c r="C83">
        <v>3078</v>
      </c>
    </row>
    <row r="84" spans="1:3">
      <c r="A84" t="s">
        <v>553</v>
      </c>
      <c r="B84">
        <v>100</v>
      </c>
      <c r="C84">
        <v>3079</v>
      </c>
    </row>
    <row r="85" spans="1:3">
      <c r="A85" t="s">
        <v>554</v>
      </c>
      <c r="B85">
        <v>100</v>
      </c>
      <c r="C85">
        <v>3079</v>
      </c>
    </row>
    <row r="86" spans="1:3">
      <c r="A86" t="s">
        <v>555</v>
      </c>
      <c r="B86">
        <v>100</v>
      </c>
      <c r="C86">
        <v>3079</v>
      </c>
    </row>
    <row r="87" spans="1:3">
      <c r="A87" t="s">
        <v>555</v>
      </c>
      <c r="B87">
        <v>100</v>
      </c>
      <c r="C87">
        <v>3079</v>
      </c>
    </row>
    <row r="88" spans="1:3">
      <c r="A88" t="s">
        <v>555</v>
      </c>
      <c r="B88">
        <v>100</v>
      </c>
      <c r="C88">
        <v>3079</v>
      </c>
    </row>
    <row r="89" spans="1:3">
      <c r="A89" t="s">
        <v>556</v>
      </c>
      <c r="B89">
        <v>100</v>
      </c>
      <c r="C89">
        <v>3079</v>
      </c>
    </row>
    <row r="90" spans="1:3">
      <c r="A90" t="s">
        <v>557</v>
      </c>
      <c r="B90">
        <v>100</v>
      </c>
      <c r="C90">
        <v>3078</v>
      </c>
    </row>
    <row r="91" spans="1:3">
      <c r="A91" t="s">
        <v>558</v>
      </c>
      <c r="B91">
        <v>100</v>
      </c>
      <c r="C91">
        <v>3079</v>
      </c>
    </row>
    <row r="92" spans="1:3">
      <c r="A92" t="s">
        <v>559</v>
      </c>
      <c r="B92">
        <v>600</v>
      </c>
      <c r="C92">
        <v>3078</v>
      </c>
    </row>
    <row r="93" spans="1:3">
      <c r="A93" t="s">
        <v>559</v>
      </c>
      <c r="B93">
        <v>1600</v>
      </c>
      <c r="C93">
        <v>3079</v>
      </c>
    </row>
    <row r="94" spans="1:3">
      <c r="A94" t="s">
        <v>560</v>
      </c>
      <c r="B94">
        <v>100</v>
      </c>
      <c r="C94">
        <v>3079</v>
      </c>
    </row>
    <row r="95" spans="1:3">
      <c r="A95" t="s">
        <v>561</v>
      </c>
      <c r="B95">
        <v>1000</v>
      </c>
      <c r="C95">
        <v>3079</v>
      </c>
    </row>
    <row r="96" spans="1:3">
      <c r="A96" t="s">
        <v>561</v>
      </c>
      <c r="B96">
        <v>200</v>
      </c>
      <c r="C96">
        <v>3079</v>
      </c>
    </row>
    <row r="97" spans="1:3">
      <c r="A97" t="s">
        <v>562</v>
      </c>
      <c r="B97">
        <v>100</v>
      </c>
      <c r="C97">
        <v>3078</v>
      </c>
    </row>
    <row r="98" spans="1:3">
      <c r="A98" t="s">
        <v>562</v>
      </c>
      <c r="B98">
        <v>3800</v>
      </c>
      <c r="C98">
        <v>3079</v>
      </c>
    </row>
    <row r="99" spans="1:3">
      <c r="A99" t="s">
        <v>562</v>
      </c>
      <c r="B99">
        <v>100</v>
      </c>
      <c r="C99">
        <v>3080</v>
      </c>
    </row>
    <row r="100" spans="1:3">
      <c r="A100" t="s">
        <v>562</v>
      </c>
      <c r="B100">
        <v>100</v>
      </c>
      <c r="C100">
        <v>3079</v>
      </c>
    </row>
    <row r="101" spans="1:3">
      <c r="A101" t="s">
        <v>563</v>
      </c>
      <c r="B101">
        <v>100</v>
      </c>
      <c r="C101">
        <v>3079</v>
      </c>
    </row>
    <row r="102" spans="1:3">
      <c r="A102" t="s">
        <v>563</v>
      </c>
      <c r="B102">
        <v>1200</v>
      </c>
      <c r="C102">
        <v>3079</v>
      </c>
    </row>
    <row r="103" spans="1:3">
      <c r="A103" s="1" t="s">
        <v>563</v>
      </c>
      <c r="B103">
        <v>300</v>
      </c>
      <c r="C103">
        <v>3079</v>
      </c>
    </row>
    <row r="104" spans="1:3">
      <c r="A104" t="s">
        <v>563</v>
      </c>
      <c r="B104">
        <v>1300</v>
      </c>
      <c r="C104">
        <v>3079</v>
      </c>
    </row>
    <row r="105" spans="1:3">
      <c r="A105" t="s">
        <v>563</v>
      </c>
      <c r="B105">
        <v>1900</v>
      </c>
      <c r="C105">
        <v>3079</v>
      </c>
    </row>
    <row r="106" spans="1:3">
      <c r="A106" t="s">
        <v>563</v>
      </c>
      <c r="B106">
        <v>1300</v>
      </c>
      <c r="C106">
        <v>3079</v>
      </c>
    </row>
    <row r="107" spans="1:3">
      <c r="A107" t="s">
        <v>563</v>
      </c>
      <c r="B107">
        <v>900</v>
      </c>
      <c r="C107">
        <v>3079</v>
      </c>
    </row>
    <row r="108" spans="1:3">
      <c r="A108" t="s">
        <v>563</v>
      </c>
      <c r="B108">
        <v>5500</v>
      </c>
      <c r="C108">
        <v>3079</v>
      </c>
    </row>
    <row r="109" spans="1:3">
      <c r="A109" t="s">
        <v>564</v>
      </c>
      <c r="B109">
        <v>9300</v>
      </c>
      <c r="C109">
        <v>3079</v>
      </c>
    </row>
    <row r="110" spans="1:3">
      <c r="A110" t="s">
        <v>564</v>
      </c>
      <c r="B110">
        <v>100</v>
      </c>
      <c r="C110">
        <v>3079</v>
      </c>
    </row>
    <row r="111" spans="1:3">
      <c r="A111" t="s">
        <v>565</v>
      </c>
      <c r="B111">
        <v>100</v>
      </c>
      <c r="C111">
        <v>3079</v>
      </c>
    </row>
    <row r="112" spans="1:3">
      <c r="A112" t="s">
        <v>565</v>
      </c>
      <c r="B112">
        <v>100</v>
      </c>
      <c r="C112">
        <v>3079</v>
      </c>
    </row>
    <row r="113" spans="1:3">
      <c r="A113" t="s">
        <v>565</v>
      </c>
      <c r="B113">
        <v>500</v>
      </c>
      <c r="C113">
        <v>3078</v>
      </c>
    </row>
    <row r="114" spans="1:3">
      <c r="A114" t="s">
        <v>566</v>
      </c>
      <c r="B114">
        <v>100</v>
      </c>
      <c r="C114">
        <v>3079</v>
      </c>
    </row>
    <row r="115" spans="1:3">
      <c r="A115" t="s">
        <v>566</v>
      </c>
      <c r="B115">
        <v>100</v>
      </c>
      <c r="C115">
        <v>3079</v>
      </c>
    </row>
    <row r="116" spans="1:3">
      <c r="A116" t="s">
        <v>566</v>
      </c>
      <c r="B116">
        <v>100</v>
      </c>
      <c r="C116">
        <v>3078</v>
      </c>
    </row>
    <row r="117" spans="1:3">
      <c r="A117" t="s">
        <v>566</v>
      </c>
      <c r="B117">
        <v>100</v>
      </c>
      <c r="C117">
        <v>3078</v>
      </c>
    </row>
    <row r="118" spans="1:3">
      <c r="A118" t="s">
        <v>567</v>
      </c>
      <c r="B118">
        <v>5700</v>
      </c>
      <c r="C118">
        <v>3078</v>
      </c>
    </row>
    <row r="119" spans="1:3">
      <c r="A119" t="s">
        <v>568</v>
      </c>
      <c r="B119">
        <v>200</v>
      </c>
      <c r="C119">
        <v>3079</v>
      </c>
    </row>
    <row r="120" spans="1:3">
      <c r="A120" t="s">
        <v>568</v>
      </c>
      <c r="B120">
        <v>100</v>
      </c>
      <c r="C120">
        <v>3078</v>
      </c>
    </row>
    <row r="121" spans="1:3">
      <c r="A121" t="s">
        <v>568</v>
      </c>
      <c r="B121">
        <v>300</v>
      </c>
      <c r="C121">
        <v>3078</v>
      </c>
    </row>
    <row r="122" spans="1:3">
      <c r="A122" t="s">
        <v>568</v>
      </c>
      <c r="B122">
        <v>100</v>
      </c>
      <c r="C122">
        <v>3078</v>
      </c>
    </row>
    <row r="123" spans="1:3">
      <c r="A123" t="s">
        <v>568</v>
      </c>
      <c r="B123">
        <v>100</v>
      </c>
      <c r="C123">
        <v>3078</v>
      </c>
    </row>
    <row r="124" spans="1:3">
      <c r="A124" t="s">
        <v>568</v>
      </c>
      <c r="B124">
        <v>100</v>
      </c>
      <c r="C124">
        <v>3078</v>
      </c>
    </row>
    <row r="125" spans="1:3">
      <c r="A125" t="s">
        <v>568</v>
      </c>
      <c r="B125">
        <v>300</v>
      </c>
      <c r="C125">
        <v>3079</v>
      </c>
    </row>
    <row r="126" spans="1:3">
      <c r="A126" t="s">
        <v>568</v>
      </c>
      <c r="B126">
        <v>100</v>
      </c>
      <c r="C126">
        <v>3078</v>
      </c>
    </row>
    <row r="127" spans="1:3">
      <c r="A127" t="s">
        <v>568</v>
      </c>
      <c r="B127">
        <v>400</v>
      </c>
      <c r="C127">
        <v>3078</v>
      </c>
    </row>
    <row r="128" spans="1:3">
      <c r="A128" t="s">
        <v>568</v>
      </c>
      <c r="B128">
        <v>100</v>
      </c>
      <c r="C128">
        <v>3078</v>
      </c>
    </row>
    <row r="129" spans="1:3">
      <c r="A129" t="s">
        <v>568</v>
      </c>
      <c r="B129">
        <v>200</v>
      </c>
      <c r="C129">
        <v>3079</v>
      </c>
    </row>
    <row r="130" spans="1:3">
      <c r="A130" t="s">
        <v>568</v>
      </c>
      <c r="B130">
        <v>100</v>
      </c>
      <c r="C130">
        <v>3078</v>
      </c>
    </row>
    <row r="131" spans="1:3">
      <c r="A131" t="s">
        <v>568</v>
      </c>
      <c r="B131">
        <v>100</v>
      </c>
      <c r="C131">
        <v>3078</v>
      </c>
    </row>
    <row r="132" spans="1:3">
      <c r="A132" t="s">
        <v>568</v>
      </c>
      <c r="B132">
        <v>1200</v>
      </c>
      <c r="C132">
        <v>3079</v>
      </c>
    </row>
    <row r="133" spans="1:3">
      <c r="A133" t="s">
        <v>568</v>
      </c>
      <c r="B133">
        <v>100</v>
      </c>
      <c r="C133">
        <v>3078</v>
      </c>
    </row>
    <row r="134" spans="1:3">
      <c r="A134" t="s">
        <v>568</v>
      </c>
      <c r="B134">
        <v>5300</v>
      </c>
      <c r="C134">
        <v>3078</v>
      </c>
    </row>
    <row r="135" spans="1:3">
      <c r="A135" t="s">
        <v>568</v>
      </c>
      <c r="B135">
        <v>100</v>
      </c>
      <c r="C135">
        <v>3078</v>
      </c>
    </row>
    <row r="136" spans="1:3">
      <c r="A136" t="s">
        <v>568</v>
      </c>
      <c r="B136">
        <v>400</v>
      </c>
      <c r="C136">
        <v>3079</v>
      </c>
    </row>
    <row r="137" spans="1:3">
      <c r="A137" t="s">
        <v>568</v>
      </c>
      <c r="B137">
        <v>500</v>
      </c>
      <c r="C137">
        <v>3079</v>
      </c>
    </row>
    <row r="138" spans="1:3">
      <c r="A138" t="s">
        <v>568</v>
      </c>
      <c r="B138">
        <v>100</v>
      </c>
      <c r="C138">
        <v>3078</v>
      </c>
    </row>
    <row r="139" spans="1:3">
      <c r="A139" t="s">
        <v>569</v>
      </c>
      <c r="B139">
        <v>100</v>
      </c>
      <c r="C139">
        <v>3079</v>
      </c>
    </row>
    <row r="140" spans="1:3">
      <c r="A140" t="s">
        <v>570</v>
      </c>
      <c r="B140">
        <v>100</v>
      </c>
      <c r="C140">
        <v>3079</v>
      </c>
    </row>
    <row r="141" spans="1:3">
      <c r="A141" t="s">
        <v>570</v>
      </c>
      <c r="B141">
        <v>200</v>
      </c>
      <c r="C141">
        <v>3078</v>
      </c>
    </row>
    <row r="142" spans="1:3">
      <c r="A142" t="s">
        <v>571</v>
      </c>
      <c r="B142">
        <v>100</v>
      </c>
      <c r="C142">
        <v>3079</v>
      </c>
    </row>
    <row r="143" spans="1:3">
      <c r="A143" t="s">
        <v>572</v>
      </c>
      <c r="B143">
        <v>100</v>
      </c>
      <c r="C143">
        <v>3078</v>
      </c>
    </row>
    <row r="144" spans="1:3">
      <c r="A144" t="s">
        <v>572</v>
      </c>
      <c r="B144">
        <v>100</v>
      </c>
      <c r="C144">
        <v>3079</v>
      </c>
    </row>
    <row r="145" spans="1:3">
      <c r="A145" t="s">
        <v>573</v>
      </c>
      <c r="B145">
        <v>100</v>
      </c>
      <c r="C145">
        <v>3079</v>
      </c>
    </row>
    <row r="146" spans="1:3">
      <c r="A146" t="s">
        <v>573</v>
      </c>
      <c r="B146">
        <v>100</v>
      </c>
      <c r="C146">
        <v>3079</v>
      </c>
    </row>
    <row r="147" spans="1:3">
      <c r="A147" t="s">
        <v>574</v>
      </c>
      <c r="B147">
        <v>100</v>
      </c>
      <c r="C147">
        <v>3079</v>
      </c>
    </row>
    <row r="148" spans="1:3">
      <c r="A148" t="s">
        <v>575</v>
      </c>
      <c r="B148">
        <v>100</v>
      </c>
      <c r="C148">
        <v>3079</v>
      </c>
    </row>
    <row r="149" spans="1:3">
      <c r="A149" t="s">
        <v>575</v>
      </c>
      <c r="B149">
        <v>300</v>
      </c>
      <c r="C149">
        <v>3078</v>
      </c>
    </row>
    <row r="150" spans="1:3">
      <c r="A150" t="s">
        <v>576</v>
      </c>
      <c r="B150">
        <v>100</v>
      </c>
      <c r="C150">
        <v>3079</v>
      </c>
    </row>
    <row r="151" spans="1:3">
      <c r="A151" t="s">
        <v>576</v>
      </c>
      <c r="B151">
        <v>100</v>
      </c>
      <c r="C151">
        <v>3078</v>
      </c>
    </row>
    <row r="152" spans="1:3">
      <c r="A152" t="s">
        <v>577</v>
      </c>
      <c r="B152">
        <v>100</v>
      </c>
      <c r="C152">
        <v>3078</v>
      </c>
    </row>
    <row r="153" spans="1:3">
      <c r="A153" t="s">
        <v>577</v>
      </c>
      <c r="B153">
        <v>600</v>
      </c>
      <c r="C153">
        <v>3078</v>
      </c>
    </row>
    <row r="154" spans="1:3">
      <c r="A154" t="s">
        <v>578</v>
      </c>
      <c r="B154">
        <v>100</v>
      </c>
      <c r="C154">
        <v>3078</v>
      </c>
    </row>
    <row r="155" spans="1:3">
      <c r="A155" t="s">
        <v>579</v>
      </c>
      <c r="B155">
        <v>100</v>
      </c>
      <c r="C155">
        <v>3079</v>
      </c>
    </row>
    <row r="156" spans="1:3">
      <c r="A156" t="s">
        <v>579</v>
      </c>
      <c r="B156">
        <v>100</v>
      </c>
      <c r="C156">
        <v>3079</v>
      </c>
    </row>
    <row r="157" spans="1:3">
      <c r="A157" t="s">
        <v>579</v>
      </c>
      <c r="B157">
        <v>100</v>
      </c>
      <c r="C157">
        <v>3079</v>
      </c>
    </row>
    <row r="158" spans="1:3">
      <c r="A158" t="s">
        <v>580</v>
      </c>
      <c r="B158">
        <v>100</v>
      </c>
      <c r="C158">
        <v>3078</v>
      </c>
    </row>
    <row r="159" spans="1:3">
      <c r="A159" t="s">
        <v>581</v>
      </c>
      <c r="B159">
        <v>100</v>
      </c>
      <c r="C159">
        <v>3079</v>
      </c>
    </row>
    <row r="160" spans="1:3">
      <c r="A160" t="s">
        <v>582</v>
      </c>
      <c r="B160">
        <v>100</v>
      </c>
      <c r="C160">
        <v>3078</v>
      </c>
    </row>
    <row r="161" spans="1:3">
      <c r="A161" t="s">
        <v>582</v>
      </c>
      <c r="B161">
        <v>600</v>
      </c>
      <c r="C161">
        <v>3078</v>
      </c>
    </row>
    <row r="162" spans="1:3">
      <c r="A162" t="s">
        <v>583</v>
      </c>
      <c r="B162">
        <v>100</v>
      </c>
      <c r="C162">
        <v>3078</v>
      </c>
    </row>
    <row r="163" spans="1:3">
      <c r="A163" t="s">
        <v>583</v>
      </c>
      <c r="B163">
        <v>100</v>
      </c>
      <c r="C163">
        <v>3079</v>
      </c>
    </row>
    <row r="164" spans="1:3">
      <c r="A164" t="s">
        <v>584</v>
      </c>
      <c r="B164">
        <v>100</v>
      </c>
      <c r="C164">
        <v>3079</v>
      </c>
    </row>
    <row r="165" spans="1:3">
      <c r="A165" t="s">
        <v>584</v>
      </c>
      <c r="B165">
        <v>100</v>
      </c>
      <c r="C165">
        <v>3079</v>
      </c>
    </row>
    <row r="166" spans="1:3">
      <c r="A166" t="s">
        <v>584</v>
      </c>
      <c r="B166">
        <v>100</v>
      </c>
      <c r="C166">
        <v>3078</v>
      </c>
    </row>
    <row r="167" spans="1:3">
      <c r="A167" t="s">
        <v>585</v>
      </c>
      <c r="B167">
        <v>100</v>
      </c>
      <c r="C167">
        <v>3078</v>
      </c>
    </row>
    <row r="168" spans="1:3">
      <c r="A168" t="s">
        <v>586</v>
      </c>
      <c r="B168">
        <v>9500</v>
      </c>
      <c r="C168">
        <v>3078</v>
      </c>
    </row>
    <row r="169" spans="1:3">
      <c r="A169" t="s">
        <v>586</v>
      </c>
      <c r="B169">
        <v>1000</v>
      </c>
      <c r="C169">
        <v>3079</v>
      </c>
    </row>
    <row r="170" spans="1:3">
      <c r="A170" t="s">
        <v>586</v>
      </c>
      <c r="B170">
        <v>100</v>
      </c>
      <c r="C170">
        <v>3079</v>
      </c>
    </row>
    <row r="171" spans="1:3">
      <c r="A171" t="s">
        <v>586</v>
      </c>
      <c r="B171">
        <v>3200</v>
      </c>
      <c r="C171">
        <v>3079</v>
      </c>
    </row>
    <row r="172" spans="1:3">
      <c r="A172" t="s">
        <v>586</v>
      </c>
      <c r="B172">
        <v>3700</v>
      </c>
      <c r="C172">
        <v>3079</v>
      </c>
    </row>
    <row r="173" spans="1:3">
      <c r="A173" t="s">
        <v>586</v>
      </c>
      <c r="B173">
        <v>4500</v>
      </c>
      <c r="C173">
        <v>3079</v>
      </c>
    </row>
    <row r="174" spans="1:3">
      <c r="A174" t="s">
        <v>587</v>
      </c>
      <c r="B174">
        <v>100</v>
      </c>
      <c r="C174">
        <v>3079</v>
      </c>
    </row>
    <row r="175" spans="1:3">
      <c r="A175" t="s">
        <v>588</v>
      </c>
      <c r="B175">
        <v>100</v>
      </c>
      <c r="C175">
        <v>3080</v>
      </c>
    </row>
    <row r="176" spans="1:3">
      <c r="A176" t="s">
        <v>589</v>
      </c>
      <c r="B176">
        <v>100</v>
      </c>
      <c r="C176">
        <v>3079</v>
      </c>
    </row>
    <row r="177" spans="1:3">
      <c r="A177" t="s">
        <v>590</v>
      </c>
      <c r="B177">
        <v>1000</v>
      </c>
      <c r="C177">
        <v>3079</v>
      </c>
    </row>
    <row r="178" spans="1:3">
      <c r="A178" t="s">
        <v>590</v>
      </c>
      <c r="B178">
        <v>300</v>
      </c>
      <c r="C178">
        <v>3079</v>
      </c>
    </row>
    <row r="179" spans="1:3">
      <c r="A179" t="s">
        <v>591</v>
      </c>
      <c r="B179">
        <v>100</v>
      </c>
      <c r="C179">
        <v>3080</v>
      </c>
    </row>
    <row r="180" spans="1:3">
      <c r="A180" t="s">
        <v>591</v>
      </c>
      <c r="B180">
        <v>200</v>
      </c>
      <c r="C180">
        <v>3080</v>
      </c>
    </row>
    <row r="181" spans="1:3">
      <c r="A181" t="s">
        <v>591</v>
      </c>
      <c r="B181">
        <v>200</v>
      </c>
      <c r="C181">
        <v>3079</v>
      </c>
    </row>
    <row r="182" spans="1:3">
      <c r="A182" t="s">
        <v>592</v>
      </c>
      <c r="B182">
        <v>100</v>
      </c>
      <c r="C182">
        <v>3080</v>
      </c>
    </row>
    <row r="183" spans="1:3">
      <c r="A183" t="s">
        <v>593</v>
      </c>
      <c r="B183">
        <v>600</v>
      </c>
      <c r="C183">
        <v>3079</v>
      </c>
    </row>
    <row r="184" spans="1:3">
      <c r="A184" t="s">
        <v>594</v>
      </c>
      <c r="B184">
        <v>100</v>
      </c>
      <c r="C184">
        <v>3080</v>
      </c>
    </row>
    <row r="185" spans="1:3">
      <c r="A185" t="s">
        <v>594</v>
      </c>
      <c r="B185">
        <v>100</v>
      </c>
      <c r="C185">
        <v>3080</v>
      </c>
    </row>
    <row r="186" spans="1:3">
      <c r="A186" t="s">
        <v>595</v>
      </c>
      <c r="B186">
        <v>3200</v>
      </c>
      <c r="C186">
        <v>3080</v>
      </c>
    </row>
    <row r="187" spans="1:3">
      <c r="A187" t="s">
        <v>595</v>
      </c>
      <c r="B187">
        <v>100</v>
      </c>
      <c r="C187">
        <v>3080</v>
      </c>
    </row>
    <row r="188" spans="1:3">
      <c r="A188" t="s">
        <v>595</v>
      </c>
      <c r="B188">
        <v>300</v>
      </c>
      <c r="C188">
        <v>3079</v>
      </c>
    </row>
    <row r="189" spans="1:3">
      <c r="A189" t="s">
        <v>596</v>
      </c>
      <c r="B189">
        <v>300</v>
      </c>
      <c r="C189">
        <v>3080</v>
      </c>
    </row>
    <row r="190" spans="1:3">
      <c r="A190" t="s">
        <v>596</v>
      </c>
      <c r="B190">
        <v>100</v>
      </c>
      <c r="C190">
        <v>3080</v>
      </c>
    </row>
    <row r="191" spans="1:3">
      <c r="A191" t="s">
        <v>597</v>
      </c>
      <c r="B191">
        <v>100</v>
      </c>
      <c r="C191">
        <v>3080</v>
      </c>
    </row>
    <row r="192" spans="1:3">
      <c r="A192" t="s">
        <v>598</v>
      </c>
      <c r="B192">
        <v>100</v>
      </c>
      <c r="C192">
        <v>3080</v>
      </c>
    </row>
    <row r="193" spans="1:3">
      <c r="A193" t="s">
        <v>598</v>
      </c>
      <c r="B193">
        <v>100</v>
      </c>
      <c r="C193">
        <v>3079</v>
      </c>
    </row>
    <row r="194" spans="1:3">
      <c r="A194" t="s">
        <v>598</v>
      </c>
      <c r="B194">
        <v>200</v>
      </c>
      <c r="C194">
        <v>3079</v>
      </c>
    </row>
    <row r="195" spans="1:3">
      <c r="A195" t="s">
        <v>599</v>
      </c>
      <c r="B195">
        <v>200</v>
      </c>
      <c r="C195">
        <v>3079</v>
      </c>
    </row>
    <row r="196" spans="1:3">
      <c r="A196" t="s">
        <v>600</v>
      </c>
      <c r="B196">
        <v>100</v>
      </c>
      <c r="C196">
        <v>3080</v>
      </c>
    </row>
    <row r="197" spans="1:3">
      <c r="A197" t="s">
        <v>601</v>
      </c>
      <c r="B197">
        <v>200</v>
      </c>
      <c r="C197">
        <v>3079</v>
      </c>
    </row>
    <row r="198" spans="1:3">
      <c r="A198" t="s">
        <v>601</v>
      </c>
      <c r="B198">
        <v>400</v>
      </c>
      <c r="C198">
        <v>3079</v>
      </c>
    </row>
    <row r="199" spans="1:3">
      <c r="A199" t="s">
        <v>602</v>
      </c>
      <c r="B199">
        <v>100</v>
      </c>
      <c r="C199">
        <v>3080</v>
      </c>
    </row>
    <row r="200" spans="1:3">
      <c r="A200" t="s">
        <v>603</v>
      </c>
      <c r="B200">
        <v>100</v>
      </c>
      <c r="C200">
        <v>3079</v>
      </c>
    </row>
    <row r="201" spans="1:3">
      <c r="A201" t="s">
        <v>604</v>
      </c>
      <c r="B201">
        <v>100</v>
      </c>
      <c r="C201">
        <v>3079</v>
      </c>
    </row>
    <row r="202" spans="1:3">
      <c r="A202" t="s">
        <v>605</v>
      </c>
      <c r="B202">
        <v>700</v>
      </c>
      <c r="C202">
        <v>3079</v>
      </c>
    </row>
    <row r="203" spans="1:3">
      <c r="A203" s="1" t="s">
        <v>605</v>
      </c>
      <c r="B203">
        <v>100</v>
      </c>
      <c r="C203">
        <v>3080</v>
      </c>
    </row>
    <row r="204" spans="1:3">
      <c r="A204" t="s">
        <v>606</v>
      </c>
      <c r="B204">
        <v>100</v>
      </c>
      <c r="C204">
        <v>3080</v>
      </c>
    </row>
    <row r="205" spans="1:3">
      <c r="A205" t="s">
        <v>607</v>
      </c>
      <c r="B205">
        <v>100</v>
      </c>
      <c r="C205">
        <v>3080</v>
      </c>
    </row>
    <row r="206" spans="1:3">
      <c r="A206" t="s">
        <v>607</v>
      </c>
      <c r="B206">
        <v>100</v>
      </c>
      <c r="C206">
        <v>3080</v>
      </c>
    </row>
    <row r="207" spans="1:3">
      <c r="A207" t="s">
        <v>607</v>
      </c>
      <c r="B207">
        <v>500</v>
      </c>
      <c r="C207">
        <v>3080</v>
      </c>
    </row>
    <row r="208" spans="1:3">
      <c r="A208" t="s">
        <v>607</v>
      </c>
      <c r="B208">
        <v>500</v>
      </c>
      <c r="C208">
        <v>3080</v>
      </c>
    </row>
    <row r="209" spans="1:3">
      <c r="A209" t="s">
        <v>607</v>
      </c>
      <c r="B209">
        <v>100</v>
      </c>
      <c r="C209">
        <v>3080</v>
      </c>
    </row>
    <row r="210" spans="1:3">
      <c r="A210" t="s">
        <v>607</v>
      </c>
      <c r="B210">
        <v>7700</v>
      </c>
      <c r="C210">
        <v>3080</v>
      </c>
    </row>
    <row r="211" spans="1:3">
      <c r="A211" t="s">
        <v>608</v>
      </c>
      <c r="B211">
        <v>100</v>
      </c>
      <c r="C211">
        <v>3081</v>
      </c>
    </row>
    <row r="212" spans="1:3">
      <c r="A212" t="s">
        <v>609</v>
      </c>
      <c r="B212">
        <v>4600</v>
      </c>
      <c r="C212">
        <v>3081</v>
      </c>
    </row>
    <row r="213" spans="1:3">
      <c r="A213" t="s">
        <v>609</v>
      </c>
      <c r="B213">
        <v>300</v>
      </c>
      <c r="C213">
        <v>3081</v>
      </c>
    </row>
    <row r="214" spans="1:3">
      <c r="A214" t="s">
        <v>609</v>
      </c>
      <c r="B214">
        <v>400</v>
      </c>
      <c r="C214">
        <v>3080</v>
      </c>
    </row>
    <row r="215" spans="1:3">
      <c r="A215" t="s">
        <v>610</v>
      </c>
      <c r="B215">
        <v>100</v>
      </c>
      <c r="C215">
        <v>3080</v>
      </c>
    </row>
    <row r="216" spans="1:3">
      <c r="A216" t="s">
        <v>610</v>
      </c>
      <c r="B216">
        <v>200</v>
      </c>
      <c r="C216">
        <v>3080</v>
      </c>
    </row>
    <row r="217" spans="1:3">
      <c r="A217" t="s">
        <v>611</v>
      </c>
      <c r="B217">
        <v>500</v>
      </c>
      <c r="C217">
        <v>3080</v>
      </c>
    </row>
    <row r="218" spans="1:3">
      <c r="A218" t="s">
        <v>612</v>
      </c>
      <c r="B218">
        <v>100</v>
      </c>
      <c r="C218">
        <v>3080</v>
      </c>
    </row>
    <row r="219" spans="1:3">
      <c r="A219" t="s">
        <v>613</v>
      </c>
      <c r="B219">
        <v>100</v>
      </c>
      <c r="C219">
        <v>3081</v>
      </c>
    </row>
    <row r="220" spans="1:3">
      <c r="A220" t="s">
        <v>613</v>
      </c>
      <c r="B220">
        <v>100</v>
      </c>
      <c r="C220">
        <v>3081</v>
      </c>
    </row>
    <row r="221" spans="1:3">
      <c r="A221" t="s">
        <v>614</v>
      </c>
      <c r="B221">
        <v>100</v>
      </c>
      <c r="C221">
        <v>3080</v>
      </c>
    </row>
    <row r="222" spans="1:3">
      <c r="A222" t="s">
        <v>615</v>
      </c>
      <c r="B222">
        <v>700</v>
      </c>
      <c r="C222">
        <v>3081</v>
      </c>
    </row>
    <row r="223" spans="1:3">
      <c r="A223" t="s">
        <v>615</v>
      </c>
      <c r="B223">
        <v>3100</v>
      </c>
      <c r="C223">
        <v>3081</v>
      </c>
    </row>
    <row r="224" spans="1:3">
      <c r="A224" t="s">
        <v>615</v>
      </c>
      <c r="B224">
        <v>700</v>
      </c>
      <c r="C224">
        <v>3081</v>
      </c>
    </row>
    <row r="225" spans="1:3">
      <c r="A225" t="s">
        <v>615</v>
      </c>
      <c r="B225">
        <v>6100</v>
      </c>
      <c r="C225">
        <v>3081</v>
      </c>
    </row>
    <row r="226" spans="1:3">
      <c r="A226" t="s">
        <v>615</v>
      </c>
      <c r="B226">
        <v>100</v>
      </c>
      <c r="C226">
        <v>3082</v>
      </c>
    </row>
    <row r="227" spans="1:3">
      <c r="A227" t="s">
        <v>616</v>
      </c>
      <c r="B227">
        <v>100</v>
      </c>
      <c r="C227">
        <v>3082</v>
      </c>
    </row>
    <row r="228" spans="1:3">
      <c r="A228" t="s">
        <v>617</v>
      </c>
      <c r="B228">
        <v>100</v>
      </c>
      <c r="C228">
        <v>3082</v>
      </c>
    </row>
    <row r="229" spans="1:3">
      <c r="A229" t="s">
        <v>618</v>
      </c>
      <c r="B229">
        <v>100</v>
      </c>
      <c r="C229">
        <v>3081</v>
      </c>
    </row>
    <row r="230" spans="1:3">
      <c r="A230" t="s">
        <v>619</v>
      </c>
      <c r="B230">
        <v>100</v>
      </c>
      <c r="C230">
        <v>3082</v>
      </c>
    </row>
    <row r="231" spans="1:3">
      <c r="A231" t="s">
        <v>619</v>
      </c>
      <c r="B231">
        <v>300</v>
      </c>
      <c r="C231">
        <v>3081</v>
      </c>
    </row>
    <row r="232" spans="1:3">
      <c r="A232" t="s">
        <v>620</v>
      </c>
      <c r="B232">
        <v>100</v>
      </c>
      <c r="C232">
        <v>3081</v>
      </c>
    </row>
    <row r="233" spans="1:3">
      <c r="A233" t="s">
        <v>620</v>
      </c>
      <c r="B233">
        <v>100</v>
      </c>
      <c r="C233">
        <v>3082</v>
      </c>
    </row>
    <row r="234" spans="1:3">
      <c r="A234" t="s">
        <v>621</v>
      </c>
      <c r="B234">
        <v>100</v>
      </c>
      <c r="C234">
        <v>3082</v>
      </c>
    </row>
    <row r="235" spans="1:3">
      <c r="A235" t="s">
        <v>622</v>
      </c>
      <c r="B235">
        <v>200</v>
      </c>
      <c r="C235">
        <v>3081</v>
      </c>
    </row>
    <row r="236" spans="1:3">
      <c r="A236" t="s">
        <v>622</v>
      </c>
      <c r="B236">
        <v>300</v>
      </c>
      <c r="C236">
        <v>3081</v>
      </c>
    </row>
    <row r="237" spans="1:3">
      <c r="A237" t="s">
        <v>622</v>
      </c>
      <c r="B237">
        <v>400</v>
      </c>
      <c r="C237">
        <v>3081</v>
      </c>
    </row>
    <row r="238" spans="1:3">
      <c r="A238" t="s">
        <v>622</v>
      </c>
      <c r="B238">
        <v>1200</v>
      </c>
      <c r="C238">
        <v>3081</v>
      </c>
    </row>
    <row r="239" spans="1:3">
      <c r="A239" t="s">
        <v>622</v>
      </c>
      <c r="B239">
        <v>7500</v>
      </c>
      <c r="C239">
        <v>3081</v>
      </c>
    </row>
    <row r="240" spans="1:3">
      <c r="A240" t="s">
        <v>622</v>
      </c>
      <c r="B240">
        <v>100</v>
      </c>
      <c r="C240">
        <v>3082</v>
      </c>
    </row>
    <row r="241" spans="1:3">
      <c r="A241" t="s">
        <v>623</v>
      </c>
      <c r="B241">
        <v>100</v>
      </c>
      <c r="C241">
        <v>3082</v>
      </c>
    </row>
    <row r="242" spans="1:3">
      <c r="A242" t="s">
        <v>623</v>
      </c>
      <c r="B242">
        <v>300</v>
      </c>
      <c r="C242">
        <v>3081</v>
      </c>
    </row>
    <row r="243" spans="1:3">
      <c r="A243" t="s">
        <v>624</v>
      </c>
      <c r="B243">
        <v>100</v>
      </c>
      <c r="C243">
        <v>3081</v>
      </c>
    </row>
    <row r="244" spans="1:3">
      <c r="A244" t="s">
        <v>624</v>
      </c>
      <c r="B244">
        <v>100</v>
      </c>
      <c r="C244">
        <v>3082</v>
      </c>
    </row>
    <row r="245" spans="1:3">
      <c r="A245" t="s">
        <v>625</v>
      </c>
      <c r="B245">
        <v>100</v>
      </c>
      <c r="C245">
        <v>3082</v>
      </c>
    </row>
    <row r="246" spans="1:3">
      <c r="A246" t="s">
        <v>625</v>
      </c>
      <c r="B246">
        <v>100</v>
      </c>
      <c r="C246">
        <v>3081</v>
      </c>
    </row>
    <row r="247" spans="1:3">
      <c r="A247" t="s">
        <v>626</v>
      </c>
      <c r="B247">
        <v>300</v>
      </c>
      <c r="C247">
        <v>3082</v>
      </c>
    </row>
    <row r="248" spans="1:3">
      <c r="A248" t="s">
        <v>626</v>
      </c>
      <c r="B248">
        <v>100</v>
      </c>
      <c r="C248">
        <v>3081</v>
      </c>
    </row>
    <row r="249" spans="1:3">
      <c r="A249" t="s">
        <v>627</v>
      </c>
      <c r="B249">
        <v>100</v>
      </c>
      <c r="C249">
        <v>3082</v>
      </c>
    </row>
    <row r="250" spans="1:3">
      <c r="A250" t="s">
        <v>628</v>
      </c>
      <c r="B250">
        <v>600</v>
      </c>
      <c r="C250">
        <v>3081</v>
      </c>
    </row>
    <row r="251" spans="1:3">
      <c r="A251" t="s">
        <v>628</v>
      </c>
      <c r="B251">
        <v>100</v>
      </c>
      <c r="C251">
        <v>3082</v>
      </c>
    </row>
    <row r="252" spans="1:3">
      <c r="A252" t="s">
        <v>629</v>
      </c>
      <c r="B252">
        <v>100</v>
      </c>
      <c r="C252">
        <v>3082</v>
      </c>
    </row>
    <row r="253" spans="1:3">
      <c r="A253" t="s">
        <v>629</v>
      </c>
      <c r="B253">
        <v>100</v>
      </c>
      <c r="C253">
        <v>3082</v>
      </c>
    </row>
    <row r="254" spans="1:3">
      <c r="A254" t="s">
        <v>629</v>
      </c>
      <c r="B254">
        <v>800</v>
      </c>
      <c r="C254">
        <v>3081</v>
      </c>
    </row>
    <row r="255" spans="1:3">
      <c r="A255" t="s">
        <v>629</v>
      </c>
      <c r="B255">
        <v>300</v>
      </c>
      <c r="C255">
        <v>3081</v>
      </c>
    </row>
    <row r="256" spans="1:3">
      <c r="A256" t="s">
        <v>630</v>
      </c>
      <c r="B256">
        <v>100</v>
      </c>
      <c r="C256">
        <v>3082</v>
      </c>
    </row>
    <row r="257" spans="1:3">
      <c r="A257" t="s">
        <v>631</v>
      </c>
      <c r="B257">
        <v>100</v>
      </c>
      <c r="C257">
        <v>3081</v>
      </c>
    </row>
    <row r="258" spans="1:3">
      <c r="A258" t="s">
        <v>632</v>
      </c>
      <c r="B258">
        <v>1300</v>
      </c>
      <c r="C258">
        <v>3081</v>
      </c>
    </row>
    <row r="259" spans="1:3">
      <c r="A259" t="s">
        <v>632</v>
      </c>
      <c r="B259">
        <v>300</v>
      </c>
      <c r="C259">
        <v>3081</v>
      </c>
    </row>
    <row r="260" spans="1:3">
      <c r="A260" t="s">
        <v>633</v>
      </c>
      <c r="B260">
        <v>100</v>
      </c>
      <c r="C260">
        <v>3082</v>
      </c>
    </row>
    <row r="261" spans="1:3">
      <c r="A261" t="s">
        <v>634</v>
      </c>
      <c r="B261">
        <v>100</v>
      </c>
      <c r="C261">
        <v>3082</v>
      </c>
    </row>
    <row r="262" spans="1:3">
      <c r="A262" t="s">
        <v>634</v>
      </c>
      <c r="B262">
        <v>100</v>
      </c>
      <c r="C262">
        <v>3082</v>
      </c>
    </row>
    <row r="263" spans="1:3">
      <c r="A263" t="s">
        <v>635</v>
      </c>
      <c r="B263">
        <v>100</v>
      </c>
      <c r="C263">
        <v>3081</v>
      </c>
    </row>
    <row r="264" spans="1:3">
      <c r="A264" t="s">
        <v>636</v>
      </c>
      <c r="B264">
        <v>100</v>
      </c>
      <c r="C264">
        <v>3082</v>
      </c>
    </row>
    <row r="265" spans="1:3">
      <c r="A265" t="s">
        <v>637</v>
      </c>
      <c r="B265">
        <v>100</v>
      </c>
      <c r="C265">
        <v>3082</v>
      </c>
    </row>
    <row r="266" spans="1:3">
      <c r="A266" t="s">
        <v>637</v>
      </c>
      <c r="B266">
        <v>100</v>
      </c>
      <c r="C266">
        <v>3082</v>
      </c>
    </row>
    <row r="267" spans="1:3">
      <c r="A267" t="s">
        <v>638</v>
      </c>
      <c r="B267">
        <v>100</v>
      </c>
      <c r="C267">
        <v>3081</v>
      </c>
    </row>
    <row r="268" spans="1:3">
      <c r="A268" t="s">
        <v>638</v>
      </c>
      <c r="B268">
        <v>300</v>
      </c>
      <c r="C268">
        <v>3082</v>
      </c>
    </row>
    <row r="269" spans="1:3">
      <c r="A269" t="s">
        <v>638</v>
      </c>
      <c r="B269">
        <v>100</v>
      </c>
      <c r="C269">
        <v>3082</v>
      </c>
    </row>
    <row r="270" spans="1:3">
      <c r="A270" t="s">
        <v>639</v>
      </c>
      <c r="B270">
        <v>100</v>
      </c>
      <c r="C270">
        <v>3081</v>
      </c>
    </row>
    <row r="271" spans="1:3">
      <c r="A271" t="s">
        <v>640</v>
      </c>
      <c r="B271">
        <v>100</v>
      </c>
      <c r="C271">
        <v>3082</v>
      </c>
    </row>
    <row r="272" spans="1:3">
      <c r="A272" t="s">
        <v>641</v>
      </c>
      <c r="B272">
        <v>100</v>
      </c>
      <c r="C272">
        <v>3081</v>
      </c>
    </row>
    <row r="273" spans="1:3">
      <c r="A273" t="s">
        <v>642</v>
      </c>
      <c r="B273">
        <v>100</v>
      </c>
      <c r="C273">
        <v>3082</v>
      </c>
    </row>
    <row r="274" spans="1:3">
      <c r="A274" t="s">
        <v>643</v>
      </c>
      <c r="B274">
        <v>100</v>
      </c>
      <c r="C274">
        <v>3081</v>
      </c>
    </row>
    <row r="275" spans="1:3">
      <c r="A275" t="s">
        <v>644</v>
      </c>
      <c r="B275">
        <v>100</v>
      </c>
      <c r="C275">
        <v>3082</v>
      </c>
    </row>
    <row r="276" spans="1:3">
      <c r="A276" t="s">
        <v>644</v>
      </c>
      <c r="B276">
        <v>700</v>
      </c>
      <c r="C276">
        <v>3081</v>
      </c>
    </row>
    <row r="277" spans="1:3">
      <c r="A277" t="s">
        <v>645</v>
      </c>
      <c r="B277">
        <v>1000</v>
      </c>
      <c r="C277">
        <v>3081</v>
      </c>
    </row>
    <row r="278" spans="1:3">
      <c r="A278" t="s">
        <v>646</v>
      </c>
      <c r="B278">
        <v>100</v>
      </c>
      <c r="C278">
        <v>3081</v>
      </c>
    </row>
    <row r="279" spans="1:3">
      <c r="A279" t="s">
        <v>647</v>
      </c>
      <c r="B279">
        <v>100</v>
      </c>
      <c r="C279">
        <v>3081</v>
      </c>
    </row>
    <row r="280" spans="1:3">
      <c r="A280" t="s">
        <v>648</v>
      </c>
      <c r="B280">
        <v>200</v>
      </c>
      <c r="C280">
        <v>3082</v>
      </c>
    </row>
    <row r="281" spans="1:3">
      <c r="A281" t="s">
        <v>648</v>
      </c>
      <c r="B281">
        <v>100</v>
      </c>
      <c r="C281">
        <v>3082</v>
      </c>
    </row>
    <row r="282" spans="1:3">
      <c r="A282" t="s">
        <v>649</v>
      </c>
      <c r="B282">
        <v>100</v>
      </c>
      <c r="C282">
        <v>3082</v>
      </c>
    </row>
    <row r="283" spans="1:3">
      <c r="A283" t="s">
        <v>650</v>
      </c>
      <c r="B283">
        <v>100</v>
      </c>
      <c r="C283">
        <v>3082</v>
      </c>
    </row>
    <row r="284" spans="1:3">
      <c r="A284" t="s">
        <v>650</v>
      </c>
      <c r="B284">
        <v>100</v>
      </c>
      <c r="C284">
        <v>3082</v>
      </c>
    </row>
    <row r="285" spans="1:3">
      <c r="A285" t="s">
        <v>650</v>
      </c>
      <c r="B285">
        <v>3500</v>
      </c>
      <c r="C285">
        <v>3081</v>
      </c>
    </row>
    <row r="286" spans="1:3">
      <c r="A286" t="s">
        <v>650</v>
      </c>
      <c r="B286">
        <v>24100</v>
      </c>
      <c r="C286">
        <v>3081</v>
      </c>
    </row>
    <row r="287" spans="1:3">
      <c r="A287" t="s">
        <v>651</v>
      </c>
      <c r="B287">
        <v>300</v>
      </c>
      <c r="C287">
        <v>3081</v>
      </c>
    </row>
    <row r="288" spans="1:3">
      <c r="A288" t="s">
        <v>651</v>
      </c>
      <c r="B288">
        <v>3300</v>
      </c>
      <c r="C288">
        <v>3080</v>
      </c>
    </row>
    <row r="289" spans="1:3">
      <c r="A289" t="s">
        <v>652</v>
      </c>
      <c r="B289">
        <v>100</v>
      </c>
      <c r="C289">
        <v>3081</v>
      </c>
    </row>
    <row r="290" spans="1:3">
      <c r="A290" t="s">
        <v>653</v>
      </c>
      <c r="B290">
        <v>100</v>
      </c>
      <c r="C290">
        <v>3081</v>
      </c>
    </row>
    <row r="291" spans="1:3">
      <c r="A291" t="s">
        <v>654</v>
      </c>
      <c r="B291">
        <v>100</v>
      </c>
      <c r="C291">
        <v>3080</v>
      </c>
    </row>
    <row r="292" spans="1:3">
      <c r="A292" t="s">
        <v>655</v>
      </c>
      <c r="B292">
        <v>600</v>
      </c>
      <c r="C292">
        <v>3080</v>
      </c>
    </row>
    <row r="293" spans="1:3">
      <c r="A293" t="s">
        <v>656</v>
      </c>
      <c r="B293">
        <v>100</v>
      </c>
      <c r="C293">
        <v>3081</v>
      </c>
    </row>
    <row r="294" spans="1:3">
      <c r="A294" t="s">
        <v>656</v>
      </c>
      <c r="B294">
        <v>100</v>
      </c>
      <c r="C294">
        <v>3081</v>
      </c>
    </row>
    <row r="295" spans="1:3">
      <c r="A295" t="s">
        <v>657</v>
      </c>
      <c r="B295">
        <v>100</v>
      </c>
      <c r="C295">
        <v>3080</v>
      </c>
    </row>
    <row r="296" spans="1:3">
      <c r="A296" t="s">
        <v>657</v>
      </c>
      <c r="B296">
        <v>200</v>
      </c>
      <c r="C296">
        <v>3080</v>
      </c>
    </row>
    <row r="297" spans="1:3">
      <c r="A297" t="s">
        <v>658</v>
      </c>
      <c r="B297">
        <v>500</v>
      </c>
      <c r="C297">
        <v>3080</v>
      </c>
    </row>
    <row r="298" spans="1:3">
      <c r="A298" t="s">
        <v>659</v>
      </c>
      <c r="B298">
        <v>400</v>
      </c>
      <c r="C298">
        <v>3080</v>
      </c>
    </row>
    <row r="299" spans="1:3">
      <c r="A299" t="s">
        <v>660</v>
      </c>
      <c r="B299">
        <v>100</v>
      </c>
      <c r="C299">
        <v>3080</v>
      </c>
    </row>
    <row r="300" spans="1:3">
      <c r="A300" t="s">
        <v>660</v>
      </c>
      <c r="B300">
        <v>2100</v>
      </c>
      <c r="C300">
        <v>3080</v>
      </c>
    </row>
    <row r="301" spans="1:3">
      <c r="A301" t="s">
        <v>660</v>
      </c>
      <c r="B301">
        <v>800</v>
      </c>
      <c r="C301">
        <v>3080</v>
      </c>
    </row>
    <row r="302" spans="1:3">
      <c r="A302" t="s">
        <v>660</v>
      </c>
      <c r="B302">
        <v>400</v>
      </c>
      <c r="C302">
        <v>3080</v>
      </c>
    </row>
    <row r="303" spans="1:3">
      <c r="A303" s="1" t="s">
        <v>64</v>
      </c>
      <c r="B303" s="1" t="s">
        <v>64</v>
      </c>
      <c r="C303" s="1" t="s">
        <v>64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EE28C-5E7D-4D1D-82E4-F23D7DC8206C}">
  <dimension ref="A1:R15"/>
  <sheetViews>
    <sheetView workbookViewId="0">
      <selection activeCell="D8" sqref="D8"/>
    </sheetView>
  </sheetViews>
  <sheetFormatPr defaultRowHeight="18.75"/>
  <sheetData>
    <row r="1" spans="1:18">
      <c r="A1" t="s">
        <v>503</v>
      </c>
    </row>
    <row r="2" spans="1:18">
      <c r="A2" t="s">
        <v>470</v>
      </c>
      <c r="B2" t="s">
        <v>11</v>
      </c>
      <c r="C2" t="s">
        <v>12</v>
      </c>
      <c r="D2" t="s">
        <v>471</v>
      </c>
      <c r="E2" t="s">
        <v>472</v>
      </c>
      <c r="F2" t="s">
        <v>473</v>
      </c>
      <c r="G2" t="s">
        <v>474</v>
      </c>
      <c r="H2" t="s">
        <v>475</v>
      </c>
      <c r="I2" t="s">
        <v>476</v>
      </c>
      <c r="J2" t="s">
        <v>477</v>
      </c>
      <c r="K2" t="s">
        <v>478</v>
      </c>
      <c r="L2" t="s">
        <v>479</v>
      </c>
      <c r="M2" t="s">
        <v>480</v>
      </c>
      <c r="N2" t="s">
        <v>481</v>
      </c>
      <c r="O2" t="s">
        <v>482</v>
      </c>
      <c r="P2" t="s">
        <v>483</v>
      </c>
      <c r="Q2" t="s">
        <v>484</v>
      </c>
      <c r="R2" t="s">
        <v>485</v>
      </c>
    </row>
    <row r="3" spans="1:18">
      <c r="A3">
        <v>1605</v>
      </c>
      <c r="B3" t="s">
        <v>486</v>
      </c>
      <c r="C3" t="s">
        <v>36</v>
      </c>
      <c r="D3">
        <v>11</v>
      </c>
      <c r="E3">
        <v>0</v>
      </c>
      <c r="F3">
        <v>4717.2727000000004</v>
      </c>
      <c r="G3">
        <v>3954</v>
      </c>
      <c r="H3">
        <v>85</v>
      </c>
      <c r="I3">
        <v>2.2000000000000002</v>
      </c>
      <c r="J3">
        <v>43494</v>
      </c>
      <c r="K3">
        <v>-8395.9997000000003</v>
      </c>
      <c r="L3">
        <v>-16.180381000000001</v>
      </c>
      <c r="M3" t="s">
        <v>34</v>
      </c>
      <c r="N3">
        <v>0</v>
      </c>
      <c r="O3">
        <v>3936.5</v>
      </c>
      <c r="P3">
        <v>9.01</v>
      </c>
      <c r="Q3">
        <v>0.9</v>
      </c>
      <c r="R3">
        <v>2.83</v>
      </c>
    </row>
    <row r="4" spans="1:18">
      <c r="A4" t="s">
        <v>499</v>
      </c>
      <c r="B4" t="s">
        <v>500</v>
      </c>
      <c r="C4" t="s">
        <v>45</v>
      </c>
      <c r="D4">
        <v>15</v>
      </c>
      <c r="E4">
        <v>0</v>
      </c>
      <c r="F4">
        <v>90501.133300000001</v>
      </c>
      <c r="G4">
        <v>54320</v>
      </c>
      <c r="H4">
        <v>1370</v>
      </c>
      <c r="I4">
        <v>2.59</v>
      </c>
      <c r="J4">
        <v>814800</v>
      </c>
      <c r="K4">
        <v>-542716.99950000003</v>
      </c>
      <c r="L4">
        <v>-39.978651999999997</v>
      </c>
      <c r="M4" t="s">
        <v>501</v>
      </c>
      <c r="N4">
        <v>0</v>
      </c>
      <c r="O4">
        <v>53890</v>
      </c>
      <c r="P4">
        <v>7.5</v>
      </c>
      <c r="Q4">
        <v>21.2</v>
      </c>
      <c r="R4">
        <v>0</v>
      </c>
    </row>
    <row r="5" spans="1:18">
      <c r="A5" t="s">
        <v>499</v>
      </c>
      <c r="B5" t="s">
        <v>500</v>
      </c>
      <c r="C5" t="s">
        <v>502</v>
      </c>
      <c r="D5">
        <v>1</v>
      </c>
      <c r="E5">
        <v>0</v>
      </c>
      <c r="F5">
        <v>92644</v>
      </c>
      <c r="G5">
        <v>54320</v>
      </c>
      <c r="H5">
        <v>1370</v>
      </c>
      <c r="I5">
        <v>2.59</v>
      </c>
      <c r="J5">
        <v>54320</v>
      </c>
      <c r="K5">
        <v>-38324</v>
      </c>
      <c r="L5">
        <v>-41.366953000000002</v>
      </c>
      <c r="M5" t="s">
        <v>501</v>
      </c>
      <c r="N5">
        <v>0</v>
      </c>
      <c r="O5">
        <v>53890</v>
      </c>
      <c r="P5">
        <v>7.5</v>
      </c>
      <c r="Q5">
        <v>21.2</v>
      </c>
      <c r="R5">
        <v>0</v>
      </c>
    </row>
    <row r="6" spans="1:18">
      <c r="A6">
        <v>5706</v>
      </c>
      <c r="B6" t="s">
        <v>489</v>
      </c>
      <c r="C6" t="s">
        <v>488</v>
      </c>
      <c r="D6">
        <v>1</v>
      </c>
      <c r="E6">
        <v>0</v>
      </c>
      <c r="F6">
        <v>27872</v>
      </c>
      <c r="G6">
        <v>28210</v>
      </c>
      <c r="H6">
        <v>-360</v>
      </c>
      <c r="I6">
        <v>-1.26</v>
      </c>
      <c r="J6">
        <v>28210</v>
      </c>
      <c r="K6">
        <v>338</v>
      </c>
      <c r="L6">
        <v>1.2126870000000001</v>
      </c>
      <c r="M6" t="s">
        <v>487</v>
      </c>
      <c r="N6">
        <v>0</v>
      </c>
      <c r="O6">
        <v>28180</v>
      </c>
      <c r="P6">
        <v>20.170000000000002</v>
      </c>
      <c r="Q6">
        <v>3.91</v>
      </c>
      <c r="R6">
        <v>0.99</v>
      </c>
    </row>
    <row r="7" spans="1:18">
      <c r="A7">
        <v>5803</v>
      </c>
      <c r="B7" t="s">
        <v>490</v>
      </c>
      <c r="C7" t="s">
        <v>488</v>
      </c>
      <c r="D7">
        <v>90</v>
      </c>
      <c r="E7">
        <v>0</v>
      </c>
      <c r="F7">
        <v>4436.3554999999997</v>
      </c>
      <c r="G7">
        <v>5280</v>
      </c>
      <c r="H7">
        <v>-61</v>
      </c>
      <c r="I7">
        <v>-1.1399999999999999</v>
      </c>
      <c r="J7">
        <v>475200</v>
      </c>
      <c r="K7">
        <v>75928.005000000005</v>
      </c>
      <c r="L7">
        <v>19.016611999999999</v>
      </c>
      <c r="M7" t="s">
        <v>34</v>
      </c>
      <c r="N7">
        <v>0</v>
      </c>
      <c r="O7">
        <v>5301.5</v>
      </c>
      <c r="P7">
        <v>26.82</v>
      </c>
      <c r="Q7">
        <v>15.6</v>
      </c>
      <c r="R7">
        <v>0.72</v>
      </c>
    </row>
    <row r="8" spans="1:18">
      <c r="A8">
        <v>6228</v>
      </c>
      <c r="B8" t="s">
        <v>491</v>
      </c>
      <c r="C8" t="s">
        <v>36</v>
      </c>
      <c r="D8">
        <v>100</v>
      </c>
      <c r="E8">
        <v>0</v>
      </c>
      <c r="F8">
        <v>1100.5</v>
      </c>
      <c r="G8">
        <v>497</v>
      </c>
      <c r="H8">
        <v>2</v>
      </c>
      <c r="I8">
        <v>0.4</v>
      </c>
      <c r="J8">
        <v>49700</v>
      </c>
      <c r="K8">
        <v>-60350</v>
      </c>
      <c r="L8">
        <v>-54.838709999999999</v>
      </c>
      <c r="M8" t="s">
        <v>492</v>
      </c>
      <c r="N8">
        <v>0</v>
      </c>
      <c r="O8">
        <v>497</v>
      </c>
      <c r="P8">
        <v>0</v>
      </c>
      <c r="Q8">
        <v>0.74</v>
      </c>
      <c r="R8">
        <v>0</v>
      </c>
    </row>
    <row r="9" spans="1:18">
      <c r="A9">
        <v>6702</v>
      </c>
      <c r="B9" t="s">
        <v>493</v>
      </c>
      <c r="C9" t="s">
        <v>488</v>
      </c>
      <c r="D9">
        <v>20</v>
      </c>
      <c r="E9">
        <v>0</v>
      </c>
      <c r="F9">
        <v>3361.75</v>
      </c>
      <c r="G9">
        <v>3646</v>
      </c>
      <c r="H9">
        <v>-97</v>
      </c>
      <c r="I9">
        <v>-2.59</v>
      </c>
      <c r="J9">
        <v>72920</v>
      </c>
      <c r="K9">
        <v>5685</v>
      </c>
      <c r="L9">
        <v>8.4554179999999999</v>
      </c>
      <c r="M9" t="s">
        <v>34</v>
      </c>
      <c r="N9">
        <v>0</v>
      </c>
      <c r="O9">
        <v>3650</v>
      </c>
      <c r="P9">
        <v>20.350000000000001</v>
      </c>
      <c r="Q9">
        <v>3.12</v>
      </c>
      <c r="R9">
        <v>1.51</v>
      </c>
    </row>
    <row r="10" spans="1:18">
      <c r="A10">
        <v>6857</v>
      </c>
      <c r="B10" t="s">
        <v>494</v>
      </c>
      <c r="C10" t="s">
        <v>488</v>
      </c>
      <c r="D10">
        <v>1</v>
      </c>
      <c r="E10">
        <v>0</v>
      </c>
      <c r="F10">
        <v>26228</v>
      </c>
      <c r="G10">
        <v>35900</v>
      </c>
      <c r="H10">
        <v>540</v>
      </c>
      <c r="I10">
        <v>1.53</v>
      </c>
      <c r="J10">
        <v>35900</v>
      </c>
      <c r="K10">
        <v>9672</v>
      </c>
      <c r="L10">
        <v>36.876620000000003</v>
      </c>
      <c r="M10" t="s">
        <v>34</v>
      </c>
      <c r="N10">
        <v>0</v>
      </c>
      <c r="O10">
        <v>36026</v>
      </c>
      <c r="P10">
        <v>39.29</v>
      </c>
      <c r="Q10">
        <v>32.71</v>
      </c>
      <c r="R10">
        <v>0.17</v>
      </c>
    </row>
    <row r="11" spans="1:18">
      <c r="A11">
        <v>6920</v>
      </c>
      <c r="B11" t="s">
        <v>495</v>
      </c>
      <c r="C11" t="s">
        <v>488</v>
      </c>
      <c r="D11">
        <v>7</v>
      </c>
      <c r="E11">
        <v>0</v>
      </c>
      <c r="F11">
        <v>37002.428500000002</v>
      </c>
      <c r="G11">
        <v>35120</v>
      </c>
      <c r="H11">
        <v>190</v>
      </c>
      <c r="I11">
        <v>0.54</v>
      </c>
      <c r="J11">
        <v>245840</v>
      </c>
      <c r="K11">
        <v>-13176.9995</v>
      </c>
      <c r="L11">
        <v>-5.0873109999999997</v>
      </c>
      <c r="M11" t="s">
        <v>34</v>
      </c>
      <c r="N11">
        <v>0</v>
      </c>
      <c r="O11">
        <v>35200</v>
      </c>
      <c r="P11">
        <v>34.97</v>
      </c>
      <c r="Q11">
        <v>12.75</v>
      </c>
      <c r="R11">
        <v>1</v>
      </c>
    </row>
    <row r="12" spans="1:18">
      <c r="A12">
        <v>6981</v>
      </c>
      <c r="B12" t="s">
        <v>496</v>
      </c>
      <c r="C12" t="s">
        <v>488</v>
      </c>
      <c r="D12">
        <v>8</v>
      </c>
      <c r="E12">
        <v>0</v>
      </c>
      <c r="F12">
        <v>11780.875</v>
      </c>
      <c r="G12">
        <v>7091</v>
      </c>
      <c r="H12">
        <v>-114</v>
      </c>
      <c r="I12">
        <v>-1.58</v>
      </c>
      <c r="J12">
        <v>56728</v>
      </c>
      <c r="K12">
        <v>-37519</v>
      </c>
      <c r="L12">
        <v>-39.809224999999998</v>
      </c>
      <c r="M12" t="s">
        <v>34</v>
      </c>
      <c r="N12">
        <v>0</v>
      </c>
      <c r="O12">
        <v>7050</v>
      </c>
      <c r="P12">
        <v>38.18</v>
      </c>
      <c r="Q12">
        <v>4.74</v>
      </c>
      <c r="R12">
        <v>0.99</v>
      </c>
    </row>
    <row r="13" spans="1:18">
      <c r="A13">
        <v>7974</v>
      </c>
      <c r="B13" t="s">
        <v>497</v>
      </c>
      <c r="C13" t="s">
        <v>488</v>
      </c>
      <c r="D13">
        <v>13</v>
      </c>
      <c r="E13">
        <v>0</v>
      </c>
      <c r="F13">
        <v>8590.5383999999995</v>
      </c>
      <c r="G13">
        <v>8599</v>
      </c>
      <c r="H13">
        <v>-182</v>
      </c>
      <c r="I13">
        <v>-2.0699999999999998</v>
      </c>
      <c r="J13">
        <v>111787</v>
      </c>
      <c r="K13">
        <v>110.0008</v>
      </c>
      <c r="L13">
        <v>9.8499000000000003E-2</v>
      </c>
      <c r="M13" t="s">
        <v>34</v>
      </c>
      <c r="N13">
        <v>0</v>
      </c>
      <c r="O13">
        <v>8580</v>
      </c>
      <c r="P13">
        <v>30.97</v>
      </c>
      <c r="Q13">
        <v>3.35</v>
      </c>
      <c r="R13">
        <v>1.88</v>
      </c>
    </row>
    <row r="14" spans="1:18">
      <c r="A14">
        <v>8267</v>
      </c>
      <c r="B14" t="s">
        <v>498</v>
      </c>
      <c r="C14" t="s">
        <v>488</v>
      </c>
      <c r="D14">
        <v>200</v>
      </c>
      <c r="E14">
        <v>0</v>
      </c>
      <c r="F14">
        <v>2288.5500000000002</v>
      </c>
      <c r="G14">
        <v>1385.5</v>
      </c>
      <c r="H14">
        <v>0</v>
      </c>
      <c r="I14">
        <v>0</v>
      </c>
      <c r="J14">
        <v>277100</v>
      </c>
      <c r="K14">
        <v>-180610</v>
      </c>
      <c r="L14">
        <v>-39.459482999999999</v>
      </c>
      <c r="M14" t="s">
        <v>487</v>
      </c>
      <c r="N14">
        <v>0</v>
      </c>
      <c r="O14">
        <v>1388.2</v>
      </c>
      <c r="P14">
        <v>52.48</v>
      </c>
      <c r="Q14">
        <v>3.14</v>
      </c>
      <c r="R14">
        <v>1.08</v>
      </c>
    </row>
    <row r="15" spans="1:18">
      <c r="A15" s="1" t="s">
        <v>64</v>
      </c>
      <c r="B15" s="1" t="s">
        <v>64</v>
      </c>
      <c r="C15" s="1" t="s">
        <v>64</v>
      </c>
      <c r="D15" s="1" t="s">
        <v>64</v>
      </c>
      <c r="E15" s="1" t="s">
        <v>64</v>
      </c>
      <c r="F15" s="1" t="s">
        <v>64</v>
      </c>
      <c r="G15" s="1" t="s">
        <v>64</v>
      </c>
      <c r="H15" s="1" t="s">
        <v>64</v>
      </c>
      <c r="I15" s="1" t="s">
        <v>64</v>
      </c>
      <c r="J15" s="1" t="s">
        <v>64</v>
      </c>
      <c r="K15" s="1" t="s">
        <v>64</v>
      </c>
      <c r="L15" s="1" t="s">
        <v>64</v>
      </c>
      <c r="M15" s="1" t="s">
        <v>64</v>
      </c>
      <c r="N15" s="1" t="s">
        <v>64</v>
      </c>
      <c r="O15" s="1" t="s">
        <v>64</v>
      </c>
      <c r="P15" s="1" t="s">
        <v>64</v>
      </c>
      <c r="Q15" s="1" t="s">
        <v>64</v>
      </c>
      <c r="R15" s="1" t="s">
        <v>64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D9EB-AB53-41C8-A219-F6C33D568B55}">
  <dimension ref="A1:ER8"/>
  <sheetViews>
    <sheetView workbookViewId="0"/>
  </sheetViews>
  <sheetFormatPr defaultRowHeight="18.75"/>
  <cols>
    <col min="3" max="3" width="12.75" customWidth="1"/>
    <col min="4" max="4" width="11.875" customWidth="1"/>
    <col min="7" max="7" width="10.875" customWidth="1"/>
  </cols>
  <sheetData>
    <row r="1" spans="1:148">
      <c r="A1" t="s">
        <v>82</v>
      </c>
      <c r="B1" t="s">
        <v>83</v>
      </c>
      <c r="C1" t="s">
        <v>504</v>
      </c>
      <c r="D1" t="s">
        <v>505</v>
      </c>
      <c r="E1" t="s">
        <v>506</v>
      </c>
      <c r="F1" t="s">
        <v>507</v>
      </c>
      <c r="G1" t="s">
        <v>508</v>
      </c>
      <c r="H1" t="s">
        <v>509</v>
      </c>
      <c r="I1" t="s">
        <v>84</v>
      </c>
      <c r="J1" t="s">
        <v>510</v>
      </c>
      <c r="K1" t="s">
        <v>511</v>
      </c>
    </row>
    <row r="2" spans="1:148">
      <c r="A2">
        <v>7203</v>
      </c>
      <c r="B2">
        <v>3081</v>
      </c>
      <c r="C2" t="s">
        <v>676</v>
      </c>
      <c r="D2" t="s">
        <v>525</v>
      </c>
      <c r="E2" t="s">
        <v>677</v>
      </c>
      <c r="F2">
        <v>-36</v>
      </c>
      <c r="G2">
        <v>-1.1499999999999999</v>
      </c>
      <c r="H2">
        <v>3126</v>
      </c>
      <c r="I2">
        <v>3142</v>
      </c>
      <c r="J2">
        <v>3081</v>
      </c>
      <c r="K2">
        <v>21768900</v>
      </c>
    </row>
    <row r="7" spans="1:148">
      <c r="A7" t="str" cm="1">
        <f t="array" ref="A7">_xll.RssMarket(A2, "銘柄コード")</f>
        <v/>
      </c>
      <c r="B7" t="str" cm="1">
        <f t="array" ref="B7">_xll.RssMarket(A7, "市場コード")</f>
        <v/>
      </c>
      <c r="C7" t="str" cm="1">
        <f t="array" ref="C7">_xll.RssMarket(A2, "銘柄名称")</f>
        <v/>
      </c>
      <c r="D7" t="str" cm="1">
        <f t="array" ref="D7">_xll.RssMarket(A2, "市場名称")</f>
        <v/>
      </c>
      <c r="E7" t="str" cm="1">
        <f t="array" ref="E7">_xll.RssMarket(A2, "市場部名称")</f>
        <v/>
      </c>
      <c r="F7" t="str" cm="1">
        <f t="array" ref="F7">_xll.RssMarket(A2, "市場部略称")</f>
        <v/>
      </c>
      <c r="G7" t="str" cm="1">
        <f t="array" ref="G7">_xll.RssMarket(A2, "現在日付")</f>
        <v/>
      </c>
      <c r="H7" t="str" cm="1">
        <f t="array" ref="H7">_xll.RssMarket(A2, "現在値")</f>
        <v/>
      </c>
      <c r="I7" t="str" cm="1">
        <f t="array" ref="I7">_xll.RssMarket(A2, "現在値時刻")</f>
        <v/>
      </c>
      <c r="J7" t="str" cm="1">
        <f t="array" ref="J7">_xll.RssMarket(A2, "現在値詳細時刻")</f>
        <v/>
      </c>
      <c r="K7" t="str" cm="1">
        <f t="array" ref="K7">_xll.RssMarket(A2, "現在値ティック")</f>
        <v/>
      </c>
      <c r="L7" t="str" cm="1">
        <f t="array" ref="L7">_xll.RssMarket(A2, "現在値フラグ")</f>
        <v/>
      </c>
      <c r="M7" t="str" cm="1">
        <f t="array" ref="M7">_xll.RssMarket(A2, "前日比")</f>
        <v/>
      </c>
      <c r="N7" t="str" cm="1">
        <f t="array" ref="N7">_xll.RssMarket(A2, "前日比率")</f>
        <v/>
      </c>
      <c r="O7" t="str" cm="1">
        <f t="array" ref="O7">_xll.RssMarket(A2, "前日終値")</f>
        <v/>
      </c>
      <c r="P7" t="str" cm="1">
        <f t="array" ref="P7">_xll.RssMarket(A2, "前日日付")</f>
        <v/>
      </c>
      <c r="Q7" t="str" cm="1">
        <f t="array" ref="Q7">_xll.RssMarket(A2, "前日終値フラグ")</f>
        <v/>
      </c>
      <c r="R7" t="str" cm="1">
        <f t="array" ref="R7">_xll.RssMarket(A2, "歩み1")</f>
        <v/>
      </c>
      <c r="S7" t="str" cm="1">
        <f t="array" ref="S7">_xll.RssMarket(A2, "歩み2")</f>
        <v/>
      </c>
      <c r="T7" t="str" cm="1">
        <f t="array" ref="T7">_xll.RssMarket(A2, "歩み3")</f>
        <v/>
      </c>
      <c r="U7" t="str" cm="1">
        <f t="array" ref="U7">_xll.RssMarket(A2, "歩み4")</f>
        <v/>
      </c>
      <c r="V7" t="str" cm="1">
        <f t="array" ref="V7">_xll.RssMarket(A2, "歩み1詳細時刻")</f>
        <v/>
      </c>
      <c r="W7" t="str" cm="1">
        <f t="array" ref="W7">_xll.RssMarket(A2, "歩み2詳細時刻")</f>
        <v/>
      </c>
      <c r="X7" t="str" cm="1">
        <f t="array" ref="X7">_xll.RssMarket(A2, "歩み3詳細時刻")</f>
        <v/>
      </c>
      <c r="Y7" t="str" cm="1">
        <f t="array" ref="Y7">_xll.RssMarket(A2, "歩み4詳細時刻")</f>
        <v/>
      </c>
      <c r="Z7" t="str" cm="1">
        <f t="array" ref="Z7">_xll.RssMarket(A2, "出来高")</f>
        <v/>
      </c>
      <c r="AA7" t="str" cm="1">
        <f t="array" ref="AA7">_xll.RssMarket(A2, "売買代金")</f>
        <v/>
      </c>
      <c r="AB7" t="str" cm="1">
        <f t="array" ref="AB7">_xll.RssMarket(A2, "出来高加重平均")</f>
        <v/>
      </c>
      <c r="AC7" t="str" cm="1">
        <f t="array" ref="AC7">_xll.RssMarket(A2, "時価総額")</f>
        <v/>
      </c>
      <c r="AD7" t="str" cm="1">
        <f t="array" ref="AD7">_xll.RssMarket(A2, "始値")</f>
        <v/>
      </c>
      <c r="AE7" t="str" cm="1">
        <f t="array" ref="AE7">_xll.RssMarket(A2, "高値")</f>
        <v/>
      </c>
      <c r="AF7" t="str" cm="1">
        <f t="array" ref="AF7">_xll.RssMarket(A2, "安値")</f>
        <v/>
      </c>
      <c r="AG7" t="str" cm="1">
        <f t="array" ref="AG7">_xll.RssMarket(A2, "始値時刻")</f>
        <v/>
      </c>
      <c r="AH7" t="str" cm="1">
        <f t="array" ref="AH7">_xll.RssMarket(A2, "高値時刻")</f>
        <v/>
      </c>
      <c r="AI7" t="str" cm="1">
        <f t="array" ref="AI7">_xll.RssMarket(A2, "安値時刻")</f>
        <v/>
      </c>
      <c r="AJ7" t="str" cm="1">
        <f t="array" ref="AJ7">_xll.RssMarket(A2, "始値詳細時刻")</f>
        <v/>
      </c>
      <c r="AK7" t="str" cm="1">
        <f t="array" ref="AK7">_xll.RssMarket(A2, "高値詳細時刻")</f>
        <v/>
      </c>
      <c r="AL7" t="str" cm="1">
        <f t="array" ref="AL7">_xll.RssMarket(A2, "安値詳細時刻")</f>
        <v/>
      </c>
      <c r="AM7" t="str" cm="1">
        <f t="array" ref="AM7">_xll.RssMarket(A2, "前場始値")</f>
        <v/>
      </c>
      <c r="AN7" t="str" cm="1">
        <f t="array" ref="AN7">_xll.RssMarket(A2, "前場高値")</f>
        <v/>
      </c>
      <c r="AO7" t="str" cm="1">
        <f t="array" ref="AO7">_xll.RssMarket(A2, "前場安値")</f>
        <v/>
      </c>
      <c r="AP7" t="str" cm="1">
        <f t="array" ref="AP7">_xll.RssMarket(A2, "前場終値")</f>
        <v/>
      </c>
      <c r="AQ7" t="str" cm="1">
        <f t="array" ref="AQ7">_xll.RssMarket(A2, "前場出来高")</f>
        <v/>
      </c>
      <c r="AR7" t="str" cm="1">
        <f t="array" ref="AR7">_xll.RssMarket(A2, "後場始値")</f>
        <v/>
      </c>
      <c r="AS7" t="str" cm="1">
        <f t="array" ref="AS7">_xll.RssMarket(A2, "後場高値")</f>
        <v/>
      </c>
      <c r="AT7" t="str" cm="1">
        <f t="array" ref="AT7">_xll.RssMarket(A2, "後場安値")</f>
        <v/>
      </c>
      <c r="AU7" t="str" cm="1">
        <f t="array" ref="AU7">_xll.RssMarket(A2, "前場始値時刻")</f>
        <v/>
      </c>
      <c r="AV7" t="str" cm="1">
        <f t="array" ref="AV7">_xll.RssMarket(A2, "前場高値時刻")</f>
        <v/>
      </c>
      <c r="AW7" t="str" cm="1">
        <f t="array" ref="AW7">_xll.RssMarket(A2, "前場安値時刻")</f>
        <v/>
      </c>
      <c r="AX7" t="str" cm="1">
        <f t="array" ref="AX7">_xll.RssMarket(A2, "前場終値時刻")</f>
        <v/>
      </c>
      <c r="AY7" t="str" cm="1">
        <f t="array" ref="AY7">_xll.RssMarket(A2, "前場出来高時刻")</f>
        <v/>
      </c>
      <c r="AZ7" t="str" cm="1">
        <f t="array" ref="AZ7">_xll.RssMarket(A2, "後場始値時刻")</f>
        <v/>
      </c>
      <c r="BA7" t="str" cm="1">
        <f t="array" ref="BA7">_xll.RssMarket(A2, "後場高値時刻")</f>
        <v/>
      </c>
      <c r="BB7" t="str" cm="1">
        <f t="array" ref="BB7">_xll.RssMarket(A2, "後場安値時刻")</f>
        <v/>
      </c>
      <c r="BC7" t="str" cm="1">
        <f t="array" ref="BC7">_xll.RssMarket(A2, "最良売気配値")</f>
        <v/>
      </c>
      <c r="BD7" t="str" cm="1">
        <f t="array" ref="BD7">_xll.RssMarket(A2, "最良買気配値")</f>
        <v/>
      </c>
      <c r="BE7" t="str" cm="1">
        <f t="array" ref="BE7">_xll.RssMarket(A2, "最良売気配数量")</f>
        <v/>
      </c>
      <c r="BF7" t="str" cm="1">
        <f t="array" ref="BF7">_xll.RssMarket(A2, "最良買気配数量")</f>
        <v/>
      </c>
      <c r="BG7" t="str" cm="1">
        <f t="array" ref="BG7">_xll.RssMarket(A2, "最良売気配時刻")</f>
        <v/>
      </c>
      <c r="BH7" t="str" cm="1">
        <f t="array" ref="BH7">_xll.RssMarket(A2, "最良買気配時刻")</f>
        <v/>
      </c>
      <c r="BI7" t="str" cm="1">
        <f t="array" ref="BI7">_xll.RssMarket(A2, "最良売気配詳細時刻")</f>
        <v/>
      </c>
      <c r="BJ7" t="str" cm="1">
        <f t="array" ref="BJ7">_xll.RssMarket(A2, "最良買気配詳細時刻")</f>
        <v/>
      </c>
      <c r="BK7" t="str" cm="1">
        <f t="array" ref="BK7">_xll.RssMarket(A2, "特別売気配フラグ")</f>
        <v/>
      </c>
      <c r="BL7" t="str" cm="1">
        <f t="array" ref="BL7">_xll.RssMarket(A2, "特別買気配フラグ")</f>
        <v/>
      </c>
      <c r="BM7" t="str" cm="1">
        <f t="array" ref="BM7">_xll.RssMarket(A2, "信用貸借区分")</f>
        <v/>
      </c>
      <c r="BN7" t="str" cm="1">
        <f t="array" ref="BN7">_xll.RssMarket(A2, "逆日歩")</f>
        <v/>
      </c>
      <c r="BO7" t="str" cm="1">
        <f t="array" ref="BO7">_xll.RssMarket(A2, "逆日歩更新日付")</f>
        <v/>
      </c>
      <c r="BP7" t="str" cm="1">
        <f t="array" ref="BP7">_xll.RssMarket(A2, "信用売残")</f>
        <v/>
      </c>
      <c r="BQ7" t="str" cm="1">
        <f t="array" ref="BQ7">_xll.RssMarket(A2, "信用売残前週比")</f>
        <v/>
      </c>
      <c r="BR7" t="str" cm="1">
        <f t="array" ref="BR7">_xll.RssMarket(A2, "信用買残")</f>
        <v/>
      </c>
      <c r="BS7" t="str" cm="1">
        <f t="array" ref="BS7">_xll.RssMarket(A2, "信用買残前週比")</f>
        <v/>
      </c>
      <c r="BT7" t="str" cm="1">
        <f t="array" ref="BT7">_xll.RssMarket(A2, "信用倍率")</f>
        <v/>
      </c>
      <c r="BU7" t="str" cm="1">
        <f t="array" ref="BU7">_xll.RssMarket(A2, "証金残更新日付")</f>
        <v/>
      </c>
      <c r="BV7" t="str" cm="1">
        <f t="array" ref="BV7">_xll.RssMarket(A2, "新規貸株")</f>
        <v/>
      </c>
      <c r="BW7" t="str" cm="1">
        <f t="array" ref="BW7">_xll.RssMarket(A2, "新規融資")</f>
        <v/>
      </c>
      <c r="BX7" t="str" cm="1">
        <f t="array" ref="BX7">_xll.RssMarket(A2, "返済貸株")</f>
        <v/>
      </c>
      <c r="BY7" t="str" cm="1">
        <f t="array" ref="BY7">_xll.RssMarket(A2, "返済融資")</f>
        <v/>
      </c>
      <c r="BZ7" t="str" cm="1">
        <f t="array" ref="BZ7">_xll.RssMarket(A2, "残高貸株")</f>
        <v/>
      </c>
      <c r="CA7" t="str" cm="1">
        <f t="array" ref="CA7">_xll.RssMarket(A2, "残高融資")</f>
        <v/>
      </c>
      <c r="CB7" t="str" cm="1">
        <f t="array" ref="CB7">_xll.RssMarket(A2, "残高差引")</f>
        <v/>
      </c>
      <c r="CC7" t="str" cm="1">
        <f t="array" ref="CC7">_xll.RssMarket(A2, "前日比貸株")</f>
        <v/>
      </c>
      <c r="CD7" t="str" cm="1">
        <f t="array" ref="CD7">_xll.RssMarket(A2, "前日比融資")</f>
        <v/>
      </c>
      <c r="CE7" t="str" cm="1">
        <f t="array" ref="CE7">_xll.RssMarket(A2, "前日比差引")</f>
        <v/>
      </c>
      <c r="CF7" t="str" cm="1">
        <f t="array" ref="CF7">_xll.RssMarket(A2, "回転日数")</f>
        <v/>
      </c>
      <c r="CG7" t="str" cm="1">
        <f t="array" ref="CG7">_xll.RssMarket(A2, "貸借倍率")</f>
        <v/>
      </c>
      <c r="CH7" t="str" cm="1">
        <f t="array" ref="CH7">_xll.RssMarket(A2, "最良売気配値1")</f>
        <v/>
      </c>
      <c r="CI7" t="str" cm="1">
        <f t="array" ref="CI7">_xll.RssMarket(A2, "最良売気配値2")</f>
        <v/>
      </c>
      <c r="CJ7" t="str" cm="1">
        <f t="array" ref="CJ7">_xll.RssMarket(A2, "最良売気配値3")</f>
        <v/>
      </c>
      <c r="CK7" t="str" cm="1">
        <f t="array" ref="CK7">_xll.RssMarket(A2, "最良売気配値4")</f>
        <v/>
      </c>
      <c r="CL7" t="str" cm="1">
        <f t="array" ref="CL7">_xll.RssMarket(A2, "最良売気配値5")</f>
        <v/>
      </c>
      <c r="CM7" t="str" cm="1">
        <f t="array" ref="CM7">_xll.RssMarket(A2, "最良売気配値6")</f>
        <v/>
      </c>
      <c r="CN7" t="str" cm="1">
        <f t="array" ref="CN7">_xll.RssMarket(A2, "最良売気配値7")</f>
        <v/>
      </c>
      <c r="CO7" t="str" cm="1">
        <f t="array" ref="CO7">_xll.RssMarket(A2, "最良売気配値8")</f>
        <v/>
      </c>
      <c r="CP7" t="str" cm="1">
        <f t="array" ref="CP7">_xll.RssMarket(A2, "最良売気配値9")</f>
        <v/>
      </c>
      <c r="CQ7" t="str" cm="1">
        <f t="array" ref="CQ7">_xll.RssMarket(A2, "最良売気配値10")</f>
        <v/>
      </c>
      <c r="CR7" t="str" cm="1">
        <f t="array" ref="CR7">_xll.RssMarket(A2, "最良買気配値1")</f>
        <v/>
      </c>
      <c r="CS7" t="str" cm="1">
        <f t="array" ref="CS7">_xll.RssMarket(A2, "最良買気配値2")</f>
        <v/>
      </c>
      <c r="CT7" t="str" cm="1">
        <f t="array" ref="CT7">_xll.RssMarket(A2, "最良買気配値3")</f>
        <v/>
      </c>
      <c r="CU7" t="str" cm="1">
        <f t="array" ref="CU7">_xll.RssMarket(A2, "最良買気配値4")</f>
        <v/>
      </c>
      <c r="CV7" t="str" cm="1">
        <f t="array" ref="CV7">_xll.RssMarket(A2, "最良買気配値5")</f>
        <v/>
      </c>
      <c r="CW7" t="str" cm="1">
        <f t="array" ref="CW7">_xll.RssMarket(A2, "最良買気配値6")</f>
        <v/>
      </c>
      <c r="CX7" t="str" cm="1">
        <f t="array" ref="CX7">_xll.RssMarket(A2, "最良買気配値7")</f>
        <v/>
      </c>
      <c r="CY7" t="str" cm="1">
        <f t="array" ref="CY7">_xll.RssMarket(A2, "最良買気配値8")</f>
        <v/>
      </c>
      <c r="CZ7" t="str" cm="1">
        <f t="array" ref="CZ7">_xll.RssMarket(A2, "最良買気配値9")</f>
        <v/>
      </c>
      <c r="DA7" t="str" cm="1">
        <f t="array" ref="DA7">_xll.RssMarket(A2, "最良買気配値10")</f>
        <v/>
      </c>
      <c r="DB7" t="str" cm="1">
        <f t="array" ref="DB7">_xll.RssMarket(A2, "最良売気配数量1")</f>
        <v/>
      </c>
      <c r="DC7" t="str" cm="1">
        <f t="array" ref="DC7">_xll.RssMarket(A2, "最良売気配数量2")</f>
        <v/>
      </c>
      <c r="DD7" t="str" cm="1">
        <f t="array" ref="DD7">_xll.RssMarket(A2, "最良売気配数量3")</f>
        <v/>
      </c>
      <c r="DE7" t="str" cm="1">
        <f t="array" ref="DE7">_xll.RssMarket(A2, "最良売気配数量4")</f>
        <v/>
      </c>
      <c r="DF7" t="str" cm="1">
        <f t="array" ref="DF7">_xll.RssMarket(A2, "最良売気配数量5")</f>
        <v/>
      </c>
      <c r="DG7" t="str" cm="1">
        <f t="array" ref="DG7">_xll.RssMarket(A2, "最良売気配数量6")</f>
        <v/>
      </c>
      <c r="DH7" t="str" cm="1">
        <f t="array" ref="DH7">_xll.RssMarket(A2, "最良売気配数量7")</f>
        <v/>
      </c>
      <c r="DI7" t="str" cm="1">
        <f t="array" ref="DI7">_xll.RssMarket(A2, "最良売気配数量8")</f>
        <v/>
      </c>
      <c r="DJ7" t="str" cm="1">
        <f t="array" ref="DJ7">_xll.RssMarket(A2, "最良売気配数量9")</f>
        <v/>
      </c>
      <c r="DK7" t="str" cm="1">
        <f t="array" ref="DK7">_xll.RssMarket(A2, "最良売気配数量10")</f>
        <v/>
      </c>
      <c r="DL7" t="str" cm="1">
        <f t="array" ref="DL7">_xll.RssMarket(A2, "最良買気配数量1")</f>
        <v/>
      </c>
      <c r="DM7" t="str" cm="1">
        <f t="array" ref="DM7">_xll.RssMarket(A2, "最良買気配数量2")</f>
        <v/>
      </c>
      <c r="DN7" t="str" cm="1">
        <f t="array" ref="DN7">_xll.RssMarket(A2, "最良買気配数量3")</f>
        <v/>
      </c>
      <c r="DO7" t="str" cm="1">
        <f t="array" ref="DO7">_xll.RssMarket(A2, "最良買気配数量4")</f>
        <v/>
      </c>
      <c r="DP7" t="str" cm="1">
        <f t="array" ref="DP7">_xll.RssMarket(A2, "最良買気配数量5")</f>
        <v/>
      </c>
      <c r="DQ7" t="str" cm="1">
        <f t="array" ref="DQ7">_xll.RssMarket(A2, "最良買気配数量6")</f>
        <v/>
      </c>
      <c r="DR7" t="str" cm="1">
        <f t="array" ref="DR7">_xll.RssMarket(A2, "最良買気配数量7")</f>
        <v/>
      </c>
      <c r="DS7" t="str" cm="1">
        <f t="array" ref="DS7">_xll.RssMarket(A2, "最良買気配数量8")</f>
        <v/>
      </c>
      <c r="DT7" t="str" cm="1">
        <f t="array" ref="DT7">_xll.RssMarket(A2, "最良買気配数量9")</f>
        <v/>
      </c>
      <c r="DU7" t="str" cm="1">
        <f t="array" ref="DU7">_xll.RssMarket(A2, "最良買気配数量10")</f>
        <v/>
      </c>
      <c r="DV7" t="str" cm="1">
        <f t="array" ref="DV7">_xll.RssMarket(A2, "売成行数量")</f>
        <v/>
      </c>
      <c r="DW7" t="str" cm="1">
        <f t="array" ref="DW7">_xll.RssMarket(A2, "買成行数量")</f>
        <v/>
      </c>
      <c r="DX7" t="str" cm="1">
        <f t="array" ref="DX7">_xll.RssMarket(A2, "OVER気配数量")</f>
        <v/>
      </c>
      <c r="DY7" t="str" cm="1">
        <f t="array" ref="DY7">_xll.RssMarket(A2, "UNDER気配数量")</f>
        <v/>
      </c>
      <c r="DZ7" t="str" cm="1">
        <f t="array" ref="DZ7">_xll.RssMarket(A2, "単位株数")</f>
        <v/>
      </c>
      <c r="EA7" t="str" cm="1">
        <f t="array" ref="EA7">_xll.RssMarket(A2, "配当")</f>
        <v/>
      </c>
      <c r="EB7" t="str" cm="1">
        <f t="array" ref="EB7">_xll.RssMarket(A2, "配当落日")</f>
        <v/>
      </c>
      <c r="EC7" t="str" cm="1">
        <f t="array" ref="EC7">_xll.RssMarket(A2, "中配落日")</f>
        <v/>
      </c>
      <c r="ED7" t="str" cm="1">
        <f t="array" ref="ED7">_xll.RssMarket(A2, "権利落日")</f>
        <v/>
      </c>
      <c r="EE7" t="str" cm="1">
        <f t="array" ref="EE7">_xll.RssMarket(A2, "決算発表日")</f>
        <v/>
      </c>
      <c r="EF7" t="str" cm="1">
        <f t="array" ref="EF7">_xll.RssMarket(A2, "PER")</f>
        <v/>
      </c>
      <c r="EG7" t="str" cm="1">
        <f t="array" ref="EG7">_xll.RssMarket(A2, "PBR")</f>
        <v/>
      </c>
      <c r="EH7" t="str" cm="1">
        <f t="array" ref="EH7">_xll.RssMarket(A2, "当日基準値")</f>
        <v/>
      </c>
      <c r="EI7" t="str" cm="1">
        <f t="array" ref="EI7">_xll.RssMarket(A2, "年初来高値")</f>
        <v/>
      </c>
      <c r="EJ7" t="str" cm="1">
        <f t="array" ref="EJ7">_xll.RssMarket(A2, "年初来安値")</f>
        <v/>
      </c>
      <c r="EK7" t="str" cm="1">
        <f t="array" ref="EK7">_xll.RssMarket(A2, "年初来高値日付")</f>
        <v/>
      </c>
      <c r="EL7" t="str" cm="1">
        <f t="array" ref="EL7">_xll.RssMarket(A2, "年初来安値日付")</f>
        <v/>
      </c>
      <c r="EM7" t="str" cm="1">
        <f t="array" ref="EM7">_xll.RssMarket(A2, "上場来高値")</f>
        <v/>
      </c>
      <c r="EN7" t="str" cm="1">
        <f t="array" ref="EN7">_xll.RssMarket(A2, "上場来安値")</f>
        <v/>
      </c>
      <c r="EO7" t="str" cm="1">
        <f t="array" ref="EO7">_xll.RssMarket(A2, "上場来高値日付")</f>
        <v/>
      </c>
      <c r="EP7" t="str" cm="1">
        <f t="array" ref="EP7">_xll.RssMarket(A2, "上場来安値日付")</f>
        <v/>
      </c>
      <c r="EQ7" t="str" cm="1">
        <f t="array" ref="EQ7">_xll.RssMarket(A2, "貸株金利")</f>
        <v/>
      </c>
      <c r="ER7" t="str" cm="1">
        <f t="array" ref="ER7">_xll.RssMarket(A2, "貸株金利適用日")</f>
        <v/>
      </c>
    </row>
    <row r="8" spans="1:148">
      <c r="A8" t="str" cm="1">
        <f t="array" ref="A8">_xll.RssMarket(A3, "銘柄コード")</f>
        <v/>
      </c>
      <c r="B8" t="str" cm="1">
        <f t="array" ref="B8">_xll.RssMarket(A3, "市場コード")</f>
        <v/>
      </c>
      <c r="C8" t="str" cm="1">
        <f t="array" ref="C8">_xll.RssMarket(A3, "銘柄名称")</f>
        <v/>
      </c>
      <c r="D8" t="str" cm="1">
        <f t="array" ref="D8">_xll.RssMarket(A3, "市場名称")</f>
        <v/>
      </c>
      <c r="E8" t="str" cm="1">
        <f t="array" ref="E8">_xll.RssMarket(A3, "市場部名称")</f>
        <v/>
      </c>
      <c r="F8" t="str" cm="1">
        <f t="array" ref="F8">_xll.RssMarket(A3, "市場部略称")</f>
        <v/>
      </c>
      <c r="G8" t="str" cm="1">
        <f t="array" ref="G8">_xll.RssMarket(A3, "現在日付")</f>
        <v/>
      </c>
      <c r="H8" t="str" cm="1">
        <f t="array" ref="H8">_xll.RssMarket(A3, "現在値")</f>
        <v/>
      </c>
      <c r="I8" t="str" cm="1">
        <f t="array" ref="I8">_xll.RssMarket(A3, "現在値時刻")</f>
        <v/>
      </c>
      <c r="J8" t="str" cm="1">
        <f t="array" ref="J8">_xll.RssMarket(A3, "現在値詳細時刻")</f>
        <v/>
      </c>
      <c r="K8" t="str" cm="1">
        <f t="array" ref="K8">_xll.RssMarket(A3, "現在値ティック")</f>
        <v/>
      </c>
      <c r="L8" t="str" cm="1">
        <f t="array" ref="L8">_xll.RssMarket(A3, "現在値フラグ")</f>
        <v/>
      </c>
      <c r="M8" t="str" cm="1">
        <f t="array" ref="M8">_xll.RssMarket(A3, "前日比")</f>
        <v/>
      </c>
      <c r="N8" t="str" cm="1">
        <f t="array" ref="N8">_xll.RssMarket(A3, "前日比率")</f>
        <v/>
      </c>
      <c r="O8" t="str" cm="1">
        <f t="array" ref="O8">_xll.RssMarket(A3, "前日終値")</f>
        <v/>
      </c>
      <c r="P8" t="str" cm="1">
        <f t="array" ref="P8">_xll.RssMarket(A3, "前日日付")</f>
        <v/>
      </c>
      <c r="Q8" t="str" cm="1">
        <f t="array" ref="Q8">_xll.RssMarket(A3, "前日終値フラグ")</f>
        <v/>
      </c>
      <c r="R8" t="str" cm="1">
        <f t="array" ref="R8">_xll.RssMarket(A3, "歩み1")</f>
        <v/>
      </c>
      <c r="S8" t="str" cm="1">
        <f t="array" ref="S8">_xll.RssMarket(A3, "歩み2")</f>
        <v/>
      </c>
      <c r="T8" t="str" cm="1">
        <f t="array" ref="T8">_xll.RssMarket(A3, "歩み3")</f>
        <v/>
      </c>
      <c r="U8" t="str" cm="1">
        <f t="array" ref="U8">_xll.RssMarket(A3, "歩み4")</f>
        <v/>
      </c>
      <c r="V8" t="str" cm="1">
        <f t="array" ref="V8">_xll.RssMarket(A3, "歩み1詳細時刻")</f>
        <v/>
      </c>
      <c r="W8" t="str" cm="1">
        <f t="array" ref="W8">_xll.RssMarket(A3, "歩み2詳細時刻")</f>
        <v/>
      </c>
      <c r="X8" t="str" cm="1">
        <f t="array" ref="X8">_xll.RssMarket(A3, "歩み3詳細時刻")</f>
        <v/>
      </c>
      <c r="Y8" t="str" cm="1">
        <f t="array" ref="Y8">_xll.RssMarket(A3, "歩み4詳細時刻")</f>
        <v/>
      </c>
      <c r="Z8" t="str" cm="1">
        <f t="array" ref="Z8">_xll.RssMarket(A3, "出来高")</f>
        <v/>
      </c>
      <c r="AA8" t="str" cm="1">
        <f t="array" ref="AA8">_xll.RssMarket(A3, "売買代金")</f>
        <v/>
      </c>
      <c r="AB8" t="str" cm="1">
        <f t="array" ref="AB8">_xll.RssMarket(A3, "出来高加重平均")</f>
        <v/>
      </c>
      <c r="AC8" t="str" cm="1">
        <f t="array" ref="AC8">_xll.RssMarket(A3, "時価総額")</f>
        <v/>
      </c>
      <c r="AD8" t="str" cm="1">
        <f t="array" ref="AD8">_xll.RssMarket(A3, "始値")</f>
        <v/>
      </c>
      <c r="AE8" t="str" cm="1">
        <f t="array" ref="AE8">_xll.RssMarket(A3, "高値")</f>
        <v/>
      </c>
      <c r="AF8" t="str" cm="1">
        <f t="array" ref="AF8">_xll.RssMarket(A3, "安値")</f>
        <v/>
      </c>
      <c r="AG8" t="str" cm="1">
        <f t="array" ref="AG8">_xll.RssMarket(A3, "始値時刻")</f>
        <v/>
      </c>
      <c r="AH8" t="str" cm="1">
        <f t="array" ref="AH8">_xll.RssMarket(A3, "高値時刻")</f>
        <v/>
      </c>
      <c r="AI8" t="str" cm="1">
        <f t="array" ref="AI8">_xll.RssMarket(A3, "安値時刻")</f>
        <v/>
      </c>
      <c r="AJ8" t="str" cm="1">
        <f t="array" ref="AJ8">_xll.RssMarket(A3, "始値詳細時刻")</f>
        <v/>
      </c>
      <c r="AK8" t="str" cm="1">
        <f t="array" ref="AK8">_xll.RssMarket(A3, "高値詳細時刻")</f>
        <v/>
      </c>
      <c r="AL8" t="str" cm="1">
        <f t="array" ref="AL8">_xll.RssMarket(A3, "安値詳細時刻")</f>
        <v/>
      </c>
      <c r="AM8" t="str" cm="1">
        <f t="array" ref="AM8">_xll.RssMarket(A3, "前場始値")</f>
        <v/>
      </c>
      <c r="AN8" t="str" cm="1">
        <f t="array" ref="AN8">_xll.RssMarket(A3, "前場高値")</f>
        <v/>
      </c>
      <c r="AO8" t="str" cm="1">
        <f t="array" ref="AO8">_xll.RssMarket(A3, "前場安値")</f>
        <v/>
      </c>
      <c r="AP8" t="str" cm="1">
        <f t="array" ref="AP8">_xll.RssMarket(A3, "前場終値")</f>
        <v/>
      </c>
      <c r="AQ8" t="str" cm="1">
        <f t="array" ref="AQ8">_xll.RssMarket(A3, "前場出来高")</f>
        <v/>
      </c>
      <c r="AR8" t="str" cm="1">
        <f t="array" ref="AR8">_xll.RssMarket(A3, "後場始値")</f>
        <v/>
      </c>
      <c r="AS8" t="str" cm="1">
        <f t="array" ref="AS8">_xll.RssMarket(A3, "後場高値")</f>
        <v/>
      </c>
      <c r="AT8" t="str" cm="1">
        <f t="array" ref="AT8">_xll.RssMarket(A3, "後場安値")</f>
        <v/>
      </c>
      <c r="AU8" t="str" cm="1">
        <f t="array" ref="AU8">_xll.RssMarket(A3, "前場始値時刻")</f>
        <v/>
      </c>
      <c r="AV8" t="str" cm="1">
        <f t="array" ref="AV8">_xll.RssMarket(A3, "前場高値時刻")</f>
        <v/>
      </c>
      <c r="AW8" t="str" cm="1">
        <f t="array" ref="AW8">_xll.RssMarket(A3, "前場安値時刻")</f>
        <v/>
      </c>
      <c r="AX8" t="str" cm="1">
        <f t="array" ref="AX8">_xll.RssMarket(A3, "前場終値時刻")</f>
        <v/>
      </c>
      <c r="AY8" t="str" cm="1">
        <f t="array" ref="AY8">_xll.RssMarket(A3, "前場出来高時刻")</f>
        <v/>
      </c>
      <c r="AZ8" t="str" cm="1">
        <f t="array" ref="AZ8">_xll.RssMarket(A3, "後場始値時刻")</f>
        <v/>
      </c>
      <c r="BA8" t="str" cm="1">
        <f t="array" ref="BA8">_xll.RssMarket(A3, "後場高値時刻")</f>
        <v/>
      </c>
      <c r="BB8" t="str" cm="1">
        <f t="array" ref="BB8">_xll.RssMarket(A3, "後場安値時刻")</f>
        <v/>
      </c>
      <c r="BC8" t="str" cm="1">
        <f t="array" ref="BC8">_xll.RssMarket(A3, "最良売気配値")</f>
        <v/>
      </c>
      <c r="BD8" t="str" cm="1">
        <f t="array" ref="BD8">_xll.RssMarket(A3, "最良買気配値")</f>
        <v/>
      </c>
      <c r="BE8" t="str" cm="1">
        <f t="array" ref="BE8">_xll.RssMarket(A3, "最良売気配数量")</f>
        <v/>
      </c>
      <c r="BF8" t="str" cm="1">
        <f t="array" ref="BF8">_xll.RssMarket(A3, "最良買気配数量")</f>
        <v/>
      </c>
      <c r="BG8" t="str" cm="1">
        <f t="array" ref="BG8">_xll.RssMarket(A3, "最良売気配時刻")</f>
        <v/>
      </c>
      <c r="BH8" t="str" cm="1">
        <f t="array" ref="BH8">_xll.RssMarket(A3, "最良買気配時刻")</f>
        <v/>
      </c>
      <c r="BI8" t="str" cm="1">
        <f t="array" ref="BI8">_xll.RssMarket(A3, "最良売気配詳細時刻")</f>
        <v/>
      </c>
      <c r="BJ8" t="str" cm="1">
        <f t="array" ref="BJ8">_xll.RssMarket(A3, "最良買気配詳細時刻")</f>
        <v/>
      </c>
      <c r="BK8" t="str" cm="1">
        <f t="array" ref="BK8">_xll.RssMarket(A3, "特別売気配フラグ")</f>
        <v/>
      </c>
      <c r="BL8" t="str" cm="1">
        <f t="array" ref="BL8">_xll.RssMarket(A3, "特別買気配フラグ")</f>
        <v/>
      </c>
      <c r="BM8" t="str" cm="1">
        <f t="array" ref="BM8">_xll.RssMarket(A3, "信用貸借区分")</f>
        <v/>
      </c>
      <c r="BN8" t="str" cm="1">
        <f t="array" ref="BN8">_xll.RssMarket(A3, "逆日歩")</f>
        <v/>
      </c>
      <c r="BO8" t="str" cm="1">
        <f t="array" ref="BO8">_xll.RssMarket(A3, "逆日歩更新日付")</f>
        <v/>
      </c>
      <c r="BP8" t="str" cm="1">
        <f t="array" ref="BP8">_xll.RssMarket(A3, "信用売残")</f>
        <v/>
      </c>
      <c r="BQ8" t="str" cm="1">
        <f t="array" ref="BQ8">_xll.RssMarket(A3, "信用売残前週比")</f>
        <v/>
      </c>
      <c r="BR8" t="str" cm="1">
        <f t="array" ref="BR8">_xll.RssMarket(A3, "信用買残")</f>
        <v/>
      </c>
      <c r="BS8" t="str" cm="1">
        <f t="array" ref="BS8">_xll.RssMarket(A3, "信用買残前週比")</f>
        <v/>
      </c>
      <c r="BT8" t="str" cm="1">
        <f t="array" ref="BT8">_xll.RssMarket(A3, "信用倍率")</f>
        <v/>
      </c>
      <c r="BU8" t="str" cm="1">
        <f t="array" ref="BU8">_xll.RssMarket(A3, "証金残更新日付")</f>
        <v/>
      </c>
      <c r="BV8" t="str" cm="1">
        <f t="array" ref="BV8">_xll.RssMarket(A3, "新規貸株")</f>
        <v/>
      </c>
      <c r="BW8" t="str" cm="1">
        <f t="array" ref="BW8">_xll.RssMarket(A3, "新規融資")</f>
        <v/>
      </c>
      <c r="BX8" t="str" cm="1">
        <f t="array" ref="BX8">_xll.RssMarket(A3, "返済貸株")</f>
        <v/>
      </c>
      <c r="BY8" t="str" cm="1">
        <f t="array" ref="BY8">_xll.RssMarket(A3, "返済融資")</f>
        <v/>
      </c>
      <c r="BZ8" t="str" cm="1">
        <f t="array" ref="BZ8">_xll.RssMarket(A3, "残高貸株")</f>
        <v/>
      </c>
      <c r="CA8" t="str" cm="1">
        <f t="array" ref="CA8">_xll.RssMarket(A3, "残高融資")</f>
        <v/>
      </c>
      <c r="CB8" t="str" cm="1">
        <f t="array" ref="CB8">_xll.RssMarket(A3, "残高差引")</f>
        <v/>
      </c>
      <c r="CC8" t="str" cm="1">
        <f t="array" ref="CC8">_xll.RssMarket(A3, "前日比貸株")</f>
        <v/>
      </c>
      <c r="CD8" t="str" cm="1">
        <f t="array" ref="CD8">_xll.RssMarket(A3, "前日比融資")</f>
        <v/>
      </c>
      <c r="CE8" t="str" cm="1">
        <f t="array" ref="CE8">_xll.RssMarket(A3, "前日比差引")</f>
        <v/>
      </c>
      <c r="CF8" t="str" cm="1">
        <f t="array" ref="CF8">_xll.RssMarket(A3, "回転日数")</f>
        <v/>
      </c>
      <c r="CG8" t="str" cm="1">
        <f t="array" ref="CG8">_xll.RssMarket(A3, "貸借倍率")</f>
        <v/>
      </c>
      <c r="CH8" t="str" cm="1">
        <f t="array" ref="CH8">_xll.RssMarket(A3, "最良売気配値1")</f>
        <v/>
      </c>
      <c r="CI8" t="str" cm="1">
        <f t="array" ref="CI8">_xll.RssMarket(A3, "最良売気配値2")</f>
        <v/>
      </c>
      <c r="CJ8" t="str" cm="1">
        <f t="array" ref="CJ8">_xll.RssMarket(A3, "最良売気配値3")</f>
        <v/>
      </c>
      <c r="CK8" t="str" cm="1">
        <f t="array" ref="CK8">_xll.RssMarket(A3, "最良売気配値4")</f>
        <v/>
      </c>
      <c r="CL8" t="str" cm="1">
        <f t="array" ref="CL8">_xll.RssMarket(A3, "最良売気配値5")</f>
        <v/>
      </c>
      <c r="CM8" t="str" cm="1">
        <f t="array" ref="CM8">_xll.RssMarket(A3, "最良売気配値6")</f>
        <v/>
      </c>
      <c r="CN8" t="str" cm="1">
        <f t="array" ref="CN8">_xll.RssMarket(A3, "最良売気配値7")</f>
        <v/>
      </c>
      <c r="CO8" t="str" cm="1">
        <f t="array" ref="CO8">_xll.RssMarket(A3, "最良売気配値8")</f>
        <v/>
      </c>
      <c r="CP8" t="str" cm="1">
        <f t="array" ref="CP8">_xll.RssMarket(A3, "最良売気配値9")</f>
        <v/>
      </c>
      <c r="CQ8" t="str" cm="1">
        <f t="array" ref="CQ8">_xll.RssMarket(A3, "最良売気配値10")</f>
        <v/>
      </c>
      <c r="CR8" t="str" cm="1">
        <f t="array" ref="CR8">_xll.RssMarket(A3, "最良買気配値1")</f>
        <v/>
      </c>
      <c r="CS8" t="str" cm="1">
        <f t="array" ref="CS8">_xll.RssMarket(A3, "最良買気配値2")</f>
        <v/>
      </c>
      <c r="CT8" t="str" cm="1">
        <f t="array" ref="CT8">_xll.RssMarket(A3, "最良買気配値3")</f>
        <v/>
      </c>
      <c r="CU8" t="str" cm="1">
        <f t="array" ref="CU8">_xll.RssMarket(A3, "最良買気配値4")</f>
        <v/>
      </c>
      <c r="CV8" t="str" cm="1">
        <f t="array" ref="CV8">_xll.RssMarket(A3, "最良買気配値5")</f>
        <v/>
      </c>
      <c r="CW8" t="str" cm="1">
        <f t="array" ref="CW8">_xll.RssMarket(A3, "最良買気配値6")</f>
        <v/>
      </c>
      <c r="CX8" t="str" cm="1">
        <f t="array" ref="CX8">_xll.RssMarket(A3, "最良買気配値7")</f>
        <v/>
      </c>
      <c r="CY8" t="str" cm="1">
        <f t="array" ref="CY8">_xll.RssMarket(A3, "最良買気配値8")</f>
        <v/>
      </c>
      <c r="CZ8" t="str" cm="1">
        <f t="array" ref="CZ8">_xll.RssMarket(A3, "最良買気配値9")</f>
        <v/>
      </c>
      <c r="DA8" t="str" cm="1">
        <f t="array" ref="DA8">_xll.RssMarket(A3, "最良買気配値10")</f>
        <v/>
      </c>
      <c r="DB8" t="str" cm="1">
        <f t="array" ref="DB8">_xll.RssMarket(A3, "最良売気配数量1")</f>
        <v/>
      </c>
      <c r="DC8" t="str" cm="1">
        <f t="array" ref="DC8">_xll.RssMarket(A3, "最良売気配数量2")</f>
        <v/>
      </c>
      <c r="DD8" t="str" cm="1">
        <f t="array" ref="DD8">_xll.RssMarket(A3, "最良売気配数量3")</f>
        <v/>
      </c>
      <c r="DE8" t="str" cm="1">
        <f t="array" ref="DE8">_xll.RssMarket(A3, "最良売気配数量4")</f>
        <v/>
      </c>
      <c r="DF8" t="str" cm="1">
        <f t="array" ref="DF8">_xll.RssMarket(A3, "最良売気配数量5")</f>
        <v/>
      </c>
      <c r="DG8" t="str" cm="1">
        <f t="array" ref="DG8">_xll.RssMarket(A3, "最良売気配数量6")</f>
        <v/>
      </c>
      <c r="DH8" t="str" cm="1">
        <f t="array" ref="DH8">_xll.RssMarket(A3, "最良売気配数量7")</f>
        <v/>
      </c>
      <c r="DI8" t="str" cm="1">
        <f t="array" ref="DI8">_xll.RssMarket(A3, "最良売気配数量8")</f>
        <v/>
      </c>
      <c r="DJ8" t="str" cm="1">
        <f t="array" ref="DJ8">_xll.RssMarket(A3, "最良売気配数量9")</f>
        <v/>
      </c>
      <c r="DK8" t="str" cm="1">
        <f t="array" ref="DK8">_xll.RssMarket(A3, "最良売気配数量10")</f>
        <v/>
      </c>
      <c r="DL8" t="str" cm="1">
        <f t="array" ref="DL8">_xll.RssMarket(A3, "最良買気配数量1")</f>
        <v/>
      </c>
      <c r="DM8" t="str" cm="1">
        <f t="array" ref="DM8">_xll.RssMarket(A3, "最良買気配数量2")</f>
        <v/>
      </c>
      <c r="DN8" t="str" cm="1">
        <f t="array" ref="DN8">_xll.RssMarket(A3, "最良買気配数量3")</f>
        <v/>
      </c>
      <c r="DO8" t="str" cm="1">
        <f t="array" ref="DO8">_xll.RssMarket(A3, "最良買気配数量4")</f>
        <v/>
      </c>
      <c r="DP8" t="str" cm="1">
        <f t="array" ref="DP8">_xll.RssMarket(A3, "最良買気配数量5")</f>
        <v/>
      </c>
      <c r="DQ8" t="str" cm="1">
        <f t="array" ref="DQ8">_xll.RssMarket(A3, "最良買気配数量6")</f>
        <v/>
      </c>
      <c r="DR8" t="str" cm="1">
        <f t="array" ref="DR8">_xll.RssMarket(A3, "最良買気配数量7")</f>
        <v/>
      </c>
      <c r="DS8" t="str" cm="1">
        <f t="array" ref="DS8">_xll.RssMarket(A3, "最良買気配数量8")</f>
        <v/>
      </c>
      <c r="DT8" t="str" cm="1">
        <f t="array" ref="DT8">_xll.RssMarket(A3, "最良買気配数量9")</f>
        <v/>
      </c>
      <c r="DU8" t="str" cm="1">
        <f t="array" ref="DU8">_xll.RssMarket(A3, "最良買気配数量10")</f>
        <v/>
      </c>
      <c r="DV8" t="str" cm="1">
        <f t="array" ref="DV8">_xll.RssMarket(A3, "売成行数量")</f>
        <v/>
      </c>
      <c r="DW8" t="str" cm="1">
        <f t="array" ref="DW8">_xll.RssMarket(A3, "買成行数量")</f>
        <v/>
      </c>
      <c r="DX8" t="str" cm="1">
        <f t="array" ref="DX8">_xll.RssMarket(A3, "OVER気配数量")</f>
        <v/>
      </c>
      <c r="DY8" t="str" cm="1">
        <f t="array" ref="DY8">_xll.RssMarket(A3, "UNDER気配数量")</f>
        <v/>
      </c>
      <c r="DZ8" t="str" cm="1">
        <f t="array" ref="DZ8">_xll.RssMarket(A3, "単位株数")</f>
        <v/>
      </c>
      <c r="EA8" t="str" cm="1">
        <f t="array" ref="EA8">_xll.RssMarket(A3, "配当")</f>
        <v/>
      </c>
      <c r="EB8" t="str" cm="1">
        <f t="array" ref="EB8">_xll.RssMarket(A3, "配当落日")</f>
        <v/>
      </c>
      <c r="EC8" t="str" cm="1">
        <f t="array" ref="EC8">_xll.RssMarket(A3, "中配落日")</f>
        <v/>
      </c>
      <c r="ED8" t="str" cm="1">
        <f t="array" ref="ED8">_xll.RssMarket(A3, "権利落日")</f>
        <v/>
      </c>
      <c r="EE8" t="str" cm="1">
        <f t="array" ref="EE8">_xll.RssMarket(A3, "決算発表日")</f>
        <v/>
      </c>
      <c r="EF8" t="str" cm="1">
        <f t="array" ref="EF8">_xll.RssMarket(A3, "PER")</f>
        <v/>
      </c>
      <c r="EG8" t="str" cm="1">
        <f t="array" ref="EG8">_xll.RssMarket(A3, "PBR")</f>
        <v/>
      </c>
      <c r="EH8" t="str" cm="1">
        <f t="array" ref="EH8">_xll.RssMarket(A3, "当日基準値")</f>
        <v/>
      </c>
      <c r="EI8" t="str" cm="1">
        <f t="array" ref="EI8">_xll.RssMarket(A3, "年初来高値")</f>
        <v/>
      </c>
      <c r="EJ8" t="str" cm="1">
        <f t="array" ref="EJ8">_xll.RssMarket(A3, "年初来安値")</f>
        <v/>
      </c>
      <c r="EK8" t="str" cm="1">
        <f t="array" ref="EK8">_xll.RssMarket(A3, "年初来高値日付")</f>
        <v/>
      </c>
      <c r="EL8" t="str" cm="1">
        <f t="array" ref="EL8">_xll.RssMarket(A3, "年初来安値日付")</f>
        <v/>
      </c>
      <c r="EM8" t="str" cm="1">
        <f t="array" ref="EM8">_xll.RssMarket(A3, "上場来高値")</f>
        <v/>
      </c>
      <c r="EN8" t="str" cm="1">
        <f t="array" ref="EN8">_xll.RssMarket(A3, "上場来安値")</f>
        <v/>
      </c>
      <c r="EO8" t="str" cm="1">
        <f t="array" ref="EO8">_xll.RssMarket(A3, "上場来高値日付")</f>
        <v/>
      </c>
      <c r="EP8" t="str" cm="1">
        <f t="array" ref="EP8">_xll.RssMarket(A3, "上場来安値日付")</f>
        <v/>
      </c>
      <c r="EQ8" t="str" cm="1">
        <f t="array" ref="EQ8">_xll.RssMarket(A3, "貸株金利")</f>
        <v/>
      </c>
      <c r="ER8" t="str" cm="1">
        <f t="array" ref="ER8">_xll.RssMarket(A3, "貸株金利適用日")</f>
        <v/>
      </c>
    </row>
  </sheetData>
  <phoneticPr fontI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RangeChart (2)</vt:lpstr>
      <vt:lpstr>RangeChartTest</vt:lpstr>
      <vt:lpstr>説明</vt:lpstr>
      <vt:lpstr>LiveFeed</vt:lpstr>
      <vt:lpstr>Chart</vt:lpstr>
      <vt:lpstr>RangeChart</vt:lpstr>
      <vt:lpstr>Test</vt:lpstr>
      <vt:lpstr>TickList1</vt:lpstr>
      <vt:lpstr>Quotes</vt:lpstr>
      <vt:lpstr>SymbolQuotes</vt:lpstr>
      <vt:lpstr>MarketDes</vt:lpstr>
      <vt:lpstr>OrderIDList</vt:lpstr>
      <vt:lpstr>OrderList</vt:lpstr>
      <vt:lpstr>ExecutionList</vt:lpstr>
      <vt:lpstr>MarginPositionList</vt:lpstr>
      <vt:lpstr>MarginPositionList_save</vt:lpstr>
      <vt:lpstr>OrderIDList_save</vt:lpstr>
      <vt:lpstr>OrderList_save</vt:lpstr>
      <vt:lpstr>OrderList0909</vt:lpstr>
      <vt:lpstr>MarketDes (2)</vt:lpstr>
      <vt:lpstr>ExecutionList0909</vt:lpstr>
      <vt:lpstr>ExecutionList (2)</vt:lpstr>
      <vt:lpstr>ExecutionList (3)</vt:lpstr>
      <vt:lpstr>MarginPositionList_0909</vt:lpstr>
      <vt:lpstr>TickList</vt:lpstr>
      <vt:lpstr>PositionList</vt:lpstr>
      <vt:lpstr>Quotes_Data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鈴子剛志</dc:creator>
  <cp:lastModifiedBy>剛志 鈴子</cp:lastModifiedBy>
  <dcterms:created xsi:type="dcterms:W3CDTF">2015-06-05T18:19:34Z</dcterms:created>
  <dcterms:modified xsi:type="dcterms:W3CDTF">2026-10-24T17:26:13Z</dcterms:modified>
</cp:coreProperties>
</file>