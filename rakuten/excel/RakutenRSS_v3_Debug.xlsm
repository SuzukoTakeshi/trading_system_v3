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_system_v3_dev\rakuten\excel\"/>
    </mc:Choice>
  </mc:AlternateContent>
  <xr:revisionPtr revIDLastSave="0" documentId="13_ncr:1_{0F496C49-131D-4088-A6E4-E64B633890D2}" xr6:coauthVersionLast="47" xr6:coauthVersionMax="47" xr10:uidLastSave="{00000000-0000-0000-0000-000000000000}"/>
  <bookViews>
    <workbookView xWindow="13515" yWindow="-16200" windowWidth="15480" windowHeight="7845" activeTab="5" xr2:uid="{00000000-000D-0000-FFFF-FFFF00000000}"/>
  </bookViews>
  <sheets>
    <sheet name="説明" sheetId="13" r:id="rId1"/>
    <sheet name="LiveFeed" sheetId="37" r:id="rId2"/>
    <sheet name="Chart" sheetId="38" r:id="rId3"/>
    <sheet name="Test" sheetId="28" r:id="rId4"/>
    <sheet name="Quotes" sheetId="12" r:id="rId5"/>
    <sheet name="SymbolQuotes" sheetId="39" r:id="rId6"/>
    <sheet name="MarketDes" sheetId="19" r:id="rId7"/>
    <sheet name="OrderIDList" sheetId="1" r:id="rId8"/>
    <sheet name="OrderList" sheetId="2" r:id="rId9"/>
    <sheet name="ExecutionList" sheetId="14" r:id="rId10"/>
    <sheet name="MarginPositionList" sheetId="29" r:id="rId11"/>
    <sheet name="MarginPositionList_save" sheetId="30" r:id="rId12"/>
    <sheet name="OrderIDList_save" sheetId="16" r:id="rId13"/>
    <sheet name="OrderList_save" sheetId="15" r:id="rId14"/>
    <sheet name="OrderList0909" sheetId="33" r:id="rId15"/>
    <sheet name="MarketDes (2)" sheetId="20" r:id="rId16"/>
    <sheet name="ExecutionList0909" sheetId="31" r:id="rId17"/>
    <sheet name="ExecutionList (2)" sheetId="17" r:id="rId18"/>
    <sheet name="ExecutionList (3)" sheetId="26" r:id="rId19"/>
    <sheet name="MarginPositionList_0909" sheetId="32" r:id="rId20"/>
    <sheet name="TickList" sheetId="24" r:id="rId21"/>
    <sheet name="PositionList" sheetId="18" r:id="rId22"/>
    <sheet name="Quotes_Data" sheetId="27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9" l="1"/>
  <c r="A1" i="38"/>
  <c r="B2" i="37"/>
  <c r="U7" i="27" a="1"/>
  <c r="ED7" i="27" a="1"/>
  <c r="EA8" i="27" a="1"/>
  <c r="ER7" i="27" a="1"/>
  <c r="CB7" i="27" a="1"/>
  <c r="F15" i="37"/>
  <c r="J7" i="27" a="1"/>
  <c r="CF8" i="27" a="1"/>
  <c r="E8" i="27" a="1"/>
  <c r="CG8" i="27" a="1"/>
  <c r="N5" i="37"/>
  <c r="EF8" i="27" a="1"/>
  <c r="BW8" i="27" a="1"/>
  <c r="BW7" i="27" a="1"/>
  <c r="AV8" i="27" a="1"/>
  <c r="K4" i="37"/>
  <c r="U8" i="27" a="1"/>
  <c r="BJ8" i="27" a="1"/>
  <c r="BV7" i="27" a="1"/>
  <c r="CE8" i="27" a="1"/>
  <c r="DG7" i="27" a="1"/>
  <c r="BZ7" i="27" a="1"/>
  <c r="BD7" i="27" a="1"/>
  <c r="G25" i="37"/>
  <c r="EQ8" i="27" a="1"/>
  <c r="AJ7" i="27" a="1"/>
  <c r="DO7" i="27" a="1"/>
  <c r="BE7" i="27" a="1"/>
  <c r="DA8" i="27" a="1"/>
  <c r="CC7" i="27" a="1"/>
  <c r="AC7" i="27" a="1"/>
  <c r="R8" i="27" a="1"/>
  <c r="CQ8" i="27" a="1"/>
  <c r="AG7" i="27" a="1"/>
  <c r="L8" i="27" a="1"/>
  <c r="Z8" i="27" a="1"/>
  <c r="EN8" i="27" a="1"/>
  <c r="X7" i="27" a="1"/>
  <c r="T7" i="27" a="1"/>
  <c r="P5" i="37"/>
  <c r="DG8" i="27" a="1"/>
  <c r="EB7" i="27" a="1"/>
  <c r="EL7" i="27" a="1"/>
  <c r="AT7" i="27" a="1"/>
  <c r="DW8" i="27" a="1"/>
  <c r="G8" i="27" a="1"/>
  <c r="DD8" i="27" a="1"/>
  <c r="N4" i="37"/>
  <c r="AN7" i="27" a="1"/>
  <c r="B2" i="28" a="1"/>
  <c r="CA7" i="27" a="1"/>
  <c r="Q8" i="27" a="1"/>
  <c r="CN8" i="27" a="1"/>
  <c r="F13" i="37"/>
  <c r="AZ8" i="27" a="1"/>
  <c r="DF7" i="27" a="1"/>
  <c r="CT8" i="27" a="1"/>
  <c r="EA7" i="27" a="1"/>
  <c r="EQ7" i="27" a="1"/>
  <c r="AY8" i="27" a="1"/>
  <c r="P7" i="27" a="1"/>
  <c r="EI7" i="27" a="1"/>
  <c r="DC8" i="27" a="1"/>
  <c r="CQ7" i="27" a="1"/>
  <c r="DV8" i="27" a="1"/>
  <c r="L7" i="37"/>
  <c r="AS8" i="27" a="1"/>
  <c r="EO8" i="27" a="1"/>
  <c r="DY8" i="27" a="1"/>
  <c r="AQ7" i="27" a="1"/>
  <c r="ER8" i="27" a="1"/>
  <c r="AB7" i="27" a="1"/>
  <c r="BF7" i="27" a="1"/>
  <c r="F9" i="37"/>
  <c r="CJ7" i="27" a="1"/>
  <c r="AD8" i="27" a="1"/>
  <c r="H17" i="37"/>
  <c r="AV7" i="27" a="1"/>
  <c r="CJ8" i="27" a="1"/>
  <c r="G15" i="37"/>
  <c r="CS8" i="27" a="1"/>
  <c r="CH7" i="27" a="1"/>
  <c r="AI8" i="27" a="1"/>
  <c r="D8" i="27" a="1"/>
  <c r="DB8" i="27" a="1"/>
  <c r="L7" i="27" a="1"/>
  <c r="CW8" i="27" a="1"/>
  <c r="AX7" i="27" a="1"/>
  <c r="N3" i="37"/>
  <c r="CX7" i="27" a="1"/>
  <c r="CE7" i="27" a="1"/>
  <c r="DD7" i="27" a="1"/>
  <c r="DS7" i="27" a="1"/>
  <c r="AA7" i="27" a="1"/>
  <c r="O7" i="27" a="1"/>
  <c r="DN7" i="27" a="1"/>
  <c r="AH7" i="27" a="1"/>
  <c r="F12" i="37"/>
  <c r="K5" i="37"/>
  <c r="G12" i="37"/>
  <c r="DS8" i="27" a="1"/>
  <c r="G14" i="37"/>
  <c r="BS7" i="27" a="1"/>
  <c r="DR7" i="27" a="1"/>
  <c r="AQ8" i="27" a="1"/>
  <c r="A7" i="27" a="1"/>
  <c r="CB8" i="27" a="1"/>
  <c r="AG8" i="27" a="1"/>
  <c r="DP7" i="27" a="1"/>
  <c r="A8" i="27" a="1"/>
  <c r="DI7" i="27" a="1"/>
  <c r="Y8" i="27" a="1"/>
  <c r="DM7" i="27" a="1"/>
  <c r="L4" i="37"/>
  <c r="H19" i="37"/>
  <c r="K6" i="37"/>
  <c r="BH8" i="27" a="1"/>
  <c r="CP7" i="27" a="1"/>
  <c r="G6" i="37"/>
  <c r="DA7" i="27" a="1"/>
  <c r="N8" i="27" a="1"/>
  <c r="G23" i="37"/>
  <c r="H20" i="37"/>
  <c r="EP8" i="27" a="1"/>
  <c r="CI8" i="27" a="1"/>
  <c r="BH7" i="27" a="1"/>
  <c r="AP7" i="27" a="1"/>
  <c r="EI8" i="27" a="1"/>
  <c r="E7" i="27" a="1"/>
  <c r="K7" i="37"/>
  <c r="P4" i="37"/>
  <c r="H25" i="37"/>
  <c r="H16" i="37"/>
  <c r="DE7" i="27" a="1"/>
  <c r="G21" i="37"/>
  <c r="CN7" i="27" a="1"/>
  <c r="CR7" i="27" a="1"/>
  <c r="CK8" i="27" a="1"/>
  <c r="F10" i="37"/>
  <c r="H21" i="37"/>
  <c r="BB8" i="27" a="1"/>
  <c r="CD7" i="27" a="1"/>
  <c r="H22" i="37"/>
  <c r="DZ8" i="27" a="1"/>
  <c r="EH7" i="27" a="1"/>
  <c r="AE8" i="27" a="1"/>
  <c r="BA8" i="27" a="1"/>
  <c r="BC7" i="27" a="1"/>
  <c r="BT8" i="27" a="1"/>
  <c r="L3" i="37"/>
  <c r="DE8" i="27" a="1"/>
  <c r="CY8" i="27" a="1"/>
  <c r="R7" i="27" a="1"/>
  <c r="N7" i="27" a="1"/>
  <c r="L8" i="37"/>
  <c r="V8" i="27" a="1"/>
  <c r="CO8" i="27" a="1"/>
  <c r="AF8" i="27" a="1"/>
  <c r="G11" i="37"/>
  <c r="DB7" i="27" a="1"/>
  <c r="EL8" i="27" a="1"/>
  <c r="DX8" i="27" a="1"/>
  <c r="N7" i="37"/>
  <c r="N6" i="37"/>
  <c r="AC8" i="27" a="1"/>
  <c r="BD8" i="27" a="1"/>
  <c r="DQ7" i="27" a="1"/>
  <c r="AK7" i="27" a="1"/>
  <c r="BE8" i="27" a="1"/>
  <c r="AY7" i="27" a="1"/>
  <c r="AU8" i="27" a="1"/>
  <c r="C8" i="27" a="1"/>
  <c r="DI8" i="27" a="1"/>
  <c r="DT7" i="27" a="1"/>
  <c r="BY8" i="27" a="1"/>
  <c r="AL7" i="27" a="1"/>
  <c r="DR8" i="27" a="1"/>
  <c r="EC7" i="27" a="1"/>
  <c r="AH8" i="27" a="1"/>
  <c r="O8" i="27" a="1"/>
  <c r="EO7" i="27" a="1"/>
  <c r="DN8" i="27" a="1"/>
  <c r="EG8" i="27" a="1"/>
  <c r="EM7" i="27" a="1"/>
  <c r="CP8" i="27" a="1"/>
  <c r="BU8" i="27" a="1"/>
  <c r="BF8" i="27" a="1"/>
  <c r="L5" i="37"/>
  <c r="Y7" i="27" a="1"/>
  <c r="BG8" i="27" a="1"/>
  <c r="EE7" i="27" a="1"/>
  <c r="BR8" i="27" a="1"/>
  <c r="CK7" i="27" a="1"/>
  <c r="AW8" i="27" a="1"/>
  <c r="ED8" i="27" a="1"/>
  <c r="BN8" i="27" a="1"/>
  <c r="G7" i="37"/>
  <c r="AJ8" i="27" a="1"/>
  <c r="V7" i="27" a="1"/>
  <c r="F8" i="27" a="1"/>
  <c r="DL7" i="27" a="1"/>
  <c r="DT8" i="27" a="1"/>
  <c r="X8" i="27" a="1"/>
  <c r="F11" i="37"/>
  <c r="BP8" i="27" a="1"/>
  <c r="DY7" i="27" a="1"/>
  <c r="F6" i="37"/>
  <c r="AA8" i="27" a="1"/>
  <c r="EF7" i="27" a="1"/>
  <c r="CM8" i="27" a="1"/>
  <c r="AO7" i="27" a="1"/>
  <c r="AK8" i="27" a="1"/>
  <c r="DC7" i="27" a="1"/>
  <c r="CC8" i="27" a="1"/>
  <c r="M7" i="27" a="1"/>
  <c r="G20" i="37"/>
  <c r="H7" i="27" a="1"/>
  <c r="DL8" i="27" a="1"/>
  <c r="BK7" i="27" a="1"/>
  <c r="CD8" i="27" a="1"/>
  <c r="BT7" i="27" a="1"/>
  <c r="EN7" i="27" a="1"/>
  <c r="F4" i="37"/>
  <c r="CA8" i="27" a="1"/>
  <c r="AI7" i="27" a="1"/>
  <c r="DH7" i="27" a="1"/>
  <c r="AL8" i="27" a="1"/>
  <c r="EC8" i="27" a="1"/>
  <c r="CX8" i="27" a="1"/>
  <c r="CI7" i="27" a="1"/>
  <c r="EM8" i="27" a="1"/>
  <c r="DJ8" i="27" a="1"/>
  <c r="AF7" i="27" a="1"/>
  <c r="L6" i="37"/>
  <c r="K8" i="37"/>
  <c r="DV7" i="27" a="1"/>
  <c r="BP7" i="27" a="1"/>
  <c r="EK8" i="27" a="1"/>
  <c r="EB8" i="27" a="1"/>
  <c r="DQ8" i="27" a="1"/>
  <c r="DZ7" i="27" a="1"/>
  <c r="AS7" i="27" a="1"/>
  <c r="I7" i="27" a="1"/>
  <c r="AN8" i="27" a="1"/>
  <c r="G7" i="27" a="1"/>
  <c r="G22" i="37"/>
  <c r="P6" i="37"/>
  <c r="J8" i="27" a="1"/>
  <c r="D7" i="27" a="1"/>
  <c r="CZ8" i="27" a="1"/>
  <c r="B8" i="27" a="1"/>
  <c r="CL7" i="27" a="1"/>
  <c r="BO8" i="27" a="1"/>
  <c r="AM8" i="27" a="1"/>
  <c r="G13" i="37"/>
  <c r="G10" i="37"/>
  <c r="CL8" i="27" a="1"/>
  <c r="BI7" i="27" a="1"/>
  <c r="CF7" i="27" a="1"/>
  <c r="P3" i="37"/>
  <c r="EP7" i="27" a="1"/>
  <c r="EJ8" i="27" a="1"/>
  <c r="BM7" i="27" a="1"/>
  <c r="DM8" i="27" a="1"/>
  <c r="BC8" i="27" a="1"/>
  <c r="N8" i="37"/>
  <c r="BL8" i="27" a="1"/>
  <c r="DW7" i="27" a="1"/>
  <c r="BQ8" i="27" a="1"/>
  <c r="EK7" i="27" a="1"/>
  <c r="BM8" i="27" a="1"/>
  <c r="CO7" i="27" a="1"/>
  <c r="T8" i="27" a="1"/>
  <c r="CH8" i="27" a="1"/>
  <c r="DU7" i="27" a="1"/>
  <c r="BQ7" i="27" a="1"/>
  <c r="CU8" i="27" a="1"/>
  <c r="AR7" i="27" a="1"/>
  <c r="DH8" i="27" a="1"/>
  <c r="W7" i="27" a="1"/>
  <c r="BV8" i="27" a="1"/>
  <c r="H24" i="37"/>
  <c r="AO8" i="27" a="1"/>
  <c r="DP8" i="27" a="1"/>
  <c r="Z7" i="27" a="1"/>
  <c r="BU7" i="27" a="1"/>
  <c r="BG7" i="27" a="1"/>
  <c r="BI8" i="27" a="1"/>
  <c r="BA7" i="27" a="1"/>
  <c r="BB7" i="27" a="1"/>
  <c r="CV7" i="27" a="1"/>
  <c r="W8" i="27" a="1"/>
  <c r="BO7" i="27" a="1"/>
  <c r="DO8" i="27" a="1"/>
  <c r="H4" i="37"/>
  <c r="AB8" i="27" a="1"/>
  <c r="AP8" i="27" a="1"/>
  <c r="AM7" i="27" a="1"/>
  <c r="H26" i="37"/>
  <c r="F8" i="37"/>
  <c r="AW7" i="27" a="1"/>
  <c r="AU7" i="27" a="1"/>
  <c r="AT8" i="27" a="1"/>
  <c r="CS7" i="27" a="1"/>
  <c r="CM7" i="27" a="1"/>
  <c r="BL7" i="27" a="1"/>
  <c r="K3" i="37"/>
  <c r="EJ7" i="27" a="1"/>
  <c r="G19" i="37"/>
  <c r="F7" i="27" a="1"/>
  <c r="H18" i="37"/>
  <c r="C7" i="27" a="1"/>
  <c r="CR8" i="27" a="1"/>
  <c r="EG7" i="27" a="1"/>
  <c r="CG7" i="27" a="1"/>
  <c r="H23" i="37"/>
  <c r="F5" i="37"/>
  <c r="M8" i="27" a="1"/>
  <c r="DJ7" i="27" a="1"/>
  <c r="BN7" i="27" a="1"/>
  <c r="CZ7" i="27" a="1"/>
  <c r="S8" i="27" a="1"/>
  <c r="F7" i="37"/>
  <c r="C1" i="37"/>
  <c r="CY7" i="27" a="1"/>
  <c r="AE7" i="27" a="1"/>
  <c r="G8" i="37"/>
  <c r="CT7" i="27" a="1"/>
  <c r="BX8" i="27" a="1"/>
  <c r="EH8" i="27" a="1"/>
  <c r="AZ7" i="27" a="1"/>
  <c r="DF8" i="27" a="1"/>
  <c r="AD7" i="27" a="1"/>
  <c r="I8" i="27" a="1"/>
  <c r="DK7" i="27" a="1"/>
  <c r="P8" i="27" a="1"/>
  <c r="BY7" i="27" a="1"/>
  <c r="Q7" i="27" a="1"/>
  <c r="CW7" i="27" a="1"/>
  <c r="G9" i="37"/>
  <c r="AR8" i="27" a="1"/>
  <c r="BR7" i="27" a="1"/>
  <c r="G18" i="37"/>
  <c r="G24" i="37"/>
  <c r="AX8" i="27" a="1"/>
  <c r="G17" i="37"/>
  <c r="DK8" i="27" a="1"/>
  <c r="K8" i="27" a="1"/>
  <c r="BZ8" i="27" a="1"/>
  <c r="S7" i="27" a="1"/>
  <c r="BJ7" i="27" a="1"/>
  <c r="H8" i="27" a="1"/>
  <c r="DU8" i="27" a="1"/>
  <c r="BK8" i="27" a="1"/>
  <c r="DX7" i="27" a="1"/>
  <c r="F14" i="37"/>
  <c r="CU7" i="27" a="1"/>
  <c r="CV8" i="27" a="1"/>
  <c r="BS8" i="27" a="1"/>
  <c r="G16" i="37"/>
  <c r="BX7" i="27" a="1"/>
  <c r="EE8" i="27" a="1"/>
  <c r="K7" i="27" a="1"/>
  <c r="K7" i="27" l="1"/>
  <c r="EE8" i="27"/>
  <c r="BX7" i="27"/>
  <c r="BS8" i="27"/>
  <c r="CV8" i="27"/>
  <c r="CU7" i="27"/>
  <c r="DX7" i="27"/>
  <c r="BK8" i="27"/>
  <c r="DU8" i="27"/>
  <c r="H8" i="27"/>
  <c r="BJ7" i="27"/>
  <c r="S7" i="27"/>
  <c r="BZ8" i="27"/>
  <c r="K8" i="27"/>
  <c r="DK8" i="27"/>
  <c r="AX8" i="27"/>
  <c r="BR7" i="27"/>
  <c r="AR8" i="27"/>
  <c r="CW7" i="27"/>
  <c r="Q7" i="27"/>
  <c r="BY7" i="27"/>
  <c r="P8" i="27"/>
  <c r="DK7" i="27"/>
  <c r="I8" i="27"/>
  <c r="AD7" i="27"/>
  <c r="DF8" i="27"/>
  <c r="AZ7" i="27"/>
  <c r="EH8" i="27"/>
  <c r="BX8" i="27"/>
  <c r="CT7" i="27"/>
  <c r="AE7" i="27"/>
  <c r="CY7" i="27"/>
  <c r="S8" i="27"/>
  <c r="CZ7" i="27"/>
  <c r="BN7" i="27"/>
  <c r="DJ7" i="27"/>
  <c r="M8" i="27"/>
  <c r="CG7" i="27"/>
  <c r="EG7" i="27"/>
  <c r="CR8" i="27"/>
  <c r="C7" i="27"/>
  <c r="F7" i="27"/>
  <c r="EJ7" i="27"/>
  <c r="BL7" i="27"/>
  <c r="CM7" i="27"/>
  <c r="CS7" i="27"/>
  <c r="AT8" i="27"/>
  <c r="AU7" i="27"/>
  <c r="AW7" i="27"/>
  <c r="AM7" i="27"/>
  <c r="AP8" i="27"/>
  <c r="AB8" i="27"/>
  <c r="DO8" i="27"/>
  <c r="BO7" i="27"/>
  <c r="W8" i="27"/>
  <c r="CV7" i="27"/>
  <c r="BB7" i="27"/>
  <c r="BA7" i="27"/>
  <c r="BI8" i="27"/>
  <c r="BG7" i="27"/>
  <c r="BU7" i="27"/>
  <c r="Z7" i="27"/>
  <c r="DP8" i="27"/>
  <c r="AO8" i="27"/>
  <c r="BV8" i="27"/>
  <c r="W7" i="27"/>
  <c r="DH8" i="27"/>
  <c r="AR7" i="27"/>
  <c r="CU8" i="27"/>
  <c r="BQ7" i="27"/>
  <c r="DU7" i="27"/>
  <c r="CH8" i="27"/>
  <c r="T8" i="27"/>
  <c r="CO7" i="27"/>
  <c r="BM8" i="27"/>
  <c r="EK7" i="27"/>
  <c r="BQ8" i="27"/>
  <c r="DW7" i="27"/>
  <c r="BL8" i="27"/>
  <c r="BC8" i="27"/>
  <c r="DM8" i="27"/>
  <c r="BM7" i="27"/>
  <c r="EJ8" i="27"/>
  <c r="EP7" i="27"/>
  <c r="CF7" i="27"/>
  <c r="BI7" i="27"/>
  <c r="CL8" i="27"/>
  <c r="AM8" i="27"/>
  <c r="BO8" i="27"/>
  <c r="CL7" i="27"/>
  <c r="B8" i="27"/>
  <c r="CZ8" i="27"/>
  <c r="D7" i="27"/>
  <c r="J8" i="27"/>
  <c r="G7" i="27"/>
  <c r="AN8" i="27"/>
  <c r="I7" i="27"/>
  <c r="AS7" i="27"/>
  <c r="DZ7" i="27"/>
  <c r="DQ8" i="27"/>
  <c r="EB8" i="27"/>
  <c r="EK8" i="27"/>
  <c r="BP7" i="27"/>
  <c r="DV7" i="27"/>
  <c r="AF7" i="27"/>
  <c r="DJ8" i="27"/>
  <c r="EM8" i="27"/>
  <c r="CI7" i="27"/>
  <c r="CX8" i="27"/>
  <c r="EC8" i="27"/>
  <c r="AL8" i="27"/>
  <c r="DH7" i="27"/>
  <c r="AI7" i="27"/>
  <c r="CA8" i="27"/>
  <c r="EN7" i="27"/>
  <c r="BT7" i="27"/>
  <c r="CD8" i="27"/>
  <c r="BK7" i="27"/>
  <c r="DL8" i="27"/>
  <c r="H7" i="27"/>
  <c r="M7" i="27"/>
  <c r="CC8" i="27"/>
  <c r="DC7" i="27"/>
  <c r="AK8" i="27"/>
  <c r="AO7" i="27"/>
  <c r="CM8" i="27"/>
  <c r="EF7" i="27"/>
  <c r="AA8" i="27"/>
  <c r="DY7" i="27"/>
  <c r="BP8" i="27"/>
  <c r="X8" i="27"/>
  <c r="DT8" i="27"/>
  <c r="DL7" i="27"/>
  <c r="F8" i="27"/>
  <c r="V7" i="27"/>
  <c r="AJ8" i="27"/>
  <c r="BN8" i="27"/>
  <c r="ED8" i="27"/>
  <c r="AW8" i="27"/>
  <c r="CK7" i="27"/>
  <c r="BR8" i="27"/>
  <c r="EE7" i="27"/>
  <c r="BG8" i="27"/>
  <c r="Y7" i="27"/>
  <c r="BF8" i="27"/>
  <c r="BU8" i="27"/>
  <c r="CP8" i="27"/>
  <c r="EM7" i="27"/>
  <c r="EG8" i="27"/>
  <c r="DN8" i="27"/>
  <c r="EO7" i="27"/>
  <c r="O8" i="27"/>
  <c r="AH8" i="27"/>
  <c r="EC7" i="27"/>
  <c r="DR8" i="27"/>
  <c r="AL7" i="27"/>
  <c r="BY8" i="27"/>
  <c r="DT7" i="27"/>
  <c r="DI8" i="27"/>
  <c r="C8" i="27"/>
  <c r="AU8" i="27"/>
  <c r="AY7" i="27"/>
  <c r="BE8" i="27"/>
  <c r="AK7" i="27"/>
  <c r="DQ7" i="27"/>
  <c r="BD8" i="27"/>
  <c r="AC8" i="27"/>
  <c r="DX8" i="27"/>
  <c r="EL8" i="27"/>
  <c r="DB7" i="27"/>
  <c r="AF8" i="27"/>
  <c r="CO8" i="27"/>
  <c r="V8" i="27"/>
  <c r="N7" i="27"/>
  <c r="R7" i="27"/>
  <c r="CY8" i="27"/>
  <c r="DE8" i="27"/>
  <c r="BT8" i="27"/>
  <c r="BC7" i="27"/>
  <c r="BA8" i="27"/>
  <c r="AE8" i="27"/>
  <c r="EH7" i="27"/>
  <c r="DZ8" i="27"/>
  <c r="CD7" i="27"/>
  <c r="BB8" i="27"/>
  <c r="CK8" i="27"/>
  <c r="CR7" i="27"/>
  <c r="CN7" i="27"/>
  <c r="DE7" i="27"/>
  <c r="E7" i="27"/>
  <c r="EI8" i="27"/>
  <c r="AP7" i="27"/>
  <c r="BH7" i="27"/>
  <c r="CI8" i="27"/>
  <c r="EP8" i="27"/>
  <c r="N8" i="27"/>
  <c r="DA7" i="27"/>
  <c r="CP7" i="27"/>
  <c r="BH8" i="27"/>
  <c r="DM7" i="27"/>
  <c r="Y8" i="27"/>
  <c r="DI7" i="27"/>
  <c r="A8" i="27"/>
  <c r="DP7" i="27"/>
  <c r="AG8" i="27"/>
  <c r="CB8" i="27"/>
  <c r="A7" i="27"/>
  <c r="AQ8" i="27"/>
  <c r="DR7" i="27"/>
  <c r="BS7" i="27"/>
  <c r="DS8" i="27"/>
  <c r="AH7" i="27"/>
  <c r="DN7" i="27"/>
  <c r="O7" i="27"/>
  <c r="AA7" i="27"/>
  <c r="DS7" i="27"/>
  <c r="DD7" i="27"/>
  <c r="CE7" i="27"/>
  <c r="CX7" i="27"/>
  <c r="AX7" i="27"/>
  <c r="CW8" i="27"/>
  <c r="L7" i="27"/>
  <c r="DB8" i="27"/>
  <c r="D8" i="27"/>
  <c r="AI8" i="27"/>
  <c r="CH7" i="27"/>
  <c r="CS8" i="27"/>
  <c r="CJ8" i="27"/>
  <c r="AV7" i="27"/>
  <c r="AD8" i="27"/>
  <c r="CJ7" i="27"/>
  <c r="BF7" i="27"/>
  <c r="AB7" i="27"/>
  <c r="ER8" i="27"/>
  <c r="AQ7" i="27"/>
  <c r="DY8" i="27"/>
  <c r="EO8" i="27"/>
  <c r="AS8" i="27"/>
  <c r="DV8" i="27"/>
  <c r="CQ7" i="27"/>
  <c r="DC8" i="27"/>
  <c r="EI7" i="27"/>
  <c r="P7" i="27"/>
  <c r="AY8" i="27"/>
  <c r="EQ7" i="27"/>
  <c r="EA7" i="27"/>
  <c r="CT8" i="27"/>
  <c r="DF7" i="27"/>
  <c r="AZ8" i="27"/>
  <c r="CN8" i="27"/>
  <c r="Q8" i="27"/>
  <c r="CA7" i="27"/>
  <c r="B2" i="28"/>
  <c r="AN7" i="27"/>
  <c r="DD8" i="27"/>
  <c r="G8" i="27"/>
  <c r="DW8" i="27"/>
  <c r="AT7" i="27"/>
  <c r="EL7" i="27"/>
  <c r="EB7" i="27"/>
  <c r="DG8" i="27"/>
  <c r="T7" i="27"/>
  <c r="X7" i="27"/>
  <c r="EN8" i="27"/>
  <c r="Z8" i="27"/>
  <c r="L8" i="27"/>
  <c r="AG7" i="27"/>
  <c r="CQ8" i="27"/>
  <c r="R8" i="27"/>
  <c r="AC7" i="27"/>
  <c r="CC7" i="27"/>
  <c r="DA8" i="27"/>
  <c r="BE7" i="27"/>
  <c r="DO7" i="27"/>
  <c r="AJ7" i="27"/>
  <c r="EQ8" i="27"/>
  <c r="BD7" i="27"/>
  <c r="BZ7" i="27"/>
  <c r="DG7" i="27"/>
  <c r="CE8" i="27"/>
  <c r="BV7" i="27"/>
  <c r="BJ8" i="27"/>
  <c r="U8" i="27"/>
  <c r="AV8" i="27"/>
  <c r="BW7" i="27"/>
  <c r="BW8" i="27"/>
  <c r="EF8" i="27"/>
  <c r="CG8" i="27"/>
  <c r="E8" i="27"/>
  <c r="CF8" i="27"/>
  <c r="J7" i="27"/>
  <c r="CB7" i="27"/>
  <c r="ER7" i="27"/>
  <c r="EA8" i="27"/>
  <c r="ED7" i="27"/>
  <c r="U7" i="27"/>
  <c r="B7" i="27" a="1"/>
  <c r="B7" i="2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<sst xmlns="http://schemas.openxmlformats.org/spreadsheetml/2006/main" count="12312" uniqueCount="1593">
  <si>
    <t>発注ID</t>
  </si>
  <si>
    <t>関数名</t>
  </si>
  <si>
    <t>発注日</t>
  </si>
  <si>
    <t>発注時刻</t>
  </si>
  <si>
    <t>注文番号</t>
  </si>
  <si>
    <t>発注結果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</si>
  <si>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</si>
  <si>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</si>
  <si>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</si>
  <si>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</si>
  <si>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</si>
  <si>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</si>
  <si>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</si>
  <si>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</si>
  <si>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</si>
  <si>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</si>
  <si>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</si>
  <si>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</si>
  <si>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</si>
  <si>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</si>
  <si>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</si>
  <si>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</si>
  <si>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</si>
  <si>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</si>
  <si>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</si>
  <si>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</si>
  <si>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</si>
  <si>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</si>
  <si>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</si>
  <si>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</si>
  <si>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</si>
  <si>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</si>
  <si>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</si>
  <si>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</si>
  <si>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>-</t>
  </si>
  <si>
    <t/>
  </si>
  <si>
    <t>特定</t>
  </si>
  <si>
    <t>東証(SOR)</t>
  </si>
  <si>
    <t>一般</t>
  </si>
  <si>
    <t>通常注文</t>
  </si>
  <si>
    <t>Market Speed</t>
  </si>
  <si>
    <t>ＮＴＴ</t>
  </si>
  <si>
    <t>買付</t>
  </si>
  <si>
    <t>現物</t>
  </si>
  <si>
    <t>取消済（出来無）</t>
  </si>
  <si>
    <t>特定</t>
    <phoneticPr fontId="1"/>
  </si>
  <si>
    <t>一般</t>
    <phoneticPr fontId="1"/>
  </si>
  <si>
    <t>-</t>
    <phoneticPr fontId="1"/>
  </si>
  <si>
    <t>東証(SOR)</t>
    <phoneticPr fontId="1"/>
  </si>
  <si>
    <t>通常注文</t>
    <phoneticPr fontId="1"/>
  </si>
  <si>
    <t>Market Speed</t>
    <phoneticPr fontId="1"/>
  </si>
  <si>
    <t>#5466</t>
  </si>
  <si>
    <t>#5466</t>
    <phoneticPr fontId="1"/>
  </si>
  <si>
    <t>執行中</t>
    <phoneticPr fontId="1"/>
  </si>
  <si>
    <t>ＮＴＴ</t>
    <phoneticPr fontId="1"/>
  </si>
  <si>
    <t>2026/07/22 13:56:52</t>
  </si>
  <si>
    <t>2026/07/22 13:56:52</t>
    <phoneticPr fontId="1"/>
  </si>
  <si>
    <t>買付</t>
    <phoneticPr fontId="1"/>
  </si>
  <si>
    <t>現物</t>
    <phoneticPr fontId="1"/>
  </si>
  <si>
    <t>今週中</t>
  </si>
  <si>
    <t>今週中</t>
    <phoneticPr fontId="1"/>
  </si>
  <si>
    <t>売気配(150.8) 買気配(150.7)</t>
  </si>
  <si>
    <t>売気配(150.8) 買気配(150.7)</t>
    <phoneticPr fontId="1"/>
  </si>
  <si>
    <t>↓</t>
    <phoneticPr fontId="1"/>
  </si>
  <si>
    <t>--------</t>
    <phoneticPr fontId="1"/>
  </si>
  <si>
    <t>国内株式 現物注文</t>
  </si>
  <si>
    <t>2026/07/22</t>
  </si>
  <si>
    <t>16:33:23</t>
  </si>
  <si>
    <t>エラー[指値は、値幅制限値以内で指定してください。]</t>
  </si>
  <si>
    <t>16:36:53</t>
  </si>
  <si>
    <t>発注済み</t>
  </si>
  <si>
    <t>#5473</t>
    <phoneticPr fontId="1"/>
  </si>
  <si>
    <t>執行待ち</t>
    <phoneticPr fontId="1"/>
  </si>
  <si>
    <t>2026/07/22 16:36:53</t>
    <phoneticPr fontId="1"/>
  </si>
  <si>
    <t>SOR対象外 (SORサービス時間外)</t>
    <phoneticPr fontId="1"/>
  </si>
  <si>
    <t>#5473</t>
  </si>
  <si>
    <t>2026/07/22 16:36:53</t>
  </si>
  <si>
    <t>SOR対象外 (SORサービス時間外)</t>
  </si>
  <si>
    <t>--------</t>
  </si>
  <si>
    <t>発注/受注日時</t>
    <phoneticPr fontId="1"/>
  </si>
  <si>
    <t>RssOrderList($A$2:$AD$2, 0, 0, "", "A", 0, 0, 0, 0, 0)</t>
    <phoneticPr fontId="1"/>
  </si>
  <si>
    <t>RssOrderIDList($A$2:$F$2)</t>
    <phoneticPr fontId="1"/>
  </si>
  <si>
    <t>銘柄コード</t>
    <phoneticPr fontId="1"/>
  </si>
  <si>
    <t>現在値</t>
    <phoneticPr fontId="1"/>
  </si>
  <si>
    <t>高値</t>
    <phoneticPr fontId="1"/>
  </si>
  <si>
    <t>Config</t>
    <phoneticPr fontId="1"/>
  </si>
  <si>
    <t>Quotes</t>
    <phoneticPr fontId="1"/>
  </si>
  <si>
    <t>価格取得</t>
    <rPh sb="0" eb="2">
      <t>カカク</t>
    </rPh>
    <rPh sb="2" eb="4">
      <t>シュトク</t>
    </rPh>
    <phoneticPr fontId="1"/>
  </si>
  <si>
    <t>Positions</t>
    <phoneticPr fontId="1"/>
  </si>
  <si>
    <t>保有ポジション</t>
    <phoneticPr fontId="1"/>
  </si>
  <si>
    <t>RssPositionList</t>
    <phoneticPr fontId="1"/>
  </si>
  <si>
    <t>Orders</t>
    <phoneticPr fontId="1"/>
  </si>
  <si>
    <t>注文要求</t>
    <phoneticPr fontId="1"/>
  </si>
  <si>
    <t>VBA OrderAllが処理</t>
    <phoneticPr fontId="1"/>
  </si>
  <si>
    <t>OrderList</t>
    <phoneticPr fontId="1"/>
  </si>
  <si>
    <t>注文状態</t>
    <phoneticPr fontId="1"/>
  </si>
  <si>
    <t>RssOrderList</t>
    <phoneticPr fontId="1"/>
  </si>
  <si>
    <t>OrderIds</t>
    <phoneticPr fontId="1"/>
  </si>
  <si>
    <t>発注ID管理</t>
    <phoneticPr fontId="1"/>
  </si>
  <si>
    <t>RssOrderIDList</t>
    <phoneticPr fontId="1"/>
  </si>
  <si>
    <t>Capacity</t>
    <phoneticPr fontId="1"/>
  </si>
  <si>
    <t>買付余力</t>
    <phoneticPr fontId="1"/>
  </si>
  <si>
    <t>https://marketspeed.jp/guide/manual/ms2rss_function.pdf</t>
    <phoneticPr fontId="1"/>
  </si>
  <si>
    <t>https://marketspeed.jp/ms2_rss/onlinehelp/ohm_002/ohm_002_03.html#RssMarketHeader</t>
    <phoneticPr fontId="1"/>
  </si>
  <si>
    <t xml:space="preserve"> オンラインヘルプ</t>
    <phoneticPr fontId="1"/>
  </si>
  <si>
    <t>https://marketspeed.jp/ms2_rss/onlinehelp/</t>
    <phoneticPr fontId="1"/>
  </si>
  <si>
    <t>注文約定</t>
    <phoneticPr fontId="1"/>
  </si>
  <si>
    <t>https://marketspeed.jp/ms2_rss/onlinehelp/ohm_002/ohm_002_05.html#RssExecutionList</t>
    <phoneticPr fontId="1"/>
  </si>
  <si>
    <t>約定日</t>
  </si>
  <si>
    <t>受渡日</t>
  </si>
  <si>
    <t>約定単価</t>
  </si>
  <si>
    <t>約定代金</t>
  </si>
  <si>
    <t>特別空売り料</t>
  </si>
  <si>
    <t>2026/08/12 09:00:48</t>
    <phoneticPr fontId="1"/>
  </si>
  <si>
    <t>三菱重工業</t>
    <phoneticPr fontId="1"/>
  </si>
  <si>
    <t>JAX</t>
    <phoneticPr fontId="1"/>
  </si>
  <si>
    <t>1日</t>
    <phoneticPr fontId="1"/>
  </si>
  <si>
    <t>信用新規</t>
    <phoneticPr fontId="1"/>
  </si>
  <si>
    <t>買建</t>
    <phoneticPr fontId="1"/>
  </si>
  <si>
    <t>2026/08/12 09:02:10</t>
    <phoneticPr fontId="1"/>
  </si>
  <si>
    <t>川崎重工業</t>
    <phoneticPr fontId="1"/>
  </si>
  <si>
    <t>2026/08/12 09:07:36</t>
    <phoneticPr fontId="1"/>
  </si>
  <si>
    <t>2026/08/12 09:13:30</t>
    <phoneticPr fontId="1"/>
  </si>
  <si>
    <t>信用返済</t>
    <phoneticPr fontId="1"/>
  </si>
  <si>
    <t>売埋</t>
    <phoneticPr fontId="1"/>
  </si>
  <si>
    <t>源徴あり</t>
    <phoneticPr fontId="1"/>
  </si>
  <si>
    <t>2026/08/12 09:15:54</t>
    <phoneticPr fontId="1"/>
  </si>
  <si>
    <t>2026/08/12 09:16:51</t>
    <phoneticPr fontId="1"/>
  </si>
  <si>
    <t>2026/08/12 09:18:10</t>
    <phoneticPr fontId="1"/>
  </si>
  <si>
    <t>2026/08/12 09:19:31</t>
    <phoneticPr fontId="1"/>
  </si>
  <si>
    <t>東証</t>
    <phoneticPr fontId="1"/>
  </si>
  <si>
    <t>2026/08/12 09:22:19</t>
    <phoneticPr fontId="1"/>
  </si>
  <si>
    <t>2026/08/12 09:22:51</t>
    <phoneticPr fontId="1"/>
  </si>
  <si>
    <t>2026/08/12 09:37:09</t>
    <phoneticPr fontId="1"/>
  </si>
  <si>
    <t>2026/08/12 09:37:49</t>
    <phoneticPr fontId="1"/>
  </si>
  <si>
    <t>2026/08/12 09:40:13</t>
    <phoneticPr fontId="1"/>
  </si>
  <si>
    <t>2026/08/12 09:40:30</t>
    <phoneticPr fontId="1"/>
  </si>
  <si>
    <t>2026/08/12 09:44:18</t>
    <phoneticPr fontId="1"/>
  </si>
  <si>
    <t>2026/08/12 09:45:24</t>
    <phoneticPr fontId="1"/>
  </si>
  <si>
    <t>ＪＸ金属</t>
    <phoneticPr fontId="1"/>
  </si>
  <si>
    <t>2026/08/12 09:47:15</t>
    <phoneticPr fontId="1"/>
  </si>
  <si>
    <t>2026/08/12 09:47:28</t>
    <phoneticPr fontId="1"/>
  </si>
  <si>
    <t>2026/08/12 09:49:57</t>
    <phoneticPr fontId="1"/>
  </si>
  <si>
    <t>2026/08/12 09:51:15</t>
    <phoneticPr fontId="1"/>
  </si>
  <si>
    <t>2026/08/12 09:53:06</t>
    <phoneticPr fontId="1"/>
  </si>
  <si>
    <t>2026/08/12 09:54:00</t>
    <phoneticPr fontId="1"/>
  </si>
  <si>
    <t>2026/08/12 09:55:35</t>
    <phoneticPr fontId="1"/>
  </si>
  <si>
    <t>2026/08/12 09:55:55</t>
    <phoneticPr fontId="1"/>
  </si>
  <si>
    <t>2026/08/12 10:15:12</t>
    <phoneticPr fontId="1"/>
  </si>
  <si>
    <t>2026/08/12 10:18:17</t>
    <phoneticPr fontId="1"/>
  </si>
  <si>
    <t>2026/08/12 10:18:47</t>
    <phoneticPr fontId="1"/>
  </si>
  <si>
    <t>2026/08/12 10:20:36</t>
    <phoneticPr fontId="1"/>
  </si>
  <si>
    <t>ＳＵＭＣＯ</t>
    <phoneticPr fontId="1"/>
  </si>
  <si>
    <t>2026/08/12 10:23:17</t>
    <phoneticPr fontId="1"/>
  </si>
  <si>
    <t>2026/08/12 10:25:23</t>
    <phoneticPr fontId="1"/>
  </si>
  <si>
    <t>2026/08/12 10:26:03</t>
    <phoneticPr fontId="1"/>
  </si>
  <si>
    <t>2026/08/12 10:26:36</t>
    <phoneticPr fontId="1"/>
  </si>
  <si>
    <t>2026/08/12 10:29:05</t>
    <phoneticPr fontId="1"/>
  </si>
  <si>
    <t>2026/08/12 10:29:20</t>
    <phoneticPr fontId="1"/>
  </si>
  <si>
    <t>2026/08/12 10:30:38</t>
    <phoneticPr fontId="1"/>
  </si>
  <si>
    <t>2026/08/12 10:33:13</t>
    <phoneticPr fontId="1"/>
  </si>
  <si>
    <t>2026/08/12 10:34:03</t>
    <phoneticPr fontId="1"/>
  </si>
  <si>
    <t>2026/08/12 10:35:32</t>
    <phoneticPr fontId="1"/>
  </si>
  <si>
    <t>2026/08/12 10:38:07</t>
    <phoneticPr fontId="1"/>
  </si>
  <si>
    <t>2026/08/12 10:39:10</t>
    <phoneticPr fontId="1"/>
  </si>
  <si>
    <t>ＱＤレーザ</t>
    <phoneticPr fontId="1"/>
  </si>
  <si>
    <t>2026/08/12 10:41:26</t>
    <phoneticPr fontId="1"/>
  </si>
  <si>
    <t>2026/08/12 10:52:05</t>
    <phoneticPr fontId="1"/>
  </si>
  <si>
    <t>2026/08/12 10:58:55</t>
    <phoneticPr fontId="1"/>
  </si>
  <si>
    <t>2026/08/12 10:59:51</t>
    <phoneticPr fontId="1"/>
  </si>
  <si>
    <t>2026/08/12 11:06:37</t>
    <phoneticPr fontId="1"/>
  </si>
  <si>
    <t>2026/08/12 11:14:20</t>
    <phoneticPr fontId="1"/>
  </si>
  <si>
    <t>サンリオ</t>
    <phoneticPr fontId="1"/>
  </si>
  <si>
    <t>2026/08/12 11:23:55</t>
    <phoneticPr fontId="1"/>
  </si>
  <si>
    <t>2026/08/12 12:42:26</t>
    <phoneticPr fontId="1"/>
  </si>
  <si>
    <t>2026/08/12 13:00:19</t>
    <phoneticPr fontId="1"/>
  </si>
  <si>
    <t>フジクラ</t>
    <phoneticPr fontId="1"/>
  </si>
  <si>
    <t>2026/08/12 13:03:18</t>
    <phoneticPr fontId="1"/>
  </si>
  <si>
    <t>2026/08/12 13:06:26</t>
    <phoneticPr fontId="1"/>
  </si>
  <si>
    <t>2026/08/12 13:08:19</t>
    <phoneticPr fontId="1"/>
  </si>
  <si>
    <t>2026/08/12 13:12:57</t>
    <phoneticPr fontId="1"/>
  </si>
  <si>
    <t>信越化学</t>
    <phoneticPr fontId="1"/>
  </si>
  <si>
    <t>2026/08/12 13:17:10</t>
    <phoneticPr fontId="1"/>
  </si>
  <si>
    <t>2026/08/12 13:19:25</t>
    <phoneticPr fontId="1"/>
  </si>
  <si>
    <t>2026/08/12 13:23:08</t>
    <phoneticPr fontId="1"/>
  </si>
  <si>
    <t>2026/08/12 13:39:20</t>
    <phoneticPr fontId="1"/>
  </si>
  <si>
    <t>JNX</t>
    <phoneticPr fontId="1"/>
  </si>
  <si>
    <t>2026/08/12 13:40:12</t>
    <phoneticPr fontId="1"/>
  </si>
  <si>
    <t>2026/08/12 13:49:04</t>
    <phoneticPr fontId="1"/>
  </si>
  <si>
    <t>2026/08/12 14:21:08</t>
    <phoneticPr fontId="1"/>
  </si>
  <si>
    <t>2026/08/12 14:22:38</t>
    <phoneticPr fontId="1"/>
  </si>
  <si>
    <t>ソフトバンクグループ</t>
    <phoneticPr fontId="1"/>
  </si>
  <si>
    <t>2026/08/12 14:41:59</t>
    <phoneticPr fontId="1"/>
  </si>
  <si>
    <t>2026/08/12 14:51:03</t>
    <phoneticPr fontId="1"/>
  </si>
  <si>
    <t>日東電工</t>
    <phoneticPr fontId="1"/>
  </si>
  <si>
    <t>2026/08/12 15:05:21</t>
    <phoneticPr fontId="1"/>
  </si>
  <si>
    <t>RssExecutionList($A$2:$O$2, 0, "", "A", 0, 0)</t>
    <phoneticPr fontId="1"/>
  </si>
  <si>
    <t>国内株式 現物注文(VBA)</t>
  </si>
  <si>
    <t>国内株式 現物注文(VBA)</t>
    <phoneticPr fontId="1"/>
  </si>
  <si>
    <t>2026/08/14</t>
  </si>
  <si>
    <t>2026/08/14</t>
    <phoneticPr fontId="1"/>
  </si>
  <si>
    <t>15:59:16</t>
    <phoneticPr fontId="1"/>
  </si>
  <si>
    <t>エラー[現在の時間帯は、東証銘柄の注文を受付していません。17:15以降に再度注文してください。]</t>
    <phoneticPr fontId="1"/>
  </si>
  <si>
    <t>16:29:16</t>
    <phoneticPr fontId="1"/>
  </si>
  <si>
    <t>エラー[現在、株式取引に関するサービスが利用できません。]</t>
    <phoneticPr fontId="1"/>
  </si>
  <si>
    <t>16:30:48</t>
    <phoneticPr fontId="1"/>
  </si>
  <si>
    <t>エラー[手数料ゼロコースでは、SORを有効にして、再度注文してください。]</t>
    <phoneticPr fontId="1"/>
  </si>
  <si>
    <t>16:56:42</t>
    <phoneticPr fontId="1"/>
  </si>
  <si>
    <t>17:06:49</t>
  </si>
  <si>
    <t>エラー[成行の場合、値幅制限上限までの買付可能額が必要です。
175,103円以内で発注可能な指値を入力してください。]</t>
  </si>
  <si>
    <t>17:11:03</t>
  </si>
  <si>
    <t>#5775</t>
    <phoneticPr fontId="1"/>
  </si>
  <si>
    <t>約定</t>
    <phoneticPr fontId="1"/>
  </si>
  <si>
    <t>2026/08/14 09:04:01</t>
    <phoneticPr fontId="1"/>
  </si>
  <si>
    <t>本日中</t>
  </si>
  <si>
    <t>本日中</t>
    <phoneticPr fontId="1"/>
  </si>
  <si>
    <t>成行</t>
  </si>
  <si>
    <t>成行</t>
    <phoneticPr fontId="1"/>
  </si>
  <si>
    <t>売気配(3,910) 買気配(3,909)</t>
    <phoneticPr fontId="1"/>
  </si>
  <si>
    <t>#5776</t>
    <phoneticPr fontId="1"/>
  </si>
  <si>
    <t>2026/08/14 09:04:52</t>
    <phoneticPr fontId="1"/>
  </si>
  <si>
    <t>売気配(5,774) 買気配(5,772)</t>
    <phoneticPr fontId="1"/>
  </si>
  <si>
    <t>#5777</t>
    <phoneticPr fontId="1"/>
  </si>
  <si>
    <t>制度</t>
    <phoneticPr fontId="1"/>
  </si>
  <si>
    <t>6ヶ月</t>
    <phoneticPr fontId="1"/>
  </si>
  <si>
    <t>2026/08/14 09:11:04</t>
    <phoneticPr fontId="1"/>
  </si>
  <si>
    <t>売気配(5,872) 買気配(5,870)</t>
    <phoneticPr fontId="1"/>
  </si>
  <si>
    <t>#5778</t>
    <phoneticPr fontId="1"/>
  </si>
  <si>
    <t>2026/08/14 09:11:31</t>
    <phoneticPr fontId="1"/>
  </si>
  <si>
    <t>2026/08/14 09:11:32</t>
    <phoneticPr fontId="1"/>
  </si>
  <si>
    <t>売気配(5,895) 買気配(5,894)</t>
    <phoneticPr fontId="1"/>
  </si>
  <si>
    <t>#5779</t>
    <phoneticPr fontId="1"/>
  </si>
  <si>
    <t>市場執行済</t>
    <phoneticPr fontId="1"/>
  </si>
  <si>
    <t>2026/08/14 09:12:26</t>
    <phoneticPr fontId="1"/>
  </si>
  <si>
    <t>売気配(5,907) 買気配(5,905)</t>
    <phoneticPr fontId="1"/>
  </si>
  <si>
    <t>#5780</t>
    <phoneticPr fontId="1"/>
  </si>
  <si>
    <t>2026/08/14 09:12:49</t>
    <phoneticPr fontId="1"/>
  </si>
  <si>
    <t>売気配(5,943) 買気配(5,942)</t>
    <phoneticPr fontId="1"/>
  </si>
  <si>
    <t>#5781</t>
    <phoneticPr fontId="1"/>
  </si>
  <si>
    <t>2026/08/14 09:14:11</t>
    <phoneticPr fontId="1"/>
  </si>
  <si>
    <t>売気配(5,961) 買気配(5,960)</t>
    <phoneticPr fontId="1"/>
  </si>
  <si>
    <t>#5782</t>
    <phoneticPr fontId="1"/>
  </si>
  <si>
    <t>2026/08/14 09:15:26</t>
    <phoneticPr fontId="1"/>
  </si>
  <si>
    <t>売気配(4,205) 買気配(4,203)</t>
    <phoneticPr fontId="1"/>
  </si>
  <si>
    <t>#5783</t>
    <phoneticPr fontId="1"/>
  </si>
  <si>
    <t>2026/08/14 09:16:38</t>
    <phoneticPr fontId="1"/>
  </si>
  <si>
    <t>売気配(4,224) 買気配(4,222)</t>
    <phoneticPr fontId="1"/>
  </si>
  <si>
    <t>#5784</t>
    <phoneticPr fontId="1"/>
  </si>
  <si>
    <t>2026/08/14 09:17:25</t>
    <phoneticPr fontId="1"/>
  </si>
  <si>
    <t>売気配(1,782) 買気配(1,779)</t>
    <phoneticPr fontId="1"/>
  </si>
  <si>
    <t>#5785</t>
    <phoneticPr fontId="1"/>
  </si>
  <si>
    <t>2026/08/14 09:20:14</t>
    <phoneticPr fontId="1"/>
  </si>
  <si>
    <t>売気配(1,792) 買気配(1,790)</t>
    <phoneticPr fontId="1"/>
  </si>
  <si>
    <t>#5786</t>
    <phoneticPr fontId="1"/>
  </si>
  <si>
    <t>2026/08/14 09:20:25</t>
    <phoneticPr fontId="1"/>
  </si>
  <si>
    <t>売気配(5,909) 買気配(5,908)</t>
    <phoneticPr fontId="1"/>
  </si>
  <si>
    <t>#5787</t>
    <phoneticPr fontId="1"/>
  </si>
  <si>
    <t>2026/08/14 09:21:00</t>
    <phoneticPr fontId="1"/>
  </si>
  <si>
    <t>売気配(5,933) 買気配(5,932)</t>
    <phoneticPr fontId="1"/>
  </si>
  <si>
    <t>#5788</t>
    <phoneticPr fontId="1"/>
  </si>
  <si>
    <t>2026/08/14 09:23:15</t>
    <phoneticPr fontId="1"/>
  </si>
  <si>
    <t>売気配(5,689) 買気配(5,688)</t>
    <phoneticPr fontId="1"/>
  </si>
  <si>
    <t>#5789</t>
    <phoneticPr fontId="1"/>
  </si>
  <si>
    <t>2026/08/14 09:28:25</t>
    <phoneticPr fontId="1"/>
  </si>
  <si>
    <t>売気配(5,714) 買気配(5,712)</t>
    <phoneticPr fontId="1"/>
  </si>
  <si>
    <t>#5790</t>
    <phoneticPr fontId="1"/>
  </si>
  <si>
    <t>2026/08/14 09:29:35</t>
    <phoneticPr fontId="1"/>
  </si>
  <si>
    <t>売気配(3,871) 買気配(3,870)</t>
    <phoneticPr fontId="1"/>
  </si>
  <si>
    <t>#5791</t>
    <phoneticPr fontId="1"/>
  </si>
  <si>
    <t>2026/08/14 09:30:54</t>
    <phoneticPr fontId="1"/>
  </si>
  <si>
    <t>#5792</t>
    <phoneticPr fontId="1"/>
  </si>
  <si>
    <t>2026/08/14 09:31:27</t>
    <phoneticPr fontId="1"/>
  </si>
  <si>
    <t>売気配(3,878) 買気配(3,877)</t>
    <phoneticPr fontId="1"/>
  </si>
  <si>
    <t>#5793</t>
    <phoneticPr fontId="1"/>
  </si>
  <si>
    <t>2026/08/14 09:41:12</t>
    <phoneticPr fontId="1"/>
  </si>
  <si>
    <t>売気配(1,816) 買気配(1,814)</t>
    <phoneticPr fontId="1"/>
  </si>
  <si>
    <t>#5794</t>
    <phoneticPr fontId="1"/>
  </si>
  <si>
    <t>2026/08/14 09:42:21</t>
    <phoneticPr fontId="1"/>
  </si>
  <si>
    <t>売気配(5,782) 買気配(5,781)</t>
    <phoneticPr fontId="1"/>
  </si>
  <si>
    <t>#5795</t>
    <phoneticPr fontId="1"/>
  </si>
  <si>
    <t>2026/08/14 09:43:34</t>
    <phoneticPr fontId="1"/>
  </si>
  <si>
    <t>売気配(1,822) 買気配(1,821)</t>
    <phoneticPr fontId="1"/>
  </si>
  <si>
    <t>#5796</t>
    <phoneticPr fontId="1"/>
  </si>
  <si>
    <t>2026/08/14 09:45:03</t>
    <phoneticPr fontId="1"/>
  </si>
  <si>
    <t>売気配(3,857) 買気配(3,855)</t>
    <phoneticPr fontId="1"/>
  </si>
  <si>
    <t>#5797</t>
    <phoneticPr fontId="1"/>
  </si>
  <si>
    <t>2026/08/14 09:47:04</t>
    <phoneticPr fontId="1"/>
  </si>
  <si>
    <t>2026/08/14 09:47:05</t>
    <phoneticPr fontId="1"/>
  </si>
  <si>
    <t>売気配(5,754) 買気配(5,753)</t>
    <phoneticPr fontId="1"/>
  </si>
  <si>
    <t>#5799</t>
    <phoneticPr fontId="1"/>
  </si>
  <si>
    <t>取消済（出来無）</t>
    <phoneticPr fontId="1"/>
  </si>
  <si>
    <t>2026/08/14 10:00:55</t>
    <phoneticPr fontId="1"/>
  </si>
  <si>
    <t>売気配(5,740) 買気配(5,739)</t>
    <phoneticPr fontId="1"/>
  </si>
  <si>
    <t>#5800</t>
    <phoneticPr fontId="1"/>
  </si>
  <si>
    <t>2026/08/14 10:02:31</t>
    <phoneticPr fontId="1"/>
  </si>
  <si>
    <t>売気配(5,713) 買気配(5,712)</t>
    <phoneticPr fontId="1"/>
  </si>
  <si>
    <t>#5801</t>
    <phoneticPr fontId="1"/>
  </si>
  <si>
    <t>2026/08/14 10:04:13</t>
    <phoneticPr fontId="1"/>
  </si>
  <si>
    <t>売気配(3,830) 買気配(3,829)</t>
    <phoneticPr fontId="1"/>
  </si>
  <si>
    <t>#5802</t>
    <phoneticPr fontId="1"/>
  </si>
  <si>
    <t>2026/08/14 10:04:24</t>
    <phoneticPr fontId="1"/>
  </si>
  <si>
    <t>売気配(5,722) 買気配(5,720)</t>
    <phoneticPr fontId="1"/>
  </si>
  <si>
    <t>#5803</t>
    <phoneticPr fontId="1"/>
  </si>
  <si>
    <t>2026/08/14 10:07:12</t>
    <phoneticPr fontId="1"/>
  </si>
  <si>
    <t>#5804</t>
    <phoneticPr fontId="1"/>
  </si>
  <si>
    <t>2026/08/14 10:08:56</t>
    <phoneticPr fontId="1"/>
  </si>
  <si>
    <t>売気配(5,764) 買気配(5,763)</t>
    <phoneticPr fontId="1"/>
  </si>
  <si>
    <t>#5805</t>
    <phoneticPr fontId="1"/>
  </si>
  <si>
    <t>2026/08/14 10:11:06</t>
    <phoneticPr fontId="1"/>
  </si>
  <si>
    <t>売気配(5,756) 買気配(5,755)</t>
    <phoneticPr fontId="1"/>
  </si>
  <si>
    <t>#5806</t>
    <phoneticPr fontId="1"/>
  </si>
  <si>
    <t>2026/08/14 10:11:44</t>
    <phoneticPr fontId="1"/>
  </si>
  <si>
    <t>2026/08/14 10:11:45</t>
    <phoneticPr fontId="1"/>
  </si>
  <si>
    <t>売気配(5,744) 買気配(5,743)</t>
    <phoneticPr fontId="1"/>
  </si>
  <si>
    <t>#5807</t>
    <phoneticPr fontId="1"/>
  </si>
  <si>
    <t>2026/08/14 10:13:23</t>
    <phoneticPr fontId="1"/>
  </si>
  <si>
    <t>売気配(5,717) 買気配(5,715)</t>
    <phoneticPr fontId="1"/>
  </si>
  <si>
    <t>#5808</t>
    <phoneticPr fontId="1"/>
  </si>
  <si>
    <t>2026/08/14 10:14:27</t>
    <phoneticPr fontId="1"/>
  </si>
  <si>
    <t>売気配(3,812) 買気配(3,810)</t>
    <phoneticPr fontId="1"/>
  </si>
  <si>
    <t>#5809</t>
    <phoneticPr fontId="1"/>
  </si>
  <si>
    <t>2026/08/14 10:15:23</t>
    <phoneticPr fontId="1"/>
  </si>
  <si>
    <t>売気配(5,700) 買気配(5,696)</t>
    <phoneticPr fontId="1"/>
  </si>
  <si>
    <t>#5810</t>
    <phoneticPr fontId="1"/>
  </si>
  <si>
    <t>2026/08/14 10:16:55</t>
    <phoneticPr fontId="1"/>
  </si>
  <si>
    <t>売気配(5,692) 買気配(5,690)</t>
    <phoneticPr fontId="1"/>
  </si>
  <si>
    <t>#5811</t>
    <phoneticPr fontId="1"/>
  </si>
  <si>
    <t>2026/08/14 10:19:32</t>
    <phoneticPr fontId="1"/>
  </si>
  <si>
    <t>売気配(3,822) 買気配(3,821)</t>
    <phoneticPr fontId="1"/>
  </si>
  <si>
    <t>#5812</t>
    <phoneticPr fontId="1"/>
  </si>
  <si>
    <t>2026/08/14 10:21:25</t>
    <phoneticPr fontId="1"/>
  </si>
  <si>
    <t>売気配(5,723) 買気配(5,721)</t>
    <phoneticPr fontId="1"/>
  </si>
  <si>
    <t>#5813</t>
    <phoneticPr fontId="1"/>
  </si>
  <si>
    <t>2026/08/14 10:21:39</t>
    <phoneticPr fontId="1"/>
  </si>
  <si>
    <t>売気配(3,840) 買気配(3,839)</t>
    <phoneticPr fontId="1"/>
  </si>
  <si>
    <t>#5814</t>
    <phoneticPr fontId="1"/>
  </si>
  <si>
    <t>2026/08/14 10:29:25</t>
    <phoneticPr fontId="1"/>
  </si>
  <si>
    <t>売気配(1,785) 買気配(1,783)</t>
    <phoneticPr fontId="1"/>
  </si>
  <si>
    <t>#5815</t>
    <phoneticPr fontId="1"/>
  </si>
  <si>
    <t>2026/08/14 10:35:54</t>
    <phoneticPr fontId="1"/>
  </si>
  <si>
    <t>売気配(5,698) 買気配(5,697)</t>
    <phoneticPr fontId="1"/>
  </si>
  <si>
    <t>#5816</t>
    <phoneticPr fontId="1"/>
  </si>
  <si>
    <t>2026/08/14 10:36:59</t>
    <phoneticPr fontId="1"/>
  </si>
  <si>
    <t>売気配(5,688) 買気配(5,687)</t>
    <phoneticPr fontId="1"/>
  </si>
  <si>
    <t>#5817</t>
    <phoneticPr fontId="1"/>
  </si>
  <si>
    <t>2026/08/14 10:43:36</t>
    <phoneticPr fontId="1"/>
  </si>
  <si>
    <t>売気配(5,707) 買気配(5,706)</t>
    <phoneticPr fontId="1"/>
  </si>
  <si>
    <t>#5818</t>
    <phoneticPr fontId="1"/>
  </si>
  <si>
    <t>2026/08/14 10:44:36</t>
    <phoneticPr fontId="1"/>
  </si>
  <si>
    <t>売気配(5,703) 買気配(5,702)</t>
    <phoneticPr fontId="1"/>
  </si>
  <si>
    <t>#5819</t>
    <phoneticPr fontId="1"/>
  </si>
  <si>
    <t>2026/08/14 11:04:45</t>
    <phoneticPr fontId="1"/>
  </si>
  <si>
    <t>売気配(1,788) 買気配(1,785)</t>
    <phoneticPr fontId="1"/>
  </si>
  <si>
    <t>#5820</t>
    <phoneticPr fontId="1"/>
  </si>
  <si>
    <t>2026/08/14 11:05:22</t>
    <phoneticPr fontId="1"/>
  </si>
  <si>
    <t>売気配(5,680) 買気配(5,679)</t>
    <phoneticPr fontId="1"/>
  </si>
  <si>
    <t>#5821</t>
    <phoneticPr fontId="1"/>
  </si>
  <si>
    <t>2026/08/14 11:05:36</t>
    <phoneticPr fontId="1"/>
  </si>
  <si>
    <t>売気配(3,929) 買気配(3,928)</t>
    <phoneticPr fontId="1"/>
  </si>
  <si>
    <t>#5822</t>
    <phoneticPr fontId="1"/>
  </si>
  <si>
    <t>2026/08/14 11:09:20</t>
    <phoneticPr fontId="1"/>
  </si>
  <si>
    <t>売気配(3,858) 買気配(3,857)</t>
    <phoneticPr fontId="1"/>
  </si>
  <si>
    <t>#5823</t>
    <phoneticPr fontId="1"/>
  </si>
  <si>
    <t>2026/08/14 11:09:53</t>
    <phoneticPr fontId="1"/>
  </si>
  <si>
    <t>#5824</t>
    <phoneticPr fontId="1"/>
  </si>
  <si>
    <t>2026/08/14 11:10:57</t>
    <phoneticPr fontId="1"/>
  </si>
  <si>
    <t>売気配(3,857) 買気配(3,856)</t>
    <phoneticPr fontId="1"/>
  </si>
  <si>
    <t>#5825</t>
    <phoneticPr fontId="1"/>
  </si>
  <si>
    <t>2026/08/14 11:13:41</t>
    <phoneticPr fontId="1"/>
  </si>
  <si>
    <t>売気配(3,943) 買気配(3,942)</t>
    <phoneticPr fontId="1"/>
  </si>
  <si>
    <t>#5826</t>
    <phoneticPr fontId="1"/>
  </si>
  <si>
    <t>2026/08/14 11:15:24</t>
    <phoneticPr fontId="1"/>
  </si>
  <si>
    <t>売気配(3,954) 買気配(3,952)</t>
    <phoneticPr fontId="1"/>
  </si>
  <si>
    <t>#5827</t>
    <phoneticPr fontId="1"/>
  </si>
  <si>
    <t>2026/08/14 11:18:59</t>
    <phoneticPr fontId="1"/>
  </si>
  <si>
    <t>売気配(3,844) 買気配(3,843)</t>
    <phoneticPr fontId="1"/>
  </si>
  <si>
    <t>#5828</t>
    <phoneticPr fontId="1"/>
  </si>
  <si>
    <t>2026/08/14 11:20:50</t>
    <phoneticPr fontId="1"/>
  </si>
  <si>
    <t>売気配(3,841) 買気配(3,840)</t>
    <phoneticPr fontId="1"/>
  </si>
  <si>
    <t>#5829</t>
    <phoneticPr fontId="1"/>
  </si>
  <si>
    <t>2026/08/14 12:31:20</t>
    <phoneticPr fontId="1"/>
  </si>
  <si>
    <t>売気配(3,982) 買気配(3,981)</t>
    <phoneticPr fontId="1"/>
  </si>
  <si>
    <t>#5830</t>
    <phoneticPr fontId="1"/>
  </si>
  <si>
    <t>2026/08/14 12:31:44</t>
    <phoneticPr fontId="1"/>
  </si>
  <si>
    <t>売気配(3,836) 買気配(3,835)</t>
    <phoneticPr fontId="1"/>
  </si>
  <si>
    <t>#5831</t>
    <phoneticPr fontId="1"/>
  </si>
  <si>
    <t>2026/08/14 12:32:14</t>
    <phoneticPr fontId="1"/>
  </si>
  <si>
    <t>売気配(3,833) 買気配(3,832)</t>
    <phoneticPr fontId="1"/>
  </si>
  <si>
    <t>#5832</t>
    <phoneticPr fontId="1"/>
  </si>
  <si>
    <t>2026/08/14 12:33:35</t>
    <phoneticPr fontId="1"/>
  </si>
  <si>
    <t>売気配(3,965) 買気配(3,963)</t>
    <phoneticPr fontId="1"/>
  </si>
  <si>
    <t>#5833</t>
    <phoneticPr fontId="1"/>
  </si>
  <si>
    <t>2026/08/14 12:35:40</t>
    <phoneticPr fontId="1"/>
  </si>
  <si>
    <t>売気配(3,832) 買気配(3,831)</t>
    <phoneticPr fontId="1"/>
  </si>
  <si>
    <t>#5834</t>
    <phoneticPr fontId="1"/>
  </si>
  <si>
    <t>2026/08/14 12:36:03</t>
    <phoneticPr fontId="1"/>
  </si>
  <si>
    <t>2026/08/14 12:36:04</t>
    <phoneticPr fontId="1"/>
  </si>
  <si>
    <t>売気配(5,653) 買気配(5,652)</t>
    <phoneticPr fontId="1"/>
  </si>
  <si>
    <t>#5835</t>
    <phoneticPr fontId="1"/>
  </si>
  <si>
    <t>2026/08/14 12:36:21</t>
    <phoneticPr fontId="1"/>
  </si>
  <si>
    <t>#5836</t>
    <phoneticPr fontId="1"/>
  </si>
  <si>
    <t>2026/08/14 12:39:25</t>
    <phoneticPr fontId="1"/>
  </si>
  <si>
    <t>売気配(3,828) 買気配(3,827)</t>
    <phoneticPr fontId="1"/>
  </si>
  <si>
    <t>#5837</t>
    <phoneticPr fontId="1"/>
  </si>
  <si>
    <t>ＩＨＩ</t>
    <phoneticPr fontId="1"/>
  </si>
  <si>
    <t>2026/08/14 12:41:54</t>
    <phoneticPr fontId="1"/>
  </si>
  <si>
    <t>2026/08/14 12:41:55</t>
    <phoneticPr fontId="1"/>
  </si>
  <si>
    <t>売気配(3,038) 買気配(3,036)</t>
    <phoneticPr fontId="1"/>
  </si>
  <si>
    <t>#5838</t>
    <phoneticPr fontId="1"/>
  </si>
  <si>
    <t>2026/08/14 12:43:03</t>
    <phoneticPr fontId="1"/>
  </si>
  <si>
    <t>売気配(3,823) 買気配(3,822)</t>
    <phoneticPr fontId="1"/>
  </si>
  <si>
    <t>#5839</t>
    <phoneticPr fontId="1"/>
  </si>
  <si>
    <t>2026/08/14 12:46:34</t>
    <phoneticPr fontId="1"/>
  </si>
  <si>
    <t>売気配(3,947) 買気配(3,946)</t>
    <phoneticPr fontId="1"/>
  </si>
  <si>
    <t>#5840</t>
    <phoneticPr fontId="1"/>
  </si>
  <si>
    <t>2026/08/14 12:47:09</t>
    <phoneticPr fontId="1"/>
  </si>
  <si>
    <t>売気配(5,655) 買気配(5,654)</t>
    <phoneticPr fontId="1"/>
  </si>
  <si>
    <t>#5841</t>
    <phoneticPr fontId="1"/>
  </si>
  <si>
    <t>2026/08/14 12:49:35</t>
    <phoneticPr fontId="1"/>
  </si>
  <si>
    <t>売気配(5,645) 買気配(5,644)</t>
    <phoneticPr fontId="1"/>
  </si>
  <si>
    <t>#5842</t>
    <phoneticPr fontId="1"/>
  </si>
  <si>
    <t>2026/08/14 12:49:48</t>
    <phoneticPr fontId="1"/>
  </si>
  <si>
    <t>#5843</t>
    <phoneticPr fontId="1"/>
  </si>
  <si>
    <t>2026/08/14 12:52:13</t>
    <phoneticPr fontId="1"/>
  </si>
  <si>
    <t>売気配(3,032) 買気配(3,031)</t>
    <phoneticPr fontId="1"/>
  </si>
  <si>
    <t>#5844</t>
    <phoneticPr fontId="1"/>
  </si>
  <si>
    <t>2026/08/14 14:51:22</t>
    <phoneticPr fontId="1"/>
  </si>
  <si>
    <t>2026/08/14 14:51:23</t>
    <phoneticPr fontId="1"/>
  </si>
  <si>
    <t>売気配(3,798) 買気配(3,797)</t>
    <phoneticPr fontId="1"/>
  </si>
  <si>
    <t>#5845</t>
    <phoneticPr fontId="1"/>
  </si>
  <si>
    <t>2026/08/14 14:54:12</t>
    <phoneticPr fontId="1"/>
  </si>
  <si>
    <t>売気配(3,802) 買気配(3,801)</t>
    <phoneticPr fontId="1"/>
  </si>
  <si>
    <t>#5846</t>
    <phoneticPr fontId="1"/>
  </si>
  <si>
    <t>2026/08/14 14:55:34</t>
    <phoneticPr fontId="1"/>
  </si>
  <si>
    <t>売気配(5,715) 買気配(5,713)</t>
    <phoneticPr fontId="1"/>
  </si>
  <si>
    <t>#5847</t>
    <phoneticPr fontId="1"/>
  </si>
  <si>
    <t>2026/08/14 15:00:08</t>
    <phoneticPr fontId="1"/>
  </si>
  <si>
    <t>売気配(5,722) 買気配(5,721)</t>
    <phoneticPr fontId="1"/>
  </si>
  <si>
    <t>#5848</t>
    <phoneticPr fontId="1"/>
  </si>
  <si>
    <t>2026/08/14 15:00:29</t>
    <phoneticPr fontId="1"/>
  </si>
  <si>
    <t>売気配(5,723) 買気配(5,722)</t>
    <phoneticPr fontId="1"/>
  </si>
  <si>
    <t>#5849</t>
    <phoneticPr fontId="1"/>
  </si>
  <si>
    <t>2026/08/14 15:03:48</t>
    <phoneticPr fontId="1"/>
  </si>
  <si>
    <t>売気配(5,706) 買気配(5,705)</t>
    <phoneticPr fontId="1"/>
  </si>
  <si>
    <t>#5850</t>
    <phoneticPr fontId="1"/>
  </si>
  <si>
    <t>2026/08/14 15:04:07</t>
    <phoneticPr fontId="1"/>
  </si>
  <si>
    <t>売気配(5,701) 買気配(5,700)</t>
    <phoneticPr fontId="1"/>
  </si>
  <si>
    <t>#5851</t>
    <phoneticPr fontId="1"/>
  </si>
  <si>
    <t>2026/08/14 15:08:59</t>
    <phoneticPr fontId="1"/>
  </si>
  <si>
    <t>売気配(1,277) 買気配(1,276.5)</t>
    <phoneticPr fontId="1"/>
  </si>
  <si>
    <t>#5852</t>
    <phoneticPr fontId="1"/>
  </si>
  <si>
    <t>2026/08/14 15:12:44</t>
    <phoneticPr fontId="1"/>
  </si>
  <si>
    <t>2026/08/14 15:12:45</t>
    <phoneticPr fontId="1"/>
  </si>
  <si>
    <t>売気配(3,803) 買気配(3,802)</t>
    <phoneticPr fontId="1"/>
  </si>
  <si>
    <t>#5853</t>
    <phoneticPr fontId="1"/>
  </si>
  <si>
    <t>2026/08/14 15:14:02</t>
    <phoneticPr fontId="1"/>
  </si>
  <si>
    <t>売気配(3,799) 買気配(3,798)</t>
    <phoneticPr fontId="1"/>
  </si>
  <si>
    <t>#5854</t>
    <phoneticPr fontId="1"/>
  </si>
  <si>
    <t>2026/08/14 17:11:03</t>
    <phoneticPr fontId="1"/>
  </si>
  <si>
    <t>17:15:56</t>
  </si>
  <si>
    <t>#5855</t>
  </si>
  <si>
    <t>#5855</t>
    <phoneticPr fontId="1"/>
  </si>
  <si>
    <t>2026/08/14 17:15:56</t>
  </si>
  <si>
    <t>2026/08/14 17:15:56</t>
    <phoneticPr fontId="1"/>
  </si>
  <si>
    <t>17:58:01</t>
  </si>
  <si>
    <t>#5856</t>
  </si>
  <si>
    <t>2026/08/14 17:58:01</t>
  </si>
  <si>
    <t>2026/08/14 09:47:06</t>
    <phoneticPr fontId="1"/>
  </si>
  <si>
    <t>2026/08/14 10:04:34</t>
    <phoneticPr fontId="1"/>
  </si>
  <si>
    <t>2026/08/14 10:46:01</t>
    <phoneticPr fontId="1"/>
  </si>
  <si>
    <t xml:space="preserve">銘柄コード </t>
  </si>
  <si>
    <t>保有数量</t>
  </si>
  <si>
    <t>発注数量</t>
  </si>
  <si>
    <t>平均取得価額</t>
  </si>
  <si>
    <t>時価</t>
  </si>
  <si>
    <t>前日比</t>
  </si>
  <si>
    <t>前日比率</t>
  </si>
  <si>
    <t>時価評価額</t>
  </si>
  <si>
    <t>評価損益額</t>
  </si>
  <si>
    <t>評価損益率</t>
  </si>
  <si>
    <t>銘柄情報等</t>
  </si>
  <si>
    <t>JAX時価</t>
  </si>
  <si>
    <t>JNX時価</t>
  </si>
  <si>
    <t>PER</t>
  </si>
  <si>
    <t>PBR</t>
  </si>
  <si>
    <t>配当利回り</t>
  </si>
  <si>
    <t>ＩＮＰＥＸ</t>
  </si>
  <si>
    <t>CA</t>
  </si>
  <si>
    <t>NISA</t>
  </si>
  <si>
    <t>三井金属</t>
  </si>
  <si>
    <t>フジクラ</t>
  </si>
  <si>
    <t>ジェイ・イー・テ</t>
  </si>
  <si>
    <t>決算</t>
  </si>
  <si>
    <t>富士通</t>
  </si>
  <si>
    <t>アドバンテスト</t>
  </si>
  <si>
    <t>レーザーテック</t>
  </si>
  <si>
    <t>村田製作所</t>
  </si>
  <si>
    <t>任　天　堂</t>
  </si>
  <si>
    <t>イオン</t>
  </si>
  <si>
    <t>285A</t>
    <phoneticPr fontId="1"/>
  </si>
  <si>
    <t>キオクシアホールディングス</t>
    <phoneticPr fontId="1"/>
  </si>
  <si>
    <t>CA</t>
    <phoneticPr fontId="1"/>
  </si>
  <si>
    <t>NISA</t>
    <phoneticPr fontId="1"/>
  </si>
  <si>
    <t>RssPositionList($A$2:$R$2, "", "A")</t>
    <phoneticPr fontId="1"/>
  </si>
  <si>
    <t>現在日付</t>
    <phoneticPr fontId="1"/>
  </si>
  <si>
    <t>現在値時刻</t>
    <phoneticPr fontId="1"/>
  </si>
  <si>
    <t>現在値ティック</t>
    <phoneticPr fontId="1"/>
  </si>
  <si>
    <t>前日比</t>
    <phoneticPr fontId="1"/>
  </si>
  <si>
    <t>前日比率</t>
    <phoneticPr fontId="1"/>
  </si>
  <si>
    <t>始値</t>
    <phoneticPr fontId="1"/>
  </si>
  <si>
    <t>安値</t>
    <phoneticPr fontId="1"/>
  </si>
  <si>
    <t>出来高</t>
    <phoneticPr fontId="1"/>
  </si>
  <si>
    <t>RssMarketDes</t>
    <phoneticPr fontId="1"/>
  </si>
  <si>
    <t>国内株式銘柄情報</t>
    <rPh sb="0" eb="2">
      <t>コクナイ</t>
    </rPh>
    <rPh sb="2" eb="4">
      <t>カブシキ</t>
    </rPh>
    <rPh sb="4" eb="6">
      <t>メイガラ</t>
    </rPh>
    <rPh sb="6" eb="8">
      <t>ジョウホウ</t>
    </rPh>
    <phoneticPr fontId="1"/>
  </si>
  <si>
    <t>指定した国内株式の銘柄情報を表示します</t>
    <rPh sb="9" eb="11">
      <t>メイガラ</t>
    </rPh>
    <rPh sb="11" eb="13">
      <t>ジョウホウ</t>
    </rPh>
    <rPh sb="14" eb="16">
      <t>ヒョウジ</t>
    </rPh>
    <phoneticPr fontId="1"/>
  </si>
  <si>
    <t>売買単位</t>
  </si>
  <si>
    <t>制限値幅下限</t>
  </si>
  <si>
    <t>制限値幅上限</t>
  </si>
  <si>
    <t>制限値幅下限</t>
    <phoneticPr fontId="1"/>
  </si>
  <si>
    <t>約定</t>
  </si>
  <si>
    <t>DEBUG</t>
  </si>
  <si>
    <t>信用新規</t>
  </si>
  <si>
    <t>1日</t>
  </si>
  <si>
    <t>信用返済</t>
  </si>
  <si>
    <t>東証</t>
  </si>
  <si>
    <t>15:30</t>
  </si>
  <si>
    <t>時刻</t>
    <phoneticPr fontId="1"/>
  </si>
  <si>
    <t>約定値</t>
    <phoneticPr fontId="1"/>
  </si>
  <si>
    <t>15:30:00</t>
  </si>
  <si>
    <t>15:24:59</t>
  </si>
  <si>
    <t>15:24:58</t>
  </si>
  <si>
    <t>15:24:56</t>
  </si>
  <si>
    <t>15:24:55</t>
  </si>
  <si>
    <t>15:24:54</t>
  </si>
  <si>
    <t>15:24:53</t>
  </si>
  <si>
    <t>15:24:52</t>
  </si>
  <si>
    <t>15:24:48</t>
  </si>
  <si>
    <t>15:24:43</t>
  </si>
  <si>
    <t>15:24:42</t>
  </si>
  <si>
    <t>15:24:39</t>
  </si>
  <si>
    <t>15:24:38</t>
  </si>
  <si>
    <t>15:24:37</t>
  </si>
  <si>
    <t>15:24:36</t>
  </si>
  <si>
    <t>15:24:35</t>
  </si>
  <si>
    <t>15:24:34</t>
  </si>
  <si>
    <t>15:24:32</t>
  </si>
  <si>
    <t>15:24:31</t>
  </si>
  <si>
    <t>15:24:30</t>
  </si>
  <si>
    <t>15:24:29</t>
  </si>
  <si>
    <t>15:24:28</t>
  </si>
  <si>
    <t>15:24:27</t>
  </si>
  <si>
    <t>15:24:26</t>
  </si>
  <si>
    <t>15:24:25</t>
  </si>
  <si>
    <t>15:24:24</t>
  </si>
  <si>
    <t>15:24:23</t>
  </si>
  <si>
    <t>15:24:17</t>
  </si>
  <si>
    <t>15:24:15</t>
  </si>
  <si>
    <t>15:24:13</t>
  </si>
  <si>
    <t>15:24:12</t>
  </si>
  <si>
    <t>15:24:10</t>
  </si>
  <si>
    <t>15:24:09</t>
  </si>
  <si>
    <t>15:24:07</t>
  </si>
  <si>
    <t>15:24:06</t>
  </si>
  <si>
    <t>15:24:05</t>
  </si>
  <si>
    <t>15:24:04</t>
  </si>
  <si>
    <t>15:24:03</t>
  </si>
  <si>
    <t>15:24:02</t>
  </si>
  <si>
    <t>15:24:01</t>
  </si>
  <si>
    <t>15:24:00</t>
  </si>
  <si>
    <t>15:23:59</t>
  </si>
  <si>
    <t>15:23:57</t>
  </si>
  <si>
    <t>15:23:55</t>
  </si>
  <si>
    <t>15:23:54</t>
  </si>
  <si>
    <t>15:23:52</t>
  </si>
  <si>
    <t>15:23:51</t>
  </si>
  <si>
    <t>15:23:50</t>
  </si>
  <si>
    <t>15:23:49</t>
  </si>
  <si>
    <t>15:23:48</t>
  </si>
  <si>
    <t>15:23:47</t>
  </si>
  <si>
    <t>15:23:45</t>
  </si>
  <si>
    <t>15:23:43</t>
  </si>
  <si>
    <t>15:23:41</t>
  </si>
  <si>
    <t>15:23:39</t>
  </si>
  <si>
    <t>15:23:38</t>
  </si>
  <si>
    <t>15:23:36</t>
  </si>
  <si>
    <t>15:23:35</t>
  </si>
  <si>
    <t>15:23:34</t>
  </si>
  <si>
    <t>15:23:33</t>
  </si>
  <si>
    <t>15:23:32</t>
  </si>
  <si>
    <t>15:23:31</t>
  </si>
  <si>
    <t>15:23:30</t>
  </si>
  <si>
    <t>15:23:29</t>
  </si>
  <si>
    <t>15:23:26</t>
  </si>
  <si>
    <t>15:23:24</t>
  </si>
  <si>
    <t>15:23:23</t>
  </si>
  <si>
    <t>15:23:22</t>
  </si>
  <si>
    <t>15:23:21</t>
  </si>
  <si>
    <t>15:23:19</t>
  </si>
  <si>
    <t>15:23:18</t>
  </si>
  <si>
    <t>15:23:17</t>
  </si>
  <si>
    <t>15:23:16</t>
  </si>
  <si>
    <t>15:23:15</t>
  </si>
  <si>
    <t>15:23:14</t>
  </si>
  <si>
    <t>15:23:12</t>
  </si>
  <si>
    <t>15:23:11</t>
  </si>
  <si>
    <t>15:23:10</t>
  </si>
  <si>
    <t>15:23:06</t>
  </si>
  <si>
    <t>15:23:04</t>
  </si>
  <si>
    <t>15:23:02</t>
  </si>
  <si>
    <t>15:23:01</t>
  </si>
  <si>
    <t>15:23:00</t>
  </si>
  <si>
    <t>15:22:59</t>
  </si>
  <si>
    <t>15:22:57</t>
  </si>
  <si>
    <t>15:22:56</t>
  </si>
  <si>
    <t>15:22:54</t>
  </si>
  <si>
    <t>15:22:53</t>
  </si>
  <si>
    <t>15:22:52</t>
  </si>
  <si>
    <t>15:22:50</t>
  </si>
  <si>
    <t>15:22:48</t>
  </si>
  <si>
    <t>15:22:47</t>
  </si>
  <si>
    <t>15:22:45</t>
  </si>
  <si>
    <t>15:22:43</t>
  </si>
  <si>
    <t>15:22:41</t>
  </si>
  <si>
    <t>15:22:40</t>
  </si>
  <si>
    <t>15:22:39</t>
  </si>
  <si>
    <t>15:22:38</t>
  </si>
  <si>
    <t>15:22:36</t>
  </si>
  <si>
    <t>15:22:35</t>
  </si>
  <si>
    <t>15:22:34</t>
  </si>
  <si>
    <t>15:22:33</t>
  </si>
  <si>
    <t>15:22:32</t>
  </si>
  <si>
    <t>15:22:31</t>
  </si>
  <si>
    <t>15:22:30</t>
  </si>
  <si>
    <t>15:22:29</t>
  </si>
  <si>
    <t>15:22:28</t>
  </si>
  <si>
    <t>15:22:26</t>
  </si>
  <si>
    <t>15:22:25</t>
  </si>
  <si>
    <t>15:22:23</t>
  </si>
  <si>
    <t>15:22:22</t>
  </si>
  <si>
    <t>15:22:19</t>
  </si>
  <si>
    <t>15:22:18</t>
  </si>
  <si>
    <t>15:22:16</t>
  </si>
  <si>
    <t>15:22:15</t>
  </si>
  <si>
    <t>15:22:13</t>
  </si>
  <si>
    <t>15:22:12</t>
  </si>
  <si>
    <t>15:22:11</t>
  </si>
  <si>
    <t>15:22:10</t>
  </si>
  <si>
    <t>15:22:08</t>
  </si>
  <si>
    <t>15:22:07</t>
  </si>
  <si>
    <t>15:22:05</t>
  </si>
  <si>
    <t>15:22:02</t>
  </si>
  <si>
    <t>15:22:00</t>
  </si>
  <si>
    <t>15:21:57</t>
  </si>
  <si>
    <t>15:21:55</t>
  </si>
  <si>
    <t>15:21:54</t>
  </si>
  <si>
    <t>15:21:51</t>
  </si>
  <si>
    <t>15:21:46</t>
  </si>
  <si>
    <t>15:21:45</t>
  </si>
  <si>
    <t>15:21:44</t>
  </si>
  <si>
    <t>15:21:43</t>
  </si>
  <si>
    <t>15:21:42</t>
  </si>
  <si>
    <t>RssTickList($A$2:$C$2, "7203.T", 300)</t>
    <phoneticPr fontId="1"/>
  </si>
  <si>
    <t>売買</t>
    <phoneticPr fontId="1"/>
  </si>
  <si>
    <t>取引</t>
    <phoneticPr fontId="1"/>
  </si>
  <si>
    <t>約定数量</t>
    <phoneticPr fontId="1"/>
  </si>
  <si>
    <t>約定単価</t>
    <phoneticPr fontId="1"/>
  </si>
  <si>
    <t>発注/受注日時</t>
  </si>
  <si>
    <t>#6410</t>
    <phoneticPr fontId="1"/>
  </si>
  <si>
    <t>2026/09/02 09:03:02</t>
    <phoneticPr fontId="1"/>
  </si>
  <si>
    <t>売気配(2,449.5) 買気配(2,448.5)</t>
    <phoneticPr fontId="1"/>
  </si>
  <si>
    <t>#6411</t>
    <phoneticPr fontId="1"/>
  </si>
  <si>
    <t>2026/09/02 09:12:22</t>
    <phoneticPr fontId="1"/>
  </si>
  <si>
    <t>売気配(2,459) 買気配(2,458.5)</t>
    <phoneticPr fontId="1"/>
  </si>
  <si>
    <t>2026/09/02 09:03:14</t>
    <phoneticPr fontId="1"/>
  </si>
  <si>
    <t>買建</t>
  </si>
  <si>
    <t>源泉あり</t>
  </si>
  <si>
    <t>2026/09/04</t>
  </si>
  <si>
    <t>↓</t>
  </si>
  <si>
    <t>現在値詳細時刻</t>
    <phoneticPr fontId="1"/>
  </si>
  <si>
    <t>売埋</t>
  </si>
  <si>
    <t>2026/09/08</t>
  </si>
  <si>
    <t>RssOrderStatus($A2)</t>
    <phoneticPr fontId="1"/>
  </si>
  <si>
    <t>発注ID</t>
    <phoneticPr fontId="1"/>
  </si>
  <si>
    <t>発注ID</t>
    <phoneticPr fontId="1"/>
  </si>
  <si>
    <t>ソフトバンクグループ</t>
  </si>
  <si>
    <t>制度</t>
  </si>
  <si>
    <t>6ヶ月</t>
  </si>
  <si>
    <t>源徴あり</t>
  </si>
  <si>
    <t>01:52:18</t>
  </si>
  <si>
    <t>エラー[売却数量が発注可能数量を超えています。]</t>
  </si>
  <si>
    <t>-</t>
    <phoneticPr fontId="1"/>
  </si>
  <si>
    <t>特定</t>
    <phoneticPr fontId="1"/>
  </si>
  <si>
    <t>東証(SOR)</t>
    <phoneticPr fontId="1"/>
  </si>
  <si>
    <t>本日中</t>
    <phoneticPr fontId="1"/>
  </si>
  <si>
    <t>成行</t>
    <phoneticPr fontId="1"/>
  </si>
  <si>
    <t>通常注文</t>
    <phoneticPr fontId="1"/>
  </si>
  <si>
    <t>Market Speed</t>
    <phoneticPr fontId="1"/>
  </si>
  <si>
    <t>SOR対象外 (SORサービス時間外)</t>
    <phoneticPr fontId="1"/>
  </si>
  <si>
    <t>フジクラ</t>
    <phoneticPr fontId="1"/>
  </si>
  <si>
    <t>売埋</t>
    <phoneticPr fontId="1"/>
  </si>
  <si>
    <t>信用返済</t>
    <phoneticPr fontId="1"/>
  </si>
  <si>
    <t>源徴あり</t>
    <phoneticPr fontId="1"/>
  </si>
  <si>
    <t>制度</t>
    <phoneticPr fontId="1"/>
  </si>
  <si>
    <t>6ヶ月</t>
    <phoneticPr fontId="1"/>
  </si>
  <si>
    <t>円谷フィールズホールディ</t>
    <phoneticPr fontId="1"/>
  </si>
  <si>
    <t>RssOrderList($A$2:$AD$2, 0, 0, "", "A", 0, 0, 0, 0, 0)</t>
    <phoneticPr fontId="1"/>
  </si>
  <si>
    <t>JAX</t>
  </si>
  <si>
    <t>#6586</t>
  </si>
  <si>
    <t>2026/09/08 14:48:58</t>
  </si>
  <si>
    <t>2026/09/08 14:48:58</t>
    <phoneticPr fontId="1"/>
  </si>
  <si>
    <t>売気配(5,163) 買気配(5,162)</t>
  </si>
  <si>
    <t>建市場</t>
  </si>
  <si>
    <t>建玉数量</t>
  </si>
  <si>
    <t>建値</t>
  </si>
  <si>
    <t>建日</t>
  </si>
  <si>
    <t>最終返済日</t>
  </si>
  <si>
    <t>保証金率</t>
  </si>
  <si>
    <t>現金保証金率</t>
  </si>
  <si>
    <t>アステリア</t>
    <phoneticPr fontId="1"/>
  </si>
  <si>
    <t>ＪＸ金属</t>
  </si>
  <si>
    <t>銘柄名称</t>
    <phoneticPr fontId="1"/>
  </si>
  <si>
    <t>#6592</t>
  </si>
  <si>
    <t>#6592</t>
    <phoneticPr fontId="1"/>
  </si>
  <si>
    <t>執行待ち</t>
    <phoneticPr fontId="1"/>
  </si>
  <si>
    <t>2026/09/08 17:50:11</t>
  </si>
  <si>
    <t>2026/09/08 17:50:11</t>
    <phoneticPr fontId="1"/>
  </si>
  <si>
    <t>口座区分</t>
    <phoneticPr fontId="1"/>
  </si>
  <si>
    <t>建市場</t>
    <phoneticPr fontId="1"/>
  </si>
  <si>
    <t>信用区分</t>
    <phoneticPr fontId="1"/>
  </si>
  <si>
    <t>弁済期限</t>
    <phoneticPr fontId="1"/>
  </si>
  <si>
    <t>建玉数量</t>
    <phoneticPr fontId="1"/>
  </si>
  <si>
    <t>発注数量</t>
    <phoneticPr fontId="1"/>
  </si>
  <si>
    <t>建値</t>
    <phoneticPr fontId="1"/>
  </si>
  <si>
    <t>建日</t>
    <phoneticPr fontId="1"/>
  </si>
  <si>
    <t>最終返済日</t>
    <phoneticPr fontId="1"/>
  </si>
  <si>
    <t>時価</t>
    <phoneticPr fontId="1"/>
  </si>
  <si>
    <t>時価評価額</t>
    <phoneticPr fontId="1"/>
  </si>
  <si>
    <t>評価損益額</t>
    <phoneticPr fontId="1"/>
  </si>
  <si>
    <t>評価損益率</t>
    <phoneticPr fontId="1"/>
  </si>
  <si>
    <t>保証金率</t>
    <phoneticPr fontId="1"/>
  </si>
  <si>
    <t>現金保証金率</t>
    <phoneticPr fontId="1"/>
  </si>
  <si>
    <t>RssOrderIDList($A$2:$F$2)</t>
    <phoneticPr fontId="1"/>
  </si>
  <si>
    <t>注文単価</t>
    <phoneticPr fontId="1"/>
  </si>
  <si>
    <t>RssExecutionList($A$2:$O$2, 0, "", "A", 0, 0)</t>
    <phoneticPr fontId="1"/>
  </si>
  <si>
    <t>2026/09/09 09:00:34</t>
    <phoneticPr fontId="1"/>
  </si>
  <si>
    <t>2026/09/09 09:02:42</t>
    <phoneticPr fontId="1"/>
  </si>
  <si>
    <t>2026/09/09 09:03:22</t>
    <phoneticPr fontId="1"/>
  </si>
  <si>
    <t>2026/09/09 09:06:42</t>
    <phoneticPr fontId="1"/>
  </si>
  <si>
    <t>2026/09/09 09:08:33</t>
    <phoneticPr fontId="1"/>
  </si>
  <si>
    <t>2026/09/09 09:09:04</t>
    <phoneticPr fontId="1"/>
  </si>
  <si>
    <t>2026/09/09 09:09:16</t>
    <phoneticPr fontId="1"/>
  </si>
  <si>
    <t>2026/09/09 09:09:32</t>
    <phoneticPr fontId="1"/>
  </si>
  <si>
    <t>古河電工</t>
    <phoneticPr fontId="1"/>
  </si>
  <si>
    <t>2026/09/09 09:11:32</t>
    <phoneticPr fontId="1"/>
  </si>
  <si>
    <t>2026/09/09 09:12:39</t>
    <phoneticPr fontId="1"/>
  </si>
  <si>
    <t>2026/09/09 09:17:32</t>
    <phoneticPr fontId="1"/>
  </si>
  <si>
    <t>2026/09/09 09:18:14</t>
    <phoneticPr fontId="1"/>
  </si>
  <si>
    <t>2026/09/09 09:18:55</t>
    <phoneticPr fontId="1"/>
  </si>
  <si>
    <t>2026/09/09 09:20:31</t>
    <phoneticPr fontId="1"/>
  </si>
  <si>
    <t>2026/09/09 09:20:32</t>
    <phoneticPr fontId="1"/>
  </si>
  <si>
    <t>2026/09/09 09:23:18</t>
    <phoneticPr fontId="1"/>
  </si>
  <si>
    <t>2026/09/09 09:25:44</t>
    <phoneticPr fontId="1"/>
  </si>
  <si>
    <t>2026/09/09 09:26:29</t>
    <phoneticPr fontId="1"/>
  </si>
  <si>
    <t>2026/09/09 09:27:47</t>
    <phoneticPr fontId="1"/>
  </si>
  <si>
    <t>2026/09/09 09:28:59</t>
    <phoneticPr fontId="1"/>
  </si>
  <si>
    <t>2026/09/09 09:29:46</t>
    <phoneticPr fontId="1"/>
  </si>
  <si>
    <t>任天堂</t>
    <phoneticPr fontId="1"/>
  </si>
  <si>
    <t>2026/09/09 09:32:16</t>
    <phoneticPr fontId="1"/>
  </si>
  <si>
    <t>2026/09/09 09:32:36</t>
    <phoneticPr fontId="1"/>
  </si>
  <si>
    <t>2026/09/09 09:34:16</t>
    <phoneticPr fontId="1"/>
  </si>
  <si>
    <t>2026/09/09 09:36:03</t>
    <phoneticPr fontId="1"/>
  </si>
  <si>
    <t>2026/09/09 09:37:38</t>
    <phoneticPr fontId="1"/>
  </si>
  <si>
    <t>2026/09/09 09:40:09</t>
    <phoneticPr fontId="1"/>
  </si>
  <si>
    <t>2026/09/09 09:41:08</t>
    <phoneticPr fontId="1"/>
  </si>
  <si>
    <t>2026/09/09 09:41:48</t>
    <phoneticPr fontId="1"/>
  </si>
  <si>
    <t>2026/09/09 09:44:34</t>
    <phoneticPr fontId="1"/>
  </si>
  <si>
    <t>第一稀元素化学工</t>
    <phoneticPr fontId="1"/>
  </si>
  <si>
    <t>2026/09/09 09:44:56</t>
    <phoneticPr fontId="1"/>
  </si>
  <si>
    <t>2026/09/09 09:46:01</t>
    <phoneticPr fontId="1"/>
  </si>
  <si>
    <t>2026/09/09 09:46:20</t>
    <phoneticPr fontId="1"/>
  </si>
  <si>
    <t>2026/09/09 09:47:12</t>
    <phoneticPr fontId="1"/>
  </si>
  <si>
    <t>2026/09/09 09:47:34</t>
    <phoneticPr fontId="1"/>
  </si>
  <si>
    <t>2026/09/09 09:48:04</t>
    <phoneticPr fontId="1"/>
  </si>
  <si>
    <t>2026/09/09 09:50:03</t>
    <phoneticPr fontId="1"/>
  </si>
  <si>
    <t>2026/09/09 09:51:40</t>
    <phoneticPr fontId="1"/>
  </si>
  <si>
    <t>2026/09/09 09:56:03</t>
    <phoneticPr fontId="1"/>
  </si>
  <si>
    <t>村田製作所</t>
    <phoneticPr fontId="1"/>
  </si>
  <si>
    <t>2026/09/09 09:56:43</t>
    <phoneticPr fontId="1"/>
  </si>
  <si>
    <t>2026/09/09 10:01:09</t>
    <phoneticPr fontId="1"/>
  </si>
  <si>
    <t>2026/09/09 10:14:25</t>
    <phoneticPr fontId="1"/>
  </si>
  <si>
    <t>2026/09/09 10:15:42</t>
    <phoneticPr fontId="1"/>
  </si>
  <si>
    <t>2026/09/09 10:16:41</t>
    <phoneticPr fontId="1"/>
  </si>
  <si>
    <t>2026/09/09 10:16:48</t>
    <phoneticPr fontId="1"/>
  </si>
  <si>
    <t>2026/09/09 10:17:46</t>
    <phoneticPr fontId="1"/>
  </si>
  <si>
    <t>2026/09/09 10:18:34</t>
    <phoneticPr fontId="1"/>
  </si>
  <si>
    <t>2026/09/09 10:19:23</t>
    <phoneticPr fontId="1"/>
  </si>
  <si>
    <t>2026/09/09 10:22:47</t>
    <phoneticPr fontId="1"/>
  </si>
  <si>
    <t>2026/09/09 10:24:27</t>
    <phoneticPr fontId="1"/>
  </si>
  <si>
    <t>明治ホールディングス</t>
    <phoneticPr fontId="1"/>
  </si>
  <si>
    <t>2026/09/09 10:24:50</t>
    <phoneticPr fontId="1"/>
  </si>
  <si>
    <t>2026/09/09 10:25:23</t>
    <phoneticPr fontId="1"/>
  </si>
  <si>
    <t>2026/09/09 10:26:56</t>
    <phoneticPr fontId="1"/>
  </si>
  <si>
    <t>2026/09/09 10:32:37</t>
    <phoneticPr fontId="1"/>
  </si>
  <si>
    <t>2026/09/09 10:33:35</t>
    <phoneticPr fontId="1"/>
  </si>
  <si>
    <t>2026/09/09 10:34:04</t>
    <phoneticPr fontId="1"/>
  </si>
  <si>
    <t>2026/09/09 10:34:46</t>
    <phoneticPr fontId="1"/>
  </si>
  <si>
    <t>2026/09/09 10:35:03</t>
    <phoneticPr fontId="1"/>
  </si>
  <si>
    <t>2026/09/09 10:35:15</t>
    <phoneticPr fontId="1"/>
  </si>
  <si>
    <t>2026/09/09 10:40:08</t>
    <phoneticPr fontId="1"/>
  </si>
  <si>
    <t>2026/09/09 10:42:03</t>
    <phoneticPr fontId="1"/>
  </si>
  <si>
    <t>2026/09/09 10:43:02</t>
    <phoneticPr fontId="1"/>
  </si>
  <si>
    <t>2026/09/09 10:44:40</t>
    <phoneticPr fontId="1"/>
  </si>
  <si>
    <t>2026/09/09 10:44:58</t>
    <phoneticPr fontId="1"/>
  </si>
  <si>
    <t>2026/09/09 10:45:12</t>
    <phoneticPr fontId="1"/>
  </si>
  <si>
    <t>2026/09/09 11:01:32</t>
    <phoneticPr fontId="1"/>
  </si>
  <si>
    <t>2026/09/09 11:01:58</t>
    <phoneticPr fontId="1"/>
  </si>
  <si>
    <t>2026/09/09 11:03:17</t>
    <phoneticPr fontId="1"/>
  </si>
  <si>
    <t>2026/09/09 11:07:51</t>
    <phoneticPr fontId="1"/>
  </si>
  <si>
    <t>2026/09/09 11:07:57</t>
    <phoneticPr fontId="1"/>
  </si>
  <si>
    <t>2026/09/09 11:10:15</t>
    <phoneticPr fontId="1"/>
  </si>
  <si>
    <t>2026/09/09 11:15:47</t>
    <phoneticPr fontId="1"/>
  </si>
  <si>
    <t>2026/09/09 11:18:52</t>
    <phoneticPr fontId="1"/>
  </si>
  <si>
    <t>2026/09/09 11:20:44</t>
    <phoneticPr fontId="1"/>
  </si>
  <si>
    <t>2026/09/09 11:23:51</t>
    <phoneticPr fontId="1"/>
  </si>
  <si>
    <t>2026/09/09 11:26:36</t>
    <phoneticPr fontId="1"/>
  </si>
  <si>
    <t>2026/09/09 11:28:27</t>
    <phoneticPr fontId="1"/>
  </si>
  <si>
    <t>2026/09/09 12:32:36</t>
    <phoneticPr fontId="1"/>
  </si>
  <si>
    <t>一般</t>
    <phoneticPr fontId="1"/>
  </si>
  <si>
    <t>2026/09/09 12:35:53</t>
    <phoneticPr fontId="1"/>
  </si>
  <si>
    <t>141A</t>
    <phoneticPr fontId="1"/>
  </si>
  <si>
    <t>トライアルホールディングス</t>
    <phoneticPr fontId="1"/>
  </si>
  <si>
    <t>2026/09/09 12:55:24</t>
    <phoneticPr fontId="1"/>
  </si>
  <si>
    <t>2026/09/09 13:02:40</t>
    <phoneticPr fontId="1"/>
  </si>
  <si>
    <t>2026/09/09 13:06:18</t>
    <phoneticPr fontId="1"/>
  </si>
  <si>
    <t>2026/09/09 13:17:30</t>
    <phoneticPr fontId="1"/>
  </si>
  <si>
    <t>2026/09/09 13:18:13</t>
    <phoneticPr fontId="1"/>
  </si>
  <si>
    <t>2026/09/09 13:20:00</t>
    <phoneticPr fontId="1"/>
  </si>
  <si>
    <t>2026/09/09 13:22:35</t>
    <phoneticPr fontId="1"/>
  </si>
  <si>
    <t>2026/09/09 13:25:27</t>
    <phoneticPr fontId="1"/>
  </si>
  <si>
    <t>2026/09/09 13:29:58</t>
    <phoneticPr fontId="1"/>
  </si>
  <si>
    <t>2026/09/09 13:32:17</t>
    <phoneticPr fontId="1"/>
  </si>
  <si>
    <t>2026/09/09 13:32:45</t>
    <phoneticPr fontId="1"/>
  </si>
  <si>
    <t>2026/09/09 13:34:09</t>
    <phoneticPr fontId="1"/>
  </si>
  <si>
    <t>2026/09/09 13:37:46</t>
    <phoneticPr fontId="1"/>
  </si>
  <si>
    <t>ＩＮＰＥＸ</t>
    <phoneticPr fontId="1"/>
  </si>
  <si>
    <t>2026/09/09 13:38:13</t>
    <phoneticPr fontId="1"/>
  </si>
  <si>
    <t>2026/09/09 13:39:24</t>
    <phoneticPr fontId="1"/>
  </si>
  <si>
    <t>2026/09/09 14:02:09</t>
    <phoneticPr fontId="1"/>
  </si>
  <si>
    <t>2026/09/09 14:02:51</t>
    <phoneticPr fontId="1"/>
  </si>
  <si>
    <t>2026/09/09 14:03:20</t>
    <phoneticPr fontId="1"/>
  </si>
  <si>
    <t>2026/09/09 14:05:58</t>
    <phoneticPr fontId="1"/>
  </si>
  <si>
    <t>2026/09/09 14:07:05</t>
    <phoneticPr fontId="1"/>
  </si>
  <si>
    <t>2026/09/09 14:07:28</t>
    <phoneticPr fontId="1"/>
  </si>
  <si>
    <t>2026/09/09 14:16:26</t>
    <phoneticPr fontId="1"/>
  </si>
  <si>
    <t>2026/09/09 14:17:54</t>
    <phoneticPr fontId="1"/>
  </si>
  <si>
    <t>2026/09/09 14:18:34</t>
    <phoneticPr fontId="1"/>
  </si>
  <si>
    <t>2026/09/09 14:20:24</t>
    <phoneticPr fontId="1"/>
  </si>
  <si>
    <t>2026/09/09 14:23:05</t>
    <phoneticPr fontId="1"/>
  </si>
  <si>
    <t>2026/09/09 14:26:43</t>
    <phoneticPr fontId="1"/>
  </si>
  <si>
    <t>2026/09/09 14:26:57</t>
    <phoneticPr fontId="1"/>
  </si>
  <si>
    <t>2026/09/09 14:27:28</t>
    <phoneticPr fontId="1"/>
  </si>
  <si>
    <t>2026/09/09 14:29:07</t>
    <phoneticPr fontId="1"/>
  </si>
  <si>
    <t>2026/09/09 14:30:14</t>
    <phoneticPr fontId="1"/>
  </si>
  <si>
    <t>2026/09/09 14:36:15</t>
    <phoneticPr fontId="1"/>
  </si>
  <si>
    <t>2026/09/09 14:38:47</t>
    <phoneticPr fontId="1"/>
  </si>
  <si>
    <t>2026/09/09 14:44:01</t>
    <phoneticPr fontId="1"/>
  </si>
  <si>
    <t>2026/09/09 14:47:02</t>
    <phoneticPr fontId="1"/>
  </si>
  <si>
    <t>2026/09/09 14:49:53</t>
    <phoneticPr fontId="1"/>
  </si>
  <si>
    <t>2026/09/09 14:50:23</t>
    <phoneticPr fontId="1"/>
  </si>
  <si>
    <t>2026/09/09 14:51:32</t>
    <phoneticPr fontId="1"/>
  </si>
  <si>
    <t>2026/09/09 14:54:32</t>
    <phoneticPr fontId="1"/>
  </si>
  <si>
    <t>2026/09/09 14:57:43</t>
    <phoneticPr fontId="1"/>
  </si>
  <si>
    <t>2026/09/09 14:58:28</t>
    <phoneticPr fontId="1"/>
  </si>
  <si>
    <t>2026/09/09 14:59:58</t>
    <phoneticPr fontId="1"/>
  </si>
  <si>
    <t>2026/09/09 15:01:28</t>
    <phoneticPr fontId="1"/>
  </si>
  <si>
    <t>2026/09/09 15:03:35</t>
    <phoneticPr fontId="1"/>
  </si>
  <si>
    <t>2026/09/09 15:04:38</t>
    <phoneticPr fontId="1"/>
  </si>
  <si>
    <t>2026/09/09 15:15:22</t>
    <phoneticPr fontId="1"/>
  </si>
  <si>
    <t>2026/09/09 15:30:00</t>
    <phoneticPr fontId="1"/>
  </si>
  <si>
    <t>RssExecutionList($A$2:$O$2, 0, "", "A", 0, 0)</t>
    <phoneticPr fontId="1"/>
  </si>
  <si>
    <t>RssMarginPositionList($A$2:$T$2,"","A",0,0,0)</t>
    <phoneticPr fontId="1"/>
  </si>
  <si>
    <t>RssMarketDes(C1:E1, B2)</t>
    <phoneticPr fontId="1"/>
  </si>
  <si>
    <t>RssMarketDes(C4:E4, B5)</t>
    <phoneticPr fontId="1"/>
  </si>
  <si>
    <t>RssMarketDes(C7:E7, B8)</t>
    <phoneticPr fontId="1"/>
  </si>
  <si>
    <t>RssMarketDes(C10:E10, B11)</t>
    <phoneticPr fontId="1"/>
  </si>
  <si>
    <t>RssMarginPositionList($A$2:$T$2,"","A",0,0,0)</t>
    <phoneticPr fontId="1"/>
  </si>
  <si>
    <t>#6593</t>
    <phoneticPr fontId="1"/>
  </si>
  <si>
    <t>売気配(1,968) 買気配(1,961)</t>
    <phoneticPr fontId="1"/>
  </si>
  <si>
    <t>#6594</t>
    <phoneticPr fontId="1"/>
  </si>
  <si>
    <t>売気配(1,975) 買気配(1,973)</t>
    <phoneticPr fontId="1"/>
  </si>
  <si>
    <t>#6595</t>
    <phoneticPr fontId="1"/>
  </si>
  <si>
    <t>売気配(1,988) 買気配(1,986)</t>
    <phoneticPr fontId="1"/>
  </si>
  <si>
    <t>#6596</t>
    <phoneticPr fontId="1"/>
  </si>
  <si>
    <t>売気配(5,440) 買気配(5,436)</t>
    <phoneticPr fontId="1"/>
  </si>
  <si>
    <t>#6597</t>
    <phoneticPr fontId="1"/>
  </si>
  <si>
    <t>売気配(3,158) 買気配(3,157)</t>
    <phoneticPr fontId="1"/>
  </si>
  <si>
    <t>#6598</t>
    <phoneticPr fontId="1"/>
  </si>
  <si>
    <t>2026/09/09 09:09:03</t>
    <phoneticPr fontId="1"/>
  </si>
  <si>
    <t>売気配(1,949) 買気配(1,946)</t>
    <phoneticPr fontId="1"/>
  </si>
  <si>
    <t>#6599</t>
    <phoneticPr fontId="1"/>
  </si>
  <si>
    <t>売気配(1,951) 買気配(1,949)</t>
    <phoneticPr fontId="1"/>
  </si>
  <si>
    <t>#6600</t>
    <phoneticPr fontId="1"/>
  </si>
  <si>
    <t>売気配(3,980) 買気配(3,977)</t>
    <phoneticPr fontId="1"/>
  </si>
  <si>
    <t>#6601</t>
    <phoneticPr fontId="1"/>
  </si>
  <si>
    <t>売気配(4,017) 買気配(4,015)</t>
    <phoneticPr fontId="1"/>
  </si>
  <si>
    <t>#6602</t>
    <phoneticPr fontId="1"/>
  </si>
  <si>
    <t>売気配(3,145) 買気配(3,143)</t>
    <phoneticPr fontId="1"/>
  </si>
  <si>
    <t>#6603</t>
    <phoneticPr fontId="1"/>
  </si>
  <si>
    <t>売気配(1,907) 買気配(1,904)</t>
    <phoneticPr fontId="1"/>
  </si>
  <si>
    <t>#6604</t>
    <phoneticPr fontId="1"/>
  </si>
  <si>
    <t>売気配(3,160) 買気配(3,159)</t>
    <phoneticPr fontId="1"/>
  </si>
  <si>
    <t>#6605</t>
    <phoneticPr fontId="1"/>
  </si>
  <si>
    <t>売気配(1,929) 買気配(1,928)</t>
    <phoneticPr fontId="1"/>
  </si>
  <si>
    <t>#6606</t>
    <phoneticPr fontId="1"/>
  </si>
  <si>
    <t>売気配(3,172) 買気配(3,170)</t>
    <phoneticPr fontId="1"/>
  </si>
  <si>
    <t>#6607</t>
    <phoneticPr fontId="1"/>
  </si>
  <si>
    <t>売気配(1,937) 買気配(1,935)</t>
    <phoneticPr fontId="1"/>
  </si>
  <si>
    <t>#6608</t>
    <phoneticPr fontId="1"/>
  </si>
  <si>
    <t>2026/09/09 09:23:17</t>
    <phoneticPr fontId="1"/>
  </si>
  <si>
    <t>売気配(1,944) 買気配(1,942)</t>
    <phoneticPr fontId="1"/>
  </si>
  <si>
    <t>#6609</t>
    <phoneticPr fontId="1"/>
  </si>
  <si>
    <t>売気配(1,947) 買気配(1,945)</t>
    <phoneticPr fontId="1"/>
  </si>
  <si>
    <t>#6610</t>
    <phoneticPr fontId="1"/>
  </si>
  <si>
    <t>2026/09/09 09:26:28</t>
    <phoneticPr fontId="1"/>
  </si>
  <si>
    <t>売気配(1,107) 買気配(1,104)</t>
    <phoneticPr fontId="1"/>
  </si>
  <si>
    <t>#6611</t>
    <phoneticPr fontId="1"/>
  </si>
  <si>
    <t>売気配(3,156) 買気配(3,155)</t>
    <phoneticPr fontId="1"/>
  </si>
  <si>
    <t>#6612</t>
    <phoneticPr fontId="1"/>
  </si>
  <si>
    <t>売気配(3,145) 買気配(3,144)</t>
    <phoneticPr fontId="1"/>
  </si>
  <si>
    <t>#6613</t>
    <phoneticPr fontId="1"/>
  </si>
  <si>
    <t>売気配(8,608) 買気配(8,605)</t>
    <phoneticPr fontId="1"/>
  </si>
  <si>
    <t>#6614</t>
    <phoneticPr fontId="1"/>
  </si>
  <si>
    <t>2026/09/09 09:31:24</t>
    <phoneticPr fontId="1"/>
  </si>
  <si>
    <t>売気配(1,109) 買気配(1,107)</t>
    <phoneticPr fontId="1"/>
  </si>
  <si>
    <t>#6615</t>
    <phoneticPr fontId="1"/>
  </si>
  <si>
    <t>2026/09/09 09:32:15</t>
    <phoneticPr fontId="1"/>
  </si>
  <si>
    <t>売気配(2,512) 買気配(2,509)</t>
    <phoneticPr fontId="1"/>
  </si>
  <si>
    <t>#6616</t>
    <phoneticPr fontId="1"/>
  </si>
  <si>
    <t>売気配(8,634) 買気配(8,631)</t>
    <phoneticPr fontId="1"/>
  </si>
  <si>
    <t>#6617</t>
    <phoneticPr fontId="1"/>
  </si>
  <si>
    <t>売気配(2,514) 買気配(2,511)</t>
    <phoneticPr fontId="1"/>
  </si>
  <si>
    <t>#6618</t>
    <phoneticPr fontId="1"/>
  </si>
  <si>
    <t>売気配(3,114) 買気配(3,112)</t>
    <phoneticPr fontId="1"/>
  </si>
  <si>
    <t>#6619</t>
    <phoneticPr fontId="1"/>
  </si>
  <si>
    <t>売気配(3,124) 買気配(3,123)</t>
    <phoneticPr fontId="1"/>
  </si>
  <si>
    <t>#6620</t>
    <phoneticPr fontId="1"/>
  </si>
  <si>
    <t>売気配(3,116) 買気配(3,114)</t>
    <phoneticPr fontId="1"/>
  </si>
  <si>
    <t>#6621</t>
    <phoneticPr fontId="1"/>
  </si>
  <si>
    <t>売気配(3,131) 買気配(3,130)</t>
    <phoneticPr fontId="1"/>
  </si>
  <si>
    <t>#6622</t>
    <phoneticPr fontId="1"/>
  </si>
  <si>
    <t>2026/09/09 09:44:33</t>
    <phoneticPr fontId="1"/>
  </si>
  <si>
    <t>売気配(2,551) 買気配(2,547)</t>
    <phoneticPr fontId="1"/>
  </si>
  <si>
    <t>#6623</t>
    <phoneticPr fontId="1"/>
  </si>
  <si>
    <t>売気配(1,952) 買気配(1,950)</t>
    <phoneticPr fontId="1"/>
  </si>
  <si>
    <t>#6624</t>
    <phoneticPr fontId="1"/>
  </si>
  <si>
    <t>売気配(3,139) 買気配(3,137)</t>
    <phoneticPr fontId="1"/>
  </si>
  <si>
    <t>#6625</t>
    <phoneticPr fontId="1"/>
  </si>
  <si>
    <t>売気配(3,146) 買気配(3,144)</t>
    <phoneticPr fontId="1"/>
  </si>
  <si>
    <t>#6626</t>
    <phoneticPr fontId="1"/>
  </si>
  <si>
    <t>売気配(2,565) 買気配(2,560)</t>
    <phoneticPr fontId="1"/>
  </si>
  <si>
    <t>#6627</t>
    <phoneticPr fontId="1"/>
  </si>
  <si>
    <t>売気配(1,958) 買気配(1,956)</t>
    <phoneticPr fontId="1"/>
  </si>
  <si>
    <t>#6628</t>
    <phoneticPr fontId="1"/>
  </si>
  <si>
    <t>売気配(1,963) 買気配(1,962)</t>
    <phoneticPr fontId="1"/>
  </si>
  <si>
    <t>#6629</t>
    <phoneticPr fontId="1"/>
  </si>
  <si>
    <t>売気配(3,133) 買気配(3,132)</t>
    <phoneticPr fontId="1"/>
  </si>
  <si>
    <t>#6630</t>
    <phoneticPr fontId="1"/>
  </si>
  <si>
    <t>売気配(3,149) 買気配(3,147)</t>
    <phoneticPr fontId="1"/>
  </si>
  <si>
    <t>#6632</t>
    <phoneticPr fontId="1"/>
  </si>
  <si>
    <t>売気配(7,154) 買気配(7,153)</t>
    <phoneticPr fontId="1"/>
  </si>
  <si>
    <t>#6631</t>
    <phoneticPr fontId="1"/>
  </si>
  <si>
    <t>売気配(3,150) 買気配(3,149)</t>
    <phoneticPr fontId="1"/>
  </si>
  <si>
    <t>#6633</t>
    <phoneticPr fontId="1"/>
  </si>
  <si>
    <t>#6635</t>
    <phoneticPr fontId="1"/>
  </si>
  <si>
    <t>売気配(1,971) 買気配(1,968)</t>
    <phoneticPr fontId="1"/>
  </si>
  <si>
    <t>#6634</t>
    <phoneticPr fontId="1"/>
  </si>
  <si>
    <t>売気配(3,151) 買気配(3,149)</t>
    <phoneticPr fontId="1"/>
  </si>
  <si>
    <t>#6636</t>
    <phoneticPr fontId="1"/>
  </si>
  <si>
    <t>売気配(1,978) 買気配(1,977)</t>
    <phoneticPr fontId="1"/>
  </si>
  <si>
    <t>#6637</t>
    <phoneticPr fontId="1"/>
  </si>
  <si>
    <t>2026/09/09 10:16:47</t>
    <phoneticPr fontId="1"/>
  </si>
  <si>
    <t>#6638</t>
    <phoneticPr fontId="1"/>
  </si>
  <si>
    <t>売気配(7,146) 買気配(7,144)</t>
    <phoneticPr fontId="1"/>
  </si>
  <si>
    <t>#6639</t>
    <phoneticPr fontId="1"/>
  </si>
  <si>
    <t>売気配(7,127) 買気配(7,125)</t>
    <phoneticPr fontId="1"/>
  </si>
  <si>
    <t>#6640</t>
    <phoneticPr fontId="1"/>
  </si>
  <si>
    <t>売気配(7,124) 買気配(7,123)</t>
    <phoneticPr fontId="1"/>
  </si>
  <si>
    <t>#6641</t>
    <phoneticPr fontId="1"/>
  </si>
  <si>
    <t>売気配(3,141) 買気配(3,140)</t>
    <phoneticPr fontId="1"/>
  </si>
  <si>
    <t>#6642</t>
    <phoneticPr fontId="1"/>
  </si>
  <si>
    <t>売気配(4,355) 買気配(4,352)</t>
    <phoneticPr fontId="1"/>
  </si>
  <si>
    <t>#6643</t>
    <phoneticPr fontId="1"/>
  </si>
  <si>
    <t>売気配(3,146) 買気配(3,145)</t>
    <phoneticPr fontId="1"/>
  </si>
  <si>
    <t>#6644</t>
    <phoneticPr fontId="1"/>
  </si>
  <si>
    <t>2026/09/09 10:25:22</t>
    <phoneticPr fontId="1"/>
  </si>
  <si>
    <t>売気配(7,132) 買気配(7,131)</t>
    <phoneticPr fontId="1"/>
  </si>
  <si>
    <t>#6645</t>
    <phoneticPr fontId="1"/>
  </si>
  <si>
    <t>2026/09/09 10:26:55</t>
    <phoneticPr fontId="1"/>
  </si>
  <si>
    <t>売気配(7,142) 買気配(7,140)</t>
    <phoneticPr fontId="1"/>
  </si>
  <si>
    <t>#6646</t>
    <phoneticPr fontId="1"/>
  </si>
  <si>
    <t>売気配(7,130) 買気配(7,128)</t>
    <phoneticPr fontId="1"/>
  </si>
  <si>
    <t>#6647</t>
    <phoneticPr fontId="1"/>
  </si>
  <si>
    <t>売気配(3,137) 買気配(3,136)</t>
    <phoneticPr fontId="1"/>
  </si>
  <si>
    <t>#6648</t>
    <phoneticPr fontId="1"/>
  </si>
  <si>
    <t>売気配(1,974) 買気配(1,972)</t>
    <phoneticPr fontId="1"/>
  </si>
  <si>
    <t>#6649</t>
    <phoneticPr fontId="1"/>
  </si>
  <si>
    <t>売気配(3,157) 買気配(3,156)</t>
    <phoneticPr fontId="1"/>
  </si>
  <si>
    <t>#6650</t>
    <phoneticPr fontId="1"/>
  </si>
  <si>
    <t>売気配(7,138) 買気配(7,136)</t>
    <phoneticPr fontId="1"/>
  </si>
  <si>
    <t>#6651</t>
    <phoneticPr fontId="1"/>
  </si>
  <si>
    <t>売気配(1,982) 買気配(1,980)</t>
    <phoneticPr fontId="1"/>
  </si>
  <si>
    <t>#6652</t>
    <phoneticPr fontId="1"/>
  </si>
  <si>
    <t>売気配(4,341) 買気配(4,339)</t>
    <phoneticPr fontId="1"/>
  </si>
  <si>
    <t>#6653</t>
    <phoneticPr fontId="1"/>
  </si>
  <si>
    <t>売気配(7,136) 買気配(7,135)</t>
    <phoneticPr fontId="1"/>
  </si>
  <si>
    <t>#6654</t>
    <phoneticPr fontId="1"/>
  </si>
  <si>
    <t>2026/09/09 10:43:01</t>
    <phoneticPr fontId="1"/>
  </si>
  <si>
    <t>#6655</t>
    <phoneticPr fontId="1"/>
  </si>
  <si>
    <t>2026/09/09 10:44:39</t>
    <phoneticPr fontId="1"/>
  </si>
  <si>
    <t>売気配(3,143) 買気配(3,141)</t>
    <phoneticPr fontId="1"/>
  </si>
  <si>
    <t>#6656</t>
    <phoneticPr fontId="1"/>
  </si>
  <si>
    <t>売気配(7,120) 買気配(7,118)</t>
    <phoneticPr fontId="1"/>
  </si>
  <si>
    <t>#6657</t>
    <phoneticPr fontId="1"/>
  </si>
  <si>
    <t>2026/09/09 10:45:11</t>
    <phoneticPr fontId="1"/>
  </si>
  <si>
    <t>#6658</t>
    <phoneticPr fontId="1"/>
  </si>
  <si>
    <t>売気配(5,495) 買気配(5,494)</t>
    <phoneticPr fontId="1"/>
  </si>
  <si>
    <t>#6659</t>
    <phoneticPr fontId="1"/>
  </si>
  <si>
    <t>売気配(1,953) 買気配(1,951)</t>
    <phoneticPr fontId="1"/>
  </si>
  <si>
    <t>#6660</t>
    <phoneticPr fontId="1"/>
  </si>
  <si>
    <t>売気配(1,958) 買気配(1,955)</t>
    <phoneticPr fontId="1"/>
  </si>
  <si>
    <t>#6662</t>
    <phoneticPr fontId="1"/>
  </si>
  <si>
    <t>2026/09/09 11:07:50</t>
    <phoneticPr fontId="1"/>
  </si>
  <si>
    <t>売気配(1,942) 買気配(1,940)</t>
    <phoneticPr fontId="1"/>
  </si>
  <si>
    <t>#6661</t>
    <phoneticPr fontId="1"/>
  </si>
  <si>
    <t>売気配(5,521) 買気配(5,520)</t>
    <phoneticPr fontId="1"/>
  </si>
  <si>
    <t>#6663</t>
    <phoneticPr fontId="1"/>
  </si>
  <si>
    <t>売気配(1,938) 買気配(1,936)</t>
    <phoneticPr fontId="1"/>
  </si>
  <si>
    <t>#6664</t>
    <phoneticPr fontId="1"/>
  </si>
  <si>
    <t>2026/09/09 11:15:46</t>
    <phoneticPr fontId="1"/>
  </si>
  <si>
    <t>売気配(3,142) 買気配(3,141)</t>
    <phoneticPr fontId="1"/>
  </si>
  <si>
    <t>#6665</t>
    <phoneticPr fontId="1"/>
  </si>
  <si>
    <t>売気配(1,941) 買気配(1,939)</t>
    <phoneticPr fontId="1"/>
  </si>
  <si>
    <t>#6666</t>
    <phoneticPr fontId="1"/>
  </si>
  <si>
    <t>2026/09/09 11:20:43</t>
    <phoneticPr fontId="1"/>
  </si>
  <si>
    <t>売気配(5,471) 買気配(5,470)</t>
    <phoneticPr fontId="1"/>
  </si>
  <si>
    <t>#6667</t>
    <phoneticPr fontId="1"/>
  </si>
  <si>
    <t>売気配(3,147) 買気配(3,145)</t>
    <phoneticPr fontId="1"/>
  </si>
  <si>
    <t>#6669</t>
    <phoneticPr fontId="1"/>
  </si>
  <si>
    <t>売気配(1,951) 買気配(1,950)</t>
    <phoneticPr fontId="1"/>
  </si>
  <si>
    <t>#6668</t>
    <phoneticPr fontId="1"/>
  </si>
  <si>
    <t>売気配(5,486) 買気配(5,485)</t>
    <phoneticPr fontId="1"/>
  </si>
  <si>
    <t>#6670</t>
    <phoneticPr fontId="1"/>
  </si>
  <si>
    <t>#6671</t>
    <phoneticPr fontId="1"/>
  </si>
  <si>
    <t>2026/09/09 12:34:09</t>
    <phoneticPr fontId="1"/>
  </si>
  <si>
    <t>売気配(4,175) 買気配(4,170)</t>
    <phoneticPr fontId="1"/>
  </si>
  <si>
    <t>#6672</t>
    <phoneticPr fontId="1"/>
  </si>
  <si>
    <t>売気配(4,165) 買気配(4,160)</t>
    <phoneticPr fontId="1"/>
  </si>
  <si>
    <t>#6673</t>
    <phoneticPr fontId="1"/>
  </si>
  <si>
    <t>売気配(1,940) 買気配(1,938)</t>
    <phoneticPr fontId="1"/>
  </si>
  <si>
    <t>#6674</t>
    <phoneticPr fontId="1"/>
  </si>
  <si>
    <t>2026/09/09 13:04:58</t>
    <phoneticPr fontId="1"/>
  </si>
  <si>
    <t>#6675</t>
    <phoneticPr fontId="1"/>
  </si>
  <si>
    <t>売気配(1,945) 買気配(1,943)</t>
    <phoneticPr fontId="1"/>
  </si>
  <si>
    <t>#6676</t>
    <phoneticPr fontId="1"/>
  </si>
  <si>
    <t>2026/09/09 13:10:30</t>
    <phoneticPr fontId="1"/>
  </si>
  <si>
    <t>売気配(1,931) 買気配(1,928)</t>
    <phoneticPr fontId="1"/>
  </si>
  <si>
    <t>#6677</t>
    <phoneticPr fontId="1"/>
  </si>
  <si>
    <t>2026/09/09 13:17:27</t>
    <phoneticPr fontId="1"/>
  </si>
  <si>
    <t>売気配(1,928) 買気配(1,926)</t>
    <phoneticPr fontId="1"/>
  </si>
  <si>
    <t>#6678</t>
    <phoneticPr fontId="1"/>
  </si>
  <si>
    <t>売気配(1,926) 買気配(1,925)</t>
    <phoneticPr fontId="1"/>
  </si>
  <si>
    <t>#6679</t>
    <phoneticPr fontId="1"/>
  </si>
  <si>
    <t>2026/09/09 13:19:18</t>
    <phoneticPr fontId="1"/>
  </si>
  <si>
    <t>#6680</t>
    <phoneticPr fontId="1"/>
  </si>
  <si>
    <t>売気配(1,925) 買気配(1,923)</t>
    <phoneticPr fontId="1"/>
  </si>
  <si>
    <t>#6681</t>
    <phoneticPr fontId="1"/>
  </si>
  <si>
    <t>#6682</t>
    <phoneticPr fontId="1"/>
  </si>
  <si>
    <t>2026/09/09 13:29:37</t>
    <phoneticPr fontId="1"/>
  </si>
  <si>
    <t>#6683</t>
    <phoneticPr fontId="1"/>
  </si>
  <si>
    <t>売気配(1,932) 買気配(1,931)</t>
    <phoneticPr fontId="1"/>
  </si>
  <si>
    <t>#6684</t>
    <phoneticPr fontId="1"/>
  </si>
  <si>
    <t>売気配(5,716) 買気配(5,715)</t>
    <phoneticPr fontId="1"/>
  </si>
  <si>
    <t>#6685</t>
    <phoneticPr fontId="1"/>
  </si>
  <si>
    <t>売気配(1,939) 買気配(1,937)</t>
    <phoneticPr fontId="1"/>
  </si>
  <si>
    <t>#6686</t>
    <phoneticPr fontId="1"/>
  </si>
  <si>
    <t>売気配(3,925) 買気配(3,924)</t>
    <phoneticPr fontId="1"/>
  </si>
  <si>
    <t>#6687</t>
    <phoneticPr fontId="1"/>
  </si>
  <si>
    <t>売気配(1,940) 買気配(1,939)</t>
    <phoneticPr fontId="1"/>
  </si>
  <si>
    <t>#6688</t>
    <phoneticPr fontId="1"/>
  </si>
  <si>
    <t>売気配(7,164) 買気配(7,162)</t>
    <phoneticPr fontId="1"/>
  </si>
  <si>
    <t>#6689</t>
    <phoneticPr fontId="1"/>
  </si>
  <si>
    <t>売気配(7,129) 買気配(7,127)</t>
    <phoneticPr fontId="1"/>
  </si>
  <si>
    <t>#6690</t>
    <phoneticPr fontId="1"/>
  </si>
  <si>
    <t>売気配(5,717) 買気配(5,716)</t>
    <phoneticPr fontId="1"/>
  </si>
  <si>
    <t>#6691</t>
    <phoneticPr fontId="1"/>
  </si>
  <si>
    <t>売気配(7,131) 買気配(7,129)</t>
    <phoneticPr fontId="1"/>
  </si>
  <si>
    <t>#6692</t>
    <phoneticPr fontId="1"/>
  </si>
  <si>
    <t>売気配(5,720) 買気配(5,719)</t>
    <phoneticPr fontId="1"/>
  </si>
  <si>
    <t>#6693</t>
    <phoneticPr fontId="1"/>
  </si>
  <si>
    <t>#6694</t>
    <phoneticPr fontId="1"/>
  </si>
  <si>
    <t>売気配(7,138) 買気配(7,137)</t>
    <phoneticPr fontId="1"/>
  </si>
  <si>
    <t>#6695</t>
    <phoneticPr fontId="1"/>
  </si>
  <si>
    <t>#6696</t>
    <phoneticPr fontId="1"/>
  </si>
  <si>
    <t>売気配(7,124) 買気配(7,122)</t>
    <phoneticPr fontId="1"/>
  </si>
  <si>
    <t>#6697</t>
    <phoneticPr fontId="1"/>
  </si>
  <si>
    <t>売気配(3,921) 買気配(3,919)</t>
    <phoneticPr fontId="1"/>
  </si>
  <si>
    <t>#6698</t>
    <phoneticPr fontId="1"/>
  </si>
  <si>
    <t>売気配(7,121) 買気配(7,120)</t>
    <phoneticPr fontId="1"/>
  </si>
  <si>
    <t>#6699</t>
    <phoneticPr fontId="1"/>
  </si>
  <si>
    <t>#6700</t>
    <phoneticPr fontId="1"/>
  </si>
  <si>
    <t>#6701</t>
    <phoneticPr fontId="1"/>
  </si>
  <si>
    <t>売気配(5,720) 買気配(5,718)</t>
    <phoneticPr fontId="1"/>
  </si>
  <si>
    <t>#6702</t>
    <phoneticPr fontId="1"/>
  </si>
  <si>
    <t>売気配(7,140) 買気配(7,138)</t>
    <phoneticPr fontId="1"/>
  </si>
  <si>
    <t>#6703</t>
    <phoneticPr fontId="1"/>
  </si>
  <si>
    <t>売気配(1,926) 買気配(1,924)</t>
    <phoneticPr fontId="1"/>
  </si>
  <si>
    <t>#6704</t>
    <phoneticPr fontId="1"/>
  </si>
  <si>
    <t>#6705</t>
    <phoneticPr fontId="1"/>
  </si>
  <si>
    <t>#6706</t>
    <phoneticPr fontId="1"/>
  </si>
  <si>
    <t>売気配(5,482) 買気配(5,481)</t>
    <phoneticPr fontId="1"/>
  </si>
  <si>
    <t>#6707</t>
    <phoneticPr fontId="1"/>
  </si>
  <si>
    <t>2026/09/09 14:39:49</t>
    <phoneticPr fontId="1"/>
  </si>
  <si>
    <t>売気配(1,924) 買気配(1,923)</t>
    <phoneticPr fontId="1"/>
  </si>
  <si>
    <t>#6708</t>
    <phoneticPr fontId="1"/>
  </si>
  <si>
    <t>売気配(1,919) 買気配(1,918)</t>
    <phoneticPr fontId="1"/>
  </si>
  <si>
    <t>#6709</t>
    <phoneticPr fontId="1"/>
  </si>
  <si>
    <t>#6710</t>
    <phoneticPr fontId="1"/>
  </si>
  <si>
    <t>売気配(7,143) 買気配(7,142)</t>
    <phoneticPr fontId="1"/>
  </si>
  <si>
    <t>#6711</t>
    <phoneticPr fontId="1"/>
  </si>
  <si>
    <t>売気配(5,491) 買気配(5,490)</t>
    <phoneticPr fontId="1"/>
  </si>
  <si>
    <t>#6712</t>
    <phoneticPr fontId="1"/>
  </si>
  <si>
    <t>売気配(5,721) 買気配(5,720)</t>
    <phoneticPr fontId="1"/>
  </si>
  <si>
    <t>#6713</t>
    <phoneticPr fontId="1"/>
  </si>
  <si>
    <t>#6714</t>
    <phoneticPr fontId="1"/>
  </si>
  <si>
    <t>売気配(1,909) 買気配(1,908)</t>
    <phoneticPr fontId="1"/>
  </si>
  <si>
    <t>#6715</t>
    <phoneticPr fontId="1"/>
  </si>
  <si>
    <t>売気配(3,133) 買気配(3,131)</t>
    <phoneticPr fontId="1"/>
  </si>
  <si>
    <t>#6716</t>
    <phoneticPr fontId="1"/>
  </si>
  <si>
    <t>#6717</t>
    <phoneticPr fontId="1"/>
  </si>
  <si>
    <t>売気配(5,513) 買気配(5,511)</t>
    <phoneticPr fontId="1"/>
  </si>
  <si>
    <t>#6718</t>
    <phoneticPr fontId="1"/>
  </si>
  <si>
    <t>売気配(3,128) 買気配(3,127)</t>
    <phoneticPr fontId="1"/>
  </si>
  <si>
    <t>#6719</t>
    <phoneticPr fontId="1"/>
  </si>
  <si>
    <t>売気配(3,898) 買気配(3,897)</t>
    <phoneticPr fontId="1"/>
  </si>
  <si>
    <t>#6720</t>
    <phoneticPr fontId="1"/>
  </si>
  <si>
    <t>2026/09/09 15:06:00</t>
    <phoneticPr fontId="1"/>
  </si>
  <si>
    <t>引け</t>
    <phoneticPr fontId="1"/>
  </si>
  <si>
    <t>#6721</t>
    <phoneticPr fontId="1"/>
  </si>
  <si>
    <t>2026/09/09 15:06:20</t>
    <phoneticPr fontId="1"/>
  </si>
  <si>
    <t>#6722</t>
    <phoneticPr fontId="1"/>
  </si>
  <si>
    <t>売気配(6,783) 買気配(6,782)</t>
    <phoneticPr fontId="1"/>
  </si>
  <si>
    <t>ExecutionList0909</t>
    <phoneticPr fontId="1"/>
  </si>
  <si>
    <t>調査用</t>
    <rPh sb="0" eb="1">
      <t>チョウサ</t>
    </rPh>
    <rPh sb="1" eb="2">
      <t>ヨウ</t>
    </rPh>
    <phoneticPr fontId="1"/>
  </si>
  <si>
    <t>OrderList0909</t>
    <phoneticPr fontId="1"/>
  </si>
  <si>
    <t>市場名称</t>
    <phoneticPr fontId="1"/>
  </si>
  <si>
    <t>約定日</t>
    <phoneticPr fontId="1"/>
  </si>
  <si>
    <t>MarginPositionList_0909</t>
    <phoneticPr fontId="1"/>
  </si>
  <si>
    <t>時刻</t>
    <rPh sb="0" eb="2">
      <t>ジコク</t>
    </rPh>
    <phoneticPr fontId="1"/>
  </si>
  <si>
    <t>出来高</t>
    <rPh sb="0" eb="3">
      <t>デキダカ</t>
    </rPh>
    <phoneticPr fontId="1"/>
  </si>
  <si>
    <t>約定値</t>
    <rPh sb="0" eb="2">
      <t>ヤクテイ</t>
    </rPh>
    <rPh sb="2" eb="3">
      <t>ネ</t>
    </rPh>
    <phoneticPr fontId="1"/>
  </si>
  <si>
    <t>売数量</t>
    <phoneticPr fontId="1"/>
  </si>
  <si>
    <t>値段</t>
  </si>
  <si>
    <t>買数量</t>
    <phoneticPr fontId="1"/>
  </si>
  <si>
    <t>OVER</t>
    <phoneticPr fontId="1"/>
  </si>
  <si>
    <t>UNDER</t>
  </si>
  <si>
    <t>現在値（時刻）</t>
    <rPh sb="0" eb="3">
      <t>ゲンザイネ</t>
    </rPh>
    <rPh sb="4" eb="6">
      <t>ジコク</t>
    </rPh>
    <phoneticPr fontId="10"/>
  </si>
  <si>
    <t>前日比</t>
    <rPh sb="0" eb="3">
      <t>ゼンジツヒ</t>
    </rPh>
    <phoneticPr fontId="10"/>
  </si>
  <si>
    <t>VWAP</t>
    <phoneticPr fontId="10"/>
  </si>
  <si>
    <t>最良売気配値（時刻）</t>
    <phoneticPr fontId="10"/>
  </si>
  <si>
    <t>前日比率</t>
    <rPh sb="0" eb="3">
      <t>ゼンジツヒ</t>
    </rPh>
    <rPh sb="3" eb="4">
      <t>リツ</t>
    </rPh>
    <phoneticPr fontId="10"/>
  </si>
  <si>
    <t>時価総額(百万円)</t>
    <rPh sb="0" eb="4">
      <t>ジカソウガク</t>
    </rPh>
    <rPh sb="5" eb="7">
      <t>ヒャクマン</t>
    </rPh>
    <rPh sb="7" eb="8">
      <t>エン</t>
    </rPh>
    <phoneticPr fontId="10"/>
  </si>
  <si>
    <t>最良買気配値（時刻）</t>
    <phoneticPr fontId="10"/>
  </si>
  <si>
    <t>前日終値</t>
    <rPh sb="0" eb="4">
      <t>ゼンジツオワリネ</t>
    </rPh>
    <phoneticPr fontId="10"/>
  </si>
  <si>
    <t>PBR</t>
    <phoneticPr fontId="10"/>
  </si>
  <si>
    <t>始値（時刻）</t>
    <rPh sb="0" eb="2">
      <t>ハジメネ</t>
    </rPh>
    <phoneticPr fontId="10"/>
  </si>
  <si>
    <t>前日日付</t>
    <rPh sb="0" eb="2">
      <t>ゼンジツ</t>
    </rPh>
    <rPh sb="2" eb="4">
      <t>ヒヅケ</t>
    </rPh>
    <phoneticPr fontId="10"/>
  </si>
  <si>
    <t>PER</t>
    <phoneticPr fontId="10"/>
  </si>
  <si>
    <t>高値（時刻）</t>
    <rPh sb="0" eb="2">
      <t>タカネ</t>
    </rPh>
    <phoneticPr fontId="10"/>
  </si>
  <si>
    <t>出来高</t>
    <rPh sb="0" eb="3">
      <t>デキダカ</t>
    </rPh>
    <phoneticPr fontId="10"/>
  </si>
  <si>
    <t>安値（時刻）</t>
    <rPh sb="0" eb="2">
      <t>ヤスネ</t>
    </rPh>
    <phoneticPr fontId="10"/>
  </si>
  <si>
    <t>売買代金(千円)</t>
    <rPh sb="0" eb="4">
      <t>バイバイダイキン</t>
    </rPh>
    <rPh sb="5" eb="7">
      <t>センエン</t>
    </rPh>
    <phoneticPr fontId="10"/>
  </si>
  <si>
    <t>↑</t>
    <phoneticPr fontId="1"/>
  </si>
  <si>
    <t>#9999</t>
  </si>
  <si>
    <t>売建</t>
  </si>
  <si>
    <t>Order</t>
  </si>
  <si>
    <t>買埋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</si>
  <si>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</si>
  <si>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</si>
  <si>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</si>
  <si>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</si>
  <si>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</si>
  <si>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</si>
  <si>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</si>
  <si>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</si>
  <si>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</si>
  <si>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</si>
  <si>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</si>
  <si>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</si>
  <si>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</si>
  <si>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</si>
  <si>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</si>
  <si>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</si>
  <si>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</si>
  <si>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</si>
  <si>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</si>
  <si>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</si>
  <si>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</si>
  <si>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</si>
  <si>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</si>
  <si>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</si>
  <si>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</si>
  <si>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</si>
  <si>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</si>
  <si>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</si>
  <si>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</si>
  <si>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</si>
  <si>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</si>
  <si>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</si>
  <si>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</si>
  <si>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</si>
  <si>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</si>
  <si>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</si>
  <si>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</si>
  <si>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</si>
  <si>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</si>
  <si>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</si>
  <si>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</si>
  <si>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</si>
  <si>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</si>
  <si>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</si>
  <si>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</si>
  <si>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</si>
  <si>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</si>
  <si>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</si>
  <si>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</si>
  <si>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</si>
  <si>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</si>
  <si>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</si>
  <si>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</si>
  <si>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</si>
  <si>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</si>
  <si>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</si>
  <si>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</si>
  <si>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</si>
  <si>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ソニーグループ</t>
    <phoneticPr fontId="1"/>
  </si>
  <si>
    <t>1M</t>
    <phoneticPr fontId="1"/>
  </si>
  <si>
    <t>2026/10/19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</si>
  <si>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</si>
  <si>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</si>
  <si>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</si>
  <si>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</si>
  <si>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</si>
  <si>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</si>
  <si>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</si>
  <si>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</si>
  <si>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</si>
  <si>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</si>
  <si>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</si>
  <si>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</si>
  <si>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</si>
  <si>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</si>
  <si>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</si>
  <si>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</si>
  <si>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</si>
  <si>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</si>
  <si>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</si>
  <si>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</si>
  <si>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</si>
  <si>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</si>
  <si>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</si>
  <si>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</si>
  <si>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</si>
  <si>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</si>
  <si>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</si>
  <si>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</si>
  <si>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</si>
  <si>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</si>
  <si>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</si>
  <si>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</si>
  <si>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</si>
  <si>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</si>
  <si>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</si>
  <si>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</si>
  <si>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</si>
  <si>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</si>
  <si>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</si>
  <si>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</si>
  <si>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</si>
  <si>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</si>
  <si>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</si>
  <si>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</si>
  <si>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</si>
  <si>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</si>
  <si>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</si>
  <si>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</si>
  <si>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</si>
  <si>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</si>
  <si>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</si>
  <si>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</si>
  <si>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</si>
  <si>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</si>
  <si>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</si>
  <si>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</si>
  <si>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</si>
  <si>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</si>
  <si>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</si>
  <si>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</si>
  <si>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</si>
  <si>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</si>
  <si>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</si>
  <si>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</si>
  <si>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</si>
  <si>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</si>
  <si>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</si>
  <si>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</si>
  <si>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</si>
  <si>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</si>
  <si>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</si>
  <si>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</si>
  <si>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</si>
  <si>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</si>
  <si>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</si>
  <si>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</si>
  <si>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</si>
  <si>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</si>
  <si>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</si>
  <si>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</si>
  <si>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</si>
  <si>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</si>
  <si>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</si>
  <si>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</si>
  <si>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</si>
  <si>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</si>
  <si>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</si>
  <si>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</si>
  <si>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</si>
  <si>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</si>
  <si>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</si>
  <si>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</si>
  <si>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</si>
  <si>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</si>
  <si>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</si>
  <si>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</si>
  <si>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</si>
  <si>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</si>
  <si>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</si>
  <si>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</si>
  <si>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</si>
  <si>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</si>
  <si>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</si>
  <si>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</si>
  <si>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</si>
  <si>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</si>
  <si>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</si>
  <si>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</si>
  <si>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</si>
  <si>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</si>
  <si>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</si>
  <si>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</si>
  <si>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</si>
  <si>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</si>
  <si>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11:30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</si>
  <si>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</si>
  <si>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</si>
  <si>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</si>
  <si>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</si>
  <si>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</si>
  <si>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</si>
  <si>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</si>
  <si>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</si>
  <si>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</si>
  <si>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</si>
  <si>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</si>
  <si>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</si>
  <si>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</si>
  <si>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</si>
  <si>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</si>
  <si>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</si>
  <si>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</si>
  <si>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</si>
  <si>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</si>
  <si>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</si>
  <si>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</si>
  <si>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</si>
  <si>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</si>
  <si>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</si>
  <si>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</si>
  <si>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</si>
  <si>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</si>
  <si>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</si>
  <si>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</si>
  <si>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</si>
  <si>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</si>
  <si>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</si>
  <si>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</si>
  <si>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</si>
  <si>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</si>
  <si>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</si>
  <si>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</si>
  <si>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</si>
  <si>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</si>
  <si>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</si>
  <si>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</si>
  <si>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</si>
  <si>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</si>
  <si>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</si>
  <si>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</si>
  <si>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</si>
  <si>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</si>
  <si>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</si>
  <si>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</si>
  <si>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</si>
  <si>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</si>
  <si>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</si>
  <si>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</si>
  <si>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</si>
  <si>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</si>
  <si>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</si>
  <si>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</si>
  <si>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</si>
  <si>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</si>
  <si>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</si>
  <si>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</si>
  <si>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</si>
  <si>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</si>
  <si>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</si>
  <si>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</si>
  <si>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</si>
  <si>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</si>
  <si>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</si>
  <si>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</si>
  <si>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</si>
  <si>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</si>
  <si>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</si>
  <si>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</si>
  <si>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</si>
  <si>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</si>
  <si>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</si>
  <si>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</si>
  <si>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</si>
  <si>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</si>
  <si>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</si>
  <si>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</si>
  <si>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</si>
  <si>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</si>
  <si>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</si>
  <si>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</si>
  <si>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</si>
  <si>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</si>
  <si>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</si>
  <si>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</si>
  <si>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</si>
  <si>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</si>
  <si>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</si>
  <si>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</si>
  <si>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</si>
  <si>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</si>
  <si>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</si>
  <si>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</si>
  <si>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</si>
  <si>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</si>
  <si>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</si>
  <si>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</si>
  <si>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</si>
  <si>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</si>
  <si>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</si>
  <si>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</si>
  <si>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</si>
  <si>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</si>
  <si>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</si>
  <si>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</si>
  <si>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</si>
  <si>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</si>
  <si>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</si>
  <si>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</si>
  <si>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</si>
  <si>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</si>
  <si>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</si>
  <si>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</si>
  <si>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</si>
  <si>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</si>
  <si>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</si>
  <si>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</si>
  <si>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</si>
  <si>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</si>
  <si>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</si>
  <si>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</si>
  <si>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</si>
  <si>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</si>
  <si>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</si>
  <si>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</si>
  <si>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</si>
  <si>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</si>
  <si>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</si>
  <si>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</si>
  <si>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</si>
  <si>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</si>
  <si>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</si>
  <si>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</si>
  <si>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</si>
  <si>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</si>
  <si>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</si>
  <si>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</si>
  <si>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</si>
  <si>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</si>
  <si>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</si>
  <si>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</si>
  <si>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</si>
  <si>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</si>
  <si>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</si>
  <si>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</si>
  <si>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</si>
  <si>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</si>
  <si>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</si>
  <si>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</si>
  <si>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</si>
  <si>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</si>
  <si>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</si>
  <si>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</si>
  <si>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</si>
  <si>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</si>
  <si>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</si>
  <si>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</si>
  <si>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</si>
  <si>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</si>
  <si>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</si>
  <si>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</si>
  <si>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</si>
  <si>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</si>
  <si>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</si>
  <si>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</si>
  <si>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</si>
  <si>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</si>
  <si>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</si>
  <si>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</si>
  <si>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</si>
  <si>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</si>
  <si>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</si>
  <si>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</si>
  <si>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</si>
  <si>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</si>
  <si>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</si>
  <si>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</si>
  <si>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2026/10/20</t>
  </si>
  <si>
    <t>2026/10/20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</si>
  <si>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</si>
  <si>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</si>
  <si>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</si>
  <si>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</si>
  <si>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</si>
  <si>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</si>
  <si>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</si>
  <si>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</si>
  <si>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</si>
  <si>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</si>
  <si>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</si>
  <si>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</si>
  <si>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</si>
  <si>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</si>
  <si>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</si>
  <si>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</si>
  <si>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</si>
  <si>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</si>
  <si>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</si>
  <si>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</si>
  <si>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</si>
  <si>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</si>
  <si>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</si>
  <si>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</si>
  <si>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</si>
  <si>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</si>
  <si>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</si>
  <si>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</si>
  <si>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</si>
  <si>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</si>
  <si>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</si>
  <si>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</si>
  <si>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</si>
  <si>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</si>
  <si>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</si>
  <si>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</si>
  <si>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ＳＵＭＣＯ</t>
  </si>
  <si>
    <t>10:24:47</t>
    <phoneticPr fontId="1"/>
  </si>
  <si>
    <t>10:24:48</t>
    <phoneticPr fontId="1"/>
  </si>
  <si>
    <t>10:24:57</t>
    <phoneticPr fontId="1"/>
  </si>
  <si>
    <t>10:24:56</t>
    <phoneticPr fontId="1"/>
  </si>
  <si>
    <t>10:24:58</t>
    <phoneticPr fontId="1"/>
  </si>
  <si>
    <t>10:25:00</t>
    <phoneticPr fontId="1"/>
  </si>
  <si>
    <t>10:25:01</t>
    <phoneticPr fontId="1"/>
  </si>
  <si>
    <t>10:25:13</t>
    <phoneticPr fontId="1"/>
  </si>
  <si>
    <t>10:25:14</t>
    <phoneticPr fontId="1"/>
  </si>
  <si>
    <t>10:25:15</t>
    <phoneticPr fontId="1"/>
  </si>
  <si>
    <t>10:25:16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</si>
</sst>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5" tint="-0.249977111117893"/>
      <name val="Yu Gothic"/>
      <family val="2"/>
      <scheme val="minor"/>
    </font>
    <font>
      <sz val="11"/>
      <color rgb="FF00B05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B0F0"/>
      <name val="Yu Gothic"/>
      <family val="2"/>
      <scheme val="minor"/>
    </font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Yu Gothic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quotePrefix="1"/>
    <xf numFmtId="0" fontId="2" fillId="0" borderId="0" xfId="1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0" fillId="0" borderId="0" xfId="0" quotePrefix="1" applyAlignment="1">
      <alignment vertical="top" wrapText="1"/>
    </xf>
    <xf numFmtId="22" fontId="0" fillId="0" borderId="0" xfId="0" quotePrefix="1" applyNumberFormat="1"/>
    <xf numFmtId="0" fontId="3" fillId="0" borderId="0" xfId="0" quotePrefix="1" applyFont="1"/>
    <xf numFmtId="0" fontId="3" fillId="0" borderId="0" xfId="0" applyFont="1"/>
    <xf numFmtId="0" fontId="4" fillId="0" borderId="0" xfId="0" applyFont="1"/>
    <xf numFmtId="0" fontId="4" fillId="0" borderId="0" xfId="0" quotePrefix="1" applyFont="1"/>
    <xf numFmtId="0" fontId="0" fillId="2" borderId="0" xfId="0" applyFill="1"/>
    <xf numFmtId="0" fontId="5" fillId="0" borderId="0" xfId="0" quotePrefix="1" applyFont="1"/>
    <xf numFmtId="0" fontId="6" fillId="0" borderId="0" xfId="0" quotePrefix="1" applyFont="1"/>
    <xf numFmtId="0" fontId="8" fillId="0" borderId="0" xfId="0" applyFont="1"/>
    <xf numFmtId="0" fontId="8" fillId="0" borderId="1" xfId="0" applyFont="1" applyBorder="1"/>
    <xf numFmtId="0" fontId="8" fillId="0" borderId="0" xfId="0" quotePrefix="1" applyFont="1"/>
    <xf numFmtId="0" fontId="9" fillId="0" borderId="1" xfId="0" applyFont="1" applyBorder="1" applyAlignment="1">
      <alignment vertical="center"/>
    </xf>
    <xf numFmtId="38" fontId="8" fillId="0" borderId="1" xfId="2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right" vertical="center"/>
    </xf>
    <xf numFmtId="10" fontId="8" fillId="0" borderId="1" xfId="3" applyNumberFormat="1" applyFont="1" applyBorder="1" applyAlignment="1">
      <alignment horizontal="right" vertical="center"/>
    </xf>
    <xf numFmtId="0" fontId="8" fillId="0" borderId="1" xfId="0" applyFont="1" applyBorder="1" applyAlignment="1">
      <alignment vertical="center"/>
    </xf>
    <xf numFmtId="38" fontId="8" fillId="0" borderId="1" xfId="2" applyFont="1" applyBorder="1" applyAlignment="1">
      <alignment horizontal="right" vertical="center"/>
    </xf>
    <xf numFmtId="40" fontId="8" fillId="0" borderId="1" xfId="2" applyNumberFormat="1" applyFont="1" applyBorder="1" applyAlignment="1">
      <alignment horizontal="righ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14" fontId="0" fillId="0" borderId="0" xfId="0" quotePrefix="1" applyNumberFormat="1" applyAlignment="1">
      <alignment vertical="top"/>
    </xf>
    <xf numFmtId="21" fontId="0" fillId="0" borderId="0" xfId="0" quotePrefix="1" applyNumberFormat="1" applyAlignment="1">
      <alignment vertical="top"/>
    </xf>
  </cellXfs>
  <cellStyles count="4">
    <cellStyle name="パーセント" xfId="3" builtinId="5"/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ad1a7c78d744b47b7fda1b26295ee5d">
      <tp>
        <v>9500</v>
        <stp/>
        <stp>Market</stp>
        <stp>STOCK</stp>
        <stp>67580</stp>
        <stp>最良買気配数量10</stp>
        <tr r="H25" s="37"/>
      </tp>
      <tp>
        <v>29100</v>
        <stp/>
        <stp>Market</stp>
        <stp>STOCK</stp>
        <stp>72030</stp>
        <stp>最良買気配数量10</stp>
        <tr r="DU7" s="27"/>
      </tp>
      <tp>
        <v>3075</v>
        <stp/>
        <stp>Market</stp>
        <stp>STOCK</stp>
        <stp>72030</stp>
        <stp>安値</stp>
        <tr r="AF7" s="27"/>
      </tp>
    </main>
    <main first="rtdsrv.7ad1a7c78d744b47b7fda1b26295ee5d">
      <tp>
        <v>3087</v>
        <stp/>
        <stp>Market</stp>
        <stp>STOCK</stp>
        <stp>72030</stp>
        <stp>始値</stp>
        <tr r="AD7" s="27"/>
      </tp>
      <tp t="s">
        <v/>
        <stp/>
        <stp>Market</stp>
        <stp>STOCK</stp>
        <stp/>
        <stp>前場終値時刻</stp>
        <tr r="AX8" s="27"/>
      </tp>
      <tp t="s">
        <v/>
        <stp/>
        <stp>Market</stp>
        <stp>STOCK</stp>
        <stp/>
        <stp>前場安値時刻</stp>
        <tr r="AW8" s="27"/>
      </tp>
      <tp t="s">
        <v/>
        <stp/>
        <stp>Market</stp>
        <stp>STOCK</stp>
        <stp/>
        <stp>前場始値時刻</stp>
        <tr r="AU8" s="27"/>
      </tp>
      <tp t="s">
        <v/>
        <stp/>
        <stp>Market</stp>
        <stp>STOCK</stp>
        <stp/>
        <stp>前場高値時刻</stp>
        <tr r="AV8" s="27"/>
      </tp>
      <tp>
        <v>3928</v>
        <stp/>
        <stp>Market</stp>
        <stp>STOCK</stp>
        <stp>67580</stp>
        <stp>安値</stp>
        <tr r="K8" s="37"/>
      </tp>
      <tp t="s">
        <v/>
        <stp/>
        <stp>Market</stp>
        <stp>STOCK</stp>
        <stp/>
        <stp>信用売残</stp>
        <tr r="BP8" s="27"/>
      </tp>
    </main>
    <main first="rtdsrv.7ad1a7c78d744b47b7fda1b26295ee5d">
      <tp t="s">
        <v>09:00</v>
        <stp/>
        <stp>Market</stp>
        <stp>STOCK</stp>
        <stp>72030</stp>
        <stp>安値時刻</stp>
        <tr r="AI7" s="27"/>
      </tp>
      <tp t="s">
        <v>09:00</v>
        <stp/>
        <stp>Market</stp>
        <stp>STOCK</stp>
        <stp>72030</stp>
        <stp>始値時刻</stp>
        <tr r="AG7" s="27"/>
      </tp>
      <tp t="s">
        <v>09:04</v>
        <stp/>
        <stp>Market</stp>
        <stp>STOCK</stp>
        <stp>72030</stp>
        <stp>高値時刻</stp>
        <tr r="AH7" s="27"/>
      </tp>
      <tp>
        <v>3960</v>
        <stp/>
        <stp>Market</stp>
        <stp>STOCK</stp>
        <stp>67580</stp>
        <stp>始値</stp>
        <tr r="K6" s="37"/>
      </tp>
      <tp t="s">
        <v xml:space="preserve"> </v>
        <stp/>
        <stp>Market</stp>
        <stp>STOCK</stp>
        <stp>72030</stp>
        <stp>特別買気配フラグ</stp>
        <tr r="BL7" s="27"/>
      </tp>
    </main>
    <main first="rtdsrv.7ad1a7c78d744b47b7fda1b26295ee5d">
      <tp t="s">
        <v/>
        <stp/>
        <stp>Market</stp>
        <stp>STOCK</stp>
        <stp/>
        <stp>後場安値時刻</stp>
        <tr r="BB8" s="27"/>
      </tp>
      <tp t="s">
        <v/>
        <stp/>
        <stp>Market</stp>
        <stp>STOCK</stp>
        <stp/>
        <stp>後場始値時刻</stp>
        <tr r="AZ8" s="27"/>
      </tp>
      <tp t="s">
        <v/>
        <stp/>
        <stp>Market</stp>
        <stp>STOCK</stp>
        <stp/>
        <stp>後場高値時刻</stp>
        <tr r="BA8" s="27"/>
      </tp>
      <tp t="s">
        <v>2026/10/20</v>
        <stp/>
        <stp>Market</stp>
        <stp>STOCK</stp>
        <stp>72030</stp>
        <stp>現在日付</stp>
        <tr r="G7" s="27"/>
      </tp>
      <tp t="s">
        <v/>
        <stp/>
        <stp>Market</stp>
        <stp>STOCK</stp>
        <stp/>
        <stp>逆日歩</stp>
        <tr r="BN8" s="27"/>
      </tp>
    </main>
    <main first="rtdsrv.7ad1a7c78d744b47b7fda1b26295ee5d">
      <tp t="s">
        <v/>
        <stp/>
        <stp>Market</stp>
        <stp>STOCK</stp>
        <stp/>
        <stp>OVER気配数量</stp>
        <tr r="DX8" s="27"/>
      </tp>
    </main>
    <main first="rtdsrv.7ad1a7c78d744b47b7fda1b26295ee5d">
      <tp>
        <v>17.37</v>
        <stp/>
        <stp>Market</stp>
        <stp>STOCK</stp>
        <stp>72030</stp>
        <stp>貸借倍率</stp>
        <tr r="CG7" s="27"/>
      </tp>
      <tp t="s">
        <v/>
        <stp/>
        <stp>Market</stp>
        <stp>STOCK</stp>
        <stp/>
        <stp>信用倍率</stp>
        <tr r="BT8" s="27"/>
      </tp>
    </main>
    <main first="rtdsrv.7ad1a7c78d744b47b7fda1b26295ee5d">
      <tp t="s">
        <v>10:21</v>
        <stp/>
        <stp>Market</stp>
        <stp>STOCK</stp>
        <stp>67580</stp>
        <stp>安値時刻</stp>
        <tr r="L8" s="37"/>
      </tp>
      <tp t="s">
        <v>09:00</v>
        <stp/>
        <stp>Market</stp>
        <stp>STOCK</stp>
        <stp>67580</stp>
        <stp>始値時刻</stp>
        <tr r="L6" s="37"/>
      </tp>
      <tp t="s">
        <v>09:04</v>
        <stp/>
        <stp>Market</stp>
        <stp>STOCK</stp>
        <stp>67580</stp>
        <stp>高値時刻</stp>
        <tr r="L7" s="37"/>
      </tp>
      <tp>
        <v>0</v>
        <stp/>
        <stp>Market</stp>
        <stp>STOCK</stp>
        <stp>72030</stp>
        <stp>前場終値</stp>
        <tr r="AP7" s="27"/>
      </tp>
      <tp t="s">
        <v/>
        <stp/>
        <stp>Market</stp>
        <stp>STOCK</stp>
        <stp>72030</stp>
        <stp>信用売残前週比</stp>
        <tr r="BQ7" s="27"/>
      </tp>
      <tp t="s">
        <v/>
        <stp/>
        <stp>Market</stp>
        <stp>STOCK</stp>
        <stp/>
        <stp>年初来高値日付</stp>
        <tr r="EK8" s="27"/>
      </tp>
      <tp t="s">
        <v/>
        <stp/>
        <stp>Market</stp>
        <stp>STOCK</stp>
        <stp/>
        <stp>年初来安値日付</stp>
        <tr r="EL8" s="27"/>
      </tp>
      <tp t="s">
        <v/>
        <stp/>
        <stp>Market</stp>
        <stp>STOCK</stp>
        <stp>72030</stp>
        <stp>信用買残前週比</stp>
        <tr r="BS7" s="27"/>
      </tp>
    </main>
    <main first="rtdsrv.7ad1a7c78d744b47b7fda1b26295ee5d">
      <tp>
        <v>15200</v>
        <stp/>
        <stp>Market</stp>
        <stp>STOCK</stp>
        <stp>72030</stp>
        <stp>残高貸株</stp>
        <tr r="BZ7" s="27"/>
      </tp>
      <tp>
        <v>18.98</v>
        <stp/>
        <stp>Market</stp>
        <stp>STOCK</stp>
        <stp>67580</stp>
        <stp>PER</stp>
        <tr r="P6" s="37"/>
      </tp>
      <tp>
        <v>2.86</v>
        <stp/>
        <stp>Market</stp>
        <stp>STOCK</stp>
        <stp>67580</stp>
        <stp>PBR</stp>
        <tr r="P5" s="37"/>
      </tp>
      <tp t="s">
        <v/>
        <stp/>
        <stp>TickList</stp>
        <stp>2736987378768,1,1,1,1</stp>
        <stp>6758</stp>
        <stp>20</stp>
        <tr r="B2" s="37"/>
      </tp>
    </main>
    <main first="rtdsrv.7ad1a7c78d744b47b7fda1b26295ee5d">
      <tp t="s">
        <v/>
        <stp/>
        <stp>MarginPositionList</stp>
        <stp>2736349133152,0,0,0,0</stp>
        <stp/>
        <stp>A</stp>
        <stp>0</stp>
        <stp>0</stp>
        <stp>0</stp>
        <tr r="A1" s="29"/>
      </tp>
      <tp t="s">
        <v/>
        <stp/>
        <stp>Market</stp>
        <stp>STOCK</stp>
        <stp/>
        <stp>証金残更新日付</stp>
        <tr r="BU8" s="27"/>
      </tp>
    </main>
    <main first="rtdsrv.7ad1a7c78d744b47b7fda1b26295ee5d">
      <tp>
        <v>10.119999999999999</v>
        <stp/>
        <stp>Market</stp>
        <stp>STOCK</stp>
        <stp>72030</stp>
        <stp>PER</stp>
        <tr r="EF7" s="27"/>
      </tp>
      <tp>
        <v>1.01</v>
        <stp/>
        <stp>Market</stp>
        <stp>STOCK</stp>
        <stp>72030</stp>
        <stp>PBR</stp>
        <tr r="EG7" s="27"/>
      </tp>
      <tp t="s">
        <v/>
        <stp/>
        <stp>Market</stp>
        <stp>STOCK</stp>
        <stp/>
        <stp>市場名称</stp>
        <tr r="D8" s="27"/>
      </tp>
    </main>
    <main first="rtdsrv.7ad1a7c78d744b47b7fda1b26295ee5d">
      <tp t="s">
        <v/>
        <stp/>
        <stp>Market</stp>
        <stp>STOCK</stp>
        <stp/>
        <stp>信用貸借区分</stp>
        <tr r="BM8" s="27"/>
      </tp>
    </main>
    <main first="rtdsrv.7ad1a7c78d744b47b7fda1b26295ee5d">
      <tp t="s">
        <v/>
        <stp/>
        <stp>Market</stp>
        <stp>STOCK</stp>
        <stp/>
        <stp>安値詳細時刻</stp>
        <tr r="AL8" s="27"/>
      </tp>
      <tp t="s">
        <v/>
        <stp/>
        <stp>Market</stp>
        <stp>STOCK</stp>
        <stp/>
        <stp>前場始値</stp>
        <tr r="AM8" s="27"/>
      </tp>
      <tp t="s">
        <v/>
        <stp/>
        <stp>Market</stp>
        <stp>STOCK</stp>
        <stp/>
        <stp>後場始値</stp>
        <tr r="AR8" s="27"/>
      </tp>
    </main>
    <main first="rtdsrv.7ad1a7c78d744b47b7fda1b26295ee5d">
      <tp>
        <v>264000</v>
        <stp/>
        <stp>Market</stp>
        <stp>STOCK</stp>
        <stp>72030</stp>
        <stp>残高融資</stp>
        <tr r="CA7" s="27"/>
      </tp>
    </main>
    <main first="rtdsrv.7ad1a7c78d744b47b7fda1b26295ee5d">
      <tp t="s">
        <v/>
        <stp/>
        <stp>Market</stp>
        <stp>STOCK</stp>
        <stp/>
        <stp>前場安値</stp>
        <tr r="AO8" s="27"/>
      </tp>
      <tp t="s">
        <v/>
        <stp/>
        <stp>Market</stp>
        <stp>STOCK</stp>
        <stp/>
        <stp>後場安値</stp>
        <tr r="AT8" s="27"/>
      </tp>
      <tp t="s">
        <v/>
        <stp/>
        <stp>Market</stp>
        <stp>STOCK</stp>
        <stp/>
        <stp>始値詳細時刻</stp>
        <tr r="AJ8" s="27"/>
      </tp>
    </main>
    <main first="rtdsrv.7ad1a7c78d744b47b7fda1b26295ee5d">
      <tp>
        <v>3100</v>
        <stp/>
        <stp>Market</stp>
        <stp>STOCK</stp>
        <stp>72030</stp>
        <stp>歩み4</stp>
        <tr r="U7" s="27"/>
      </tp>
      <tp>
        <v>3103</v>
        <stp/>
        <stp>Market</stp>
        <stp>STOCK</stp>
        <stp>72030</stp>
        <stp>歩み1</stp>
        <tr r="R7" s="27"/>
      </tp>
      <tp>
        <v>3101</v>
        <stp/>
        <stp>Market</stp>
        <stp>STOCK</stp>
        <stp>72030</stp>
        <stp>歩み3</stp>
        <tr r="T7" s="27"/>
      </tp>
      <tp>
        <v>3102</v>
        <stp/>
        <stp>Market</stp>
        <stp>STOCK</stp>
        <stp>72030</stp>
        <stp>歩み2</stp>
        <tr r="S7" s="27"/>
      </tp>
    </main>
    <main first="rtdsrv.7ad1a7c78d744b47b7fda1b26295ee5d">
      <tp t="s">
        <v/>
        <stp/>
        <stp>Market</stp>
        <stp>STOCK</stp>
        <stp/>
        <stp>UNDER気配数量</stp>
        <tr r="DY8" s="27"/>
      </tp>
    </main>
    <main first="rtdsrv.7ad1a7c78d744b47b7fda1b26295ee5d">
      <tp t="s">
        <v/>
        <stp/>
        <stp>Market</stp>
        <stp>STOCK</stp>
        <stp/>
        <stp>残高貸株</stp>
        <tr r="BZ8" s="27"/>
      </tp>
    </main>
    <main first="rtdsrv.7ad1a7c78d744b47b7fda1b26295ee5d">
      <tp t="s">
        <v/>
        <stp/>
        <stp>Market</stp>
        <stp>STOCK</stp>
        <stp/>
        <stp>前日比融資</stp>
        <tr r="CD8" s="27"/>
      </tp>
    </main>
    <main first="rtdsrv.7ad1a7c78d744b47b7fda1b26295ee5d">
      <tp t="s">
        <v/>
        <stp/>
        <stp>Market</stp>
        <stp>STOCK</stp>
        <stp/>
        <stp>信用売残前週比</stp>
        <tr r="BQ8" s="27"/>
      </tp>
      <tp t="s">
        <v/>
        <stp/>
        <stp>Market</stp>
        <stp>STOCK</stp>
        <stp/>
        <stp>信用買残前週比</stp>
        <tr r="BS8" s="27"/>
      </tp>
      <tp t="s">
        <v>2026/02/09</v>
        <stp/>
        <stp>Market</stp>
        <stp>STOCK</stp>
        <stp>72030</stp>
        <stp>年初来高値日付</stp>
        <tr r="EK7" s="27"/>
      </tp>
      <tp t="s">
        <v>2026/06/24</v>
        <stp/>
        <stp>Market</stp>
        <stp>STOCK</stp>
        <stp>72030</stp>
        <stp>年初来安値日付</stp>
        <tr r="EL7" s="27"/>
      </tp>
    </main>
    <main first="rtdsrv.7ad1a7c78d744b47b7fda1b26295ee5d">
      <tp t="s">
        <v/>
        <stp/>
        <stp>Market</stp>
        <stp>STOCK</stp>
        <stp/>
        <stp>最良売気配数量10</stp>
        <tr r="DK8" s="27"/>
      </tp>
      <tp t="s">
        <v>東証</v>
        <stp/>
        <stp>Market</stp>
        <stp>STOCK</stp>
        <stp>72030</stp>
        <stp>市場名称</stp>
        <tr r="D7" s="27"/>
      </tp>
    </main>
    <main first="rtdsrv.7ad1a7c78d744b47b7fda1b26295ee5d">
      <tp>
        <v>0</v>
        <stp/>
        <stp>Market</stp>
        <stp>STOCK</stp>
        <stp>72030</stp>
        <stp>逆日歩</stp>
        <tr r="BN7" s="27"/>
      </tp>
    </main>
    <main first="rtdsrv.7ad1a7c78d744b47b7fda1b26295ee5d">
      <tp>
        <v>0</v>
        <stp/>
        <stp>Market</stp>
        <stp>STOCK</stp>
        <stp>72030</stp>
        <stp>後場始値</stp>
        <tr r="AR7" s="27"/>
      </tp>
      <tp>
        <v>3087</v>
        <stp/>
        <stp>Market</stp>
        <stp>STOCK</stp>
        <stp>72030</stp>
        <stp>前場始値</stp>
        <tr r="AM7" s="27"/>
      </tp>
    </main>
    <main first="rtdsrv.7ad1a7c78d744b47b7fda1b26295ee5d">
      <tp t="s">
        <v/>
        <stp/>
        <stp>Market</stp>
        <stp>STOCK</stp>
        <stp/>
        <stp>前日比貸株</stp>
        <tr r="CC8" s="27"/>
      </tp>
    </main>
    <main first="rtdsrv.7ad1a7c78d744b47b7fda1b26295ee5d">
      <tp t="s">
        <v/>
        <stp/>
        <stp>Market</stp>
        <stp>STOCK</stp>
        <stp/>
        <stp>残高融資</stp>
        <tr r="CA8" s="27"/>
      </tp>
      <tp>
        <v>21</v>
        <stp/>
        <stp>Market</stp>
        <stp>STOCK</stp>
        <stp>72030</stp>
        <stp>上場来安値</stp>
        <tr r="EN7" s="27"/>
      </tp>
      <tp>
        <v>0</v>
        <stp/>
        <stp>Market</stp>
        <stp>STOCK</stp>
        <stp>72030</stp>
        <stp>後場安値</stp>
        <tr r="AT7" s="27"/>
      </tp>
      <tp>
        <v>3075</v>
        <stp/>
        <stp>Market</stp>
        <stp>STOCK</stp>
        <stp>72030</stp>
        <stp>前場安値</stp>
        <tr r="AO7" s="27"/>
      </tp>
      <tp>
        <v>2686</v>
        <stp/>
        <stp>Market</stp>
        <stp>STOCK</stp>
        <stp>72030</stp>
        <stp>年初来安値</stp>
        <tr r="EJ7" s="27"/>
      </tp>
    </main>
    <main first="rtdsrv.7ad1a7c78d744b47b7fda1b26295ee5d">
      <tp t="s">
        <v/>
        <stp/>
        <stp>Market</stp>
        <stp>STOCK</stp>
        <stp/>
        <stp>現在値時刻</stp>
        <tr r="I8" s="27"/>
      </tp>
      <tp>
        <v>2435200</v>
        <stp/>
        <stp>Market</stp>
        <stp>STOCK</stp>
        <stp>67580</stp>
        <stp>OVER気配数量</stp>
        <tr r="F5" s="37"/>
      </tp>
    </main>
    <main first="rtdsrv.7ad1a7c78d744b47b7fda1b26295ee5d">
      <tp t="s">
        <v/>
        <stp/>
        <stp>Market</stp>
        <stp>STOCK</stp>
        <stp/>
        <stp>歩み2</stp>
        <tr r="S8" s="27"/>
      </tp>
      <tp t="s">
        <v/>
        <stp/>
        <stp>Market</stp>
        <stp>STOCK</stp>
        <stp/>
        <stp>歩み3</stp>
        <tr r="T8" s="27"/>
      </tp>
      <tp t="s">
        <v/>
        <stp/>
        <stp>Market</stp>
        <stp>STOCK</stp>
        <stp/>
        <stp>歩み1</stp>
        <tr r="R8" s="27"/>
      </tp>
      <tp t="s">
        <v/>
        <stp/>
        <stp>Market</stp>
        <stp>STOCK</stp>
        <stp/>
        <stp>歩み4</stp>
        <tr r="U8" s="27"/>
      </tp>
    </main>
    <main first="rtdsrv.7ad1a7c78d744b47b7fda1b26295ee5d">
      <tp>
        <v>2164700</v>
        <stp/>
        <stp>Market</stp>
        <stp>STOCK</stp>
        <stp>72030</stp>
        <stp>信用売残</stp>
        <tr r="BP7" s="27"/>
      </tp>
    </main>
    <main first="rtdsrv.7ad1a7c78d744b47b7fda1b26295ee5d">
      <tp t="s">
        <v/>
        <stp/>
        <stp>Market</stp>
        <stp>STOCK</stp>
        <stp/>
        <stp>始値時刻</stp>
        <tr r="AG8" s="27"/>
      </tp>
      <tp t="s">
        <v/>
        <stp/>
        <stp>Market</stp>
        <stp>STOCK</stp>
        <stp/>
        <stp>安値時刻</stp>
        <tr r="AI8" s="27"/>
      </tp>
      <tp t="s">
        <v/>
        <stp/>
        <stp>Market</stp>
        <stp>STOCK</stp>
        <stp/>
        <stp>高値時刻</stp>
        <tr r="AH8" s="27"/>
      </tp>
    </main>
    <main first="rtdsrv.7ad1a7c78d744b47b7fda1b26295ee5d">
      <tp t="s">
        <v/>
        <stp/>
        <stp>Market</stp>
        <stp>STOCK</stp>
        <stp/>
        <stp>特別買気配フラグ</stp>
        <tr r="BL8" s="27"/>
      </tp>
      <tp t="s">
        <v/>
        <stp/>
        <stp>Chart</stp>
        <stp>2736987386880,0,0,0,0</stp>
        <stp>6758.T</stp>
        <stp>1M</stp>
        <stp>332</stp>
        <tr r="A1" s="38"/>
      </tp>
    </main>
    <main first="rtdsrv.7ad1a7c78d744b47b7fda1b26295ee5d">
      <tp t="s">
        <v/>
        <stp/>
        <stp>Market</stp>
        <stp>STOCK</stp>
        <stp/>
        <stp>現在日付</stp>
        <tr r="G8" s="27"/>
      </tp>
    </main>
    <main first="rtdsrv.7ad1a7c78d744b47b7fda1b26295ee5d">
      <tp t="s">
        <v/>
        <stp/>
        <stp>Market</stp>
        <stp>STOCK</stp>
        <stp/>
        <stp>PER</stp>
        <tr r="EF8" s="27"/>
      </tp>
      <tp t="s">
        <v/>
        <stp/>
        <stp>Market</stp>
        <stp>STOCK</stp>
        <stp/>
        <stp>PBR</stp>
        <tr r="EG8" s="27"/>
      </tp>
      <tp>
        <v>4935300</v>
        <stp/>
        <stp>Market</stp>
        <stp>STOCK</stp>
        <stp>72030</stp>
        <stp>OVER気配数量</stp>
        <tr r="DX7" s="27"/>
      </tp>
      <tp t="s">
        <v/>
        <stp/>
        <stp>Market</stp>
        <stp>STOCK</stp>
        <stp/>
        <stp>貸借倍率</stp>
        <tr r="CG8" s="27"/>
      </tp>
      <tp>
        <v>0</v>
        <stp/>
        <stp>Market</stp>
        <stp>STOCK</stp>
        <stp>72030</stp>
        <stp>買成行数量</stp>
        <tr r="DW7" s="27"/>
      </tp>
      <tp t="s">
        <v>2026/10/19</v>
        <stp/>
        <stp>Market</stp>
        <stp>STOCK</stp>
        <stp>72030</stp>
        <stp>証金残更新日付</stp>
        <tr r="BU7" s="27"/>
      </tp>
      <tp>
        <v>6.4</v>
        <stp/>
        <stp>Market</stp>
        <stp>STOCK</stp>
        <stp>72030</stp>
        <stp>信用倍率</stp>
        <tr r="BT7" s="27"/>
      </tp>
      <tp>
        <v>0</v>
        <stp/>
        <stp>Market</stp>
        <stp>STOCK</stp>
        <stp>72030</stp>
        <stp>売成行数量</stp>
        <tr r="DV7" s="27"/>
      </tp>
      <tp>
        <v>0</v>
        <stp/>
        <stp>Market</stp>
        <stp>STOCK</stp>
        <stp>67580</stp>
        <stp>買成行数量</stp>
        <tr r="H4" s="37"/>
      </tp>
      <tp t="s">
        <v/>
        <stp/>
        <stp>Market</stp>
        <stp>STOCK</stp>
        <stp/>
        <stp>前場終値</stp>
        <tr r="AP8" s="27"/>
      </tp>
    </main>
    <main first="rtdsrv.7ad1a7c78d744b47b7fda1b26295ee5d">
      <tp>
        <v>0</v>
        <stp/>
        <stp>Market</stp>
        <stp>STOCK</stp>
        <stp>67580</stp>
        <stp>売成行数量</stp>
        <tr r="F4" s="37"/>
      </tp>
    </main>
    <main first="rtdsrv.7ad1a7c78d744b47b7fda1b26295ee5d">
      <tp t="s">
        <v/>
        <stp/>
        <stp>Market</stp>
        <stp>STOCK</stp>
        <stp/>
        <stp>前日比</stp>
        <tr r="M8" s="27"/>
      </tp>
      <tp t="s">
        <v xml:space="preserve">  :  </v>
        <stp/>
        <stp>Market</stp>
        <stp>STOCK</stp>
        <stp>72030</stp>
        <stp>後場安値時刻</stp>
        <tr r="BB7" s="27"/>
      </tp>
      <tp t="s">
        <v xml:space="preserve">  :  </v>
        <stp/>
        <stp>Market</stp>
        <stp>STOCK</stp>
        <stp>72030</stp>
        <stp>後場始値時刻</stp>
        <tr r="AZ7" s="27"/>
      </tp>
      <tp t="s">
        <v xml:space="preserve">  :  </v>
        <stp/>
        <stp>Market</stp>
        <stp>STOCK</stp>
        <stp>72030</stp>
        <stp>後場高値時刻</stp>
        <tr r="BA7" s="27"/>
      </tp>
    </main>
    <main first="rtdsrv.7ad1a7c78d744b47b7fda1b26295ee5d">
      <tp>
        <v>22500</v>
        <stp/>
        <stp>Market</stp>
        <stp>STOCK</stp>
        <stp>72030</stp>
        <stp>最良売気配数量10</stp>
        <tr r="DK7" s="27"/>
      </tp>
    </main>
    <main first="rtdsrv.7ad1a7c78d744b47b7fda1b26295ee5d">
      <tp>
        <v>12100</v>
        <stp/>
        <stp>Market</stp>
        <stp>STOCK</stp>
        <stp>67580</stp>
        <stp>最良売気配数量10</stp>
        <tr r="F6" s="37"/>
      </tp>
      <tp>
        <v>6100</v>
        <stp/>
        <stp>Market</stp>
        <stp>STOCK</stp>
        <stp>72030</stp>
        <stp>最良買気配数量1</stp>
        <tr r="DL7" s="27"/>
      </tp>
      <tp>
        <v>44400</v>
        <stp/>
        <stp>Market</stp>
        <stp>STOCK</stp>
        <stp>72030</stp>
        <stp>最良買気配数量3</stp>
        <tr r="DN7" s="27"/>
      </tp>
      <tp>
        <v>21400</v>
        <stp/>
        <stp>Market</stp>
        <stp>STOCK</stp>
        <stp>72030</stp>
        <stp>最良買気配数量2</stp>
        <tr r="DM7" s="27"/>
      </tp>
      <tp>
        <v>27500</v>
        <stp/>
        <stp>Market</stp>
        <stp>STOCK</stp>
        <stp>72030</stp>
        <stp>最良買気配数量5</stp>
        <tr r="DP7" s="27"/>
      </tp>
      <tp>
        <v>20700</v>
        <stp/>
        <stp>Market</stp>
        <stp>STOCK</stp>
        <stp>72030</stp>
        <stp>最良買気配数量4</stp>
        <tr r="DO7" s="27"/>
      </tp>
      <tp>
        <v>18900</v>
        <stp/>
        <stp>Market</stp>
        <stp>STOCK</stp>
        <stp>72030</stp>
        <stp>最良買気配数量7</stp>
        <tr r="DR7" s="27"/>
      </tp>
      <tp>
        <v>21800</v>
        <stp/>
        <stp>Market</stp>
        <stp>STOCK</stp>
        <stp>72030</stp>
        <stp>最良買気配数量6</stp>
        <tr r="DQ7" s="27"/>
      </tp>
      <tp>
        <v>19700</v>
        <stp/>
        <stp>Market</stp>
        <stp>STOCK</stp>
        <stp>72030</stp>
        <stp>最良買気配数量9</stp>
        <tr r="DT7" s="27"/>
      </tp>
      <tp>
        <v>23000</v>
        <stp/>
        <stp>Market</stp>
        <stp>STOCK</stp>
        <stp>72030</stp>
        <stp>最良買気配数量8</stp>
        <tr r="DS7" s="27"/>
      </tp>
      <tp>
        <v>-2600</v>
        <stp/>
        <stp>Market</stp>
        <stp>STOCK</stp>
        <stp>72030</stp>
        <stp>前日比融資</stp>
        <tr r="CD7" s="27"/>
      </tp>
    </main>
    <main first="rtdsrv.7ad1a7c78d744b47b7fda1b26295ee5d">
      <tp>
        <v>400</v>
        <stp/>
        <stp>Market</stp>
        <stp>STOCK</stp>
        <stp>72030</stp>
        <stp>新規貸株</stp>
        <tr r="BV7" s="27"/>
      </tp>
    </main>
    <main first="rtdsrv.7ad1a7c78d744b47b7fda1b26295ee5d">
      <tp t="s">
        <v/>
        <stp/>
        <stp>Market</stp>
        <stp>STOCK</stp>
        <stp/>
        <stp>始値</stp>
        <tr r="AD8" s="27"/>
      </tp>
      <tp>
        <v>3094.0783999999999</v>
        <stp/>
        <stp>Market</stp>
        <stp>STOCK</stp>
        <stp>72030</stp>
        <stp>出来高加重平均</stp>
        <tr r="AB7" s="27"/>
      </tp>
      <tp t="s">
        <v>10:24:07</v>
        <stp/>
        <stp>Market</stp>
        <stp>STOCK</stp>
        <stp>72030</stp>
        <stp>歩み4詳細時刻</stp>
        <tr r="Y7" s="27"/>
      </tp>
      <tp t="s">
        <v>10:24:29</v>
        <stp/>
        <stp>Market</stp>
        <stp>STOCK</stp>
        <stp>72030</stp>
        <stp>歩み1詳細時刻</stp>
        <tr r="V7" s="27"/>
      </tp>
      <tp t="s">
        <v>10:24:29</v>
        <stp/>
        <stp>Market</stp>
        <stp>STOCK</stp>
        <stp>72030</stp>
        <stp>歩み2詳細時刻</stp>
        <tr r="W7" s="27"/>
      </tp>
      <tp t="s">
        <v>10:24:11</v>
        <stp/>
        <stp>Market</stp>
        <stp>STOCK</stp>
        <stp>72030</stp>
        <stp>歩み3詳細時刻</stp>
        <tr r="X7" s="27"/>
      </tp>
    </main>
    <main first="rtdsrv.7ad1a7c78d744b47b7fda1b26295ee5d">
      <tp t="s">
        <v/>
        <stp/>
        <stp>Market</stp>
        <stp>STOCK</stp>
        <stp/>
        <stp>安値</stp>
        <tr r="AF8" s="27"/>
      </tp>
      <tp>
        <v>300</v>
        <stp/>
        <stp>Market</stp>
        <stp>STOCK</stp>
        <stp>72030</stp>
        <stp>新規融資</stp>
        <tr r="BW7" s="27"/>
      </tp>
      <tp t="s">
        <v/>
        <stp/>
        <stp>Market</stp>
        <stp>STOCK</stp>
        <stp/>
        <stp>上場来安値</stp>
        <tr r="EN8" s="27"/>
      </tp>
      <tp t="s">
        <v/>
        <stp/>
        <stp>Market</stp>
        <stp>STOCK</stp>
        <stp/>
        <stp>年初来安値</stp>
        <tr r="EJ8" s="27"/>
      </tp>
      <tp>
        <v>13000</v>
        <stp/>
        <stp>Market</stp>
        <stp>STOCK</stp>
        <stp>67580</stp>
        <stp>最良買気配数量4</stp>
        <tr r="H19" s="37"/>
      </tp>
      <tp>
        <v>18000</v>
        <stp/>
        <stp>Market</stp>
        <stp>STOCK</stp>
        <stp>67580</stp>
        <stp>最良買気配数量5</stp>
        <tr r="H20" s="37"/>
      </tp>
      <tp>
        <v>10700</v>
        <stp/>
        <stp>Market</stp>
        <stp>STOCK</stp>
        <stp>67580</stp>
        <stp>最良買気配数量6</stp>
        <tr r="H21" s="37"/>
      </tp>
      <tp>
        <v>13600</v>
        <stp/>
        <stp>Market</stp>
        <stp>STOCK</stp>
        <stp>67580</stp>
        <stp>最良買気配数量7</stp>
        <tr r="H22" s="37"/>
      </tp>
      <tp>
        <v>3700</v>
        <stp/>
        <stp>Market</stp>
        <stp>STOCK</stp>
        <stp>67580</stp>
        <stp>最良買気配数量1</stp>
        <tr r="H16" s="37"/>
      </tp>
      <tp>
        <v>5700</v>
        <stp/>
        <stp>Market</stp>
        <stp>STOCK</stp>
        <stp>67580</stp>
        <stp>最良買気配数量2</stp>
        <tr r="H17" s="37"/>
      </tp>
      <tp>
        <v>14400</v>
        <stp/>
        <stp>Market</stp>
        <stp>STOCK</stp>
        <stp>67580</stp>
        <stp>最良買気配数量3</stp>
        <tr r="H18" s="37"/>
      </tp>
      <tp>
        <v>11000</v>
        <stp/>
        <stp>Market</stp>
        <stp>STOCK</stp>
        <stp>67580</stp>
        <stp>最良買気配数量8</stp>
        <tr r="H23" s="37"/>
      </tp>
      <tp>
        <v>11100</v>
        <stp/>
        <stp>Market</stp>
        <stp>STOCK</stp>
        <stp>67580</stp>
        <stp>最良買気配数量9</stp>
        <tr r="H24" s="37"/>
      </tp>
      <tp>
        <v>-40700</v>
        <stp/>
        <stp>Market</stp>
        <stp>STOCK</stp>
        <stp>72030</stp>
        <stp>前日比貸株</stp>
        <tr r="CC7" s="27"/>
      </tp>
    </main>
    <main first="rtdsrv.7ad1a7c78d744b47b7fda1b26295ee5d">
      <tp t="s">
        <v>09:00</v>
        <stp/>
        <stp>Market</stp>
        <stp>STOCK</stp>
        <stp>72030</stp>
        <stp>前場安値時刻</stp>
        <tr r="AW7" s="27"/>
      </tp>
      <tp t="s">
        <v>09:00</v>
        <stp/>
        <stp>Market</stp>
        <stp>STOCK</stp>
        <stp>72030</stp>
        <stp>前場始値時刻</stp>
        <tr r="AU7" s="27"/>
      </tp>
      <tp t="s">
        <v xml:space="preserve">  :  </v>
        <stp/>
        <stp>Market</stp>
        <stp>STOCK</stp>
        <stp>72030</stp>
        <stp>前場終値時刻</stp>
        <tr r="AX7" s="27"/>
      </tp>
      <tp t="s">
        <v>09:04</v>
        <stp/>
        <stp>Market</stp>
        <stp>STOCK</stp>
        <stp>72030</stp>
        <stp>前場高値時刻</stp>
        <tr r="AV7" s="27"/>
      </tp>
    </main>
    <main first="rtdsrv.7ad1a7c78d744b47b7fda1b26295ee5d">
      <tp>
        <v>3946.0835000000002</v>
        <stp/>
        <stp>Market</stp>
        <stp>STOCK</stp>
        <stp>67580</stp>
        <stp>出来高加重平均</stp>
        <tr r="P3" s="37"/>
      </tp>
    </main>
    <main first="rtdsrv.7ad1a7c78d744b47b7fda1b26295ee5d">
      <tp t="s">
        <v/>
        <stp/>
        <stp>Market</stp>
        <stp>STOCK</stp>
        <stp/>
        <stp>現在値ティック</stp>
        <tr r="K8" s="27"/>
      </tp>
      <tp t="s">
        <v/>
        <stp/>
        <stp>Market</stp>
        <stp>STOCK</stp>
        <stp/>
        <stp>単位株数</stp>
        <tr r="DZ8" s="27"/>
      </tp>
    </main>
    <main first="rtdsrv.7ad1a7c78d744b47b7fda1b26295ee5d">
      <tp t="s">
        <v>09:00:00</v>
        <stp/>
        <stp>Market</stp>
        <stp>STOCK</stp>
        <stp>72030</stp>
        <stp>始値詳細時刻</stp>
        <tr r="AJ7" s="27"/>
      </tp>
    </main>
    <main first="rtdsrv.7ad1a7c78d744b47b7fda1b26295ee5d">
      <tp t="s">
        <v>09:00:28</v>
        <stp/>
        <stp>Market</stp>
        <stp>STOCK</stp>
        <stp>72030</stp>
        <stp>安値詳細時刻</stp>
        <tr r="AL7" s="27"/>
      </tp>
    </main>
    <main first="rtdsrv.7ad1a7c78d744b47b7fda1b26295ee5d">
      <tp t="s">
        <v>10:25</v>
        <stp/>
        <stp>Market</stp>
        <stp>STOCK</stp>
        <stp>67580</stp>
        <stp>現在値時刻</stp>
        <tr r="L3" s="37"/>
      </tp>
    </main>
    <main first="rtdsrv.7ad1a7c78d744b47b7fda1b26295ee5d">
      <tp t="s">
        <v>10:25</v>
        <stp/>
        <stp>Market</stp>
        <stp>STOCK</stp>
        <stp>72030</stp>
        <stp>現在値時刻</stp>
        <tr r="I7" s="27"/>
      </tp>
      <tp>
        <v>3112</v>
        <stp/>
        <stp>Market</stp>
        <stp>STOCK</stp>
        <stp>72030</stp>
        <stp>最良売気配値10</stp>
        <tr r="CQ7" s="27"/>
      </tp>
      <tp t="s">
        <v>2021/09/28</v>
        <stp/>
        <stp>Market</stp>
        <stp>STOCK</stp>
        <stp>72030</stp>
        <stp>上場来高値日付</stp>
        <tr r="EO7" s="27"/>
      </tp>
      <tp t="s">
        <v>1950/06/01</v>
        <stp/>
        <stp>Market</stp>
        <stp>STOCK</stp>
        <stp>72030</stp>
        <stp>上場来安値日付</stp>
        <tr r="EP7" s="27"/>
      </tp>
    </main>
    <main first="rtdsrv.7ad1a7c78d744b47b7fda1b26295ee5d">
      <tp t="s">
        <v/>
        <stp/>
        <stp>Market</stp>
        <stp>STOCK</stp>
        <stp/>
        <stp>買成行数量</stp>
        <tr r="DW8" s="27"/>
      </tp>
      <tp t="s">
        <v/>
        <stp/>
        <stp>Market</stp>
        <stp>STOCK</stp>
        <stp/>
        <stp>売成行数量</stp>
        <tr r="DV8" s="27"/>
      </tp>
    </main>
    <main first="rtdsrv.7ad1a7c78d744b47b7fda1b26295ee5d">
      <tp>
        <v>3943</v>
        <stp/>
        <stp>Market</stp>
        <stp>STOCK</stp>
        <stp>67580</stp>
        <stp>最良売気配値10</stp>
        <tr r="G6" s="37"/>
      </tp>
    </main>
    <main first="rtdsrv.7ad1a7c78d744b47b7fda1b26295ee5d">
      <tp>
        <v>1</v>
        <stp/>
        <stp>Market</stp>
        <stp>STOCK</stp>
        <stp>72030</stp>
        <stp>信用貸借区分</stp>
        <tr r="BM7" s="27"/>
      </tp>
    </main>
    <main first="rtdsrv.7ad1a7c78d744b47b7fda1b26295ee5d">
      <tp>
        <v>100</v>
        <stp/>
        <stp>Market</stp>
        <stp>STOCK</stp>
        <stp>72030</stp>
        <stp>単位株数</stp>
        <tr r="DZ7" s="27"/>
      </tp>
    </main>
    <main first="rtdsrv.7ad1a7c78d744b47b7fda1b26295ee5d">
      <tp t="s">
        <v/>
        <stp/>
        <stp>Market</stp>
        <stp>STOCK</stp>
        <stp/>
        <stp>出来高加重平均</stp>
        <tr r="AB8" s="27"/>
      </tp>
    </main>
    <main first="rtdsrv.7ad1a7c78d744b47b7fda1b26295ee5d">
      <tp t="s">
        <v/>
        <stp/>
        <stp>Market</stp>
        <stp>STOCK</stp>
        <stp/>
        <stp>歩み3詳細時刻</stp>
        <tr r="X8" s="27"/>
      </tp>
      <tp t="s">
        <v/>
        <stp/>
        <stp>Market</stp>
        <stp>STOCK</stp>
        <stp/>
        <stp>歩み2詳細時刻</stp>
        <tr r="W8" s="27"/>
      </tp>
      <tp t="s">
        <v/>
        <stp/>
        <stp>Market</stp>
        <stp>STOCK</stp>
        <stp/>
        <stp>歩み1詳細時刻</stp>
        <tr r="V8" s="27"/>
      </tp>
      <tp t="s">
        <v/>
        <stp/>
        <stp>Market</stp>
        <stp>STOCK</stp>
        <stp/>
        <stp>歩み4詳細時刻</stp>
        <tr r="Y8" s="27"/>
      </tp>
    </main>
    <main first="rtdsrv.7ad1a7c78d744b47b7fda1b26295ee5d">
      <tp t="s">
        <v/>
        <stp/>
        <stp>Market</stp>
        <stp>STOCK</stp>
        <stp/>
        <stp>最良買気配数量10</stp>
        <tr r="DU8" s="27"/>
      </tp>
    </main>
    <main first="rtdsrv.7ad1a7c78d744b47b7fda1b26295ee5d">
      <tp t="s">
        <v/>
        <stp/>
        <stp>Market</stp>
        <stp>STOCK</stp>
        <stp/>
        <stp>最良売気配値10</stp>
        <tr r="CQ8" s="27"/>
      </tp>
    </main>
    <main first="rtdsrv.7ad1a7c78d744b47b7fda1b26295ee5d">
      <tp>
        <v>-27</v>
        <stp/>
        <stp>Market</stp>
        <stp>STOCK</stp>
        <stp>67580</stp>
        <stp>前日比</stp>
        <tr r="N3" s="37"/>
      </tp>
    </main>
    <main first="rtdsrv.7ad1a7c78d744b47b7fda1b26295ee5d">
      <tp>
        <v>0</v>
        <stp/>
        <stp>Market</stp>
        <stp>STOCK</stp>
        <stp>72030</stp>
        <stp>前日比</stp>
        <tr r="M7" s="27"/>
      </tp>
    </main>
    <main first="rtdsrv.7ad1a7c78d744b47b7fda1b26295ee5d">
      <tp>
        <v>-1</v>
        <stp/>
        <stp>OrderStatus</stp>
        <stp>102</stp>
        <tr r="B2" s="28"/>
      </tp>
      <tp t="s">
        <v/>
        <stp/>
        <stp>Market</stp>
        <stp>STOCK</stp>
        <stp/>
        <stp>最良買気配数量9</stp>
        <tr r="DT8" s="27"/>
      </tp>
      <tp t="s">
        <v/>
        <stp/>
        <stp>Market</stp>
        <stp>STOCK</stp>
        <stp/>
        <stp>最良買気配数量8</stp>
        <tr r="DS8" s="27"/>
      </tp>
      <tp t="s">
        <v/>
        <stp/>
        <stp>Market</stp>
        <stp>STOCK</stp>
        <stp/>
        <stp>最良買気配数量3</stp>
        <tr r="DN8" s="27"/>
      </tp>
      <tp t="s">
        <v/>
        <stp/>
        <stp>Market</stp>
        <stp>STOCK</stp>
        <stp/>
        <stp>最良買気配数量2</stp>
        <tr r="DM8" s="27"/>
      </tp>
      <tp t="s">
        <v/>
        <stp/>
        <stp>Market</stp>
        <stp>STOCK</stp>
        <stp/>
        <stp>最良買気配数量1</stp>
        <tr r="DL8" s="27"/>
      </tp>
      <tp t="s">
        <v/>
        <stp/>
        <stp>Market</stp>
        <stp>STOCK</stp>
        <stp/>
        <stp>最良買気配数量7</stp>
        <tr r="DR8" s="27"/>
      </tp>
      <tp t="s">
        <v/>
        <stp/>
        <stp>Market</stp>
        <stp>STOCK</stp>
        <stp/>
        <stp>最良買気配数量6</stp>
        <tr r="DQ8" s="27"/>
      </tp>
      <tp t="s">
        <v/>
        <stp/>
        <stp>Market</stp>
        <stp>STOCK</stp>
        <stp/>
        <stp>最良買気配数量5</stp>
        <tr r="DP8" s="27"/>
      </tp>
      <tp t="s">
        <v/>
        <stp/>
        <stp>Market</stp>
        <stp>STOCK</stp>
        <stp/>
        <stp>最良買気配数量4</stp>
        <tr r="DO8" s="27"/>
      </tp>
    </main>
    <main first="rtdsrv.7ad1a7c78d744b47b7fda1b26295ee5d">
      <tp t="s">
        <v/>
        <stp/>
        <stp>Market</stp>
        <stp>STOCK</stp>
        <stp/>
        <stp>新規貸株</stp>
        <tr r="BV8" s="27"/>
      </tp>
      <tp>
        <v>701100</v>
        <stp/>
        <stp>Market</stp>
        <stp>STOCK</stp>
        <stp>67580</stp>
        <stp>UNDER気配数量</stp>
        <tr r="H26" s="37"/>
      </tp>
      <tp t="s">
        <v/>
        <stp/>
        <stp>Market</stp>
        <stp>STOCK</stp>
        <stp/>
        <stp>上場来高値日付</stp>
        <tr r="EO8" s="27"/>
      </tp>
      <tp t="s">
        <v/>
        <stp/>
        <stp>Market</stp>
        <stp>STOCK</stp>
        <stp/>
        <stp>上場来安値日付</stp>
        <tr r="EP8" s="27"/>
      </tp>
      <tp>
        <v>3411100</v>
        <stp/>
        <stp>Market</stp>
        <stp>STOCK</stp>
        <stp>72030</stp>
        <stp>UNDER気配数量</stp>
        <tr r="DY7" s="27"/>
      </tp>
      <tp t="s">
        <v/>
        <stp/>
        <stp>Market</stp>
        <stp>STOCK</stp>
        <stp/>
        <stp>新規融資</stp>
        <tr r="BW8" s="27"/>
      </tp>
      <tp t="s">
        <v>↓</v>
        <stp/>
        <stp>Market</stp>
        <stp>STOCK</stp>
        <stp>72030</stp>
        <stp>現在値ティック</stp>
        <tr r="K7" s="27"/>
      </tp>
    </main>
    <main first="rtdsrv.7ad1a7c78d744b47b7fda1b26295ee5d">
      <tp t="s">
        <v/>
        <stp/>
        <stp>Market</stp>
        <stp>STOCK</stp>
        <stp/>
        <stp>決算発表日</stp>
        <tr r="EE8" s="27"/>
      </tp>
    </main>
    <main first="rtdsrv.7ad1a7c78d744b47b7fda1b26295ee5d">
      <tp t="s">
        <v/>
        <stp/>
        <stp>Market</stp>
        <stp>STOCK</stp>
        <stp/>
        <stp>配当</stp>
        <tr r="EA8" s="27"/>
      </tp>
      <tp>
        <v>3102</v>
        <stp/>
        <stp>Market</stp>
        <stp>STOCK</stp>
        <stp>72030</stp>
        <stp>当日基準値</stp>
        <tr r="EH7" s="27"/>
      </tp>
      <tp t="s">
        <v/>
        <stp/>
        <stp>Market</stp>
        <stp>STOCK</stp>
        <stp/>
        <stp>現在値フラグ</stp>
        <tr r="L8" s="27"/>
      </tp>
    </main>
    <main first="rtdsrv.7ad1a7c78d744b47b7fda1b26295ee5d">
      <tp>
        <v>3093</v>
        <stp/>
        <stp>Market</stp>
        <stp>STOCK</stp>
        <stp>72030</stp>
        <stp>最良買気配値10</stp>
        <tr r="DA7" s="27"/>
      </tp>
    </main>
    <main first="rtdsrv.7ad1a7c78d744b47b7fda1b26295ee5d">
      <tp t="s">
        <v>東Ｐ</v>
        <stp/>
        <stp>Market</stp>
        <stp>STOCK</stp>
        <stp>72030</stp>
        <stp>市場部略称</stp>
        <tr r="F7" s="27"/>
      </tp>
      <tp t="s">
        <v>2026/10/20</v>
        <stp/>
        <stp>Market</stp>
        <stp>STOCK</stp>
        <stp>72030</stp>
        <stp>貸株金利適用日</stp>
        <tr r="ER7" s="27"/>
      </tp>
    </main>
    <main first="rtdsrv.7ad1a7c78d744b47b7fda1b26295ee5d">
      <tp>
        <v>4648500</v>
        <stp/>
        <stp>Market</stp>
        <stp>STOCK</stp>
        <stp>72030</stp>
        <stp>前場出来高</stp>
        <tr r="AQ7" s="27"/>
      </tp>
      <tp>
        <v>3923</v>
        <stp/>
        <stp>Market</stp>
        <stp>STOCK</stp>
        <stp>67580</stp>
        <stp>最良買気配値10</stp>
        <tr r="G25" s="37"/>
      </tp>
      <tp t="s">
        <v>C</v>
        <stp/>
        <stp>Market</stp>
        <stp>STOCK</stp>
        <stp>72030</stp>
        <stp>前日終値フラグ</stp>
        <tr r="Q7" s="27"/>
      </tp>
    </main>
    <main first="rtdsrv.7ad1a7c78d744b47b7fda1b26295ee5d">
      <tp t="s">
        <v/>
        <stp/>
        <stp>Market</stp>
        <stp>STOCK</stp>
        <stp/>
        <stp>高値</stp>
        <tr r="AE8" s="27"/>
      </tp>
    </main>
    <main first="rtdsrv.7ad1a7c78d744b47b7fda1b26295ee5d">
      <tp t="s">
        <v/>
        <stp/>
        <stp>Market</stp>
        <stp>STOCK</stp>
        <stp/>
        <stp>売買代金</stp>
        <tr r="AA8" s="27"/>
      </tp>
    </main>
    <main first="rtdsrv.7ad1a7c78d744b47b7fda1b26295ee5d">
      <tp t="s">
        <v>2027/09/29</v>
        <stp/>
        <stp>Market</stp>
        <stp>STOCK</stp>
        <stp>72030</stp>
        <stp>中配落日</stp>
        <tr r="EC7" s="27"/>
      </tp>
    </main>
    <main first="rtdsrv.7ad1a7c78d744b47b7fda1b26295ee5d">
      <tp t="s">
        <v/>
        <stp/>
        <stp>Market</stp>
        <stp>STOCK</stp>
        <stp/>
        <stp>年初来高値</stp>
        <tr r="EI8" s="27"/>
      </tp>
      <tp t="s">
        <v/>
        <stp/>
        <stp>Market</stp>
        <stp>STOCK</stp>
        <stp/>
        <stp>上場来高値</stp>
        <tr r="EM8" s="27"/>
      </tp>
    </main>
    <main first="rtdsrv.7ad1a7c78d744b47b7fda1b26295ee5d">
      <tp>
        <v>10500</v>
        <stp/>
        <stp>Market</stp>
        <stp>STOCK</stp>
        <stp>72030</stp>
        <stp>最良売気配数量1</stp>
        <tr r="DB7" s="27"/>
      </tp>
      <tp>
        <v>88400</v>
        <stp/>
        <stp>Market</stp>
        <stp>STOCK</stp>
        <stp>72030</stp>
        <stp>最良売気配数量3</stp>
        <tr r="DD7" s="27"/>
      </tp>
      <tp>
        <v>41400</v>
        <stp/>
        <stp>Market</stp>
        <stp>STOCK</stp>
        <stp>72030</stp>
        <stp>最良売気配数量2</stp>
        <tr r="DC7" s="27"/>
      </tp>
      <tp>
        <v>29700</v>
        <stp/>
        <stp>Market</stp>
        <stp>STOCK</stp>
        <stp>72030</stp>
        <stp>最良売気配数量5</stp>
        <tr r="DF7" s="27"/>
      </tp>
      <tp>
        <v>23000</v>
        <stp/>
        <stp>Market</stp>
        <stp>STOCK</stp>
        <stp>72030</stp>
        <stp>最良売気配数量4</stp>
        <tr r="DE7" s="27"/>
      </tp>
      <tp>
        <v>54100</v>
        <stp/>
        <stp>Market</stp>
        <stp>STOCK</stp>
        <stp>72030</stp>
        <stp>最良売気配数量7</stp>
        <tr r="DH7" s="27"/>
      </tp>
      <tp>
        <v>30700</v>
        <stp/>
        <stp>Market</stp>
        <stp>STOCK</stp>
        <stp>72030</stp>
        <stp>最良売気配数量6</stp>
        <tr r="DG7" s="27"/>
      </tp>
      <tp>
        <v>35300</v>
        <stp/>
        <stp>Market</stp>
        <stp>STOCK</stp>
        <stp>72030</stp>
        <stp>最良売気配数量9</stp>
        <tr r="DJ7" s="27"/>
      </tp>
      <tp>
        <v>198600</v>
        <stp/>
        <stp>Market</stp>
        <stp>STOCK</stp>
        <stp>72030</stp>
        <stp>最良売気配数量8</stp>
        <tr r="DI7" s="27"/>
      </tp>
      <tp t="s">
        <v>09:04:35</v>
        <stp/>
        <stp>Market</stp>
        <stp>STOCK</stp>
        <stp>72030</stp>
        <stp>高値詳細時刻</stp>
        <tr r="AK7" s="27"/>
      </tp>
      <tp>
        <v>23461589</v>
        <stp/>
        <stp>Market</stp>
        <stp>STOCK</stp>
        <stp>67580</stp>
        <stp>時価総額</stp>
        <tr r="P4" s="37"/>
      </tp>
      <tp t="s">
        <v>2027/03/30</v>
        <stp/>
        <stp>Market</stp>
        <stp>STOCK</stp>
        <stp>72030</stp>
        <stp>配当落日</stp>
        <tr r="EB7" s="27"/>
      </tp>
      <tp t="s">
        <v/>
        <stp/>
        <stp>Market</stp>
        <stp>STOCK</stp>
        <stp/>
        <stp>現在値詳細時刻</stp>
        <tr r="J8" s="27"/>
      </tp>
    </main>
    <main first="rtdsrv.7ad1a7c78d744b47b7fda1b26295ee5d">
      <tp>
        <v>7203</v>
        <stp/>
        <stp>Market</stp>
        <stp>STOCK</stp>
        <stp>72030</stp>
        <stp>銘柄コード</stp>
        <tr r="A7" s="27"/>
      </tp>
      <tp t="s">
        <v>T</v>
        <stp/>
        <stp>Market</stp>
        <stp>STOCK</stp>
        <stp>72030</stp>
        <stp>市場コード</stp>
        <tr r="B7" s="27"/>
      </tp>
      <tp>
        <v>45273651</v>
        <stp/>
        <stp>Market</stp>
        <stp>STOCK</stp>
        <stp>72030</stp>
        <stp>時価総額</stp>
        <tr r="AC7" s="27"/>
      </tp>
      <tp t="s">
        <v>10:25:12</v>
        <stp/>
        <stp>Market</stp>
        <stp>STOCK</stp>
        <stp>72030</stp>
        <stp>最良買気配詳細時刻</stp>
        <tr r="BJ7" s="27"/>
      </tp>
      <tp>
        <v>14800</v>
        <stp/>
        <stp>Market</stp>
        <stp>STOCK</stp>
        <stp>67580</stp>
        <stp>最良売気配数量4</stp>
        <tr r="F12" s="37"/>
      </tp>
      <tp>
        <v>18500</v>
        <stp/>
        <stp>Market</stp>
        <stp>STOCK</stp>
        <stp>67580</stp>
        <stp>最良売気配数量5</stp>
        <tr r="F11" s="37"/>
      </tp>
      <tp>
        <v>11800</v>
        <stp/>
        <stp>Market</stp>
        <stp>STOCK</stp>
        <stp>67580</stp>
        <stp>最良売気配数量6</stp>
        <tr r="F10" s="37"/>
      </tp>
      <tp>
        <v>18600</v>
        <stp/>
        <stp>Market</stp>
        <stp>STOCK</stp>
        <stp>67580</stp>
        <stp>最良売気配数量7</stp>
        <tr r="F9" s="37"/>
      </tp>
      <tp>
        <v>4400</v>
        <stp/>
        <stp>Market</stp>
        <stp>STOCK</stp>
        <stp>67580</stp>
        <stp>最良売気配数量1</stp>
        <tr r="F15" s="37"/>
      </tp>
      <tp>
        <v>13800</v>
        <stp/>
        <stp>Market</stp>
        <stp>STOCK</stp>
        <stp>67580</stp>
        <stp>最良売気配数量2</stp>
        <tr r="F14" s="37"/>
      </tp>
      <tp>
        <v>17400</v>
        <stp/>
        <stp>Market</stp>
        <stp>STOCK</stp>
        <stp>67580</stp>
        <stp>最良売気配数量3</stp>
        <tr r="F13" s="37"/>
      </tp>
      <tp>
        <v>11900</v>
        <stp/>
        <stp>Market</stp>
        <stp>STOCK</stp>
        <stp>67580</stp>
        <stp>最良売気配数量8</stp>
        <tr r="F8" s="37"/>
      </tp>
      <tp>
        <v>15100</v>
        <stp/>
        <stp>Market</stp>
        <stp>STOCK</stp>
        <stp>67580</stp>
        <stp>最良売気配数量9</stp>
        <tr r="F7" s="37"/>
      </tp>
    </main>
    <main first="rtdsrv.7ad1a7c78d744b47b7fda1b26295ee5d">
      <tp>
        <v>38100</v>
        <stp/>
        <stp>Market</stp>
        <stp>STOCK</stp>
        <stp>72030</stp>
        <stp>前日比差引</stp>
        <tr r="CE7" s="27"/>
      </tp>
    </main>
    <main first="rtdsrv.7ad1a7c78d744b47b7fda1b26295ee5d">
      <tp t="s">
        <v/>
        <stp/>
        <stp>Market</stp>
        <stp>STOCK</stp>
        <stp/>
        <stp>最良売気配数量9</stp>
        <tr r="DJ8" s="27"/>
      </tp>
      <tp t="s">
        <v/>
        <stp/>
        <stp>Market</stp>
        <stp>STOCK</stp>
        <stp/>
        <stp>最良売気配数量8</stp>
        <tr r="DI8" s="27"/>
      </tp>
      <tp t="s">
        <v/>
        <stp/>
        <stp>Market</stp>
        <stp>STOCK</stp>
        <stp/>
        <stp>最良売気配数量3</stp>
        <tr r="DD8" s="27"/>
      </tp>
      <tp t="s">
        <v/>
        <stp/>
        <stp>Market</stp>
        <stp>STOCK</stp>
        <stp/>
        <stp>最良売気配数量2</stp>
        <tr r="DC8" s="27"/>
      </tp>
      <tp t="s">
        <v/>
        <stp/>
        <stp>Market</stp>
        <stp>STOCK</stp>
        <stp/>
        <stp>最良売気配数量1</stp>
        <tr r="DB8" s="27"/>
      </tp>
      <tp t="s">
        <v/>
        <stp/>
        <stp>Market</stp>
        <stp>STOCK</stp>
        <stp/>
        <stp>最良売気配数量7</stp>
        <tr r="DH8" s="27"/>
      </tp>
      <tp t="s">
        <v/>
        <stp/>
        <stp>Market</stp>
        <stp>STOCK</stp>
        <stp/>
        <stp>最良売気配数量6</stp>
        <tr r="DG8" s="27"/>
      </tp>
      <tp t="s">
        <v/>
        <stp/>
        <stp>Market</stp>
        <stp>STOCK</stp>
        <stp/>
        <stp>最良売気配数量5</stp>
        <tr r="DF8" s="27"/>
      </tp>
      <tp t="s">
        <v/>
        <stp/>
        <stp>Market</stp>
        <stp>STOCK</stp>
        <stp/>
        <stp>最良売気配数量4</stp>
        <tr r="DE8" s="27"/>
      </tp>
      <tp t="s">
        <v/>
        <stp/>
        <stp>Market</stp>
        <stp>STOCK</stp>
        <stp/>
        <stp>配当落日</stp>
        <tr r="EB8" s="27"/>
      </tp>
    </main>
    <main first="rtdsrv.7ad1a7c78d744b47b7fda1b26295ee5d">
      <tp t="s">
        <v/>
        <stp/>
        <stp>Market</stp>
        <stp>STOCK</stp>
        <stp/>
        <stp>貸株金利適用日</stp>
        <tr r="ER8" s="27"/>
      </tp>
      <tp t="s">
        <v/>
        <stp/>
        <stp>Market</stp>
        <stp>STOCK</stp>
        <stp/>
        <stp>前日終値フラグ</stp>
        <tr r="Q8" s="27"/>
      </tp>
    </main>
    <main first="rtdsrv.7ad1a7c78d744b47b7fda1b26295ee5d">
      <tp t="s">
        <v/>
        <stp/>
        <stp>Market</stp>
        <stp>STOCK</stp>
        <stp/>
        <stp>時価総額</stp>
        <tr r="AC8" s="27"/>
      </tp>
      <tp t="s">
        <v>東証Ｐ</v>
        <stp/>
        <stp>Market</stp>
        <stp>STOCK</stp>
        <stp>72030</stp>
        <stp>市場部名称</stp>
        <tr r="E7" s="27"/>
      </tp>
    </main>
    <main first="rtdsrv.7ad1a7c78d744b47b7fda1b26295ee5d">
      <tp t="s">
        <v/>
        <stp/>
        <stp>Market</stp>
        <stp>STOCK</stp>
        <stp/>
        <stp>最良買気配値10</stp>
        <tr r="DA8" s="27"/>
      </tp>
    </main>
    <main first="rtdsrv.7ad1a7c78d744b47b7fda1b26295ee5d">
      <tp>
        <v>12711124</v>
        <stp/>
        <stp>Market</stp>
        <stp>STOCK</stp>
        <stp>67580</stp>
        <stp>売買代金</stp>
        <tr r="N8" s="37"/>
      </tp>
    </main>
    <main first="rtdsrv.7ad1a7c78d744b47b7fda1b26295ee5d">
      <tp>
        <v>3934</v>
        <stp/>
        <stp>Market</stp>
        <stp>STOCK</stp>
        <stp>67580</stp>
        <stp>最良売気配値</stp>
        <tr r="K4" s="37"/>
      </tp>
      <tp>
        <v>3932</v>
        <stp/>
        <stp>Market</stp>
        <stp>STOCK</stp>
        <stp>67580</stp>
        <stp>最良買気配値</stp>
        <tr r="K5" s="37"/>
      </tp>
      <tp t="s">
        <v/>
        <stp/>
        <stp>Market</stp>
        <stp>STOCK</stp>
        <stp/>
        <stp>最良売気配詳細時刻</stp>
        <tr r="BI8" s="27"/>
      </tp>
      <tp t="s">
        <v>10:25:11</v>
        <stp/>
        <stp>Market</stp>
        <stp>STOCK</stp>
        <stp>72030</stp>
        <stp>現在値詳細時刻</stp>
        <tr r="J7" s="27"/>
      </tp>
    </main>
    <main first="rtdsrv.7ad1a7c78d744b47b7fda1b26295ee5d">
      <tp t="s">
        <v/>
        <stp/>
        <stp>Market</stp>
        <stp>STOCK</stp>
        <stp/>
        <stp>中配落日</stp>
        <tr r="EC8" s="27"/>
      </tp>
      <tp>
        <v>14382824</v>
        <stp/>
        <stp>Market</stp>
        <stp>STOCK</stp>
        <stp>72030</stp>
        <stp>売買代金</stp>
        <tr r="AA7" s="27"/>
      </tp>
    </main>
    <main first="rtdsrv.7ad1a7c78d744b47b7fda1b26295ee5d">
      <tp>
        <v>3103</v>
        <stp/>
        <stp>Market</stp>
        <stp>STOCK</stp>
        <stp>72030</stp>
        <stp>最良売気配値</stp>
        <tr r="BC7" s="27"/>
      </tp>
      <tp>
        <v>3102</v>
        <stp/>
        <stp>Market</stp>
        <stp>STOCK</stp>
        <stp>72030</stp>
        <stp>最良買気配値</stp>
        <tr r="BD7" s="27"/>
      </tp>
      <tp t="s">
        <v/>
        <stp/>
        <stp>Market</stp>
        <stp>STOCK</stp>
        <stp/>
        <stp>最良買気配数量</stp>
        <tr r="BF8" s="27"/>
      </tp>
      <tp t="s">
        <v/>
        <stp/>
        <stp>Market</stp>
        <stp>STOCK</stp>
        <stp/>
        <stp>最良売気配数量</stp>
        <tr r="BE8" s="27"/>
      </tp>
    </main>
    <main first="rtdsrv.7ad1a7c78d744b47b7fda1b26295ee5d">
      <tp>
        <v>41100</v>
        <stp/>
        <stp>Market</stp>
        <stp>STOCK</stp>
        <stp>72030</stp>
        <stp>返済貸株</stp>
        <tr r="BX7" s="27"/>
      </tp>
      <tp>
        <v>3110</v>
        <stp/>
        <stp>Market</stp>
        <stp>STOCK</stp>
        <stp>72030</stp>
        <stp>高値</stp>
        <tr r="AE7" s="27"/>
      </tp>
    </main>
    <main first="rtdsrv.7ad1a7c78d744b47b7fda1b26295ee5d">
      <tp t="s">
        <v/>
        <stp/>
        <stp>Market</stp>
        <stp>STOCK</stp>
        <stp/>
        <stp>前場出来高時刻</stp>
        <tr r="AY8" s="27"/>
      </tp>
      <tp>
        <v>248800</v>
        <stp/>
        <stp>Market</stp>
        <stp>STOCK</stp>
        <stp>72030</stp>
        <stp>残高差引</stp>
        <tr r="CB7" s="27"/>
      </tp>
      <tp>
        <v>-0.68</v>
        <stp/>
        <stp>Market</stp>
        <stp>STOCK</stp>
        <stp>67580</stp>
        <stp>前日比率</stp>
        <tr r="N4" s="37"/>
      </tp>
    </main>
    <main first="rtdsrv.7ad1a7c78d744b47b7fda1b26295ee5d">
      <tp t="s">
        <v/>
        <stp/>
        <stp>Market</stp>
        <stp>STOCK</stp>
        <stp/>
        <stp>現在値</stp>
        <tr r="H8" s="27"/>
      </tp>
    </main>
    <main first="rtdsrv.7ad1a7c78d744b47b7fda1b26295ee5d">
      <tp t="s">
        <v/>
        <stp/>
        <stp>Market</stp>
        <stp>STOCK</stp>
        <stp/>
        <stp>最良売気配時刻</stp>
        <tr r="BG8" s="27"/>
      </tp>
      <tp t="s">
        <v/>
        <stp/>
        <stp>Market</stp>
        <stp>STOCK</stp>
        <stp/>
        <stp>最良買気配時刻</stp>
        <tr r="BH8" s="27"/>
      </tp>
      <tp>
        <v>14.7</v>
        <stp/>
        <stp>Market</stp>
        <stp>STOCK</stp>
        <stp>72030</stp>
        <stp>回転日数</stp>
        <tr r="CF7" s="27"/>
      </tp>
    </main>
    <main first="rtdsrv.7ad1a7c78d744b47b7fda1b26295ee5d">
      <tp t="s">
        <v>2026/10/19</v>
        <stp/>
        <stp>Market</stp>
        <stp>STOCK</stp>
        <stp>72030</stp>
        <stp>前日日付</stp>
        <tr r="P7" s="27"/>
      </tp>
      <tp>
        <v>3964</v>
        <stp/>
        <stp>Market</stp>
        <stp>STOCK</stp>
        <stp>67580</stp>
        <stp>高値</stp>
        <tr r="K7" s="37"/>
      </tp>
    </main>
    <main first="rtdsrv.7ad1a7c78d744b47b7fda1b26295ee5d">
      <tp t="s">
        <v xml:space="preserve"> </v>
        <stp/>
        <stp>Market</stp>
        <stp>STOCK</stp>
        <stp>72030</stp>
        <stp>現在値フラグ</stp>
        <tr r="L7" s="27"/>
      </tp>
    </main>
    <main first="rtdsrv.7ad1a7c78d744b47b7fda1b26295ee5d">
      <tp>
        <v>0</v>
        <stp/>
        <stp>Market</stp>
        <stp>STOCK</stp>
        <stp>72030</stp>
        <stp>前日比率</stp>
        <tr r="N7" s="27"/>
      </tp>
      <tp>
        <v>2900</v>
        <stp/>
        <stp>Market</stp>
        <stp>STOCK</stp>
        <stp>72030</stp>
        <stp>返済融資</stp>
        <tr r="BY7" s="27"/>
      </tp>
      <tp>
        <v>100</v>
        <stp/>
        <stp>Market</stp>
        <stp>STOCK</stp>
        <stp>72030</stp>
        <stp>配当</stp>
        <tr r="EA7" s="27"/>
      </tp>
    </main>
    <main first="rtdsrv.7ad1a7c78d744b47b7fda1b26295ee5d">
      <tp t="s">
        <v/>
        <stp/>
        <stp>Market</stp>
        <stp>STOCK</stp>
        <stp/>
        <stp>市場部名称</stp>
        <tr r="E8" s="27"/>
      </tp>
    </main>
    <main first="rtdsrv.7ad1a7c78d744b47b7fda1b26295ee5d">
      <tp t="s">
        <v>2026/10/19</v>
        <stp/>
        <stp>Market</stp>
        <stp>STOCK</stp>
        <stp>67580</stp>
        <stp>前日日付</stp>
        <tr r="N6" s="37"/>
      </tp>
    </main>
    <main first="rtdsrv.7ad1a7c78d744b47b7fda1b26295ee5d">
      <tp t="s">
        <v/>
        <stp/>
        <stp>Market</stp>
        <stp>STOCK</stp>
        <stp/>
        <stp>貸株金利</stp>
        <tr r="EQ8" s="27"/>
      </tp>
    </main>
    <main first="rtdsrv.7ad1a7c78d744b47b7fda1b26295ee5d">
      <tp t="s">
        <v/>
        <stp/>
        <stp>Market</stp>
        <stp>STOCK</stp>
        <stp/>
        <stp>信用買残</stp>
        <tr r="BR8" s="27"/>
      </tp>
    </main>
    <main first="rtdsrv.7ad1a7c78d744b47b7fda1b26295ee5d">
      <tp t="s">
        <v>トヨタ自動車</v>
        <stp/>
        <stp>Market</stp>
        <stp>STOCK</stp>
        <stp>72030</stp>
        <stp>銘柄名称</stp>
        <tr r="C7" s="27"/>
      </tp>
      <tp>
        <v>3960</v>
        <stp/>
        <stp>Market</stp>
        <stp>STOCK</stp>
        <stp>67580</stp>
        <stp>前日終値</stp>
        <tr r="N5" s="37"/>
      </tp>
    </main>
    <main first="rtdsrv.7ad1a7c78d744b47b7fda1b26295ee5d">
      <tp t="s">
        <v/>
        <stp/>
        <stp>Market</stp>
        <stp>STOCK</stp>
        <stp/>
        <stp>高値詳細時刻</stp>
        <tr r="AK8" s="27"/>
      </tp>
    </main>
    <main first="rtdsrv.7ad1a7c78d744b47b7fda1b26295ee5d">
      <tp t="s">
        <v/>
        <stp/>
        <stp>Market</stp>
        <stp>STOCK</stp>
        <stp/>
        <stp>権利落日</stp>
        <tr r="ED8" s="27"/>
      </tp>
    </main>
    <main first="rtdsrv.7ad1a7c78d744b47b7fda1b26295ee5d">
      <tp>
        <v>4648500</v>
        <stp/>
        <stp>Market</stp>
        <stp>STOCK</stp>
        <stp>72030</stp>
        <stp>出来高</stp>
        <tr r="Z7" s="27"/>
      </tp>
    </main>
    <main first="rtdsrv.7ad1a7c78d744b47b7fda1b26295ee5d">
      <tp t="s">
        <v/>
        <stp/>
        <stp>Market</stp>
        <stp>STOCK</stp>
        <stp/>
        <stp>前場高値</stp>
        <tr r="AN8" s="27"/>
      </tp>
      <tp t="s">
        <v/>
        <stp/>
        <stp>Market</stp>
        <stp>STOCK</stp>
        <stp/>
        <stp>後場高値</stp>
        <tr r="AS8" s="27"/>
      </tp>
      <tp>
        <v>3111</v>
        <stp/>
        <stp>Market</stp>
        <stp>STOCK</stp>
        <stp>72030</stp>
        <stp>最良売気配値9</stp>
        <tr r="CP7" s="27"/>
      </tp>
      <tp>
        <v>3110</v>
        <stp/>
        <stp>Market</stp>
        <stp>STOCK</stp>
        <stp>72030</stp>
        <stp>最良売気配値8</stp>
        <tr r="CO7" s="27"/>
      </tp>
      <tp>
        <v>3105</v>
        <stp/>
        <stp>Market</stp>
        <stp>STOCK</stp>
        <stp>72030</stp>
        <stp>最良売気配値3</stp>
        <tr r="CJ7" s="27"/>
      </tp>
      <tp>
        <v>3104</v>
        <stp/>
        <stp>Market</stp>
        <stp>STOCK</stp>
        <stp>72030</stp>
        <stp>最良売気配値2</stp>
        <tr r="CI7" s="27"/>
      </tp>
      <tp>
        <v>3103</v>
        <stp/>
        <stp>Market</stp>
        <stp>STOCK</stp>
        <stp>72030</stp>
        <stp>最良売気配値1</stp>
        <tr r="CH7" s="27"/>
      </tp>
      <tp>
        <v>3109</v>
        <stp/>
        <stp>Market</stp>
        <stp>STOCK</stp>
        <stp>72030</stp>
        <stp>最良売気配値7</stp>
        <tr r="CN7" s="27"/>
      </tp>
      <tp>
        <v>3108</v>
        <stp/>
        <stp>Market</stp>
        <stp>STOCK</stp>
        <stp>72030</stp>
        <stp>最良売気配値6</stp>
        <tr r="CM7" s="27"/>
      </tp>
      <tp>
        <v>3107</v>
        <stp/>
        <stp>Market</stp>
        <stp>STOCK</stp>
        <stp>72030</stp>
        <stp>最良売気配値5</stp>
        <tr r="CL7" s="27"/>
      </tp>
      <tp>
        <v>3106</v>
        <stp/>
        <stp>Market</stp>
        <stp>STOCK</stp>
        <stp>72030</stp>
        <stp>最良売気配値4</stp>
        <tr r="CK7" s="27"/>
      </tp>
      <tp>
        <v>3095</v>
        <stp/>
        <stp>Market</stp>
        <stp>STOCK</stp>
        <stp>72030</stp>
        <stp>最良買気配値8</stp>
        <tr r="CY7" s="27"/>
      </tp>
      <tp>
        <v>3094</v>
        <stp/>
        <stp>Market</stp>
        <stp>STOCK</stp>
        <stp>72030</stp>
        <stp>最良買気配値9</stp>
        <tr r="CZ7" s="27"/>
      </tp>
      <tp>
        <v>3097</v>
        <stp/>
        <stp>Market</stp>
        <stp>STOCK</stp>
        <stp>72030</stp>
        <stp>最良買気配値6</stp>
        <tr r="CW7" s="27"/>
      </tp>
      <tp>
        <v>3096</v>
        <stp/>
        <stp>Market</stp>
        <stp>STOCK</stp>
        <stp>72030</stp>
        <stp>最良買気配値7</stp>
        <tr r="CX7" s="27"/>
      </tp>
      <tp>
        <v>3099</v>
        <stp/>
        <stp>Market</stp>
        <stp>STOCK</stp>
        <stp>72030</stp>
        <stp>最良買気配値4</stp>
        <tr r="CU7" s="27"/>
      </tp>
      <tp>
        <v>3098</v>
        <stp/>
        <stp>Market</stp>
        <stp>STOCK</stp>
        <stp>72030</stp>
        <stp>最良買気配値5</stp>
        <tr r="CV7" s="27"/>
      </tp>
      <tp>
        <v>3101</v>
        <stp/>
        <stp>Market</stp>
        <stp>STOCK</stp>
        <stp>72030</stp>
        <stp>最良買気配値2</stp>
        <tr r="CS7" s="27"/>
      </tp>
      <tp>
        <v>3100</v>
        <stp/>
        <stp>Market</stp>
        <stp>STOCK</stp>
        <stp>72030</stp>
        <stp>最良買気配値3</stp>
        <tr r="CT7" s="27"/>
      </tp>
      <tp>
        <v>3102</v>
        <stp/>
        <stp>Market</stp>
        <stp>STOCK</stp>
        <stp>72030</stp>
        <stp>最良買気配値1</stp>
        <tr r="CR7" s="27"/>
      </tp>
      <tp>
        <v>3102</v>
        <stp/>
        <stp>Market</stp>
        <stp>STOCK</stp>
        <stp>72030</stp>
        <stp>前日終値</stp>
        <tr r="O7" s="27"/>
      </tp>
    </main>
    <main first="rtdsrv.7ad1a7c78d744b47b7fda1b26295ee5d">
      <tp t="s">
        <v/>
        <stp/>
        <stp>Market</stp>
        <stp>STOCK</stp>
        <stp/>
        <stp>逆日歩更新日付</stp>
        <tr r="BO8" s="27"/>
      </tp>
      <tp t="s">
        <v xml:space="preserve"> </v>
        <stp/>
        <stp>Market</stp>
        <stp>STOCK</stp>
        <stp>72030</stp>
        <stp>特別売気配フラグ</stp>
        <tr r="BK7" s="27"/>
      </tp>
      <tp>
        <v>3221200</v>
        <stp/>
        <stp>Market</stp>
        <stp>STOCK</stp>
        <stp>67580</stp>
        <stp>出来高</stp>
        <tr r="N7" s="37"/>
      </tp>
    </main>
    <main first="rtdsrv.7ad1a7c78d744b47b7fda1b26295ee5d">
      <tp t="s">
        <v>10:25:16</v>
        <stp/>
        <stp>Market</stp>
        <stp>STOCK</stp>
        <stp>72030</stp>
        <stp>最良売気配詳細時刻</stp>
        <tr r="BI7" s="27"/>
      </tp>
      <tp>
        <v>3941</v>
        <stp/>
        <stp>Market</stp>
        <stp>STOCK</stp>
        <stp>67580</stp>
        <stp>最良売気配値8</stp>
        <tr r="G8" s="37"/>
      </tp>
      <tp>
        <v>3942</v>
        <stp/>
        <stp>Market</stp>
        <stp>STOCK</stp>
        <stp>67580</stp>
        <stp>最良売気配値9</stp>
        <tr r="G7" s="37"/>
      </tp>
      <tp>
        <v>3935</v>
        <stp/>
        <stp>Market</stp>
        <stp>STOCK</stp>
        <stp>67580</stp>
        <stp>最良売気配値2</stp>
        <tr r="G14" s="37"/>
      </tp>
      <tp>
        <v>3936</v>
        <stp/>
        <stp>Market</stp>
        <stp>STOCK</stp>
        <stp>67580</stp>
        <stp>最良売気配値3</stp>
        <tr r="G13" s="37"/>
      </tp>
      <tp>
        <v>3934</v>
        <stp/>
        <stp>Market</stp>
        <stp>STOCK</stp>
        <stp>67580</stp>
        <stp>最良売気配値1</stp>
        <tr r="G15" s="37"/>
      </tp>
      <tp>
        <v>3939</v>
        <stp/>
        <stp>Market</stp>
        <stp>STOCK</stp>
        <stp>67580</stp>
        <stp>最良売気配値6</stp>
        <tr r="G10" s="37"/>
      </tp>
      <tp>
        <v>3940</v>
        <stp/>
        <stp>Market</stp>
        <stp>STOCK</stp>
        <stp>67580</stp>
        <stp>最良売気配値7</stp>
        <tr r="G9" s="37"/>
      </tp>
      <tp>
        <v>3937</v>
        <stp/>
        <stp>Market</stp>
        <stp>STOCK</stp>
        <stp>67580</stp>
        <stp>最良売気配値4</stp>
        <tr r="G12" s="37"/>
      </tp>
      <tp>
        <v>3938</v>
        <stp/>
        <stp>Market</stp>
        <stp>STOCK</stp>
        <stp>67580</stp>
        <stp>最良売気配値5</stp>
        <tr r="G11" s="37"/>
      </tp>
      <tp>
        <v>3924</v>
        <stp/>
        <stp>Market</stp>
        <stp>STOCK</stp>
        <stp>67580</stp>
        <stp>最良買気配値9</stp>
        <tr r="G24" s="37"/>
      </tp>
      <tp>
        <v>3925</v>
        <stp/>
        <stp>Market</stp>
        <stp>STOCK</stp>
        <stp>67580</stp>
        <stp>最良買気配値8</stp>
        <tr r="G23" s="37"/>
      </tp>
      <tp>
        <v>3926</v>
        <stp/>
        <stp>Market</stp>
        <stp>STOCK</stp>
        <stp>67580</stp>
        <stp>最良買気配値7</stp>
        <tr r="G22" s="37"/>
      </tp>
      <tp>
        <v>3927</v>
        <stp/>
        <stp>Market</stp>
        <stp>STOCK</stp>
        <stp>67580</stp>
        <stp>最良買気配値6</stp>
        <tr r="G21" s="37"/>
      </tp>
      <tp>
        <v>3928</v>
        <stp/>
        <stp>Market</stp>
        <stp>STOCK</stp>
        <stp>67580</stp>
        <stp>最良買気配値5</stp>
        <tr r="G20" s="37"/>
      </tp>
      <tp>
        <v>3929</v>
        <stp/>
        <stp>Market</stp>
        <stp>STOCK</stp>
        <stp>67580</stp>
        <stp>最良買気配値4</stp>
        <tr r="G19" s="37"/>
      </tp>
      <tp>
        <v>3930</v>
        <stp/>
        <stp>Market</stp>
        <stp>STOCK</stp>
        <stp>67580</stp>
        <stp>最良買気配値3</stp>
        <tr r="G18" s="37"/>
      </tp>
      <tp>
        <v>3931</v>
        <stp/>
        <stp>Market</stp>
        <stp>STOCK</stp>
        <stp>67580</stp>
        <stp>最良買気配値2</stp>
        <tr r="G17" s="37"/>
      </tp>
      <tp>
        <v>3932</v>
        <stp/>
        <stp>Market</stp>
        <stp>STOCK</stp>
        <stp>67580</stp>
        <stp>最良買気配値1</stp>
        <tr r="G16" s="37"/>
      </tp>
    </main>
    <main first="rtdsrv.7ad1a7c78d744b47b7fda1b26295ee5d">
      <tp t="s">
        <v>ソニーグループ</v>
        <stp/>
        <stp>Market</stp>
        <stp>STOCK</stp>
        <stp>67580</stp>
        <stp>銘柄名称</stp>
        <tr r="C1" s="37"/>
      </tp>
      <tp>
        <v>13849100</v>
        <stp/>
        <stp>Market</stp>
        <stp>STOCK</stp>
        <stp>72030</stp>
        <stp>信用買残</stp>
        <tr r="BR7" s="27"/>
      </tp>
    </main>
    <main first="rtdsrv.7ad1a7c78d744b47b7fda1b26295ee5d">
      <tp t="s">
        <v/>
        <stp/>
        <stp>Market</stp>
        <stp>STOCK</stp>
        <stp/>
        <stp>銘柄名称</stp>
        <tr r="C8" s="27"/>
      </tp>
    </main>
    <main first="rtdsrv.7ad1a7c78d744b47b7fda1b26295ee5d">
      <tp t="s">
        <v/>
        <stp/>
        <stp>Market</stp>
        <stp>STOCK</stp>
        <stp/>
        <stp>当日基準値</stp>
        <tr r="EH8" s="27"/>
      </tp>
      <tp t="s">
        <v>2026/11/05</v>
        <stp/>
        <stp>Market</stp>
        <stp>STOCK</stp>
        <stp>72030</stp>
        <stp>決算発表日</stp>
        <tr r="EE7" s="27"/>
      </tp>
    </main>
    <main first="rtdsrv.7ad1a7c78d744b47b7fda1b26295ee5d">
      <tp>
        <v>3933</v>
        <stp/>
        <stp>Market</stp>
        <stp>STOCK</stp>
        <stp>67580</stp>
        <stp>現在値</stp>
        <tr r="K3" s="37"/>
      </tp>
      <tp t="s">
        <v>10:25</v>
        <stp/>
        <stp>Market</stp>
        <stp>STOCK</stp>
        <stp>67580</stp>
        <stp>最良売気配時刻</stp>
        <tr r="L4" s="37"/>
      </tp>
      <tp t="s">
        <v>10:25</v>
        <stp/>
        <stp>Market</stp>
        <stp>STOCK</stp>
        <stp>67580</stp>
        <stp>最良買気配時刻</stp>
        <tr r="L5" s="37"/>
      </tp>
    </main>
    <main first="rtdsrv.7ad1a7c78d744b47b7fda1b26295ee5d">
      <tp t="s">
        <v>2021/09/29</v>
        <stp/>
        <stp>Market</stp>
        <stp>STOCK</stp>
        <stp>72030</stp>
        <stp>権利落日</stp>
        <tr r="ED7" s="27"/>
      </tp>
    </main>
    <main first="rtdsrv.7ad1a7c78d744b47b7fda1b26295ee5d">
      <tp>
        <v>4000</v>
        <stp/>
        <stp>Market</stp>
        <stp>STOCK</stp>
        <stp>72030</stp>
        <stp>年初来高値</stp>
        <tr r="EI7" s="27"/>
      </tp>
      <tp>
        <v>10460</v>
        <stp/>
        <stp>Market</stp>
        <stp>STOCK</stp>
        <stp>72030</stp>
        <stp>上場来高値</stp>
        <tr r="EM7" s="27"/>
      </tp>
      <tp>
        <v>0</v>
        <stp/>
        <stp>Market</stp>
        <stp>STOCK</stp>
        <stp>72030</stp>
        <stp>後場高値</stp>
        <tr r="AS7" s="27"/>
      </tp>
      <tp>
        <v>3110</v>
        <stp/>
        <stp>Market</stp>
        <stp>STOCK</stp>
        <stp>72030</stp>
        <stp>前場高値</stp>
        <tr r="AN7" s="27"/>
      </tp>
    </main>
    <main first="rtdsrv.7ad1a7c78d744b47b7fda1b26295ee5d">
      <tp t="s">
        <v/>
        <stp/>
        <stp>Market</stp>
        <stp>STOCK</stp>
        <stp/>
        <stp>特別売気配フラグ</stp>
        <tr r="BK8" s="27"/>
      </tp>
      <tp t="s">
        <v/>
        <stp/>
        <stp>Market</stp>
        <stp>STOCK</stp>
        <stp/>
        <stp>前日終値</stp>
        <tr r="O8" s="27"/>
      </tp>
    </main>
    <main first="rtdsrv.7ad1a7c78d744b47b7fda1b26295ee5d">
      <tp>
        <v>3102</v>
        <stp/>
        <stp>Market</stp>
        <stp>STOCK</stp>
        <stp>72030</stp>
        <stp>現在値</stp>
        <tr r="H7" s="27"/>
      </tp>
      <tp t="s">
        <v>10:25</v>
        <stp/>
        <stp>Market</stp>
        <stp>STOCK</stp>
        <stp>72030</stp>
        <stp>最良売気配時刻</stp>
        <tr r="BG7" s="27"/>
      </tp>
      <tp t="s">
        <v>10:25</v>
        <stp/>
        <stp>Market</stp>
        <stp>STOCK</stp>
        <stp>72030</stp>
        <stp>最良買気配時刻</stp>
        <tr r="BH7" s="27"/>
      </tp>
      <tp>
        <v>6100</v>
        <stp/>
        <stp>Market</stp>
        <stp>STOCK</stp>
        <stp>72030</stp>
        <stp>最良買気配数量</stp>
        <tr r="BF7" s="27"/>
      </tp>
      <tp>
        <v>10500</v>
        <stp/>
        <stp>Market</stp>
        <stp>STOCK</stp>
        <stp>72030</stp>
        <stp>最良売気配数量</stp>
        <tr r="BE7" s="27"/>
      </tp>
    </main>
    <main first="rtdsrv.7ad1a7c78d744b47b7fda1b26295ee5d">
      <tp t="s">
        <v>10:25</v>
        <stp/>
        <stp>Market</stp>
        <stp>STOCK</stp>
        <stp>72030</stp>
        <stp>前場出来高時刻</stp>
        <tr r="AY7" s="27"/>
      </tp>
      <tp t="s">
        <v/>
        <stp/>
        <stp>Market</stp>
        <stp>STOCK</stp>
        <stp/>
        <stp>市場部略称</stp>
        <tr r="F8" s="27"/>
      </tp>
      <tp t="s">
        <v/>
        <stp/>
        <stp>Market</stp>
        <stp>STOCK</stp>
        <stp/>
        <stp>前場出来高</stp>
        <tr r="AQ8" s="27"/>
      </tp>
      <tp t="s">
        <v/>
        <stp/>
        <stp>Market</stp>
        <stp>STOCK</stp>
        <stp/>
        <stp>返済貸株</stp>
        <tr r="BX8" s="27"/>
      </tp>
      <tp t="s">
        <v/>
        <stp/>
        <stp>Market</stp>
        <stp>STOCK</stp>
        <stp/>
        <stp>銘柄コード</stp>
        <tr r="A8" s="27"/>
      </tp>
    </main>
    <main first="rtdsrv.7ad1a7c78d744b47b7fda1b26295ee5d">
      <tp t="s">
        <v/>
        <stp/>
        <stp>Market</stp>
        <stp>STOCK</stp>
        <stp/>
        <stp>市場コード</stp>
        <tr r="B8" s="27"/>
      </tp>
      <tp t="s">
        <v/>
        <stp/>
        <stp>Market</stp>
        <stp>STOCK</stp>
        <stp/>
        <stp>残高差引</stp>
        <tr r="CB8" s="27"/>
      </tp>
    </main>
    <main first="rtdsrv.7ad1a7c78d744b47b7fda1b26295ee5d">
      <tp t="s">
        <v/>
        <stp/>
        <stp>Market</stp>
        <stp>STOCK</stp>
        <stp>72030</stp>
        <stp>逆日歩更新日付</stp>
        <tr r="BO7" s="27"/>
      </tp>
    </main>
    <main first="rtdsrv.7ad1a7c78d744b47b7fda1b26295ee5d">
      <tp t="s">
        <v/>
        <stp/>
        <stp>Market</stp>
        <stp>STOCK</stp>
        <stp/>
        <stp>回転日数</stp>
        <tr r="CF8" s="27"/>
      </tp>
      <tp t="s">
        <v/>
        <stp/>
        <stp>Market</stp>
        <stp>STOCK</stp>
        <stp/>
        <stp>前日日付</stp>
        <tr r="P8" s="27"/>
      </tp>
      <tp t="s">
        <v/>
        <stp/>
        <stp>Market</stp>
        <stp>STOCK</stp>
        <stp/>
        <stp>最良売気配値8</stp>
        <tr r="CO8" s="27"/>
      </tp>
      <tp t="s">
        <v/>
        <stp/>
        <stp>Market</stp>
        <stp>STOCK</stp>
        <stp/>
        <stp>最良売気配値9</stp>
        <tr r="CP8" s="27"/>
      </tp>
      <tp t="s">
        <v/>
        <stp/>
        <stp>Market</stp>
        <stp>STOCK</stp>
        <stp/>
        <stp>最良売気配値4</stp>
        <tr r="CK8" s="27"/>
      </tp>
      <tp t="s">
        <v/>
        <stp/>
        <stp>Market</stp>
        <stp>STOCK</stp>
        <stp/>
        <stp>最良売気配値5</stp>
        <tr r="CL8" s="27"/>
      </tp>
      <tp t="s">
        <v/>
        <stp/>
        <stp>Market</stp>
        <stp>STOCK</stp>
        <stp/>
        <stp>最良売気配値6</stp>
        <tr r="CM8" s="27"/>
      </tp>
      <tp t="s">
        <v/>
        <stp/>
        <stp>Market</stp>
        <stp>STOCK</stp>
        <stp/>
        <stp>最良売気配値7</stp>
        <tr r="CN8" s="27"/>
      </tp>
      <tp t="s">
        <v/>
        <stp/>
        <stp>Market</stp>
        <stp>STOCK</stp>
        <stp/>
        <stp>最良売気配値1</stp>
        <tr r="CH8" s="27"/>
      </tp>
      <tp t="s">
        <v/>
        <stp/>
        <stp>Market</stp>
        <stp>STOCK</stp>
        <stp/>
        <stp>最良売気配値2</stp>
        <tr r="CI8" s="27"/>
      </tp>
      <tp t="s">
        <v/>
        <stp/>
        <stp>Market</stp>
        <stp>STOCK</stp>
        <stp/>
        <stp>最良売気配値3</stp>
        <tr r="CJ8" s="27"/>
      </tp>
      <tp t="s">
        <v/>
        <stp/>
        <stp>Market</stp>
        <stp>STOCK</stp>
        <stp/>
        <stp>最良買気配値9</stp>
        <tr r="CZ8" s="27"/>
      </tp>
      <tp t="s">
        <v/>
        <stp/>
        <stp>Market</stp>
        <stp>STOCK</stp>
        <stp/>
        <stp>最良買気配値8</stp>
        <tr r="CY8" s="27"/>
      </tp>
      <tp t="s">
        <v/>
        <stp/>
        <stp>Market</stp>
        <stp>STOCK</stp>
        <stp/>
        <stp>最良買気配値1</stp>
        <tr r="CR8" s="27"/>
      </tp>
      <tp t="s">
        <v/>
        <stp/>
        <stp>Market</stp>
        <stp>STOCK</stp>
        <stp/>
        <stp>最良買気配値3</stp>
        <tr r="CT8" s="27"/>
      </tp>
      <tp t="s">
        <v/>
        <stp/>
        <stp>Market</stp>
        <stp>STOCK</stp>
        <stp/>
        <stp>最良買気配値2</stp>
        <tr r="CS8" s="27"/>
      </tp>
      <tp t="s">
        <v/>
        <stp/>
        <stp>Market</stp>
        <stp>STOCK</stp>
        <stp/>
        <stp>最良買気配値5</stp>
        <tr r="CV8" s="27"/>
      </tp>
      <tp t="s">
        <v/>
        <stp/>
        <stp>Market</stp>
        <stp>STOCK</stp>
        <stp/>
        <stp>最良買気配値4</stp>
        <tr r="CU8" s="27"/>
      </tp>
      <tp t="s">
        <v/>
        <stp/>
        <stp>Market</stp>
        <stp>STOCK</stp>
        <stp/>
        <stp>最良買気配値7</stp>
        <tr r="CX8" s="27"/>
      </tp>
      <tp t="s">
        <v/>
        <stp/>
        <stp>Market</stp>
        <stp>STOCK</stp>
        <stp/>
        <stp>最良買気配値6</stp>
        <tr r="CW8" s="27"/>
      </tp>
      <tp t="s">
        <v/>
        <stp/>
        <stp>Market</stp>
        <stp>STOCK</stp>
        <stp/>
        <stp>最良売気配値</stp>
        <tr r="BC8" s="27"/>
      </tp>
      <tp t="s">
        <v/>
        <stp/>
        <stp>Market</stp>
        <stp>STOCK</stp>
        <stp/>
        <stp>最良買気配値</stp>
        <tr r="BD8" s="27"/>
      </tp>
    </main>
    <main first="rtdsrv.7ad1a7c78d744b47b7fda1b26295ee5d">
      <tp t="s">
        <v/>
        <stp/>
        <stp>Market</stp>
        <stp>STOCK</stp>
        <stp/>
        <stp>出来高</stp>
        <tr r="Z8" s="27"/>
      </tp>
    </main>
    <main first="rtdsrv.7ad1a7c78d744b47b7fda1b26295ee5d">
      <tp t="s">
        <v/>
        <stp/>
        <stp>Market</stp>
        <stp>STOCK</stp>
        <stp/>
        <stp>前日比率</stp>
        <tr r="N8" s="27"/>
      </tp>
      <tp t="s">
        <v/>
        <stp/>
        <stp>Market</stp>
        <stp>STOCK</stp>
        <stp/>
        <stp>返済融資</stp>
        <tr r="BY8" s="27"/>
      </tp>
    </main>
    <main first="rtdsrv.7ad1a7c78d744b47b7fda1b26295ee5d">
      <tp t="s">
        <v/>
        <stp/>
        <stp>Market</stp>
        <stp>STOCK</stp>
        <stp/>
        <stp>前日比差引</stp>
        <tr r="CE8" s="27"/>
      </tp>
    </main>
    <main first="rtdsrv.7ad1a7c78d744b47b7fda1b26295ee5d">
      <tp>
        <v>0.1</v>
        <stp/>
        <stp>Market</stp>
        <stp>STOCK</stp>
        <stp>72030</stp>
        <stp>貸株金利</stp>
        <tr r="EQ7" s="27"/>
      </tp>
      <tp t="s">
        <v/>
        <stp/>
        <stp>Market</stp>
        <stp>STOCK</stp>
        <stp/>
        <stp>最良買気配詳細時刻</stp>
        <tr r="BJ8" s="2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arketspeed.jp/ms2_rss/onlinehelp/" TargetMode="External"/><Relationship Id="rId2" Type="http://schemas.openxmlformats.org/officeDocument/2006/relationships/hyperlink" Target="https://marketspeed.jp/guide/manual/ms2rss_function.pdf" TargetMode="External"/><Relationship Id="rId1" Type="http://schemas.openxmlformats.org/officeDocument/2006/relationships/hyperlink" Target="https://marketspeed.jp/ms2_rss/onlinehelp/ohm_002/ohm_002_03.html" TargetMode="External"/><Relationship Id="rId4" Type="http://schemas.openxmlformats.org/officeDocument/2006/relationships/hyperlink" Target="https://marketspeed.jp/ms2_rss/onlinehelp/ohm_002/ohm_002_05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5336-2A52-4AA2-AB61-5576A32B8DF9}">
  <dimension ref="B2:D18"/>
  <sheetViews>
    <sheetView workbookViewId="0">
      <selection activeCell="B16" sqref="B16"/>
    </sheetView>
  </sheetViews>
  <sheetFormatPr defaultRowHeight="18.75"/>
  <cols>
    <col min="2" max="2" width="15.375" customWidth="1"/>
    <col min="3" max="3" width="17.25" customWidth="1"/>
    <col min="4" max="4" width="40.25" customWidth="1"/>
  </cols>
  <sheetData>
    <row r="2" spans="2:4">
      <c r="B2" t="s">
        <v>85</v>
      </c>
    </row>
    <row r="3" spans="2:4">
      <c r="B3" t="s">
        <v>86</v>
      </c>
      <c r="C3" t="s">
        <v>87</v>
      </c>
    </row>
    <row r="4" spans="2:4">
      <c r="B4" t="s">
        <v>88</v>
      </c>
      <c r="C4" t="s">
        <v>89</v>
      </c>
      <c r="D4" t="s">
        <v>90</v>
      </c>
    </row>
    <row r="5" spans="2:4">
      <c r="B5" t="s">
        <v>91</v>
      </c>
      <c r="C5" t="s">
        <v>92</v>
      </c>
      <c r="D5" t="s">
        <v>93</v>
      </c>
    </row>
    <row r="6" spans="2:4">
      <c r="B6" t="s">
        <v>94</v>
      </c>
      <c r="C6" t="s">
        <v>95</v>
      </c>
      <c r="D6" t="s">
        <v>96</v>
      </c>
    </row>
    <row r="7" spans="2:4">
      <c r="B7" t="s">
        <v>97</v>
      </c>
      <c r="C7" t="s">
        <v>98</v>
      </c>
      <c r="D7" t="s">
        <v>99</v>
      </c>
    </row>
    <row r="8" spans="2:4">
      <c r="B8" t="s">
        <v>100</v>
      </c>
      <c r="C8" t="s">
        <v>101</v>
      </c>
    </row>
    <row r="9" spans="2:4">
      <c r="B9" t="s">
        <v>512</v>
      </c>
      <c r="C9" t="s">
        <v>513</v>
      </c>
      <c r="D9" t="s">
        <v>514</v>
      </c>
    </row>
    <row r="12" spans="2:4">
      <c r="C12" s="2" t="s">
        <v>102</v>
      </c>
    </row>
    <row r="13" spans="2:4">
      <c r="C13" s="2" t="s">
        <v>103</v>
      </c>
    </row>
    <row r="15" spans="2:4">
      <c r="B15" t="s">
        <v>104</v>
      </c>
    </row>
    <row r="16" spans="2:4">
      <c r="B16" s="2" t="s">
        <v>105</v>
      </c>
    </row>
    <row r="17" spans="2:2">
      <c r="B17" t="s">
        <v>106</v>
      </c>
    </row>
    <row r="18" spans="2:2">
      <c r="B18" s="2" t="s">
        <v>107</v>
      </c>
    </row>
  </sheetData>
  <phoneticPr fontId="1"/>
  <hyperlinks>
    <hyperlink ref="C13" r:id="rId1" location="RssMarketHeader" xr:uid="{B27D183F-3794-423B-8439-62BD645C2910}"/>
    <hyperlink ref="C12" r:id="rId2" xr:uid="{F6D7464D-BBE2-42B6-8767-09F409BA885B}"/>
    <hyperlink ref="B16" r:id="rId3" xr:uid="{8780ADF6-AD90-498F-B31D-884C440E764D}"/>
    <hyperlink ref="B18" r:id="rId4" location="RssExecutionList" xr:uid="{27C7BF1F-C4EB-4EA2-A48E-09710F721EC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1758-79C3-45DB-A222-6568341492A3}">
  <dimension ref="B1:P26"/>
  <sheetViews>
    <sheetView workbookViewId="0">
      <selection activeCell="M16" sqref="M16"/>
    </sheetView>
  </sheetViews>
  <sheetFormatPr defaultRowHeight="15.75"/>
  <cols>
    <col min="1" max="1" width="3.875" style="14" customWidth="1"/>
    <col min="2" max="4" width="9" style="14"/>
    <col min="5" max="5" width="3.375" style="14" customWidth="1"/>
    <col min="6" max="8" width="9" style="14"/>
    <col min="9" max="9" width="5.125" style="14" customWidth="1"/>
    <col min="10" max="10" width="16.375" style="14" customWidth="1"/>
    <col min="11" max="12" width="9" style="14"/>
    <col min="13" max="14" width="13.5" style="14" customWidth="1"/>
    <col min="15" max="15" width="15.625" style="14" customWidth="1"/>
    <col min="16" max="16" width="13" style="14" customWidth="1"/>
    <col min="17" max="16384" width="9" style="14"/>
  </cols>
  <sheetData>
    <row r="1" spans="2:16">
      <c r="B1" s="14">
        <v>6758</v>
      </c>
      <c r="C1" s="14" t="str">
        <f>_xll.RssMarket($B$1,"銘柄名称")</f>
        <v>ソニーグループ</v>
      </c>
    </row>
    <row r="2" spans="2:16">
      <c r="B2" s="14" t="str">
        <f>_xll.RssTickList(B3:D3,$B$1,20)</f>
        <v>=@RssTickList(B3:D3,$B$1,20) =&gt; 配信中</v>
      </c>
    </row>
    <row r="3" spans="2:16">
      <c r="B3" s="15" t="s">
        <v>1157</v>
      </c>
      <c r="C3" s="15" t="s">
        <v>1158</v>
      </c>
      <c r="D3" s="15" t="s">
        <v>1159</v>
      </c>
      <c r="F3" s="15" t="s">
        <v>1160</v>
      </c>
      <c r="G3" s="15" t="s">
        <v>1161</v>
      </c>
      <c r="H3" s="15" t="s">
        <v>1162</v>
      </c>
      <c r="J3" s="17" t="s">
        <v>1165</v>
      </c>
      <c r="K3" s="18">
        <f>_xll.RssMarket($B$1,"現在値")</f>
        <v>3933</v>
      </c>
      <c r="L3" s="19" t="str">
        <f>_xll.RssMarket($B$1,"現在値時刻")</f>
        <v>10:25</v>
      </c>
      <c r="M3" s="17" t="s">
        <v>1166</v>
      </c>
      <c r="N3" s="20">
        <f>_xll.RssMarket($B$1,M3)</f>
        <v>-27</v>
      </c>
      <c r="O3" s="17" t="s">
        <v>1167</v>
      </c>
      <c r="P3" s="20">
        <f>_xll.RssMarket($B$1,"出来高加重平均")</f>
        <v>3946.0835000000002</v>
      </c>
    </row>
    <row r="4" spans="2:16">
      <c r="B4" s="15" t="s">
        <v>1592</v>
      </c>
      <c r="C4" s="15">
        <v>400</v>
      </c>
      <c r="D4" s="15">
        <v>3933</v>
      </c>
      <c r="F4" s="15">
        <f>_xll.RssMarket($B$1,"売成行数量")</f>
        <v>0</v>
      </c>
      <c r="G4" s="15" t="s">
        <v>217</v>
      </c>
      <c r="H4" s="15">
        <f>_xll.RssMarket($B$1,"買成行数量")</f>
        <v>0</v>
      </c>
      <c r="J4" s="17" t="s">
        <v>1168</v>
      </c>
      <c r="K4" s="18">
        <f>_xll.RssMarket($B$1,"最良売気配値")</f>
        <v>3934</v>
      </c>
      <c r="L4" s="19" t="str">
        <f>_xll.RssMarket($B$1,"最良売気配時刻")</f>
        <v>10:25</v>
      </c>
      <c r="M4" s="17" t="s">
        <v>1169</v>
      </c>
      <c r="N4" s="21">
        <f>_xll.RssMarket($B$1,M4)/100</f>
        <v>-6.8000000000000005E-3</v>
      </c>
      <c r="O4" s="22" t="s">
        <v>1170</v>
      </c>
      <c r="P4" s="23">
        <f>_xll.RssMarket($B$1,"時価総額")</f>
        <v>23461589</v>
      </c>
    </row>
    <row r="5" spans="2:16">
      <c r="B5" s="15" t="s">
        <v>1591</v>
      </c>
      <c r="C5" s="15">
        <v>900</v>
      </c>
      <c r="D5" s="15">
        <v>3932</v>
      </c>
      <c r="F5" s="15">
        <f>_xll.RssMarket($B$1,"OVER気配数量")</f>
        <v>2435200</v>
      </c>
      <c r="G5" s="15" t="s">
        <v>1163</v>
      </c>
      <c r="H5" s="15"/>
      <c r="J5" s="17" t="s">
        <v>1171</v>
      </c>
      <c r="K5" s="18">
        <f>_xll.RssMarket($B$1,"最良買気配値")</f>
        <v>3932</v>
      </c>
      <c r="L5" s="19" t="str">
        <f>_xll.RssMarket($B$1,"最良買気配時刻")</f>
        <v>10:25</v>
      </c>
      <c r="M5" s="17" t="s">
        <v>1172</v>
      </c>
      <c r="N5" s="23">
        <f>_xll.RssMarket($B$1,M5)</f>
        <v>3960</v>
      </c>
      <c r="O5" s="22" t="s">
        <v>1173</v>
      </c>
      <c r="P5" s="24">
        <f>_xll.RssMarket($B$1,O5)</f>
        <v>2.86</v>
      </c>
    </row>
    <row r="6" spans="2:16">
      <c r="B6" s="15" t="s">
        <v>1590</v>
      </c>
      <c r="C6" s="15">
        <v>100</v>
      </c>
      <c r="D6" s="15">
        <v>3932</v>
      </c>
      <c r="F6" s="15">
        <f>_xll.RssMarket($B$1,"最良売気配数量10")</f>
        <v>12100</v>
      </c>
      <c r="G6" s="15">
        <f>_xll.RssMarket($B$1,"最良売気配値10")</f>
        <v>3943</v>
      </c>
      <c r="H6" s="15"/>
      <c r="J6" s="17" t="s">
        <v>1174</v>
      </c>
      <c r="K6" s="18">
        <f>_xll.RssMarket($B$1,"始値")</f>
        <v>3960</v>
      </c>
      <c r="L6" s="19" t="str">
        <f>_xll.RssMarket($B$1,"始値時刻")</f>
        <v>09:00</v>
      </c>
      <c r="M6" s="17" t="s">
        <v>1175</v>
      </c>
      <c r="N6" s="20" t="str">
        <f>_xll.RssMarket($B$1,M6)</f>
        <v>2026/10/19</v>
      </c>
      <c r="O6" s="22" t="s">
        <v>1176</v>
      </c>
      <c r="P6" s="24">
        <f>_xll.RssMarket($B$1,O6)</f>
        <v>18.98</v>
      </c>
    </row>
    <row r="7" spans="2:16">
      <c r="B7" s="15" t="s">
        <v>1590</v>
      </c>
      <c r="C7" s="15">
        <v>400</v>
      </c>
      <c r="D7" s="15">
        <v>3932</v>
      </c>
      <c r="F7" s="15">
        <f>_xll.RssMarket($B$1,"最良売気配数量9")</f>
        <v>15100</v>
      </c>
      <c r="G7" s="15">
        <f>_xll.RssMarket($B$1,"最良売気配値9")</f>
        <v>3942</v>
      </c>
      <c r="H7" s="15"/>
      <c r="J7" s="17" t="s">
        <v>1177</v>
      </c>
      <c r="K7" s="18">
        <f>_xll.RssMarket($B$1,"高値")</f>
        <v>3964</v>
      </c>
      <c r="L7" s="19" t="str">
        <f>_xll.RssMarket($B$1,"高値時刻")</f>
        <v>09:04</v>
      </c>
      <c r="M7" s="17" t="s">
        <v>1178</v>
      </c>
      <c r="N7" s="23">
        <f>_xll.RssMarket($B$1,M7)</f>
        <v>3221200</v>
      </c>
      <c r="O7" s="25"/>
      <c r="P7" s="25"/>
    </row>
    <row r="8" spans="2:16">
      <c r="B8" s="15" t="s">
        <v>1590</v>
      </c>
      <c r="C8" s="15">
        <v>200</v>
      </c>
      <c r="D8" s="15">
        <v>3933</v>
      </c>
      <c r="F8" s="15">
        <f>_xll.RssMarket($B$1,"最良売気配数量8")</f>
        <v>11900</v>
      </c>
      <c r="G8" s="15">
        <f>_xll.RssMarket($B$1,"最良売気配値8")</f>
        <v>3941</v>
      </c>
      <c r="H8" s="15"/>
      <c r="J8" s="17" t="s">
        <v>1179</v>
      </c>
      <c r="K8" s="18">
        <f>_xll.RssMarket($B$1,"安値")</f>
        <v>3928</v>
      </c>
      <c r="L8" s="19" t="str">
        <f>_xll.RssMarket($B$1,"安値時刻")</f>
        <v>10:21</v>
      </c>
      <c r="M8" s="17" t="s">
        <v>1180</v>
      </c>
      <c r="N8" s="23">
        <f>_xll.RssMarket($B$1,"売買代金")</f>
        <v>12711124</v>
      </c>
      <c r="O8" s="25"/>
      <c r="P8" s="26"/>
    </row>
    <row r="9" spans="2:16">
      <c r="B9" s="15" t="s">
        <v>1590</v>
      </c>
      <c r="C9" s="15">
        <v>100</v>
      </c>
      <c r="D9" s="15">
        <v>3933</v>
      </c>
      <c r="F9" s="15">
        <f>_xll.RssMarket($B$1,"最良売気配数量7")</f>
        <v>18600</v>
      </c>
      <c r="G9" s="15">
        <f>_xll.RssMarket($B$1,"最良売気配値7")</f>
        <v>3940</v>
      </c>
      <c r="H9" s="15"/>
    </row>
    <row r="10" spans="2:16">
      <c r="B10" s="15" t="s">
        <v>1590</v>
      </c>
      <c r="C10" s="15">
        <v>100</v>
      </c>
      <c r="D10" s="15">
        <v>3933</v>
      </c>
      <c r="F10" s="15">
        <f>_xll.RssMarket($B$1,"最良売気配数量6")</f>
        <v>11800</v>
      </c>
      <c r="G10" s="15">
        <f>_xll.RssMarket($B$1,"最良売気配値6")</f>
        <v>3939</v>
      </c>
      <c r="H10" s="15"/>
    </row>
    <row r="11" spans="2:16">
      <c r="B11" s="15" t="s">
        <v>1589</v>
      </c>
      <c r="C11" s="15">
        <v>800</v>
      </c>
      <c r="D11" s="15">
        <v>3933</v>
      </c>
      <c r="F11" s="15">
        <f>_xll.RssMarket($B$1,"最良売気配数量5")</f>
        <v>18500</v>
      </c>
      <c r="G11" s="15">
        <f>_xll.RssMarket($B$1,"最良売気配値5")</f>
        <v>3938</v>
      </c>
      <c r="H11" s="15"/>
    </row>
    <row r="12" spans="2:16">
      <c r="B12" s="15" t="s">
        <v>1588</v>
      </c>
      <c r="C12" s="15">
        <v>100</v>
      </c>
      <c r="D12" s="15">
        <v>3933</v>
      </c>
      <c r="F12" s="15">
        <f>_xll.RssMarket($B$1,"最良売気配数量4")</f>
        <v>14800</v>
      </c>
      <c r="G12" s="15">
        <f>_xll.RssMarket($B$1,"最良売気配値4")</f>
        <v>3937</v>
      </c>
      <c r="H12" s="15"/>
    </row>
    <row r="13" spans="2:16">
      <c r="B13" s="15" t="s">
        <v>1588</v>
      </c>
      <c r="C13" s="15">
        <v>100</v>
      </c>
      <c r="D13" s="15">
        <v>3933</v>
      </c>
      <c r="F13" s="15">
        <f>_xll.RssMarket($B$1,"最良売気配数量3")</f>
        <v>17400</v>
      </c>
      <c r="G13" s="15">
        <f>_xll.RssMarket($B$1,"最良売気配値3")</f>
        <v>3936</v>
      </c>
      <c r="H13" s="15"/>
    </row>
    <row r="14" spans="2:16">
      <c r="B14" s="15" t="s">
        <v>1588</v>
      </c>
      <c r="C14" s="15">
        <v>600</v>
      </c>
      <c r="D14" s="15">
        <v>3933</v>
      </c>
      <c r="F14" s="15">
        <f>_xll.RssMarket($B$1,"最良売気配数量2")</f>
        <v>13800</v>
      </c>
      <c r="G14" s="15">
        <f>_xll.RssMarket($B$1,"最良売気配値2")</f>
        <v>3935</v>
      </c>
      <c r="H14" s="15"/>
    </row>
    <row r="15" spans="2:16">
      <c r="B15" s="15" t="s">
        <v>1587</v>
      </c>
      <c r="C15" s="15">
        <v>100</v>
      </c>
      <c r="D15" s="15">
        <v>3933</v>
      </c>
      <c r="F15" s="15">
        <f>_xll.RssMarket($B$1,"最良売気配数量1")</f>
        <v>4400</v>
      </c>
      <c r="G15" s="15">
        <f>_xll.RssMarket($B$1,"最良売気配値1")</f>
        <v>3934</v>
      </c>
      <c r="H15" s="15"/>
    </row>
    <row r="16" spans="2:16">
      <c r="B16" s="15" t="s">
        <v>1587</v>
      </c>
      <c r="C16" s="15">
        <v>200</v>
      </c>
      <c r="D16" s="15">
        <v>3933</v>
      </c>
      <c r="F16" s="15"/>
      <c r="G16" s="15">
        <f>_xll.RssMarket($B$1,"最良買気配値1")</f>
        <v>3932</v>
      </c>
      <c r="H16" s="15">
        <f>_xll.RssMarket($B$1,"最良買気配数量1")</f>
        <v>3700</v>
      </c>
    </row>
    <row r="17" spans="2:8">
      <c r="B17" s="15" t="s">
        <v>1586</v>
      </c>
      <c r="C17" s="15">
        <v>100</v>
      </c>
      <c r="D17" s="15">
        <v>3933</v>
      </c>
      <c r="F17" s="15"/>
      <c r="G17" s="15">
        <f>_xll.RssMarket($B$1,"最良買気配値2")</f>
        <v>3931</v>
      </c>
      <c r="H17" s="15">
        <f>_xll.RssMarket($B$1,"最良買気配数量2")</f>
        <v>5700</v>
      </c>
    </row>
    <row r="18" spans="2:8">
      <c r="B18" s="15" t="s">
        <v>1586</v>
      </c>
      <c r="C18" s="15">
        <v>200</v>
      </c>
      <c r="D18" s="15">
        <v>3933</v>
      </c>
      <c r="F18" s="15"/>
      <c r="G18" s="15">
        <f>_xll.RssMarket($B$1,"最良買気配値3")</f>
        <v>3930</v>
      </c>
      <c r="H18" s="15">
        <f>_xll.RssMarket($B$1,"最良買気配数量3")</f>
        <v>14400</v>
      </c>
    </row>
    <row r="19" spans="2:8">
      <c r="B19" s="15" t="s">
        <v>1584</v>
      </c>
      <c r="C19" s="15">
        <v>100</v>
      </c>
      <c r="D19" s="15">
        <v>3932</v>
      </c>
      <c r="F19" s="15"/>
      <c r="G19" s="15">
        <f>_xll.RssMarket($B$1,"最良買気配値4")</f>
        <v>3929</v>
      </c>
      <c r="H19" s="15">
        <f>_xll.RssMarket($B$1,"最良買気配数量4")</f>
        <v>13000</v>
      </c>
    </row>
    <row r="20" spans="2:8">
      <c r="B20" s="15" t="s">
        <v>1585</v>
      </c>
      <c r="C20" s="15">
        <v>200</v>
      </c>
      <c r="D20" s="15">
        <v>3933</v>
      </c>
      <c r="F20" s="15"/>
      <c r="G20" s="15">
        <f>_xll.RssMarket($B$1,"最良買気配値5")</f>
        <v>3928</v>
      </c>
      <c r="H20" s="15">
        <f>_xll.RssMarket($B$1,"最良買気配数量5")</f>
        <v>18000</v>
      </c>
    </row>
    <row r="21" spans="2:8">
      <c r="B21" s="15" t="s">
        <v>1583</v>
      </c>
      <c r="C21" s="15">
        <v>100</v>
      </c>
      <c r="D21" s="15">
        <v>3932</v>
      </c>
      <c r="F21" s="15"/>
      <c r="G21" s="15">
        <f>_xll.RssMarket($B$1,"最良買気配値6")</f>
        <v>3927</v>
      </c>
      <c r="H21" s="15">
        <f>_xll.RssMarket($B$1,"最良買気配数量6")</f>
        <v>10700</v>
      </c>
    </row>
    <row r="22" spans="2:8">
      <c r="B22" s="15" t="s">
        <v>1582</v>
      </c>
      <c r="C22" s="15">
        <v>600</v>
      </c>
      <c r="D22" s="15">
        <v>3933</v>
      </c>
      <c r="F22" s="15"/>
      <c r="G22" s="15">
        <f>_xll.RssMarket($B$1,"最良買気配値7")</f>
        <v>3926</v>
      </c>
      <c r="H22" s="15">
        <f>_xll.RssMarket($B$1,"最良買気配数量7")</f>
        <v>13600</v>
      </c>
    </row>
    <row r="23" spans="2:8">
      <c r="B23" s="15" t="s">
        <v>1582</v>
      </c>
      <c r="C23" s="15">
        <v>100</v>
      </c>
      <c r="D23" s="15">
        <v>3933</v>
      </c>
      <c r="F23" s="15"/>
      <c r="G23" s="15">
        <f>_xll.RssMarket($B$1,"最良買気配値8")</f>
        <v>3925</v>
      </c>
      <c r="H23" s="15">
        <f>_xll.RssMarket($B$1,"最良買気配数量8")</f>
        <v>11000</v>
      </c>
    </row>
    <row r="24" spans="2:8">
      <c r="B24" s="16" t="s">
        <v>64</v>
      </c>
      <c r="C24" s="16" t="s">
        <v>64</v>
      </c>
      <c r="D24" s="16" t="s">
        <v>64</v>
      </c>
      <c r="F24" s="15"/>
      <c r="G24" s="15">
        <f>_xll.RssMarket($B$1,"最良買気配値9")</f>
        <v>3924</v>
      </c>
      <c r="H24" s="15">
        <f>_xll.RssMarket($B$1,"最良買気配数量9")</f>
        <v>11100</v>
      </c>
    </row>
    <row r="25" spans="2:8">
      <c r="F25" s="15"/>
      <c r="G25" s="15">
        <f>_xll.RssMarket($B$1,"最良買気配値10")</f>
        <v>3923</v>
      </c>
      <c r="H25" s="15">
        <f>_xll.RssMarket($B$1,"最良買気配数量10")</f>
        <v>9500</v>
      </c>
    </row>
    <row r="26" spans="2:8">
      <c r="F26" s="15"/>
      <c r="G26" s="15" t="s">
        <v>1164</v>
      </c>
      <c r="H26" s="15">
        <f>_xll.RssMarket($B$1,"UNDER気配数量")</f>
        <v>701100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C503-CACF-4ED1-BFB6-CAA6461F332E}">
  <dimension ref="A1:J503"/>
  <sheetViews>
    <sheetView workbookViewId="0">
      <selection activeCell="M16" sqref="M16"/>
    </sheetView>
  </sheetViews>
  <sheetFormatPr defaultRowHeight="18.75"/>
  <cols>
    <col min="4" max="4" width="12.5" customWidth="1"/>
  </cols>
  <sheetData>
    <row r="1" spans="1:10">
      <c r="A1" t="str">
        <f>_xll.RssChart($A$2:$J$2, "6758.T", "1M", 332)</f>
        <v>=@RssChart($A$2:$J$2, "6758.T", "1M", 332) =&gt; 配信中</v>
      </c>
    </row>
    <row r="2" spans="1:10">
      <c r="A2" t="s">
        <v>11</v>
      </c>
      <c r="B2" t="s">
        <v>13</v>
      </c>
      <c r="C2" t="s">
        <v>1186</v>
      </c>
      <c r="D2" t="s">
        <v>1187</v>
      </c>
      <c r="E2" t="s">
        <v>1188</v>
      </c>
      <c r="F2" t="s">
        <v>1189</v>
      </c>
      <c r="G2" t="s">
        <v>1190</v>
      </c>
      <c r="H2" t="s">
        <v>1191</v>
      </c>
      <c r="I2" t="s">
        <v>1192</v>
      </c>
      <c r="J2" t="s">
        <v>1193</v>
      </c>
    </row>
    <row r="3" spans="1:10">
      <c r="A3" t="s">
        <v>1244</v>
      </c>
      <c r="B3" t="s">
        <v>130</v>
      </c>
      <c r="C3" t="s">
        <v>1245</v>
      </c>
      <c r="D3" t="s">
        <v>1246</v>
      </c>
      <c r="E3" t="s">
        <v>1247</v>
      </c>
      <c r="F3">
        <v>3950</v>
      </c>
      <c r="G3">
        <v>3956</v>
      </c>
      <c r="H3">
        <v>3950</v>
      </c>
      <c r="I3">
        <v>3956</v>
      </c>
      <c r="J3">
        <v>28400</v>
      </c>
    </row>
    <row r="4" spans="1:10">
      <c r="D4" t="s">
        <v>1246</v>
      </c>
      <c r="E4" t="s">
        <v>1248</v>
      </c>
      <c r="F4">
        <v>3955</v>
      </c>
      <c r="G4">
        <v>3956</v>
      </c>
      <c r="H4">
        <v>3951</v>
      </c>
      <c r="I4">
        <v>3955</v>
      </c>
      <c r="J4">
        <v>21500</v>
      </c>
    </row>
    <row r="5" spans="1:10">
      <c r="D5" t="s">
        <v>1246</v>
      </c>
      <c r="E5" t="s">
        <v>1249</v>
      </c>
      <c r="F5">
        <v>3955</v>
      </c>
      <c r="G5">
        <v>3956</v>
      </c>
      <c r="H5">
        <v>3952</v>
      </c>
      <c r="I5">
        <v>3952</v>
      </c>
      <c r="J5">
        <v>12800</v>
      </c>
    </row>
    <row r="6" spans="1:10">
      <c r="D6" t="s">
        <v>1246</v>
      </c>
      <c r="E6" t="s">
        <v>1250</v>
      </c>
      <c r="F6">
        <v>3952</v>
      </c>
      <c r="G6">
        <v>3953</v>
      </c>
      <c r="H6">
        <v>3948</v>
      </c>
      <c r="I6">
        <v>3949</v>
      </c>
      <c r="J6">
        <v>41300</v>
      </c>
    </row>
    <row r="7" spans="1:10">
      <c r="D7" t="s">
        <v>1246</v>
      </c>
      <c r="E7" t="s">
        <v>1251</v>
      </c>
      <c r="F7">
        <v>3949</v>
      </c>
      <c r="G7">
        <v>3955</v>
      </c>
      <c r="H7">
        <v>3948</v>
      </c>
      <c r="I7">
        <v>3953</v>
      </c>
      <c r="J7">
        <v>54100</v>
      </c>
    </row>
    <row r="8" spans="1:10">
      <c r="D8" t="s">
        <v>1246</v>
      </c>
      <c r="E8" t="s">
        <v>1252</v>
      </c>
      <c r="F8">
        <v>3954</v>
      </c>
      <c r="G8">
        <v>3961</v>
      </c>
      <c r="H8">
        <v>3954</v>
      </c>
      <c r="I8">
        <v>3960</v>
      </c>
      <c r="J8">
        <v>47700</v>
      </c>
    </row>
    <row r="9" spans="1:10">
      <c r="D9" t="s">
        <v>1246</v>
      </c>
      <c r="E9" t="s">
        <v>1253</v>
      </c>
      <c r="F9">
        <v>3960</v>
      </c>
      <c r="G9">
        <v>3963</v>
      </c>
      <c r="H9">
        <v>3958</v>
      </c>
      <c r="I9">
        <v>3959</v>
      </c>
      <c r="J9">
        <v>31200</v>
      </c>
    </row>
    <row r="10" spans="1:10">
      <c r="D10" t="s">
        <v>1246</v>
      </c>
      <c r="E10" t="s">
        <v>1254</v>
      </c>
      <c r="F10">
        <v>3959</v>
      </c>
      <c r="G10">
        <v>3960</v>
      </c>
      <c r="H10">
        <v>3958</v>
      </c>
      <c r="I10">
        <v>3958</v>
      </c>
      <c r="J10">
        <v>11100</v>
      </c>
    </row>
    <row r="11" spans="1:10">
      <c r="D11" t="s">
        <v>1246</v>
      </c>
      <c r="E11" t="s">
        <v>1255</v>
      </c>
      <c r="F11">
        <v>3958</v>
      </c>
      <c r="G11">
        <v>3961</v>
      </c>
      <c r="H11">
        <v>3958</v>
      </c>
      <c r="I11">
        <v>3960</v>
      </c>
      <c r="J11">
        <v>16300</v>
      </c>
    </row>
    <row r="12" spans="1:10">
      <c r="D12" t="s">
        <v>1246</v>
      </c>
      <c r="E12" t="s">
        <v>1256</v>
      </c>
      <c r="F12">
        <v>3961</v>
      </c>
      <c r="G12">
        <v>3961</v>
      </c>
      <c r="H12">
        <v>3957</v>
      </c>
      <c r="I12">
        <v>3958</v>
      </c>
      <c r="J12">
        <v>23300</v>
      </c>
    </row>
    <row r="13" spans="1:10">
      <c r="D13" t="s">
        <v>1246</v>
      </c>
      <c r="E13" t="s">
        <v>1257</v>
      </c>
      <c r="F13">
        <v>3958</v>
      </c>
      <c r="G13">
        <v>3958</v>
      </c>
      <c r="H13">
        <v>3954</v>
      </c>
      <c r="I13">
        <v>3957</v>
      </c>
      <c r="J13">
        <v>44200</v>
      </c>
    </row>
    <row r="14" spans="1:10">
      <c r="D14" t="s">
        <v>1246</v>
      </c>
      <c r="E14" t="s">
        <v>1258</v>
      </c>
      <c r="F14">
        <v>3957</v>
      </c>
      <c r="G14">
        <v>3958</v>
      </c>
      <c r="H14">
        <v>3955</v>
      </c>
      <c r="I14">
        <v>3955</v>
      </c>
      <c r="J14">
        <v>18600</v>
      </c>
    </row>
    <row r="15" spans="1:10">
      <c r="D15" t="s">
        <v>1246</v>
      </c>
      <c r="E15" t="s">
        <v>1259</v>
      </c>
      <c r="F15">
        <v>3955</v>
      </c>
      <c r="G15">
        <v>3956</v>
      </c>
      <c r="H15">
        <v>3953</v>
      </c>
      <c r="I15">
        <v>3955</v>
      </c>
      <c r="J15">
        <v>17300</v>
      </c>
    </row>
    <row r="16" spans="1:10">
      <c r="D16" t="s">
        <v>1246</v>
      </c>
      <c r="E16" t="s">
        <v>1260</v>
      </c>
      <c r="F16">
        <v>3954</v>
      </c>
      <c r="G16">
        <v>3955</v>
      </c>
      <c r="H16">
        <v>3951</v>
      </c>
      <c r="I16">
        <v>3955</v>
      </c>
      <c r="J16">
        <v>37500</v>
      </c>
    </row>
    <row r="17" spans="1:10">
      <c r="D17" t="s">
        <v>1246</v>
      </c>
      <c r="E17" t="s">
        <v>1261</v>
      </c>
      <c r="F17">
        <v>3954</v>
      </c>
      <c r="G17">
        <v>3954</v>
      </c>
      <c r="H17">
        <v>3950</v>
      </c>
      <c r="I17">
        <v>3950</v>
      </c>
      <c r="J17">
        <v>14700</v>
      </c>
    </row>
    <row r="18" spans="1:10">
      <c r="D18" t="s">
        <v>1246</v>
      </c>
      <c r="E18" t="s">
        <v>1262</v>
      </c>
      <c r="F18">
        <v>3951</v>
      </c>
      <c r="G18">
        <v>3954</v>
      </c>
      <c r="H18">
        <v>3950</v>
      </c>
      <c r="I18">
        <v>3952</v>
      </c>
      <c r="J18">
        <v>29600</v>
      </c>
    </row>
    <row r="19" spans="1:10">
      <c r="D19" t="s">
        <v>1246</v>
      </c>
      <c r="E19" t="s">
        <v>1263</v>
      </c>
      <c r="F19">
        <v>3951</v>
      </c>
      <c r="G19">
        <v>3954</v>
      </c>
      <c r="H19">
        <v>3948</v>
      </c>
      <c r="I19">
        <v>3952</v>
      </c>
      <c r="J19">
        <v>45500</v>
      </c>
    </row>
    <row r="20" spans="1:10">
      <c r="D20" t="s">
        <v>1246</v>
      </c>
      <c r="E20" t="s">
        <v>1264</v>
      </c>
      <c r="F20">
        <v>3951</v>
      </c>
      <c r="G20">
        <v>3953</v>
      </c>
      <c r="H20">
        <v>3950</v>
      </c>
      <c r="I20">
        <v>3950</v>
      </c>
      <c r="J20">
        <v>12100</v>
      </c>
    </row>
    <row r="21" spans="1:10">
      <c r="D21" t="s">
        <v>1246</v>
      </c>
      <c r="E21" t="s">
        <v>1265</v>
      </c>
      <c r="F21">
        <v>3951</v>
      </c>
      <c r="G21">
        <v>3952</v>
      </c>
      <c r="H21">
        <v>3948</v>
      </c>
      <c r="I21">
        <v>3950</v>
      </c>
      <c r="J21">
        <v>20600</v>
      </c>
    </row>
    <row r="22" spans="1:10">
      <c r="D22" t="s">
        <v>1246</v>
      </c>
      <c r="E22" t="s">
        <v>1266</v>
      </c>
      <c r="F22">
        <v>3949</v>
      </c>
      <c r="G22">
        <v>3950</v>
      </c>
      <c r="H22">
        <v>3941</v>
      </c>
      <c r="I22">
        <v>3942</v>
      </c>
      <c r="J22">
        <v>67300</v>
      </c>
    </row>
    <row r="23" spans="1:10">
      <c r="A23" s="1"/>
      <c r="B23" s="1"/>
      <c r="C23" s="1"/>
      <c r="D23" s="1" t="s">
        <v>1246</v>
      </c>
      <c r="E23" s="1" t="s">
        <v>1267</v>
      </c>
      <c r="F23" s="1">
        <v>3943</v>
      </c>
      <c r="G23" s="1">
        <v>3945</v>
      </c>
      <c r="H23" s="1">
        <v>3939</v>
      </c>
      <c r="I23" s="1">
        <v>3939</v>
      </c>
      <c r="J23" s="1">
        <v>51900</v>
      </c>
    </row>
    <row r="24" spans="1:10">
      <c r="D24" t="s">
        <v>1246</v>
      </c>
      <c r="E24" t="s">
        <v>1268</v>
      </c>
      <c r="F24">
        <v>3939</v>
      </c>
      <c r="G24">
        <v>3943</v>
      </c>
      <c r="H24">
        <v>3938</v>
      </c>
      <c r="I24">
        <v>3941</v>
      </c>
      <c r="J24">
        <v>30500</v>
      </c>
    </row>
    <row r="25" spans="1:10">
      <c r="D25" t="s">
        <v>1246</v>
      </c>
      <c r="E25" t="s">
        <v>1269</v>
      </c>
      <c r="F25">
        <v>3941</v>
      </c>
      <c r="G25">
        <v>3943</v>
      </c>
      <c r="H25">
        <v>3937</v>
      </c>
      <c r="I25">
        <v>3937</v>
      </c>
      <c r="J25">
        <v>26100</v>
      </c>
    </row>
    <row r="26" spans="1:10">
      <c r="D26" t="s">
        <v>1246</v>
      </c>
      <c r="E26" t="s">
        <v>1270</v>
      </c>
      <c r="F26">
        <v>3938</v>
      </c>
      <c r="G26">
        <v>3939</v>
      </c>
      <c r="H26">
        <v>3937</v>
      </c>
      <c r="I26">
        <v>3938</v>
      </c>
      <c r="J26">
        <v>16200</v>
      </c>
    </row>
    <row r="27" spans="1:10">
      <c r="D27" t="s">
        <v>1246</v>
      </c>
      <c r="E27" t="s">
        <v>1271</v>
      </c>
      <c r="F27">
        <v>3937</v>
      </c>
      <c r="G27">
        <v>3941</v>
      </c>
      <c r="H27">
        <v>3930</v>
      </c>
      <c r="I27">
        <v>3931</v>
      </c>
      <c r="J27">
        <v>53900</v>
      </c>
    </row>
    <row r="28" spans="1:10">
      <c r="D28" t="s">
        <v>1246</v>
      </c>
      <c r="E28" t="s">
        <v>1272</v>
      </c>
      <c r="F28">
        <v>3931</v>
      </c>
      <c r="G28">
        <v>3933</v>
      </c>
      <c r="H28">
        <v>3929</v>
      </c>
      <c r="I28">
        <v>3930</v>
      </c>
      <c r="J28">
        <v>49200</v>
      </c>
    </row>
    <row r="29" spans="1:10">
      <c r="D29" t="s">
        <v>1246</v>
      </c>
      <c r="E29" t="s">
        <v>1273</v>
      </c>
      <c r="F29">
        <v>3930</v>
      </c>
      <c r="G29">
        <v>3934</v>
      </c>
      <c r="H29">
        <v>3930</v>
      </c>
      <c r="I29">
        <v>3931</v>
      </c>
      <c r="J29">
        <v>22600</v>
      </c>
    </row>
    <row r="30" spans="1:10">
      <c r="D30" t="s">
        <v>1246</v>
      </c>
      <c r="E30" t="s">
        <v>1274</v>
      </c>
      <c r="F30">
        <v>3931</v>
      </c>
      <c r="G30">
        <v>3934</v>
      </c>
      <c r="H30">
        <v>3930</v>
      </c>
      <c r="I30">
        <v>3932</v>
      </c>
      <c r="J30">
        <v>39700</v>
      </c>
    </row>
    <row r="31" spans="1:10">
      <c r="D31" t="s">
        <v>1246</v>
      </c>
      <c r="E31" t="s">
        <v>1275</v>
      </c>
      <c r="F31">
        <v>3932</v>
      </c>
      <c r="G31">
        <v>3935</v>
      </c>
      <c r="H31">
        <v>3929</v>
      </c>
      <c r="I31">
        <v>3929</v>
      </c>
      <c r="J31">
        <v>49900</v>
      </c>
    </row>
    <row r="32" spans="1:10">
      <c r="D32" t="s">
        <v>1246</v>
      </c>
      <c r="E32" t="s">
        <v>1276</v>
      </c>
      <c r="F32">
        <v>3930</v>
      </c>
      <c r="G32">
        <v>3930</v>
      </c>
      <c r="H32">
        <v>3926</v>
      </c>
      <c r="I32">
        <v>3927</v>
      </c>
      <c r="J32">
        <v>26500</v>
      </c>
    </row>
    <row r="33" spans="4:10">
      <c r="D33" t="s">
        <v>1246</v>
      </c>
      <c r="E33" t="s">
        <v>1277</v>
      </c>
      <c r="F33">
        <v>3928</v>
      </c>
      <c r="G33">
        <v>3932</v>
      </c>
      <c r="H33">
        <v>3927</v>
      </c>
      <c r="I33">
        <v>3927</v>
      </c>
      <c r="J33">
        <v>34800</v>
      </c>
    </row>
    <row r="34" spans="4:10">
      <c r="D34" t="s">
        <v>1246</v>
      </c>
      <c r="E34" t="s">
        <v>1278</v>
      </c>
      <c r="F34">
        <v>3928</v>
      </c>
      <c r="G34">
        <v>3933</v>
      </c>
      <c r="H34">
        <v>3927</v>
      </c>
      <c r="I34">
        <v>3933</v>
      </c>
      <c r="J34">
        <v>27400</v>
      </c>
    </row>
    <row r="35" spans="4:10">
      <c r="D35" t="s">
        <v>1246</v>
      </c>
      <c r="E35" t="s">
        <v>1279</v>
      </c>
      <c r="F35">
        <v>3934</v>
      </c>
      <c r="G35">
        <v>3937</v>
      </c>
      <c r="H35">
        <v>3933</v>
      </c>
      <c r="I35">
        <v>3933</v>
      </c>
      <c r="J35">
        <v>38100</v>
      </c>
    </row>
    <row r="36" spans="4:10">
      <c r="D36" t="s">
        <v>1246</v>
      </c>
      <c r="E36" t="s">
        <v>1280</v>
      </c>
      <c r="F36">
        <v>3934</v>
      </c>
      <c r="G36">
        <v>3937</v>
      </c>
      <c r="H36">
        <v>3934</v>
      </c>
      <c r="I36">
        <v>3935</v>
      </c>
      <c r="J36">
        <v>18900</v>
      </c>
    </row>
    <row r="37" spans="4:10">
      <c r="D37" t="s">
        <v>1246</v>
      </c>
      <c r="E37" t="s">
        <v>1281</v>
      </c>
      <c r="F37">
        <v>3934</v>
      </c>
      <c r="G37">
        <v>3936</v>
      </c>
      <c r="H37">
        <v>3933</v>
      </c>
      <c r="I37">
        <v>3934</v>
      </c>
      <c r="J37">
        <v>8100</v>
      </c>
    </row>
    <row r="38" spans="4:10">
      <c r="D38" t="s">
        <v>1246</v>
      </c>
      <c r="E38" t="s">
        <v>1282</v>
      </c>
      <c r="F38">
        <v>3933</v>
      </c>
      <c r="G38">
        <v>3935</v>
      </c>
      <c r="H38">
        <v>3931</v>
      </c>
      <c r="I38">
        <v>3935</v>
      </c>
      <c r="J38">
        <v>25500</v>
      </c>
    </row>
    <row r="39" spans="4:10">
      <c r="D39" t="s">
        <v>1246</v>
      </c>
      <c r="E39" t="s">
        <v>1283</v>
      </c>
      <c r="F39">
        <v>3935</v>
      </c>
      <c r="G39">
        <v>3935</v>
      </c>
      <c r="H39">
        <v>3928</v>
      </c>
      <c r="I39">
        <v>3929</v>
      </c>
      <c r="J39">
        <v>45200</v>
      </c>
    </row>
    <row r="40" spans="4:10">
      <c r="D40" t="s">
        <v>1246</v>
      </c>
      <c r="E40" t="s">
        <v>1284</v>
      </c>
      <c r="F40">
        <v>3929</v>
      </c>
      <c r="G40">
        <v>3931</v>
      </c>
      <c r="H40">
        <v>3928</v>
      </c>
      <c r="I40">
        <v>3930</v>
      </c>
      <c r="J40">
        <v>12900</v>
      </c>
    </row>
    <row r="41" spans="4:10">
      <c r="D41" t="s">
        <v>1246</v>
      </c>
      <c r="E41" t="s">
        <v>1285</v>
      </c>
      <c r="F41">
        <v>3929</v>
      </c>
      <c r="G41">
        <v>3930</v>
      </c>
      <c r="H41">
        <v>3928</v>
      </c>
      <c r="I41">
        <v>3929</v>
      </c>
      <c r="J41">
        <v>12500</v>
      </c>
    </row>
    <row r="42" spans="4:10">
      <c r="D42" t="s">
        <v>1246</v>
      </c>
      <c r="E42" t="s">
        <v>1286</v>
      </c>
      <c r="F42">
        <v>3930</v>
      </c>
      <c r="G42">
        <v>3933</v>
      </c>
      <c r="H42">
        <v>3929</v>
      </c>
      <c r="I42">
        <v>3930</v>
      </c>
      <c r="J42">
        <v>30100</v>
      </c>
    </row>
    <row r="43" spans="4:10">
      <c r="D43" t="s">
        <v>1246</v>
      </c>
      <c r="E43" t="s">
        <v>1287</v>
      </c>
      <c r="F43">
        <v>3931</v>
      </c>
      <c r="G43">
        <v>3939</v>
      </c>
      <c r="H43">
        <v>3930</v>
      </c>
      <c r="I43">
        <v>3938</v>
      </c>
      <c r="J43">
        <v>29400</v>
      </c>
    </row>
    <row r="44" spans="4:10">
      <c r="D44" t="s">
        <v>1246</v>
      </c>
      <c r="E44" t="s">
        <v>1288</v>
      </c>
      <c r="F44">
        <v>3937</v>
      </c>
      <c r="G44">
        <v>3941</v>
      </c>
      <c r="H44">
        <v>3937</v>
      </c>
      <c r="I44">
        <v>3940</v>
      </c>
      <c r="J44">
        <v>26900</v>
      </c>
    </row>
    <row r="45" spans="4:10">
      <c r="D45" t="s">
        <v>1246</v>
      </c>
      <c r="E45" t="s">
        <v>1289</v>
      </c>
      <c r="F45">
        <v>3941</v>
      </c>
      <c r="G45">
        <v>3941</v>
      </c>
      <c r="H45">
        <v>3938</v>
      </c>
      <c r="I45">
        <v>3939</v>
      </c>
      <c r="J45">
        <v>7900</v>
      </c>
    </row>
    <row r="46" spans="4:10">
      <c r="D46" t="s">
        <v>1246</v>
      </c>
      <c r="E46" t="s">
        <v>1290</v>
      </c>
      <c r="F46">
        <v>3939</v>
      </c>
      <c r="G46">
        <v>3943</v>
      </c>
      <c r="H46">
        <v>3938</v>
      </c>
      <c r="I46">
        <v>3938</v>
      </c>
      <c r="J46">
        <v>21500</v>
      </c>
    </row>
    <row r="47" spans="4:10">
      <c r="D47" t="s">
        <v>1246</v>
      </c>
      <c r="E47" t="s">
        <v>1291</v>
      </c>
      <c r="F47">
        <v>3939</v>
      </c>
      <c r="G47">
        <v>3941</v>
      </c>
      <c r="H47">
        <v>3938</v>
      </c>
      <c r="I47">
        <v>3939</v>
      </c>
      <c r="J47">
        <v>10600</v>
      </c>
    </row>
    <row r="48" spans="4:10">
      <c r="D48" t="s">
        <v>1246</v>
      </c>
      <c r="E48" t="s">
        <v>1292</v>
      </c>
      <c r="F48">
        <v>3941</v>
      </c>
      <c r="G48">
        <v>3943</v>
      </c>
      <c r="H48">
        <v>3940</v>
      </c>
      <c r="I48">
        <v>3941</v>
      </c>
      <c r="J48">
        <v>17000</v>
      </c>
    </row>
    <row r="49" spans="1:10">
      <c r="D49" t="s">
        <v>1246</v>
      </c>
      <c r="E49" t="s">
        <v>1293</v>
      </c>
      <c r="F49">
        <v>3943</v>
      </c>
      <c r="G49">
        <v>3943</v>
      </c>
      <c r="H49">
        <v>3939</v>
      </c>
      <c r="I49">
        <v>3942</v>
      </c>
      <c r="J49">
        <v>24500</v>
      </c>
    </row>
    <row r="50" spans="1:10">
      <c r="D50" t="s">
        <v>1246</v>
      </c>
      <c r="E50" t="s">
        <v>1294</v>
      </c>
      <c r="F50">
        <v>3941</v>
      </c>
      <c r="G50">
        <v>3944</v>
      </c>
      <c r="H50">
        <v>3941</v>
      </c>
      <c r="I50">
        <v>3942</v>
      </c>
      <c r="J50">
        <v>16500</v>
      </c>
    </row>
    <row r="51" spans="1:10">
      <c r="D51" t="s">
        <v>1246</v>
      </c>
      <c r="E51" t="s">
        <v>1295</v>
      </c>
      <c r="F51">
        <v>3942</v>
      </c>
      <c r="G51">
        <v>3944</v>
      </c>
      <c r="H51">
        <v>3941</v>
      </c>
      <c r="I51">
        <v>3941</v>
      </c>
      <c r="J51">
        <v>15000</v>
      </c>
    </row>
    <row r="52" spans="1:10">
      <c r="D52" t="s">
        <v>1246</v>
      </c>
      <c r="E52" t="s">
        <v>1296</v>
      </c>
      <c r="F52">
        <v>3941</v>
      </c>
      <c r="G52">
        <v>3943</v>
      </c>
      <c r="H52">
        <v>3939</v>
      </c>
      <c r="I52">
        <v>3939</v>
      </c>
      <c r="J52">
        <v>13300</v>
      </c>
    </row>
    <row r="53" spans="1:10">
      <c r="A53" s="1"/>
      <c r="B53" s="1"/>
      <c r="C53" s="1"/>
      <c r="D53" s="1" t="s">
        <v>1246</v>
      </c>
      <c r="E53" s="1" t="s">
        <v>1297</v>
      </c>
      <c r="F53" s="1">
        <v>3939</v>
      </c>
      <c r="G53" s="1">
        <v>3943</v>
      </c>
      <c r="H53" s="1">
        <v>3939</v>
      </c>
      <c r="I53" s="1">
        <v>3941</v>
      </c>
      <c r="J53" s="1">
        <v>12500</v>
      </c>
    </row>
    <row r="54" spans="1:10">
      <c r="D54" t="s">
        <v>1246</v>
      </c>
      <c r="E54" t="s">
        <v>1298</v>
      </c>
      <c r="F54">
        <v>3942</v>
      </c>
      <c r="G54">
        <v>3945</v>
      </c>
      <c r="H54">
        <v>3941</v>
      </c>
      <c r="I54">
        <v>3943</v>
      </c>
      <c r="J54">
        <v>49000</v>
      </c>
    </row>
    <row r="55" spans="1:10">
      <c r="D55" t="s">
        <v>1246</v>
      </c>
      <c r="E55" t="s">
        <v>1299</v>
      </c>
      <c r="F55">
        <v>3944</v>
      </c>
      <c r="G55">
        <v>3944</v>
      </c>
      <c r="H55">
        <v>3940</v>
      </c>
      <c r="I55">
        <v>3944</v>
      </c>
      <c r="J55">
        <v>16500</v>
      </c>
    </row>
    <row r="56" spans="1:10">
      <c r="D56" t="s">
        <v>1246</v>
      </c>
      <c r="E56" t="s">
        <v>1300</v>
      </c>
      <c r="F56">
        <v>3944</v>
      </c>
      <c r="G56">
        <v>3947</v>
      </c>
      <c r="H56">
        <v>3944</v>
      </c>
      <c r="I56">
        <v>3947</v>
      </c>
      <c r="J56">
        <v>13500</v>
      </c>
    </row>
    <row r="57" spans="1:10">
      <c r="D57" t="s">
        <v>1246</v>
      </c>
      <c r="E57" t="s">
        <v>1301</v>
      </c>
      <c r="F57">
        <v>3946</v>
      </c>
      <c r="G57">
        <v>3948</v>
      </c>
      <c r="H57">
        <v>3944</v>
      </c>
      <c r="I57">
        <v>3945</v>
      </c>
      <c r="J57">
        <v>27800</v>
      </c>
    </row>
    <row r="58" spans="1:10">
      <c r="D58" t="s">
        <v>1246</v>
      </c>
      <c r="E58" t="s">
        <v>1302</v>
      </c>
      <c r="F58">
        <v>3945</v>
      </c>
      <c r="G58">
        <v>3946</v>
      </c>
      <c r="H58">
        <v>3944</v>
      </c>
      <c r="I58">
        <v>3945</v>
      </c>
      <c r="J58">
        <v>12400</v>
      </c>
    </row>
    <row r="59" spans="1:10">
      <c r="D59" t="s">
        <v>1246</v>
      </c>
      <c r="E59" t="s">
        <v>1303</v>
      </c>
      <c r="F59">
        <v>3945</v>
      </c>
      <c r="G59">
        <v>3949</v>
      </c>
      <c r="H59">
        <v>3944</v>
      </c>
      <c r="I59">
        <v>3949</v>
      </c>
      <c r="J59">
        <v>16100</v>
      </c>
    </row>
    <row r="60" spans="1:10">
      <c r="D60" t="s">
        <v>1246</v>
      </c>
      <c r="E60" t="s">
        <v>1304</v>
      </c>
      <c r="F60">
        <v>3948</v>
      </c>
      <c r="G60">
        <v>3949</v>
      </c>
      <c r="H60">
        <v>3947</v>
      </c>
      <c r="I60">
        <v>3948</v>
      </c>
      <c r="J60">
        <v>7400</v>
      </c>
    </row>
    <row r="61" spans="1:10">
      <c r="D61" t="s">
        <v>1246</v>
      </c>
      <c r="E61" t="s">
        <v>1305</v>
      </c>
      <c r="F61">
        <v>3948</v>
      </c>
      <c r="G61">
        <v>3951</v>
      </c>
      <c r="H61">
        <v>3947</v>
      </c>
      <c r="I61">
        <v>3951</v>
      </c>
      <c r="J61">
        <v>24100</v>
      </c>
    </row>
    <row r="62" spans="1:10">
      <c r="D62" t="s">
        <v>1246</v>
      </c>
      <c r="E62" t="s">
        <v>1306</v>
      </c>
      <c r="F62">
        <v>3951</v>
      </c>
      <c r="G62">
        <v>3953</v>
      </c>
      <c r="H62">
        <v>3950</v>
      </c>
      <c r="I62">
        <v>3951</v>
      </c>
      <c r="J62">
        <v>11900</v>
      </c>
    </row>
    <row r="63" spans="1:10">
      <c r="D63" t="s">
        <v>1246</v>
      </c>
      <c r="E63" t="s">
        <v>1307</v>
      </c>
      <c r="F63">
        <v>3952</v>
      </c>
      <c r="G63">
        <v>3953</v>
      </c>
      <c r="H63">
        <v>3951</v>
      </c>
      <c r="I63">
        <v>3952</v>
      </c>
      <c r="J63">
        <v>9500</v>
      </c>
    </row>
    <row r="64" spans="1:10">
      <c r="D64" t="s">
        <v>1246</v>
      </c>
      <c r="E64" t="s">
        <v>1308</v>
      </c>
      <c r="F64">
        <v>3952</v>
      </c>
      <c r="G64">
        <v>3953</v>
      </c>
      <c r="H64">
        <v>3951</v>
      </c>
      <c r="I64">
        <v>3952</v>
      </c>
      <c r="J64">
        <v>9600</v>
      </c>
    </row>
    <row r="65" spans="4:10">
      <c r="D65" t="s">
        <v>1246</v>
      </c>
      <c r="E65" t="s">
        <v>1309</v>
      </c>
      <c r="F65">
        <v>3953</v>
      </c>
      <c r="G65">
        <v>3957</v>
      </c>
      <c r="H65">
        <v>3952</v>
      </c>
      <c r="I65">
        <v>3954</v>
      </c>
      <c r="J65">
        <v>54400</v>
      </c>
    </row>
    <row r="66" spans="4:10">
      <c r="D66" t="s">
        <v>1246</v>
      </c>
      <c r="E66" t="s">
        <v>1310</v>
      </c>
      <c r="F66">
        <v>3954</v>
      </c>
      <c r="G66">
        <v>3959</v>
      </c>
      <c r="H66">
        <v>3952</v>
      </c>
      <c r="I66">
        <v>3958</v>
      </c>
      <c r="J66">
        <v>34200</v>
      </c>
    </row>
    <row r="67" spans="4:10">
      <c r="D67" t="s">
        <v>1246</v>
      </c>
      <c r="E67" t="s">
        <v>1311</v>
      </c>
      <c r="F67">
        <v>3958</v>
      </c>
      <c r="G67">
        <v>3962</v>
      </c>
      <c r="H67">
        <v>3958</v>
      </c>
      <c r="I67">
        <v>3962</v>
      </c>
      <c r="J67">
        <v>26800</v>
      </c>
    </row>
    <row r="68" spans="4:10">
      <c r="D68" t="s">
        <v>1246</v>
      </c>
      <c r="E68" t="s">
        <v>1312</v>
      </c>
      <c r="F68">
        <v>3962</v>
      </c>
      <c r="G68">
        <v>3962</v>
      </c>
      <c r="H68">
        <v>3959</v>
      </c>
      <c r="I68">
        <v>3960</v>
      </c>
      <c r="J68">
        <v>10800</v>
      </c>
    </row>
    <row r="69" spans="4:10">
      <c r="D69" t="s">
        <v>1246</v>
      </c>
      <c r="E69" t="s">
        <v>1313</v>
      </c>
      <c r="F69">
        <v>3960</v>
      </c>
      <c r="G69">
        <v>3961</v>
      </c>
      <c r="H69">
        <v>3959</v>
      </c>
      <c r="I69">
        <v>3960</v>
      </c>
      <c r="J69">
        <v>13800</v>
      </c>
    </row>
    <row r="70" spans="4:10">
      <c r="D70" t="s">
        <v>1246</v>
      </c>
      <c r="E70" t="s">
        <v>1314</v>
      </c>
      <c r="F70">
        <v>3959</v>
      </c>
      <c r="G70">
        <v>3961</v>
      </c>
      <c r="H70">
        <v>3959</v>
      </c>
      <c r="I70">
        <v>3960</v>
      </c>
      <c r="J70">
        <v>17500</v>
      </c>
    </row>
    <row r="71" spans="4:10">
      <c r="D71" t="s">
        <v>1246</v>
      </c>
      <c r="E71" t="s">
        <v>1315</v>
      </c>
      <c r="F71">
        <v>3960</v>
      </c>
      <c r="G71">
        <v>3960</v>
      </c>
      <c r="H71">
        <v>3957</v>
      </c>
      <c r="I71">
        <v>3958</v>
      </c>
      <c r="J71">
        <v>10600</v>
      </c>
    </row>
    <row r="72" spans="4:10">
      <c r="D72" t="s">
        <v>1246</v>
      </c>
      <c r="E72" t="s">
        <v>1316</v>
      </c>
      <c r="F72">
        <v>3958</v>
      </c>
      <c r="G72">
        <v>3959</v>
      </c>
      <c r="H72">
        <v>3956</v>
      </c>
      <c r="I72">
        <v>3956</v>
      </c>
      <c r="J72">
        <v>22000</v>
      </c>
    </row>
    <row r="73" spans="4:10">
      <c r="D73" t="s">
        <v>1246</v>
      </c>
      <c r="E73" t="s">
        <v>1317</v>
      </c>
      <c r="F73">
        <v>3957</v>
      </c>
      <c r="G73">
        <v>3958</v>
      </c>
      <c r="H73">
        <v>3956</v>
      </c>
      <c r="I73">
        <v>3957</v>
      </c>
      <c r="J73">
        <v>4200</v>
      </c>
    </row>
    <row r="74" spans="4:10">
      <c r="D74" t="s">
        <v>1246</v>
      </c>
      <c r="E74" t="s">
        <v>1318</v>
      </c>
      <c r="F74">
        <v>3956</v>
      </c>
      <c r="G74">
        <v>3956</v>
      </c>
      <c r="H74">
        <v>3954</v>
      </c>
      <c r="I74">
        <v>3954</v>
      </c>
      <c r="J74">
        <v>9200</v>
      </c>
    </row>
    <row r="75" spans="4:10">
      <c r="D75" t="s">
        <v>1246</v>
      </c>
      <c r="E75" t="s">
        <v>1319</v>
      </c>
      <c r="F75">
        <v>3955</v>
      </c>
      <c r="G75">
        <v>3957</v>
      </c>
      <c r="H75">
        <v>3954</v>
      </c>
      <c r="I75">
        <v>3957</v>
      </c>
      <c r="J75">
        <v>9300</v>
      </c>
    </row>
    <row r="76" spans="4:10">
      <c r="D76" t="s">
        <v>1246</v>
      </c>
      <c r="E76" t="s">
        <v>1320</v>
      </c>
      <c r="F76">
        <v>3957</v>
      </c>
      <c r="G76">
        <v>3959</v>
      </c>
      <c r="H76">
        <v>3954</v>
      </c>
      <c r="I76">
        <v>3954</v>
      </c>
      <c r="J76">
        <v>13500</v>
      </c>
    </row>
    <row r="77" spans="4:10">
      <c r="D77" t="s">
        <v>1246</v>
      </c>
      <c r="E77" t="s">
        <v>1321</v>
      </c>
      <c r="F77">
        <v>3955</v>
      </c>
      <c r="G77">
        <v>3958</v>
      </c>
      <c r="H77">
        <v>3955</v>
      </c>
      <c r="I77">
        <v>3958</v>
      </c>
      <c r="J77">
        <v>7400</v>
      </c>
    </row>
    <row r="78" spans="4:10">
      <c r="D78" t="s">
        <v>1246</v>
      </c>
      <c r="E78" t="s">
        <v>1322</v>
      </c>
      <c r="F78">
        <v>3958</v>
      </c>
      <c r="G78">
        <v>3958</v>
      </c>
      <c r="H78">
        <v>3954</v>
      </c>
      <c r="I78">
        <v>3956</v>
      </c>
      <c r="J78">
        <v>29100</v>
      </c>
    </row>
    <row r="79" spans="4:10">
      <c r="D79" t="s">
        <v>1246</v>
      </c>
      <c r="E79" t="s">
        <v>1323</v>
      </c>
      <c r="F79">
        <v>3956</v>
      </c>
      <c r="G79">
        <v>3957</v>
      </c>
      <c r="H79">
        <v>3954</v>
      </c>
      <c r="I79">
        <v>3954</v>
      </c>
      <c r="J79">
        <v>4300</v>
      </c>
    </row>
    <row r="80" spans="4:10">
      <c r="D80" t="s">
        <v>1246</v>
      </c>
      <c r="E80" t="s">
        <v>1324</v>
      </c>
      <c r="F80">
        <v>3954</v>
      </c>
      <c r="G80">
        <v>3956</v>
      </c>
      <c r="H80">
        <v>3952</v>
      </c>
      <c r="I80">
        <v>3953</v>
      </c>
      <c r="J80">
        <v>13700</v>
      </c>
    </row>
    <row r="81" spans="4:10">
      <c r="D81" t="s">
        <v>1246</v>
      </c>
      <c r="E81" t="s">
        <v>1325</v>
      </c>
      <c r="F81">
        <v>3953</v>
      </c>
      <c r="G81">
        <v>3955</v>
      </c>
      <c r="H81">
        <v>3953</v>
      </c>
      <c r="I81">
        <v>3954</v>
      </c>
      <c r="J81">
        <v>28100</v>
      </c>
    </row>
    <row r="82" spans="4:10">
      <c r="D82" t="s">
        <v>1246</v>
      </c>
      <c r="E82" t="s">
        <v>1326</v>
      </c>
      <c r="F82">
        <v>3954</v>
      </c>
      <c r="G82">
        <v>3955</v>
      </c>
      <c r="H82">
        <v>3953</v>
      </c>
      <c r="I82">
        <v>3954</v>
      </c>
      <c r="J82">
        <v>4200</v>
      </c>
    </row>
    <row r="83" spans="4:10">
      <c r="D83" t="s">
        <v>1246</v>
      </c>
      <c r="E83" t="s">
        <v>1327</v>
      </c>
      <c r="F83">
        <v>3955</v>
      </c>
      <c r="G83">
        <v>3956</v>
      </c>
      <c r="H83">
        <v>3954</v>
      </c>
      <c r="I83">
        <v>3954</v>
      </c>
      <c r="J83">
        <v>12200</v>
      </c>
    </row>
    <row r="84" spans="4:10">
      <c r="D84" t="s">
        <v>1246</v>
      </c>
      <c r="E84" t="s">
        <v>1328</v>
      </c>
      <c r="F84">
        <v>3954</v>
      </c>
      <c r="G84">
        <v>3955</v>
      </c>
      <c r="H84">
        <v>3953</v>
      </c>
      <c r="I84">
        <v>3954</v>
      </c>
      <c r="J84">
        <v>9700</v>
      </c>
    </row>
    <row r="85" spans="4:10">
      <c r="D85" t="s">
        <v>1246</v>
      </c>
      <c r="E85" t="s">
        <v>1329</v>
      </c>
      <c r="F85">
        <v>3955</v>
      </c>
      <c r="G85">
        <v>3957</v>
      </c>
      <c r="H85">
        <v>3954</v>
      </c>
      <c r="I85">
        <v>3957</v>
      </c>
      <c r="J85">
        <v>19600</v>
      </c>
    </row>
    <row r="86" spans="4:10">
      <c r="D86" t="s">
        <v>1246</v>
      </c>
      <c r="E86" t="s">
        <v>1330</v>
      </c>
      <c r="F86">
        <v>3957</v>
      </c>
      <c r="G86">
        <v>3958</v>
      </c>
      <c r="H86">
        <v>3957</v>
      </c>
      <c r="I86">
        <v>3958</v>
      </c>
      <c r="J86">
        <v>4800</v>
      </c>
    </row>
    <row r="87" spans="4:10">
      <c r="D87" t="s">
        <v>1246</v>
      </c>
      <c r="E87" t="s">
        <v>1331</v>
      </c>
      <c r="F87">
        <v>3957</v>
      </c>
      <c r="G87">
        <v>3959</v>
      </c>
      <c r="H87">
        <v>3954</v>
      </c>
      <c r="I87">
        <v>3959</v>
      </c>
      <c r="J87">
        <v>41700</v>
      </c>
    </row>
    <row r="88" spans="4:10">
      <c r="D88" t="s">
        <v>1246</v>
      </c>
      <c r="E88" t="s">
        <v>1332</v>
      </c>
      <c r="F88">
        <v>3958</v>
      </c>
      <c r="G88">
        <v>3960</v>
      </c>
      <c r="H88">
        <v>3956</v>
      </c>
      <c r="I88">
        <v>3959</v>
      </c>
      <c r="J88">
        <v>14400</v>
      </c>
    </row>
    <row r="89" spans="4:10">
      <c r="D89" t="s">
        <v>1246</v>
      </c>
      <c r="E89" t="s">
        <v>1333</v>
      </c>
      <c r="F89">
        <v>3959</v>
      </c>
      <c r="G89">
        <v>3960</v>
      </c>
      <c r="H89">
        <v>3958</v>
      </c>
      <c r="I89">
        <v>3958</v>
      </c>
      <c r="J89">
        <v>20100</v>
      </c>
    </row>
    <row r="90" spans="4:10">
      <c r="D90" t="s">
        <v>1246</v>
      </c>
      <c r="E90" t="s">
        <v>1334</v>
      </c>
      <c r="F90">
        <v>3957</v>
      </c>
      <c r="G90">
        <v>3959</v>
      </c>
      <c r="H90">
        <v>3956</v>
      </c>
      <c r="I90">
        <v>3957</v>
      </c>
      <c r="J90">
        <v>19600</v>
      </c>
    </row>
    <row r="91" spans="4:10">
      <c r="D91" t="s">
        <v>1246</v>
      </c>
      <c r="E91" t="s">
        <v>1335</v>
      </c>
      <c r="F91">
        <v>3958</v>
      </c>
      <c r="G91">
        <v>3959</v>
      </c>
      <c r="H91">
        <v>3957</v>
      </c>
      <c r="I91">
        <v>3957</v>
      </c>
      <c r="J91">
        <v>9600</v>
      </c>
    </row>
    <row r="92" spans="4:10">
      <c r="D92" t="s">
        <v>1246</v>
      </c>
      <c r="E92" t="s">
        <v>1336</v>
      </c>
      <c r="F92">
        <v>3957</v>
      </c>
      <c r="G92">
        <v>3958</v>
      </c>
      <c r="H92">
        <v>3954</v>
      </c>
      <c r="I92">
        <v>3956</v>
      </c>
      <c r="J92">
        <v>14500</v>
      </c>
    </row>
    <row r="93" spans="4:10">
      <c r="D93" t="s">
        <v>1246</v>
      </c>
      <c r="E93" t="s">
        <v>1337</v>
      </c>
      <c r="F93">
        <v>3956</v>
      </c>
      <c r="G93">
        <v>3958</v>
      </c>
      <c r="H93">
        <v>3955</v>
      </c>
      <c r="I93">
        <v>3955</v>
      </c>
      <c r="J93">
        <v>30600</v>
      </c>
    </row>
    <row r="94" spans="4:10">
      <c r="D94" t="s">
        <v>1246</v>
      </c>
      <c r="E94" t="s">
        <v>1338</v>
      </c>
      <c r="F94">
        <v>3955</v>
      </c>
      <c r="G94">
        <v>3956</v>
      </c>
      <c r="H94">
        <v>3954</v>
      </c>
      <c r="I94">
        <v>3955</v>
      </c>
      <c r="J94">
        <v>9200</v>
      </c>
    </row>
    <row r="95" spans="4:10">
      <c r="D95" t="s">
        <v>1246</v>
      </c>
      <c r="E95" t="s">
        <v>1339</v>
      </c>
      <c r="F95">
        <v>3954</v>
      </c>
      <c r="G95">
        <v>3957</v>
      </c>
      <c r="H95">
        <v>3953</v>
      </c>
      <c r="I95">
        <v>3955</v>
      </c>
      <c r="J95">
        <v>27900</v>
      </c>
    </row>
    <row r="96" spans="4:10">
      <c r="D96" t="s">
        <v>1246</v>
      </c>
      <c r="E96" t="s">
        <v>1340</v>
      </c>
      <c r="F96">
        <v>3954</v>
      </c>
      <c r="G96">
        <v>3955</v>
      </c>
      <c r="H96">
        <v>3953</v>
      </c>
      <c r="I96">
        <v>3953</v>
      </c>
      <c r="J96">
        <v>12200</v>
      </c>
    </row>
    <row r="97" spans="1:10">
      <c r="D97" t="s">
        <v>1246</v>
      </c>
      <c r="E97" t="s">
        <v>1341</v>
      </c>
      <c r="F97">
        <v>3953</v>
      </c>
      <c r="G97">
        <v>3957</v>
      </c>
      <c r="H97">
        <v>3953</v>
      </c>
      <c r="I97">
        <v>3956</v>
      </c>
      <c r="J97">
        <v>30100</v>
      </c>
    </row>
    <row r="98" spans="1:10">
      <c r="D98" t="s">
        <v>1246</v>
      </c>
      <c r="E98" t="s">
        <v>1342</v>
      </c>
      <c r="F98">
        <v>3956</v>
      </c>
      <c r="G98">
        <v>3957</v>
      </c>
      <c r="H98">
        <v>3955</v>
      </c>
      <c r="I98">
        <v>3955</v>
      </c>
      <c r="J98">
        <v>5500</v>
      </c>
    </row>
    <row r="99" spans="1:10">
      <c r="D99" t="s">
        <v>1246</v>
      </c>
      <c r="E99" t="s">
        <v>1343</v>
      </c>
      <c r="F99">
        <v>3955</v>
      </c>
      <c r="G99">
        <v>3956</v>
      </c>
      <c r="H99">
        <v>3955</v>
      </c>
      <c r="I99">
        <v>3955</v>
      </c>
      <c r="J99">
        <v>7100</v>
      </c>
    </row>
    <row r="100" spans="1:10">
      <c r="D100" t="s">
        <v>1246</v>
      </c>
      <c r="E100" t="s">
        <v>1344</v>
      </c>
      <c r="F100">
        <v>3955</v>
      </c>
      <c r="G100">
        <v>3957</v>
      </c>
      <c r="H100">
        <v>3955</v>
      </c>
      <c r="I100">
        <v>3957</v>
      </c>
      <c r="J100">
        <v>17100</v>
      </c>
    </row>
    <row r="101" spans="1:10">
      <c r="D101" t="s">
        <v>1246</v>
      </c>
      <c r="E101" t="s">
        <v>1345</v>
      </c>
      <c r="F101">
        <v>3957</v>
      </c>
      <c r="G101">
        <v>3958</v>
      </c>
      <c r="H101">
        <v>3957</v>
      </c>
      <c r="I101">
        <v>3957</v>
      </c>
      <c r="J101">
        <v>12900</v>
      </c>
    </row>
    <row r="102" spans="1:10">
      <c r="D102" t="s">
        <v>1246</v>
      </c>
      <c r="E102" t="s">
        <v>1346</v>
      </c>
      <c r="F102">
        <v>3958</v>
      </c>
      <c r="G102">
        <v>3962</v>
      </c>
      <c r="H102">
        <v>3956</v>
      </c>
      <c r="I102">
        <v>3961</v>
      </c>
      <c r="J102">
        <v>38300</v>
      </c>
    </row>
    <row r="103" spans="1:10">
      <c r="A103" s="1"/>
      <c r="B103" s="1"/>
      <c r="C103" s="1"/>
      <c r="D103" s="1" t="s">
        <v>1246</v>
      </c>
      <c r="E103" s="1" t="s">
        <v>1347</v>
      </c>
      <c r="F103" s="1">
        <v>3961</v>
      </c>
      <c r="G103" s="1">
        <v>3961</v>
      </c>
      <c r="H103" s="1">
        <v>3959</v>
      </c>
      <c r="I103" s="1">
        <v>3961</v>
      </c>
      <c r="J103" s="1">
        <v>13000</v>
      </c>
    </row>
    <row r="104" spans="1:10">
      <c r="D104" t="s">
        <v>1246</v>
      </c>
      <c r="E104" t="s">
        <v>1348</v>
      </c>
      <c r="F104">
        <v>3961</v>
      </c>
      <c r="G104">
        <v>3961</v>
      </c>
      <c r="H104">
        <v>3958</v>
      </c>
      <c r="I104">
        <v>3958</v>
      </c>
      <c r="J104">
        <v>11200</v>
      </c>
    </row>
    <row r="105" spans="1:10">
      <c r="D105" t="s">
        <v>1246</v>
      </c>
      <c r="E105" t="s">
        <v>1349</v>
      </c>
      <c r="F105">
        <v>3958</v>
      </c>
      <c r="G105">
        <v>3960</v>
      </c>
      <c r="H105">
        <v>3958</v>
      </c>
      <c r="I105">
        <v>3960</v>
      </c>
      <c r="J105">
        <v>4700</v>
      </c>
    </row>
    <row r="106" spans="1:10">
      <c r="D106" t="s">
        <v>1246</v>
      </c>
      <c r="E106" t="s">
        <v>1350</v>
      </c>
      <c r="F106">
        <v>3959</v>
      </c>
      <c r="G106">
        <v>3959</v>
      </c>
      <c r="H106">
        <v>3957</v>
      </c>
      <c r="I106">
        <v>3958</v>
      </c>
      <c r="J106">
        <v>19200</v>
      </c>
    </row>
    <row r="107" spans="1:10">
      <c r="D107" t="s">
        <v>1246</v>
      </c>
      <c r="E107" t="s">
        <v>1351</v>
      </c>
      <c r="F107">
        <v>3958</v>
      </c>
      <c r="G107">
        <v>3959</v>
      </c>
      <c r="H107">
        <v>3958</v>
      </c>
      <c r="I107">
        <v>3959</v>
      </c>
      <c r="J107">
        <v>7100</v>
      </c>
    </row>
    <row r="108" spans="1:10">
      <c r="D108" t="s">
        <v>1246</v>
      </c>
      <c r="E108" t="s">
        <v>1352</v>
      </c>
      <c r="F108">
        <v>3958</v>
      </c>
      <c r="G108">
        <v>3959</v>
      </c>
      <c r="H108">
        <v>3957</v>
      </c>
      <c r="I108">
        <v>3958</v>
      </c>
      <c r="J108">
        <v>8200</v>
      </c>
    </row>
    <row r="109" spans="1:10">
      <c r="D109" t="s">
        <v>1246</v>
      </c>
      <c r="E109" t="s">
        <v>1353</v>
      </c>
      <c r="F109">
        <v>3958</v>
      </c>
      <c r="G109">
        <v>3958</v>
      </c>
      <c r="H109">
        <v>3957</v>
      </c>
      <c r="I109">
        <v>3957</v>
      </c>
      <c r="J109">
        <v>3000</v>
      </c>
    </row>
    <row r="110" spans="1:10">
      <c r="D110" t="s">
        <v>1246</v>
      </c>
      <c r="E110" t="s">
        <v>1354</v>
      </c>
      <c r="F110">
        <v>3957</v>
      </c>
      <c r="G110">
        <v>3958</v>
      </c>
      <c r="H110">
        <v>3956</v>
      </c>
      <c r="I110">
        <v>3957</v>
      </c>
      <c r="J110">
        <v>9100</v>
      </c>
    </row>
    <row r="111" spans="1:10">
      <c r="D111" t="s">
        <v>1246</v>
      </c>
      <c r="E111" t="s">
        <v>1355</v>
      </c>
      <c r="F111">
        <v>3958</v>
      </c>
      <c r="G111">
        <v>3958</v>
      </c>
      <c r="H111">
        <v>3956</v>
      </c>
      <c r="I111">
        <v>3956</v>
      </c>
      <c r="J111">
        <v>8700</v>
      </c>
    </row>
    <row r="112" spans="1:10">
      <c r="D112" t="s">
        <v>1246</v>
      </c>
      <c r="E112" t="s">
        <v>1356</v>
      </c>
      <c r="F112">
        <v>3957</v>
      </c>
      <c r="G112">
        <v>3959</v>
      </c>
      <c r="H112">
        <v>3956</v>
      </c>
      <c r="I112">
        <v>3958</v>
      </c>
      <c r="J112">
        <v>21300</v>
      </c>
    </row>
    <row r="113" spans="4:10">
      <c r="D113" t="s">
        <v>1246</v>
      </c>
      <c r="E113" t="s">
        <v>1357</v>
      </c>
      <c r="F113">
        <v>3958</v>
      </c>
      <c r="G113">
        <v>3959</v>
      </c>
      <c r="H113">
        <v>3956</v>
      </c>
      <c r="I113">
        <v>3957</v>
      </c>
      <c r="J113">
        <v>32700</v>
      </c>
    </row>
    <row r="114" spans="4:10">
      <c r="D114" t="s">
        <v>1246</v>
      </c>
      <c r="E114" t="s">
        <v>1358</v>
      </c>
      <c r="F114">
        <v>3957</v>
      </c>
      <c r="G114">
        <v>3958</v>
      </c>
      <c r="H114">
        <v>3956</v>
      </c>
      <c r="I114">
        <v>3957</v>
      </c>
      <c r="J114">
        <v>11200</v>
      </c>
    </row>
    <row r="115" spans="4:10">
      <c r="D115" t="s">
        <v>1246</v>
      </c>
      <c r="E115" t="s">
        <v>1359</v>
      </c>
      <c r="F115">
        <v>3957</v>
      </c>
      <c r="G115">
        <v>3958</v>
      </c>
      <c r="H115">
        <v>3956</v>
      </c>
      <c r="I115">
        <v>3957</v>
      </c>
      <c r="J115">
        <v>11000</v>
      </c>
    </row>
    <row r="116" spans="4:10">
      <c r="D116" t="s">
        <v>1246</v>
      </c>
      <c r="E116" t="s">
        <v>1360</v>
      </c>
      <c r="F116">
        <v>3957</v>
      </c>
      <c r="G116">
        <v>3959</v>
      </c>
      <c r="H116">
        <v>3956</v>
      </c>
      <c r="I116">
        <v>3958</v>
      </c>
      <c r="J116">
        <v>15200</v>
      </c>
    </row>
    <row r="117" spans="4:10">
      <c r="D117" t="s">
        <v>1246</v>
      </c>
      <c r="E117" t="s">
        <v>1361</v>
      </c>
      <c r="F117">
        <v>3958</v>
      </c>
      <c r="G117">
        <v>3958</v>
      </c>
      <c r="H117">
        <v>3958</v>
      </c>
      <c r="I117">
        <v>3958</v>
      </c>
      <c r="J117">
        <v>21700</v>
      </c>
    </row>
    <row r="118" spans="4:10">
      <c r="D118" t="s">
        <v>1246</v>
      </c>
      <c r="E118" t="s">
        <v>1362</v>
      </c>
      <c r="F118">
        <v>3970</v>
      </c>
      <c r="G118">
        <v>3974</v>
      </c>
      <c r="H118">
        <v>3963</v>
      </c>
      <c r="I118">
        <v>3966</v>
      </c>
      <c r="J118">
        <v>381100</v>
      </c>
    </row>
    <row r="119" spans="4:10">
      <c r="D119" t="s">
        <v>1246</v>
      </c>
      <c r="E119" t="s">
        <v>1363</v>
      </c>
      <c r="F119">
        <v>3965</v>
      </c>
      <c r="G119">
        <v>3968</v>
      </c>
      <c r="H119">
        <v>3962</v>
      </c>
      <c r="I119">
        <v>3963</v>
      </c>
      <c r="J119">
        <v>47200</v>
      </c>
    </row>
    <row r="120" spans="4:10">
      <c r="D120" t="s">
        <v>1246</v>
      </c>
      <c r="E120" t="s">
        <v>1364</v>
      </c>
      <c r="F120">
        <v>3963</v>
      </c>
      <c r="G120">
        <v>3967</v>
      </c>
      <c r="H120">
        <v>3963</v>
      </c>
      <c r="I120">
        <v>3966</v>
      </c>
      <c r="J120">
        <v>33800</v>
      </c>
    </row>
    <row r="121" spans="4:10">
      <c r="D121" t="s">
        <v>1246</v>
      </c>
      <c r="E121" t="s">
        <v>1365</v>
      </c>
      <c r="F121">
        <v>3966</v>
      </c>
      <c r="G121">
        <v>3968</v>
      </c>
      <c r="H121">
        <v>3963</v>
      </c>
      <c r="I121">
        <v>3965</v>
      </c>
      <c r="J121">
        <v>33700</v>
      </c>
    </row>
    <row r="122" spans="4:10">
      <c r="D122" t="s">
        <v>1246</v>
      </c>
      <c r="E122" t="s">
        <v>1366</v>
      </c>
      <c r="F122">
        <v>3965</v>
      </c>
      <c r="G122">
        <v>3967</v>
      </c>
      <c r="H122">
        <v>3964</v>
      </c>
      <c r="I122">
        <v>3965</v>
      </c>
      <c r="J122">
        <v>31300</v>
      </c>
    </row>
    <row r="123" spans="4:10">
      <c r="D123" t="s">
        <v>1246</v>
      </c>
      <c r="E123" t="s">
        <v>1367</v>
      </c>
      <c r="F123">
        <v>3964</v>
      </c>
      <c r="G123">
        <v>3967</v>
      </c>
      <c r="H123">
        <v>3964</v>
      </c>
      <c r="I123">
        <v>3967</v>
      </c>
      <c r="J123">
        <v>28100</v>
      </c>
    </row>
    <row r="124" spans="4:10">
      <c r="D124" t="s">
        <v>1246</v>
      </c>
      <c r="E124" t="s">
        <v>1368</v>
      </c>
      <c r="F124">
        <v>3966</v>
      </c>
      <c r="G124">
        <v>3967</v>
      </c>
      <c r="H124">
        <v>3964</v>
      </c>
      <c r="I124">
        <v>3965</v>
      </c>
      <c r="J124">
        <v>34700</v>
      </c>
    </row>
    <row r="125" spans="4:10">
      <c r="D125" t="s">
        <v>1246</v>
      </c>
      <c r="E125" t="s">
        <v>1369</v>
      </c>
      <c r="F125">
        <v>3965</v>
      </c>
      <c r="G125">
        <v>3967</v>
      </c>
      <c r="H125">
        <v>3965</v>
      </c>
      <c r="I125">
        <v>3965</v>
      </c>
      <c r="J125">
        <v>28200</v>
      </c>
    </row>
    <row r="126" spans="4:10">
      <c r="D126" t="s">
        <v>1246</v>
      </c>
      <c r="E126" t="s">
        <v>1370</v>
      </c>
      <c r="F126">
        <v>3965</v>
      </c>
      <c r="G126">
        <v>3966</v>
      </c>
      <c r="H126">
        <v>3965</v>
      </c>
      <c r="I126">
        <v>3965</v>
      </c>
      <c r="J126">
        <v>3800</v>
      </c>
    </row>
    <row r="127" spans="4:10">
      <c r="D127" t="s">
        <v>1246</v>
      </c>
      <c r="E127" t="s">
        <v>1371</v>
      </c>
      <c r="F127">
        <v>3965</v>
      </c>
      <c r="G127">
        <v>3967</v>
      </c>
      <c r="H127">
        <v>3964</v>
      </c>
      <c r="I127">
        <v>3967</v>
      </c>
      <c r="J127">
        <v>32500</v>
      </c>
    </row>
    <row r="128" spans="4:10">
      <c r="D128" t="s">
        <v>1246</v>
      </c>
      <c r="E128" t="s">
        <v>1372</v>
      </c>
      <c r="F128">
        <v>3966</v>
      </c>
      <c r="G128">
        <v>3967</v>
      </c>
      <c r="H128">
        <v>3960</v>
      </c>
      <c r="I128">
        <v>3962</v>
      </c>
      <c r="J128">
        <v>90500</v>
      </c>
    </row>
    <row r="129" spans="4:10">
      <c r="D129" t="s">
        <v>1246</v>
      </c>
      <c r="E129" t="s">
        <v>1373</v>
      </c>
      <c r="F129">
        <v>3961</v>
      </c>
      <c r="G129">
        <v>3961</v>
      </c>
      <c r="H129">
        <v>3952</v>
      </c>
      <c r="I129">
        <v>3953</v>
      </c>
      <c r="J129">
        <v>58100</v>
      </c>
    </row>
    <row r="130" spans="4:10">
      <c r="D130" t="s">
        <v>1246</v>
      </c>
      <c r="E130" t="s">
        <v>1374</v>
      </c>
      <c r="F130">
        <v>3953</v>
      </c>
      <c r="G130">
        <v>3957</v>
      </c>
      <c r="H130">
        <v>3951</v>
      </c>
      <c r="I130">
        <v>3957</v>
      </c>
      <c r="J130">
        <v>32600</v>
      </c>
    </row>
    <row r="131" spans="4:10">
      <c r="D131" t="s">
        <v>1246</v>
      </c>
      <c r="E131" t="s">
        <v>1375</v>
      </c>
      <c r="F131">
        <v>3956</v>
      </c>
      <c r="G131">
        <v>3957</v>
      </c>
      <c r="H131">
        <v>3955</v>
      </c>
      <c r="I131">
        <v>3955</v>
      </c>
      <c r="J131">
        <v>9500</v>
      </c>
    </row>
    <row r="132" spans="4:10">
      <c r="D132" t="s">
        <v>1246</v>
      </c>
      <c r="E132" t="s">
        <v>1376</v>
      </c>
      <c r="F132">
        <v>3955</v>
      </c>
      <c r="G132">
        <v>3956</v>
      </c>
      <c r="H132">
        <v>3952</v>
      </c>
      <c r="I132">
        <v>3955</v>
      </c>
      <c r="J132">
        <v>22700</v>
      </c>
    </row>
    <row r="133" spans="4:10">
      <c r="D133" t="s">
        <v>1246</v>
      </c>
      <c r="E133" t="s">
        <v>1377</v>
      </c>
      <c r="F133">
        <v>3956</v>
      </c>
      <c r="G133">
        <v>3956</v>
      </c>
      <c r="H133">
        <v>3955</v>
      </c>
      <c r="I133">
        <v>3955</v>
      </c>
      <c r="J133">
        <v>25500</v>
      </c>
    </row>
    <row r="134" spans="4:10">
      <c r="D134" t="s">
        <v>1246</v>
      </c>
      <c r="E134" t="s">
        <v>1378</v>
      </c>
      <c r="F134">
        <v>3955</v>
      </c>
      <c r="G134">
        <v>3955</v>
      </c>
      <c r="H134">
        <v>3953</v>
      </c>
      <c r="I134">
        <v>3953</v>
      </c>
      <c r="J134">
        <v>13500</v>
      </c>
    </row>
    <row r="135" spans="4:10">
      <c r="D135" t="s">
        <v>1246</v>
      </c>
      <c r="E135" t="s">
        <v>1379</v>
      </c>
      <c r="F135">
        <v>3954</v>
      </c>
      <c r="G135">
        <v>3958</v>
      </c>
      <c r="H135">
        <v>3954</v>
      </c>
      <c r="I135">
        <v>3956</v>
      </c>
      <c r="J135">
        <v>34000</v>
      </c>
    </row>
    <row r="136" spans="4:10">
      <c r="D136" t="s">
        <v>1246</v>
      </c>
      <c r="E136" t="s">
        <v>1380</v>
      </c>
      <c r="F136">
        <v>3956</v>
      </c>
      <c r="G136">
        <v>3957</v>
      </c>
      <c r="H136">
        <v>3956</v>
      </c>
      <c r="I136">
        <v>3957</v>
      </c>
      <c r="J136">
        <v>11400</v>
      </c>
    </row>
    <row r="137" spans="4:10">
      <c r="D137" t="s">
        <v>1246</v>
      </c>
      <c r="E137" t="s">
        <v>1381</v>
      </c>
      <c r="F137">
        <v>3957</v>
      </c>
      <c r="G137">
        <v>3957</v>
      </c>
      <c r="H137">
        <v>3956</v>
      </c>
      <c r="I137">
        <v>3956</v>
      </c>
      <c r="J137">
        <v>5800</v>
      </c>
    </row>
    <row r="138" spans="4:10">
      <c r="D138" t="s">
        <v>1246</v>
      </c>
      <c r="E138" t="s">
        <v>1382</v>
      </c>
      <c r="F138">
        <v>3956</v>
      </c>
      <c r="G138">
        <v>3957</v>
      </c>
      <c r="H138">
        <v>3954</v>
      </c>
      <c r="I138">
        <v>3955</v>
      </c>
      <c r="J138">
        <v>19100</v>
      </c>
    </row>
    <row r="139" spans="4:10">
      <c r="D139" t="s">
        <v>1246</v>
      </c>
      <c r="E139" t="s">
        <v>1383</v>
      </c>
      <c r="F139">
        <v>3955</v>
      </c>
      <c r="G139">
        <v>3956</v>
      </c>
      <c r="H139">
        <v>3954</v>
      </c>
      <c r="I139">
        <v>3954</v>
      </c>
      <c r="J139">
        <v>16500</v>
      </c>
    </row>
    <row r="140" spans="4:10">
      <c r="D140" t="s">
        <v>1246</v>
      </c>
      <c r="E140" t="s">
        <v>1384</v>
      </c>
      <c r="F140">
        <v>3955</v>
      </c>
      <c r="G140">
        <v>3956</v>
      </c>
      <c r="H140">
        <v>3952</v>
      </c>
      <c r="I140">
        <v>3953</v>
      </c>
      <c r="J140">
        <v>35500</v>
      </c>
    </row>
    <row r="141" spans="4:10">
      <c r="D141" t="s">
        <v>1246</v>
      </c>
      <c r="E141" t="s">
        <v>1385</v>
      </c>
      <c r="F141">
        <v>3953</v>
      </c>
      <c r="G141">
        <v>3954</v>
      </c>
      <c r="H141">
        <v>3953</v>
      </c>
      <c r="I141">
        <v>3954</v>
      </c>
      <c r="J141">
        <v>7400</v>
      </c>
    </row>
    <row r="142" spans="4:10">
      <c r="D142" t="s">
        <v>1246</v>
      </c>
      <c r="E142" t="s">
        <v>1386</v>
      </c>
      <c r="F142">
        <v>3953</v>
      </c>
      <c r="G142">
        <v>3955</v>
      </c>
      <c r="H142">
        <v>3953</v>
      </c>
      <c r="I142">
        <v>3954</v>
      </c>
      <c r="J142">
        <v>14900</v>
      </c>
    </row>
    <row r="143" spans="4:10">
      <c r="D143" t="s">
        <v>1246</v>
      </c>
      <c r="E143" t="s">
        <v>1387</v>
      </c>
      <c r="F143">
        <v>3954</v>
      </c>
      <c r="G143">
        <v>3954</v>
      </c>
      <c r="H143">
        <v>3953</v>
      </c>
      <c r="I143">
        <v>3953</v>
      </c>
      <c r="J143">
        <v>8800</v>
      </c>
    </row>
    <row r="144" spans="4:10">
      <c r="D144" t="s">
        <v>1246</v>
      </c>
      <c r="E144" t="s">
        <v>1388</v>
      </c>
      <c r="F144">
        <v>3953</v>
      </c>
      <c r="G144">
        <v>3956</v>
      </c>
      <c r="H144">
        <v>3953</v>
      </c>
      <c r="I144">
        <v>3956</v>
      </c>
      <c r="J144">
        <v>32900</v>
      </c>
    </row>
    <row r="145" spans="4:10">
      <c r="D145" t="s">
        <v>1246</v>
      </c>
      <c r="E145" t="s">
        <v>1389</v>
      </c>
      <c r="F145">
        <v>3957</v>
      </c>
      <c r="G145">
        <v>3958</v>
      </c>
      <c r="H145">
        <v>3957</v>
      </c>
      <c r="I145">
        <v>3958</v>
      </c>
      <c r="J145">
        <v>9800</v>
      </c>
    </row>
    <row r="146" spans="4:10">
      <c r="D146" t="s">
        <v>1246</v>
      </c>
      <c r="E146" t="s">
        <v>1390</v>
      </c>
      <c r="F146">
        <v>3957</v>
      </c>
      <c r="G146">
        <v>3959</v>
      </c>
      <c r="H146">
        <v>3957</v>
      </c>
      <c r="I146">
        <v>3958</v>
      </c>
      <c r="J146">
        <v>15700</v>
      </c>
    </row>
    <row r="147" spans="4:10">
      <c r="D147" t="s">
        <v>1246</v>
      </c>
      <c r="E147" t="s">
        <v>1391</v>
      </c>
      <c r="F147">
        <v>3957</v>
      </c>
      <c r="G147">
        <v>3958</v>
      </c>
      <c r="H147">
        <v>3957</v>
      </c>
      <c r="I147">
        <v>3957</v>
      </c>
      <c r="J147">
        <v>6100</v>
      </c>
    </row>
    <row r="148" spans="4:10">
      <c r="D148" t="s">
        <v>1246</v>
      </c>
      <c r="E148" t="s">
        <v>1392</v>
      </c>
      <c r="F148">
        <v>3957</v>
      </c>
      <c r="G148">
        <v>3958</v>
      </c>
      <c r="H148">
        <v>3955</v>
      </c>
      <c r="I148">
        <v>3955</v>
      </c>
      <c r="J148">
        <v>20700</v>
      </c>
    </row>
    <row r="149" spans="4:10">
      <c r="D149" t="s">
        <v>1246</v>
      </c>
      <c r="E149" t="s">
        <v>1393</v>
      </c>
      <c r="F149">
        <v>3956</v>
      </c>
      <c r="G149">
        <v>3956</v>
      </c>
      <c r="H149">
        <v>3954</v>
      </c>
      <c r="I149">
        <v>3956</v>
      </c>
      <c r="J149">
        <v>16400</v>
      </c>
    </row>
    <row r="150" spans="4:10">
      <c r="D150" t="s">
        <v>1246</v>
      </c>
      <c r="E150" t="s">
        <v>1394</v>
      </c>
      <c r="F150">
        <v>3956</v>
      </c>
      <c r="G150">
        <v>3956</v>
      </c>
      <c r="H150">
        <v>3954</v>
      </c>
      <c r="I150">
        <v>3955</v>
      </c>
      <c r="J150">
        <v>21800</v>
      </c>
    </row>
    <row r="151" spans="4:10">
      <c r="D151" t="s">
        <v>1246</v>
      </c>
      <c r="E151" t="s">
        <v>1395</v>
      </c>
      <c r="F151">
        <v>3955</v>
      </c>
      <c r="G151">
        <v>3955</v>
      </c>
      <c r="H151">
        <v>3955</v>
      </c>
      <c r="I151">
        <v>3955</v>
      </c>
      <c r="J151">
        <v>2300</v>
      </c>
    </row>
    <row r="152" spans="4:10">
      <c r="D152" t="s">
        <v>1246</v>
      </c>
      <c r="E152" t="s">
        <v>1396</v>
      </c>
      <c r="F152">
        <v>3955</v>
      </c>
      <c r="G152">
        <v>3956</v>
      </c>
      <c r="H152">
        <v>3954</v>
      </c>
      <c r="I152">
        <v>3955</v>
      </c>
      <c r="J152">
        <v>6400</v>
      </c>
    </row>
    <row r="153" spans="4:10">
      <c r="D153" t="s">
        <v>1246</v>
      </c>
      <c r="E153" t="s">
        <v>1397</v>
      </c>
      <c r="F153">
        <v>3956</v>
      </c>
      <c r="G153">
        <v>3957</v>
      </c>
      <c r="H153">
        <v>3955</v>
      </c>
      <c r="I153">
        <v>3956</v>
      </c>
      <c r="J153">
        <v>8800</v>
      </c>
    </row>
    <row r="154" spans="4:10">
      <c r="D154" t="s">
        <v>1246</v>
      </c>
      <c r="E154" t="s">
        <v>1398</v>
      </c>
      <c r="F154">
        <v>3957</v>
      </c>
      <c r="G154">
        <v>3958</v>
      </c>
      <c r="H154">
        <v>3956</v>
      </c>
      <c r="I154">
        <v>3957</v>
      </c>
      <c r="J154">
        <v>18100</v>
      </c>
    </row>
    <row r="155" spans="4:10">
      <c r="D155" t="s">
        <v>1246</v>
      </c>
      <c r="E155" t="s">
        <v>1399</v>
      </c>
      <c r="F155">
        <v>3957</v>
      </c>
      <c r="G155">
        <v>3957</v>
      </c>
      <c r="H155">
        <v>3956</v>
      </c>
      <c r="I155">
        <v>3956</v>
      </c>
      <c r="J155">
        <v>9100</v>
      </c>
    </row>
    <row r="156" spans="4:10">
      <c r="D156" t="s">
        <v>1246</v>
      </c>
      <c r="E156" t="s">
        <v>1400</v>
      </c>
      <c r="F156">
        <v>3955</v>
      </c>
      <c r="G156">
        <v>3956</v>
      </c>
      <c r="H156">
        <v>3953</v>
      </c>
      <c r="I156">
        <v>3953</v>
      </c>
      <c r="J156">
        <v>12200</v>
      </c>
    </row>
    <row r="157" spans="4:10">
      <c r="D157" t="s">
        <v>1246</v>
      </c>
      <c r="E157" t="s">
        <v>1401</v>
      </c>
      <c r="F157">
        <v>3954</v>
      </c>
      <c r="G157">
        <v>3954</v>
      </c>
      <c r="H157">
        <v>3952</v>
      </c>
      <c r="I157">
        <v>3953</v>
      </c>
      <c r="J157">
        <v>17400</v>
      </c>
    </row>
    <row r="158" spans="4:10">
      <c r="D158" t="s">
        <v>1246</v>
      </c>
      <c r="E158" t="s">
        <v>1402</v>
      </c>
      <c r="F158">
        <v>3952</v>
      </c>
      <c r="G158">
        <v>3953</v>
      </c>
      <c r="H158">
        <v>3952</v>
      </c>
      <c r="I158">
        <v>3953</v>
      </c>
      <c r="J158">
        <v>2900</v>
      </c>
    </row>
    <row r="159" spans="4:10">
      <c r="D159" t="s">
        <v>1246</v>
      </c>
      <c r="E159" t="s">
        <v>1403</v>
      </c>
      <c r="F159">
        <v>3954</v>
      </c>
      <c r="G159">
        <v>3955</v>
      </c>
      <c r="H159">
        <v>3953</v>
      </c>
      <c r="I159">
        <v>3954</v>
      </c>
      <c r="J159">
        <v>7700</v>
      </c>
    </row>
    <row r="160" spans="4:10">
      <c r="D160" t="s">
        <v>1246</v>
      </c>
      <c r="E160" t="s">
        <v>1404</v>
      </c>
      <c r="F160">
        <v>3954</v>
      </c>
      <c r="G160">
        <v>3957</v>
      </c>
      <c r="H160">
        <v>3954</v>
      </c>
      <c r="I160">
        <v>3957</v>
      </c>
      <c r="J160">
        <v>18300</v>
      </c>
    </row>
    <row r="161" spans="4:10">
      <c r="D161" t="s">
        <v>1246</v>
      </c>
      <c r="E161" t="s">
        <v>1405</v>
      </c>
      <c r="F161">
        <v>3956</v>
      </c>
      <c r="G161">
        <v>3956</v>
      </c>
      <c r="H161">
        <v>3954</v>
      </c>
      <c r="I161">
        <v>3954</v>
      </c>
      <c r="J161">
        <v>17700</v>
      </c>
    </row>
    <row r="162" spans="4:10">
      <c r="D162" t="s">
        <v>1246</v>
      </c>
      <c r="E162" t="s">
        <v>1406</v>
      </c>
      <c r="F162">
        <v>3955</v>
      </c>
      <c r="G162">
        <v>3956</v>
      </c>
      <c r="H162">
        <v>3955</v>
      </c>
      <c r="I162">
        <v>3955</v>
      </c>
      <c r="J162">
        <v>11200</v>
      </c>
    </row>
    <row r="163" spans="4:10">
      <c r="D163" t="s">
        <v>1246</v>
      </c>
      <c r="E163" t="s">
        <v>1407</v>
      </c>
      <c r="F163">
        <v>3955</v>
      </c>
      <c r="G163">
        <v>3955</v>
      </c>
      <c r="H163">
        <v>3953</v>
      </c>
      <c r="I163">
        <v>3954</v>
      </c>
      <c r="J163">
        <v>11200</v>
      </c>
    </row>
    <row r="164" spans="4:10">
      <c r="D164" t="s">
        <v>1246</v>
      </c>
      <c r="E164" t="s">
        <v>1408</v>
      </c>
      <c r="F164">
        <v>3953</v>
      </c>
      <c r="G164">
        <v>3953</v>
      </c>
      <c r="H164">
        <v>3952</v>
      </c>
      <c r="I164">
        <v>3952</v>
      </c>
      <c r="J164">
        <v>8700</v>
      </c>
    </row>
    <row r="165" spans="4:10">
      <c r="D165" t="s">
        <v>1246</v>
      </c>
      <c r="E165" t="s">
        <v>1409</v>
      </c>
      <c r="F165">
        <v>3953</v>
      </c>
      <c r="G165">
        <v>3953</v>
      </c>
      <c r="H165">
        <v>3952</v>
      </c>
      <c r="I165">
        <v>3952</v>
      </c>
      <c r="J165">
        <v>500</v>
      </c>
    </row>
    <row r="166" spans="4:10">
      <c r="D166" t="s">
        <v>1246</v>
      </c>
      <c r="E166" t="s">
        <v>1410</v>
      </c>
      <c r="F166">
        <v>3952</v>
      </c>
      <c r="G166">
        <v>3955</v>
      </c>
      <c r="H166">
        <v>3952</v>
      </c>
      <c r="I166">
        <v>3954</v>
      </c>
      <c r="J166">
        <v>23100</v>
      </c>
    </row>
    <row r="167" spans="4:10">
      <c r="D167" t="s">
        <v>1246</v>
      </c>
      <c r="E167" t="s">
        <v>1411</v>
      </c>
      <c r="F167">
        <v>3954</v>
      </c>
      <c r="G167">
        <v>3955</v>
      </c>
      <c r="H167">
        <v>3954</v>
      </c>
      <c r="I167">
        <v>3954</v>
      </c>
      <c r="J167">
        <v>11400</v>
      </c>
    </row>
    <row r="168" spans="4:10">
      <c r="D168" t="s">
        <v>1246</v>
      </c>
      <c r="E168" t="s">
        <v>1412</v>
      </c>
      <c r="F168">
        <v>3954</v>
      </c>
      <c r="G168">
        <v>3954</v>
      </c>
      <c r="H168">
        <v>3952</v>
      </c>
      <c r="I168">
        <v>3952</v>
      </c>
      <c r="J168">
        <v>7900</v>
      </c>
    </row>
    <row r="169" spans="4:10">
      <c r="D169" t="s">
        <v>1246</v>
      </c>
      <c r="E169" t="s">
        <v>1413</v>
      </c>
      <c r="F169">
        <v>3952</v>
      </c>
      <c r="G169">
        <v>3952</v>
      </c>
      <c r="H169">
        <v>3950</v>
      </c>
      <c r="I169">
        <v>3952</v>
      </c>
      <c r="J169">
        <v>33400</v>
      </c>
    </row>
    <row r="170" spans="4:10">
      <c r="D170" t="s">
        <v>1246</v>
      </c>
      <c r="E170" t="s">
        <v>1414</v>
      </c>
      <c r="F170">
        <v>3952</v>
      </c>
      <c r="G170">
        <v>3952</v>
      </c>
      <c r="H170">
        <v>3952</v>
      </c>
      <c r="I170">
        <v>3952</v>
      </c>
      <c r="J170">
        <v>5900</v>
      </c>
    </row>
    <row r="171" spans="4:10">
      <c r="D171" t="s">
        <v>1246</v>
      </c>
      <c r="E171" t="s">
        <v>1415</v>
      </c>
      <c r="F171">
        <v>3952</v>
      </c>
      <c r="G171">
        <v>3953</v>
      </c>
      <c r="H171">
        <v>3951</v>
      </c>
      <c r="I171">
        <v>3951</v>
      </c>
      <c r="J171">
        <v>5300</v>
      </c>
    </row>
    <row r="172" spans="4:10">
      <c r="D172" t="s">
        <v>1246</v>
      </c>
      <c r="E172" t="s">
        <v>1416</v>
      </c>
      <c r="F172">
        <v>3952</v>
      </c>
      <c r="G172">
        <v>3954</v>
      </c>
      <c r="H172">
        <v>3952</v>
      </c>
      <c r="I172">
        <v>3953</v>
      </c>
      <c r="J172">
        <v>25700</v>
      </c>
    </row>
    <row r="173" spans="4:10">
      <c r="D173" t="s">
        <v>1246</v>
      </c>
      <c r="E173" t="s">
        <v>1417</v>
      </c>
      <c r="F173">
        <v>3952</v>
      </c>
      <c r="G173">
        <v>3952</v>
      </c>
      <c r="H173">
        <v>3949</v>
      </c>
      <c r="I173">
        <v>3949</v>
      </c>
      <c r="J173">
        <v>28100</v>
      </c>
    </row>
    <row r="174" spans="4:10">
      <c r="D174" t="s">
        <v>1246</v>
      </c>
      <c r="E174" t="s">
        <v>1418</v>
      </c>
      <c r="F174">
        <v>3950</v>
      </c>
      <c r="G174">
        <v>3952</v>
      </c>
      <c r="H174">
        <v>3949</v>
      </c>
      <c r="I174">
        <v>3952</v>
      </c>
      <c r="J174">
        <v>33200</v>
      </c>
    </row>
    <row r="175" spans="4:10">
      <c r="D175" t="s">
        <v>1246</v>
      </c>
      <c r="E175" t="s">
        <v>1419</v>
      </c>
      <c r="F175">
        <v>3952</v>
      </c>
      <c r="G175">
        <v>3952</v>
      </c>
      <c r="H175">
        <v>3951</v>
      </c>
      <c r="I175">
        <v>3951</v>
      </c>
      <c r="J175">
        <v>2800</v>
      </c>
    </row>
    <row r="176" spans="4:10">
      <c r="D176" t="s">
        <v>1246</v>
      </c>
      <c r="E176" t="s">
        <v>1420</v>
      </c>
      <c r="F176">
        <v>3952</v>
      </c>
      <c r="G176">
        <v>3952</v>
      </c>
      <c r="H176">
        <v>3951</v>
      </c>
      <c r="I176">
        <v>3952</v>
      </c>
      <c r="J176">
        <v>16900</v>
      </c>
    </row>
    <row r="177" spans="4:10">
      <c r="D177" t="s">
        <v>1246</v>
      </c>
      <c r="E177" t="s">
        <v>1421</v>
      </c>
      <c r="F177">
        <v>3952</v>
      </c>
      <c r="G177">
        <v>3953</v>
      </c>
      <c r="H177">
        <v>3951</v>
      </c>
      <c r="I177">
        <v>3951</v>
      </c>
      <c r="J177">
        <v>6700</v>
      </c>
    </row>
    <row r="178" spans="4:10">
      <c r="D178" t="s">
        <v>1246</v>
      </c>
      <c r="E178" t="s">
        <v>1422</v>
      </c>
      <c r="F178">
        <v>3951</v>
      </c>
      <c r="G178">
        <v>3953</v>
      </c>
      <c r="H178">
        <v>3950</v>
      </c>
      <c r="I178">
        <v>3952</v>
      </c>
      <c r="J178">
        <v>15900</v>
      </c>
    </row>
    <row r="179" spans="4:10">
      <c r="D179" t="s">
        <v>1246</v>
      </c>
      <c r="E179" t="s">
        <v>1423</v>
      </c>
      <c r="F179">
        <v>3953</v>
      </c>
      <c r="G179">
        <v>3955</v>
      </c>
      <c r="H179">
        <v>3952</v>
      </c>
      <c r="I179">
        <v>3953</v>
      </c>
      <c r="J179">
        <v>37200</v>
      </c>
    </row>
    <row r="180" spans="4:10">
      <c r="D180" t="s">
        <v>1246</v>
      </c>
      <c r="E180" t="s">
        <v>1424</v>
      </c>
      <c r="F180">
        <v>3954</v>
      </c>
      <c r="G180">
        <v>3956</v>
      </c>
      <c r="H180">
        <v>3954</v>
      </c>
      <c r="I180">
        <v>3955</v>
      </c>
      <c r="J180">
        <v>11800</v>
      </c>
    </row>
    <row r="181" spans="4:10">
      <c r="D181" t="s">
        <v>1246</v>
      </c>
      <c r="E181" t="s">
        <v>1425</v>
      </c>
      <c r="F181">
        <v>3954</v>
      </c>
      <c r="G181">
        <v>3955</v>
      </c>
      <c r="H181">
        <v>3954</v>
      </c>
      <c r="I181">
        <v>3954</v>
      </c>
      <c r="J181">
        <v>14700</v>
      </c>
    </row>
    <row r="182" spans="4:10">
      <c r="D182" t="s">
        <v>1246</v>
      </c>
      <c r="E182" t="s">
        <v>1426</v>
      </c>
      <c r="F182">
        <v>3955</v>
      </c>
      <c r="G182">
        <v>3956</v>
      </c>
      <c r="H182">
        <v>3952</v>
      </c>
      <c r="I182">
        <v>3956</v>
      </c>
      <c r="J182">
        <v>20400</v>
      </c>
    </row>
    <row r="183" spans="4:10">
      <c r="D183" t="s">
        <v>1246</v>
      </c>
      <c r="E183" t="s">
        <v>1427</v>
      </c>
      <c r="F183">
        <v>3956</v>
      </c>
      <c r="G183">
        <v>3958</v>
      </c>
      <c r="H183">
        <v>3955</v>
      </c>
      <c r="I183">
        <v>3957</v>
      </c>
      <c r="J183">
        <v>18900</v>
      </c>
    </row>
    <row r="184" spans="4:10">
      <c r="D184" t="s">
        <v>1246</v>
      </c>
      <c r="E184" t="s">
        <v>1428</v>
      </c>
      <c r="F184">
        <v>3957</v>
      </c>
      <c r="G184">
        <v>3957</v>
      </c>
      <c r="H184">
        <v>3956</v>
      </c>
      <c r="I184">
        <v>3956</v>
      </c>
      <c r="J184">
        <v>2800</v>
      </c>
    </row>
    <row r="185" spans="4:10">
      <c r="D185" t="s">
        <v>1246</v>
      </c>
      <c r="E185" t="s">
        <v>1429</v>
      </c>
      <c r="F185">
        <v>3956</v>
      </c>
      <c r="G185">
        <v>3957</v>
      </c>
      <c r="H185">
        <v>3954</v>
      </c>
      <c r="I185">
        <v>3956</v>
      </c>
      <c r="J185">
        <v>14100</v>
      </c>
    </row>
    <row r="186" spans="4:10">
      <c r="D186" t="s">
        <v>1246</v>
      </c>
      <c r="E186" t="s">
        <v>1430</v>
      </c>
      <c r="F186">
        <v>3955</v>
      </c>
      <c r="G186">
        <v>3957</v>
      </c>
      <c r="H186">
        <v>3955</v>
      </c>
      <c r="I186">
        <v>3956</v>
      </c>
      <c r="J186">
        <v>13200</v>
      </c>
    </row>
    <row r="187" spans="4:10">
      <c r="D187" t="s">
        <v>1246</v>
      </c>
      <c r="E187" t="s">
        <v>1431</v>
      </c>
      <c r="F187">
        <v>3956</v>
      </c>
      <c r="G187">
        <v>3957</v>
      </c>
      <c r="H187">
        <v>3955</v>
      </c>
      <c r="I187">
        <v>3957</v>
      </c>
      <c r="J187">
        <v>8800</v>
      </c>
    </row>
    <row r="188" spans="4:10">
      <c r="D188" t="s">
        <v>1246</v>
      </c>
      <c r="E188" t="s">
        <v>1432</v>
      </c>
      <c r="F188">
        <v>3957</v>
      </c>
      <c r="G188">
        <v>3959</v>
      </c>
      <c r="H188">
        <v>3957</v>
      </c>
      <c r="I188">
        <v>3958</v>
      </c>
      <c r="J188">
        <v>13900</v>
      </c>
    </row>
    <row r="189" spans="4:10">
      <c r="D189" t="s">
        <v>1246</v>
      </c>
      <c r="E189" t="s">
        <v>1433</v>
      </c>
      <c r="F189">
        <v>3957</v>
      </c>
      <c r="G189">
        <v>3961</v>
      </c>
      <c r="H189">
        <v>3957</v>
      </c>
      <c r="I189">
        <v>3959</v>
      </c>
      <c r="J189">
        <v>52100</v>
      </c>
    </row>
    <row r="190" spans="4:10">
      <c r="D190" t="s">
        <v>1246</v>
      </c>
      <c r="E190" t="s">
        <v>1434</v>
      </c>
      <c r="F190">
        <v>3959</v>
      </c>
      <c r="G190">
        <v>3961</v>
      </c>
      <c r="H190">
        <v>3958</v>
      </c>
      <c r="I190">
        <v>3961</v>
      </c>
      <c r="J190">
        <v>18500</v>
      </c>
    </row>
    <row r="191" spans="4:10">
      <c r="D191" t="s">
        <v>1246</v>
      </c>
      <c r="E191" t="s">
        <v>1435</v>
      </c>
      <c r="F191">
        <v>3960</v>
      </c>
      <c r="G191">
        <v>3961</v>
      </c>
      <c r="H191">
        <v>3959</v>
      </c>
      <c r="I191">
        <v>3961</v>
      </c>
      <c r="J191">
        <v>10200</v>
      </c>
    </row>
    <row r="192" spans="4:10">
      <c r="D192" t="s">
        <v>1246</v>
      </c>
      <c r="E192" t="s">
        <v>1436</v>
      </c>
      <c r="F192">
        <v>3960</v>
      </c>
      <c r="G192">
        <v>3961</v>
      </c>
      <c r="H192">
        <v>3959</v>
      </c>
      <c r="I192">
        <v>3961</v>
      </c>
      <c r="J192">
        <v>42300</v>
      </c>
    </row>
    <row r="193" spans="1:10">
      <c r="D193" t="s">
        <v>1246</v>
      </c>
      <c r="E193" t="s">
        <v>1437</v>
      </c>
      <c r="F193">
        <v>3961</v>
      </c>
      <c r="G193">
        <v>3962</v>
      </c>
      <c r="H193">
        <v>3960</v>
      </c>
      <c r="I193">
        <v>3960</v>
      </c>
      <c r="J193">
        <v>11800</v>
      </c>
    </row>
    <row r="194" spans="1:10">
      <c r="D194" t="s">
        <v>1246</v>
      </c>
      <c r="E194" t="s">
        <v>1438</v>
      </c>
      <c r="F194">
        <v>3959</v>
      </c>
      <c r="G194">
        <v>3962</v>
      </c>
      <c r="H194">
        <v>3958</v>
      </c>
      <c r="I194">
        <v>3960</v>
      </c>
      <c r="J194">
        <v>41000</v>
      </c>
    </row>
    <row r="195" spans="1:10">
      <c r="D195" t="s">
        <v>1246</v>
      </c>
      <c r="E195" t="s">
        <v>1439</v>
      </c>
      <c r="F195">
        <v>3960</v>
      </c>
      <c r="G195">
        <v>3960</v>
      </c>
      <c r="H195">
        <v>3959</v>
      </c>
      <c r="I195">
        <v>3960</v>
      </c>
      <c r="J195">
        <v>8400</v>
      </c>
    </row>
    <row r="196" spans="1:10">
      <c r="D196" t="s">
        <v>1246</v>
      </c>
      <c r="E196" t="s">
        <v>1440</v>
      </c>
      <c r="F196">
        <v>3960</v>
      </c>
      <c r="G196">
        <v>3961</v>
      </c>
      <c r="H196">
        <v>3959</v>
      </c>
      <c r="I196">
        <v>3960</v>
      </c>
      <c r="J196">
        <v>9600</v>
      </c>
    </row>
    <row r="197" spans="1:10">
      <c r="D197" t="s">
        <v>1246</v>
      </c>
      <c r="E197" t="s">
        <v>1441</v>
      </c>
      <c r="F197">
        <v>3960</v>
      </c>
      <c r="G197">
        <v>3960</v>
      </c>
      <c r="H197">
        <v>3959</v>
      </c>
      <c r="I197">
        <v>3959</v>
      </c>
      <c r="J197">
        <v>2600</v>
      </c>
    </row>
    <row r="198" spans="1:10">
      <c r="D198" t="s">
        <v>1246</v>
      </c>
      <c r="E198" t="s">
        <v>1442</v>
      </c>
      <c r="F198">
        <v>3959</v>
      </c>
      <c r="G198">
        <v>3961</v>
      </c>
      <c r="H198">
        <v>3959</v>
      </c>
      <c r="I198">
        <v>3961</v>
      </c>
      <c r="J198">
        <v>10200</v>
      </c>
    </row>
    <row r="199" spans="1:10">
      <c r="D199" t="s">
        <v>1246</v>
      </c>
      <c r="E199" t="s">
        <v>1443</v>
      </c>
      <c r="F199">
        <v>3960</v>
      </c>
      <c r="G199">
        <v>3963</v>
      </c>
      <c r="H199">
        <v>3960</v>
      </c>
      <c r="I199">
        <v>3963</v>
      </c>
      <c r="J199">
        <v>18300</v>
      </c>
    </row>
    <row r="200" spans="1:10">
      <c r="D200" t="s">
        <v>1246</v>
      </c>
      <c r="E200" t="s">
        <v>1444</v>
      </c>
      <c r="F200">
        <v>3963</v>
      </c>
      <c r="G200">
        <v>3963</v>
      </c>
      <c r="H200">
        <v>3961</v>
      </c>
      <c r="I200">
        <v>3961</v>
      </c>
      <c r="J200">
        <v>21900</v>
      </c>
    </row>
    <row r="201" spans="1:10">
      <c r="D201" t="s">
        <v>1246</v>
      </c>
      <c r="E201" t="s">
        <v>1445</v>
      </c>
      <c r="F201">
        <v>3961</v>
      </c>
      <c r="G201">
        <v>3961</v>
      </c>
      <c r="H201">
        <v>3957</v>
      </c>
      <c r="I201">
        <v>3957</v>
      </c>
      <c r="J201">
        <v>27700</v>
      </c>
    </row>
    <row r="202" spans="1:10">
      <c r="D202" t="s">
        <v>1246</v>
      </c>
      <c r="E202" t="s">
        <v>1446</v>
      </c>
      <c r="F202">
        <v>3958</v>
      </c>
      <c r="G202">
        <v>3958</v>
      </c>
      <c r="H202">
        <v>3955</v>
      </c>
      <c r="I202">
        <v>3955</v>
      </c>
      <c r="J202">
        <v>27700</v>
      </c>
    </row>
    <row r="203" spans="1:10">
      <c r="A203" s="1"/>
      <c r="B203" s="1"/>
      <c r="C203" s="1"/>
      <c r="D203" s="1" t="s">
        <v>1246</v>
      </c>
      <c r="E203" s="1" t="s">
        <v>1447</v>
      </c>
      <c r="F203" s="1">
        <v>3955</v>
      </c>
      <c r="G203" s="1">
        <v>3956</v>
      </c>
      <c r="H203" s="1">
        <v>3953</v>
      </c>
      <c r="I203" s="1">
        <v>3953</v>
      </c>
      <c r="J203" s="1">
        <v>38600</v>
      </c>
    </row>
    <row r="204" spans="1:10">
      <c r="D204" t="s">
        <v>1246</v>
      </c>
      <c r="E204" t="s">
        <v>1448</v>
      </c>
      <c r="F204">
        <v>3954</v>
      </c>
      <c r="G204">
        <v>3954</v>
      </c>
      <c r="H204">
        <v>3953</v>
      </c>
      <c r="I204">
        <v>3953</v>
      </c>
      <c r="J204">
        <v>1800</v>
      </c>
    </row>
    <row r="205" spans="1:10">
      <c r="D205" t="s">
        <v>1246</v>
      </c>
      <c r="E205" t="s">
        <v>1449</v>
      </c>
      <c r="F205">
        <v>3954</v>
      </c>
      <c r="G205">
        <v>3957</v>
      </c>
      <c r="H205">
        <v>3954</v>
      </c>
      <c r="I205">
        <v>3956</v>
      </c>
      <c r="J205">
        <v>30500</v>
      </c>
    </row>
    <row r="206" spans="1:10">
      <c r="D206" t="s">
        <v>1246</v>
      </c>
      <c r="E206" t="s">
        <v>1450</v>
      </c>
      <c r="F206">
        <v>3955</v>
      </c>
      <c r="G206">
        <v>3956</v>
      </c>
      <c r="H206">
        <v>3955</v>
      </c>
      <c r="I206">
        <v>3955</v>
      </c>
      <c r="J206">
        <v>1400</v>
      </c>
    </row>
    <row r="207" spans="1:10">
      <c r="D207" t="s">
        <v>1246</v>
      </c>
      <c r="E207" t="s">
        <v>1451</v>
      </c>
      <c r="F207">
        <v>3955</v>
      </c>
      <c r="G207">
        <v>3957</v>
      </c>
      <c r="H207">
        <v>3954</v>
      </c>
      <c r="I207">
        <v>3954</v>
      </c>
      <c r="J207">
        <v>14300</v>
      </c>
    </row>
    <row r="208" spans="1:10">
      <c r="D208" t="s">
        <v>1246</v>
      </c>
      <c r="E208" t="s">
        <v>1452</v>
      </c>
      <c r="F208">
        <v>3955</v>
      </c>
      <c r="G208">
        <v>3955</v>
      </c>
      <c r="H208">
        <v>3954</v>
      </c>
      <c r="I208">
        <v>3955</v>
      </c>
      <c r="J208">
        <v>12100</v>
      </c>
    </row>
    <row r="209" spans="4:10">
      <c r="D209" t="s">
        <v>1246</v>
      </c>
      <c r="E209" t="s">
        <v>1453</v>
      </c>
      <c r="F209">
        <v>3954</v>
      </c>
      <c r="G209">
        <v>3954</v>
      </c>
      <c r="H209">
        <v>3954</v>
      </c>
      <c r="I209">
        <v>3954</v>
      </c>
      <c r="J209">
        <v>5300</v>
      </c>
    </row>
    <row r="210" spans="4:10">
      <c r="D210" t="s">
        <v>1246</v>
      </c>
      <c r="E210" t="s">
        <v>1454</v>
      </c>
      <c r="F210">
        <v>3953</v>
      </c>
      <c r="G210">
        <v>3954</v>
      </c>
      <c r="H210">
        <v>3953</v>
      </c>
      <c r="I210">
        <v>3953</v>
      </c>
      <c r="J210">
        <v>13700</v>
      </c>
    </row>
    <row r="211" spans="4:10">
      <c r="D211" t="s">
        <v>1246</v>
      </c>
      <c r="E211" t="s">
        <v>1455</v>
      </c>
      <c r="F211">
        <v>3953</v>
      </c>
      <c r="G211">
        <v>3955</v>
      </c>
      <c r="H211">
        <v>3953</v>
      </c>
      <c r="I211">
        <v>3955</v>
      </c>
      <c r="J211">
        <v>5700</v>
      </c>
    </row>
    <row r="212" spans="4:10">
      <c r="D212" t="s">
        <v>1246</v>
      </c>
      <c r="E212" t="s">
        <v>1456</v>
      </c>
      <c r="F212">
        <v>3954</v>
      </c>
      <c r="G212">
        <v>3955</v>
      </c>
      <c r="H212">
        <v>3954</v>
      </c>
      <c r="I212">
        <v>3954</v>
      </c>
      <c r="J212">
        <v>10300</v>
      </c>
    </row>
    <row r="213" spans="4:10">
      <c r="D213" t="s">
        <v>1246</v>
      </c>
      <c r="E213" t="s">
        <v>1457</v>
      </c>
      <c r="F213">
        <v>3955</v>
      </c>
      <c r="G213">
        <v>3955</v>
      </c>
      <c r="H213">
        <v>3954</v>
      </c>
      <c r="I213">
        <v>3954</v>
      </c>
      <c r="J213">
        <v>2700</v>
      </c>
    </row>
    <row r="214" spans="4:10">
      <c r="D214" t="s">
        <v>1246</v>
      </c>
      <c r="E214" t="s">
        <v>1458</v>
      </c>
      <c r="F214">
        <v>3954</v>
      </c>
      <c r="G214">
        <v>3955</v>
      </c>
      <c r="H214">
        <v>3954</v>
      </c>
      <c r="I214">
        <v>3954</v>
      </c>
      <c r="J214">
        <v>5200</v>
      </c>
    </row>
    <row r="215" spans="4:10">
      <c r="D215" t="s">
        <v>1246</v>
      </c>
      <c r="E215" t="s">
        <v>1459</v>
      </c>
      <c r="F215">
        <v>3954</v>
      </c>
      <c r="G215">
        <v>3955</v>
      </c>
      <c r="H215">
        <v>3953</v>
      </c>
      <c r="I215">
        <v>3953</v>
      </c>
      <c r="J215">
        <v>11300</v>
      </c>
    </row>
    <row r="216" spans="4:10">
      <c r="D216" t="s">
        <v>1246</v>
      </c>
      <c r="E216" t="s">
        <v>1460</v>
      </c>
      <c r="F216">
        <v>3954</v>
      </c>
      <c r="G216">
        <v>3954</v>
      </c>
      <c r="H216">
        <v>3953</v>
      </c>
      <c r="I216">
        <v>3954</v>
      </c>
      <c r="J216">
        <v>16300</v>
      </c>
    </row>
    <row r="217" spans="4:10">
      <c r="D217" t="s">
        <v>1246</v>
      </c>
      <c r="E217" t="s">
        <v>1461</v>
      </c>
      <c r="F217">
        <v>3954</v>
      </c>
      <c r="G217">
        <v>3956</v>
      </c>
      <c r="H217">
        <v>3953</v>
      </c>
      <c r="I217">
        <v>3955</v>
      </c>
      <c r="J217">
        <v>26300</v>
      </c>
    </row>
    <row r="218" spans="4:10">
      <c r="D218" t="s">
        <v>1246</v>
      </c>
      <c r="E218" t="s">
        <v>1462</v>
      </c>
      <c r="F218">
        <v>3955</v>
      </c>
      <c r="G218">
        <v>3955</v>
      </c>
      <c r="H218">
        <v>3953</v>
      </c>
      <c r="I218">
        <v>3954</v>
      </c>
      <c r="J218">
        <v>11700</v>
      </c>
    </row>
    <row r="219" spans="4:10">
      <c r="D219" t="s">
        <v>1246</v>
      </c>
      <c r="E219" t="s">
        <v>1463</v>
      </c>
      <c r="F219">
        <v>3954</v>
      </c>
      <c r="G219">
        <v>3955</v>
      </c>
      <c r="H219">
        <v>3953</v>
      </c>
      <c r="I219">
        <v>3955</v>
      </c>
      <c r="J219">
        <v>7600</v>
      </c>
    </row>
    <row r="220" spans="4:10">
      <c r="D220" t="s">
        <v>1246</v>
      </c>
      <c r="E220" t="s">
        <v>1464</v>
      </c>
      <c r="F220">
        <v>3954</v>
      </c>
      <c r="G220">
        <v>3955</v>
      </c>
      <c r="H220">
        <v>3953</v>
      </c>
      <c r="I220">
        <v>3955</v>
      </c>
      <c r="J220">
        <v>7100</v>
      </c>
    </row>
    <row r="221" spans="4:10">
      <c r="D221" t="s">
        <v>1246</v>
      </c>
      <c r="E221" t="s">
        <v>1465</v>
      </c>
      <c r="F221">
        <v>3955</v>
      </c>
      <c r="G221">
        <v>3955</v>
      </c>
      <c r="H221">
        <v>3951</v>
      </c>
      <c r="I221">
        <v>3953</v>
      </c>
      <c r="J221">
        <v>31400</v>
      </c>
    </row>
    <row r="222" spans="4:10">
      <c r="D222" t="s">
        <v>1246</v>
      </c>
      <c r="E222" t="s">
        <v>1466</v>
      </c>
      <c r="F222">
        <v>3953</v>
      </c>
      <c r="G222">
        <v>3954</v>
      </c>
      <c r="H222">
        <v>3953</v>
      </c>
      <c r="I222">
        <v>3954</v>
      </c>
      <c r="J222">
        <v>16500</v>
      </c>
    </row>
    <row r="223" spans="4:10">
      <c r="D223" t="s">
        <v>1246</v>
      </c>
      <c r="E223" t="s">
        <v>1467</v>
      </c>
      <c r="F223">
        <v>3954</v>
      </c>
      <c r="G223">
        <v>3955</v>
      </c>
      <c r="H223">
        <v>3953</v>
      </c>
      <c r="I223">
        <v>3955</v>
      </c>
      <c r="J223">
        <v>13400</v>
      </c>
    </row>
    <row r="224" spans="4:10">
      <c r="D224" t="s">
        <v>1246</v>
      </c>
      <c r="E224" t="s">
        <v>1468</v>
      </c>
      <c r="F224">
        <v>3955</v>
      </c>
      <c r="G224">
        <v>3956</v>
      </c>
      <c r="H224">
        <v>3954</v>
      </c>
      <c r="I224">
        <v>3954</v>
      </c>
      <c r="J224">
        <v>18000</v>
      </c>
    </row>
    <row r="225" spans="4:10">
      <c r="D225" t="s">
        <v>1246</v>
      </c>
      <c r="E225" t="s">
        <v>1469</v>
      </c>
      <c r="F225">
        <v>3954</v>
      </c>
      <c r="G225">
        <v>3955</v>
      </c>
      <c r="H225">
        <v>3953</v>
      </c>
      <c r="I225">
        <v>3954</v>
      </c>
      <c r="J225">
        <v>14900</v>
      </c>
    </row>
    <row r="226" spans="4:10">
      <c r="D226" t="s">
        <v>1246</v>
      </c>
      <c r="E226" t="s">
        <v>1470</v>
      </c>
      <c r="F226">
        <v>3954</v>
      </c>
      <c r="G226">
        <v>3955</v>
      </c>
      <c r="H226">
        <v>3953</v>
      </c>
      <c r="I226">
        <v>3955</v>
      </c>
      <c r="J226">
        <v>35400</v>
      </c>
    </row>
    <row r="227" spans="4:10">
      <c r="D227" t="s">
        <v>1246</v>
      </c>
      <c r="E227" t="s">
        <v>1471</v>
      </c>
      <c r="F227">
        <v>3954</v>
      </c>
      <c r="G227">
        <v>3955</v>
      </c>
      <c r="H227">
        <v>3954</v>
      </c>
      <c r="I227">
        <v>3954</v>
      </c>
      <c r="J227">
        <v>4600</v>
      </c>
    </row>
    <row r="228" spans="4:10">
      <c r="D228" t="s">
        <v>1246</v>
      </c>
      <c r="E228" t="s">
        <v>1472</v>
      </c>
      <c r="F228">
        <v>3954</v>
      </c>
      <c r="G228">
        <v>3954</v>
      </c>
      <c r="H228">
        <v>3953</v>
      </c>
      <c r="I228">
        <v>3953</v>
      </c>
      <c r="J228">
        <v>5100</v>
      </c>
    </row>
    <row r="229" spans="4:10">
      <c r="D229" t="s">
        <v>1246</v>
      </c>
      <c r="E229" t="s">
        <v>1473</v>
      </c>
      <c r="F229">
        <v>3953</v>
      </c>
      <c r="G229">
        <v>3954</v>
      </c>
      <c r="H229">
        <v>3949</v>
      </c>
      <c r="I229">
        <v>3953</v>
      </c>
      <c r="J229">
        <v>84700</v>
      </c>
    </row>
    <row r="230" spans="4:10">
      <c r="D230" t="s">
        <v>1246</v>
      </c>
      <c r="E230" t="s">
        <v>1474</v>
      </c>
      <c r="F230">
        <v>3953</v>
      </c>
      <c r="G230">
        <v>3954</v>
      </c>
      <c r="H230">
        <v>3953</v>
      </c>
      <c r="I230">
        <v>3953</v>
      </c>
      <c r="J230">
        <v>10000</v>
      </c>
    </row>
    <row r="231" spans="4:10">
      <c r="D231" t="s">
        <v>1246</v>
      </c>
      <c r="E231" t="s">
        <v>1475</v>
      </c>
      <c r="F231">
        <v>3953</v>
      </c>
      <c r="G231">
        <v>3955</v>
      </c>
      <c r="H231">
        <v>3953</v>
      </c>
      <c r="I231">
        <v>3955</v>
      </c>
      <c r="J231">
        <v>18100</v>
      </c>
    </row>
    <row r="232" spans="4:10">
      <c r="D232" t="s">
        <v>1246</v>
      </c>
      <c r="E232" t="s">
        <v>1476</v>
      </c>
      <c r="F232">
        <v>3955</v>
      </c>
      <c r="G232">
        <v>3956</v>
      </c>
      <c r="H232">
        <v>3954</v>
      </c>
      <c r="I232">
        <v>3954</v>
      </c>
      <c r="J232">
        <v>11700</v>
      </c>
    </row>
    <row r="233" spans="4:10">
      <c r="D233" t="s">
        <v>1246</v>
      </c>
      <c r="E233" t="s">
        <v>1477</v>
      </c>
      <c r="F233">
        <v>3954</v>
      </c>
      <c r="G233">
        <v>3955</v>
      </c>
      <c r="H233">
        <v>3954</v>
      </c>
      <c r="I233">
        <v>3955</v>
      </c>
      <c r="J233">
        <v>1300</v>
      </c>
    </row>
    <row r="234" spans="4:10">
      <c r="D234" t="s">
        <v>1246</v>
      </c>
      <c r="E234" t="s">
        <v>1478</v>
      </c>
      <c r="F234">
        <v>3954</v>
      </c>
      <c r="G234">
        <v>3954</v>
      </c>
      <c r="H234">
        <v>3953</v>
      </c>
      <c r="I234">
        <v>3953</v>
      </c>
      <c r="J234">
        <v>22700</v>
      </c>
    </row>
    <row r="235" spans="4:10">
      <c r="D235" t="s">
        <v>1246</v>
      </c>
      <c r="E235" t="s">
        <v>1479</v>
      </c>
      <c r="F235">
        <v>3952</v>
      </c>
      <c r="G235">
        <v>3955</v>
      </c>
      <c r="H235">
        <v>3952</v>
      </c>
      <c r="I235">
        <v>3954</v>
      </c>
      <c r="J235">
        <v>42200</v>
      </c>
    </row>
    <row r="236" spans="4:10">
      <c r="D236" t="s">
        <v>1246</v>
      </c>
      <c r="E236" t="s">
        <v>1480</v>
      </c>
      <c r="F236">
        <v>3954</v>
      </c>
      <c r="G236">
        <v>3954</v>
      </c>
      <c r="H236">
        <v>3952</v>
      </c>
      <c r="I236">
        <v>3953</v>
      </c>
      <c r="J236">
        <v>18200</v>
      </c>
    </row>
    <row r="237" spans="4:10">
      <c r="D237" t="s">
        <v>1246</v>
      </c>
      <c r="E237" t="s">
        <v>1481</v>
      </c>
      <c r="F237">
        <v>3953</v>
      </c>
      <c r="G237">
        <v>3953</v>
      </c>
      <c r="H237">
        <v>3952</v>
      </c>
      <c r="I237">
        <v>3952</v>
      </c>
      <c r="J237">
        <v>7400</v>
      </c>
    </row>
    <row r="238" spans="4:10">
      <c r="D238" t="s">
        <v>1246</v>
      </c>
      <c r="E238" t="s">
        <v>1482</v>
      </c>
      <c r="F238">
        <v>3952</v>
      </c>
      <c r="G238">
        <v>3953</v>
      </c>
      <c r="H238">
        <v>3952</v>
      </c>
      <c r="I238">
        <v>3952</v>
      </c>
      <c r="J238">
        <v>20700</v>
      </c>
    </row>
    <row r="239" spans="4:10">
      <c r="D239" t="s">
        <v>1246</v>
      </c>
      <c r="E239" t="s">
        <v>1483</v>
      </c>
      <c r="F239">
        <v>3952</v>
      </c>
      <c r="G239">
        <v>3953</v>
      </c>
      <c r="H239">
        <v>3950</v>
      </c>
      <c r="I239">
        <v>3951</v>
      </c>
      <c r="J239">
        <v>15700</v>
      </c>
    </row>
    <row r="240" spans="4:10">
      <c r="D240" t="s">
        <v>1246</v>
      </c>
      <c r="E240" t="s">
        <v>1484</v>
      </c>
      <c r="F240">
        <v>3951</v>
      </c>
      <c r="G240">
        <v>3952</v>
      </c>
      <c r="H240">
        <v>3950</v>
      </c>
      <c r="I240">
        <v>3950</v>
      </c>
      <c r="J240">
        <v>72400</v>
      </c>
    </row>
    <row r="241" spans="4:10">
      <c r="D241" t="s">
        <v>1246</v>
      </c>
      <c r="E241" t="s">
        <v>1485</v>
      </c>
      <c r="F241">
        <v>3951</v>
      </c>
      <c r="G241">
        <v>3953</v>
      </c>
      <c r="H241">
        <v>3951</v>
      </c>
      <c r="I241">
        <v>3952</v>
      </c>
      <c r="J241">
        <v>17500</v>
      </c>
    </row>
    <row r="242" spans="4:10">
      <c r="D242" t="s">
        <v>1246</v>
      </c>
      <c r="E242" t="s">
        <v>1486</v>
      </c>
      <c r="F242">
        <v>3953</v>
      </c>
      <c r="G242">
        <v>3954</v>
      </c>
      <c r="H242">
        <v>3952</v>
      </c>
      <c r="I242">
        <v>3953</v>
      </c>
      <c r="J242">
        <v>36300</v>
      </c>
    </row>
    <row r="243" spans="4:10">
      <c r="D243" t="s">
        <v>1246</v>
      </c>
      <c r="E243" t="s">
        <v>1487</v>
      </c>
      <c r="F243">
        <v>3953</v>
      </c>
      <c r="G243">
        <v>3953</v>
      </c>
      <c r="H243">
        <v>3952</v>
      </c>
      <c r="I243">
        <v>3953</v>
      </c>
      <c r="J243">
        <v>9800</v>
      </c>
    </row>
    <row r="244" spans="4:10">
      <c r="D244" t="s">
        <v>1246</v>
      </c>
      <c r="E244" t="s">
        <v>1488</v>
      </c>
      <c r="F244">
        <v>3952</v>
      </c>
      <c r="G244">
        <v>3953</v>
      </c>
      <c r="H244">
        <v>3952</v>
      </c>
      <c r="I244">
        <v>3952</v>
      </c>
      <c r="J244">
        <v>3500</v>
      </c>
    </row>
    <row r="245" spans="4:10">
      <c r="D245" t="s">
        <v>1246</v>
      </c>
      <c r="E245" t="s">
        <v>1489</v>
      </c>
      <c r="F245">
        <v>3952</v>
      </c>
      <c r="G245">
        <v>3954</v>
      </c>
      <c r="H245">
        <v>3952</v>
      </c>
      <c r="I245">
        <v>3954</v>
      </c>
      <c r="J245">
        <v>25400</v>
      </c>
    </row>
    <row r="246" spans="4:10">
      <c r="D246" t="s">
        <v>1246</v>
      </c>
      <c r="E246" t="s">
        <v>1490</v>
      </c>
      <c r="F246">
        <v>3953</v>
      </c>
      <c r="G246">
        <v>3954</v>
      </c>
      <c r="H246">
        <v>3953</v>
      </c>
      <c r="I246">
        <v>3953</v>
      </c>
      <c r="J246">
        <v>13100</v>
      </c>
    </row>
    <row r="247" spans="4:10">
      <c r="D247" t="s">
        <v>1246</v>
      </c>
      <c r="E247" t="s">
        <v>1491</v>
      </c>
      <c r="F247">
        <v>3954</v>
      </c>
      <c r="G247">
        <v>3959</v>
      </c>
      <c r="H247">
        <v>3954</v>
      </c>
      <c r="I247">
        <v>3958</v>
      </c>
      <c r="J247">
        <v>124500</v>
      </c>
    </row>
    <row r="248" spans="4:10">
      <c r="D248" t="s">
        <v>1246</v>
      </c>
      <c r="E248" t="s">
        <v>1492</v>
      </c>
      <c r="F248">
        <v>3958</v>
      </c>
      <c r="G248">
        <v>3958</v>
      </c>
      <c r="H248">
        <v>3957</v>
      </c>
      <c r="I248">
        <v>3957</v>
      </c>
      <c r="J248">
        <v>13800</v>
      </c>
    </row>
    <row r="249" spans="4:10">
      <c r="D249" t="s">
        <v>1246</v>
      </c>
      <c r="E249" t="s">
        <v>1493</v>
      </c>
      <c r="F249">
        <v>3956</v>
      </c>
      <c r="G249">
        <v>3959</v>
      </c>
      <c r="H249">
        <v>3955</v>
      </c>
      <c r="I249">
        <v>3959</v>
      </c>
      <c r="J249">
        <v>41000</v>
      </c>
    </row>
    <row r="250" spans="4:10">
      <c r="D250" t="s">
        <v>1246</v>
      </c>
      <c r="E250" t="s">
        <v>1494</v>
      </c>
      <c r="F250">
        <v>3958</v>
      </c>
      <c r="G250">
        <v>3958</v>
      </c>
      <c r="H250">
        <v>3958</v>
      </c>
      <c r="I250">
        <v>3958</v>
      </c>
      <c r="J250">
        <v>10500</v>
      </c>
    </row>
    <row r="251" spans="4:10">
      <c r="D251" t="s">
        <v>1246</v>
      </c>
      <c r="E251" t="s">
        <v>1495</v>
      </c>
      <c r="F251">
        <v>3958</v>
      </c>
      <c r="G251">
        <v>3958</v>
      </c>
      <c r="H251">
        <v>3958</v>
      </c>
      <c r="I251">
        <v>3958</v>
      </c>
      <c r="J251">
        <v>2900</v>
      </c>
    </row>
    <row r="252" spans="4:10">
      <c r="D252" t="s">
        <v>1246</v>
      </c>
      <c r="E252" t="s">
        <v>1496</v>
      </c>
      <c r="F252">
        <v>3957</v>
      </c>
      <c r="G252">
        <v>3957</v>
      </c>
      <c r="H252">
        <v>3957</v>
      </c>
      <c r="I252">
        <v>3957</v>
      </c>
      <c r="J252">
        <v>6300</v>
      </c>
    </row>
    <row r="253" spans="4:10">
      <c r="D253" t="s">
        <v>1246</v>
      </c>
      <c r="E253" t="s">
        <v>1497</v>
      </c>
      <c r="F253">
        <v>3958</v>
      </c>
      <c r="G253">
        <v>3958</v>
      </c>
      <c r="H253">
        <v>3956</v>
      </c>
      <c r="I253">
        <v>3956</v>
      </c>
      <c r="J253">
        <v>12200</v>
      </c>
    </row>
    <row r="254" spans="4:10">
      <c r="D254" t="s">
        <v>1246</v>
      </c>
      <c r="E254" t="s">
        <v>1498</v>
      </c>
      <c r="F254">
        <v>3956</v>
      </c>
      <c r="G254">
        <v>3957</v>
      </c>
      <c r="H254">
        <v>3956</v>
      </c>
      <c r="I254">
        <v>3957</v>
      </c>
      <c r="J254">
        <v>4000</v>
      </c>
    </row>
    <row r="255" spans="4:10">
      <c r="D255" t="s">
        <v>1246</v>
      </c>
      <c r="E255" t="s">
        <v>1499</v>
      </c>
      <c r="F255">
        <v>3956</v>
      </c>
      <c r="G255">
        <v>3957</v>
      </c>
      <c r="H255">
        <v>3956</v>
      </c>
      <c r="I255">
        <v>3956</v>
      </c>
      <c r="J255">
        <v>17900</v>
      </c>
    </row>
    <row r="256" spans="4:10">
      <c r="D256" t="s">
        <v>1246</v>
      </c>
      <c r="E256" t="s">
        <v>1500</v>
      </c>
      <c r="F256">
        <v>3956</v>
      </c>
      <c r="G256">
        <v>3958</v>
      </c>
      <c r="H256">
        <v>3956</v>
      </c>
      <c r="I256">
        <v>3957</v>
      </c>
      <c r="J256">
        <v>17100</v>
      </c>
    </row>
    <row r="257" spans="4:10">
      <c r="D257" t="s">
        <v>1246</v>
      </c>
      <c r="E257" t="s">
        <v>1501</v>
      </c>
      <c r="F257">
        <v>3956</v>
      </c>
      <c r="G257">
        <v>3958</v>
      </c>
      <c r="H257">
        <v>3956</v>
      </c>
      <c r="I257">
        <v>3958</v>
      </c>
      <c r="J257">
        <v>21200</v>
      </c>
    </row>
    <row r="258" spans="4:10">
      <c r="D258" t="s">
        <v>1246</v>
      </c>
      <c r="E258" t="s">
        <v>1502</v>
      </c>
      <c r="F258">
        <v>3958</v>
      </c>
      <c r="G258">
        <v>3959</v>
      </c>
      <c r="H258">
        <v>3956</v>
      </c>
      <c r="I258">
        <v>3956</v>
      </c>
      <c r="J258">
        <v>21300</v>
      </c>
    </row>
    <row r="259" spans="4:10">
      <c r="D259" t="s">
        <v>1246</v>
      </c>
      <c r="E259" t="s">
        <v>1503</v>
      </c>
      <c r="F259">
        <v>3956</v>
      </c>
      <c r="G259">
        <v>3957</v>
      </c>
      <c r="H259">
        <v>3954</v>
      </c>
      <c r="I259">
        <v>3954</v>
      </c>
      <c r="J259">
        <v>16200</v>
      </c>
    </row>
    <row r="260" spans="4:10">
      <c r="D260" t="s">
        <v>1246</v>
      </c>
      <c r="E260" t="s">
        <v>1504</v>
      </c>
      <c r="F260">
        <v>3954</v>
      </c>
      <c r="G260">
        <v>3954</v>
      </c>
      <c r="H260">
        <v>3949</v>
      </c>
      <c r="I260">
        <v>3949</v>
      </c>
      <c r="J260">
        <v>35100</v>
      </c>
    </row>
    <row r="261" spans="4:10">
      <c r="D261" t="s">
        <v>1246</v>
      </c>
      <c r="E261" t="s">
        <v>1505</v>
      </c>
      <c r="F261">
        <v>3950</v>
      </c>
      <c r="G261">
        <v>3952</v>
      </c>
      <c r="H261">
        <v>3950</v>
      </c>
      <c r="I261">
        <v>3952</v>
      </c>
      <c r="J261">
        <v>45500</v>
      </c>
    </row>
    <row r="262" spans="4:10">
      <c r="D262" t="s">
        <v>1246</v>
      </c>
      <c r="E262" t="s">
        <v>1506</v>
      </c>
      <c r="F262">
        <v>3951</v>
      </c>
      <c r="G262">
        <v>3952</v>
      </c>
      <c r="H262">
        <v>3950</v>
      </c>
      <c r="I262">
        <v>3951</v>
      </c>
      <c r="J262">
        <v>12000</v>
      </c>
    </row>
    <row r="263" spans="4:10">
      <c r="D263" t="s">
        <v>1246</v>
      </c>
      <c r="E263" t="s">
        <v>1507</v>
      </c>
      <c r="F263">
        <v>3951</v>
      </c>
      <c r="G263">
        <v>3952</v>
      </c>
      <c r="H263">
        <v>3949</v>
      </c>
      <c r="I263">
        <v>3949</v>
      </c>
      <c r="J263">
        <v>20600</v>
      </c>
    </row>
    <row r="264" spans="4:10">
      <c r="D264" t="s">
        <v>1246</v>
      </c>
      <c r="E264" t="s">
        <v>1508</v>
      </c>
      <c r="F264">
        <v>3949</v>
      </c>
      <c r="G264">
        <v>3950</v>
      </c>
      <c r="H264">
        <v>3948</v>
      </c>
      <c r="I264">
        <v>3949</v>
      </c>
      <c r="J264">
        <v>43000</v>
      </c>
    </row>
    <row r="265" spans="4:10">
      <c r="D265" t="s">
        <v>1246</v>
      </c>
      <c r="E265" t="s">
        <v>1509</v>
      </c>
      <c r="F265">
        <v>3949</v>
      </c>
      <c r="G265">
        <v>3951</v>
      </c>
      <c r="H265">
        <v>3947</v>
      </c>
      <c r="I265">
        <v>3948</v>
      </c>
      <c r="J265">
        <v>57500</v>
      </c>
    </row>
    <row r="266" spans="4:10">
      <c r="D266" t="s">
        <v>1246</v>
      </c>
      <c r="E266" t="s">
        <v>1510</v>
      </c>
      <c r="F266">
        <v>3948</v>
      </c>
      <c r="G266">
        <v>3949</v>
      </c>
      <c r="H266">
        <v>3947</v>
      </c>
      <c r="I266">
        <v>3949</v>
      </c>
      <c r="J266">
        <v>41500</v>
      </c>
    </row>
    <row r="267" spans="4:10">
      <c r="D267" t="s">
        <v>1246</v>
      </c>
      <c r="E267" t="s">
        <v>1511</v>
      </c>
      <c r="F267">
        <v>3948</v>
      </c>
      <c r="G267">
        <v>3949</v>
      </c>
      <c r="H267">
        <v>3948</v>
      </c>
      <c r="I267">
        <v>3948</v>
      </c>
      <c r="J267">
        <v>3800</v>
      </c>
    </row>
    <row r="268" spans="4:10">
      <c r="D268" t="s">
        <v>1246</v>
      </c>
      <c r="E268" t="s">
        <v>1512</v>
      </c>
      <c r="F268">
        <v>3948</v>
      </c>
      <c r="G268">
        <v>3949</v>
      </c>
      <c r="H268">
        <v>3947</v>
      </c>
      <c r="I268">
        <v>3949</v>
      </c>
      <c r="J268">
        <v>33600</v>
      </c>
    </row>
    <row r="269" spans="4:10">
      <c r="D269" t="s">
        <v>1246</v>
      </c>
      <c r="E269" t="s">
        <v>1513</v>
      </c>
      <c r="F269">
        <v>3948</v>
      </c>
      <c r="G269">
        <v>3950</v>
      </c>
      <c r="H269">
        <v>3948</v>
      </c>
      <c r="I269">
        <v>3949</v>
      </c>
      <c r="J269">
        <v>31400</v>
      </c>
    </row>
    <row r="270" spans="4:10">
      <c r="D270" t="s">
        <v>1246</v>
      </c>
      <c r="E270" t="s">
        <v>1514</v>
      </c>
      <c r="F270">
        <v>3949</v>
      </c>
      <c r="G270">
        <v>3950</v>
      </c>
      <c r="H270">
        <v>3948</v>
      </c>
      <c r="I270">
        <v>3948</v>
      </c>
      <c r="J270">
        <v>12800</v>
      </c>
    </row>
    <row r="271" spans="4:10">
      <c r="D271" t="s">
        <v>1246</v>
      </c>
      <c r="E271" t="s">
        <v>1515</v>
      </c>
      <c r="F271">
        <v>3948</v>
      </c>
      <c r="G271">
        <v>3948</v>
      </c>
      <c r="H271">
        <v>3947</v>
      </c>
      <c r="I271">
        <v>3947</v>
      </c>
      <c r="J271">
        <v>29000</v>
      </c>
    </row>
    <row r="272" spans="4:10">
      <c r="D272" t="s">
        <v>1246</v>
      </c>
      <c r="E272" t="s">
        <v>1516</v>
      </c>
      <c r="F272">
        <v>3948</v>
      </c>
      <c r="G272">
        <v>3949</v>
      </c>
      <c r="H272">
        <v>3946</v>
      </c>
      <c r="I272">
        <v>3947</v>
      </c>
      <c r="J272">
        <v>53600</v>
      </c>
    </row>
    <row r="273" spans="4:10">
      <c r="D273" t="s">
        <v>1246</v>
      </c>
      <c r="E273" t="s">
        <v>1517</v>
      </c>
      <c r="F273">
        <v>3947</v>
      </c>
      <c r="G273">
        <v>3948</v>
      </c>
      <c r="H273">
        <v>3946</v>
      </c>
      <c r="I273">
        <v>3948</v>
      </c>
      <c r="J273">
        <v>56100</v>
      </c>
    </row>
    <row r="274" spans="4:10">
      <c r="D274" t="s">
        <v>1246</v>
      </c>
      <c r="E274" t="s">
        <v>1518</v>
      </c>
      <c r="F274">
        <v>3947</v>
      </c>
      <c r="G274">
        <v>3947</v>
      </c>
      <c r="H274">
        <v>3946</v>
      </c>
      <c r="I274">
        <v>3946</v>
      </c>
      <c r="J274">
        <v>16500</v>
      </c>
    </row>
    <row r="275" spans="4:10">
      <c r="D275" t="s">
        <v>1246</v>
      </c>
      <c r="E275" t="s">
        <v>1519</v>
      </c>
      <c r="F275">
        <v>3946</v>
      </c>
      <c r="G275">
        <v>3947</v>
      </c>
      <c r="H275">
        <v>3945</v>
      </c>
      <c r="I275">
        <v>3947</v>
      </c>
      <c r="J275">
        <v>37800</v>
      </c>
    </row>
    <row r="276" spans="4:10">
      <c r="D276" t="s">
        <v>1246</v>
      </c>
      <c r="E276" t="s">
        <v>1520</v>
      </c>
      <c r="F276">
        <v>3947</v>
      </c>
      <c r="G276">
        <v>3949</v>
      </c>
      <c r="H276">
        <v>3946</v>
      </c>
      <c r="I276">
        <v>3947</v>
      </c>
      <c r="J276">
        <v>29300</v>
      </c>
    </row>
    <row r="277" spans="4:10">
      <c r="D277" t="s">
        <v>1246</v>
      </c>
      <c r="E277" t="s">
        <v>1521</v>
      </c>
      <c r="F277">
        <v>3947</v>
      </c>
      <c r="G277">
        <v>3948</v>
      </c>
      <c r="H277">
        <v>3946</v>
      </c>
      <c r="I277">
        <v>3948</v>
      </c>
      <c r="J277">
        <v>35000</v>
      </c>
    </row>
    <row r="278" spans="4:10">
      <c r="D278" t="s">
        <v>1246</v>
      </c>
      <c r="E278" t="s">
        <v>1522</v>
      </c>
      <c r="F278">
        <v>3948</v>
      </c>
      <c r="G278">
        <v>3948</v>
      </c>
      <c r="H278">
        <v>3947</v>
      </c>
      <c r="I278">
        <v>3947</v>
      </c>
      <c r="J278">
        <v>24900</v>
      </c>
    </row>
    <row r="279" spans="4:10">
      <c r="D279" t="s">
        <v>1246</v>
      </c>
      <c r="E279" t="s">
        <v>1523</v>
      </c>
      <c r="F279">
        <v>3948</v>
      </c>
      <c r="G279">
        <v>3949</v>
      </c>
      <c r="H279">
        <v>3947</v>
      </c>
      <c r="I279">
        <v>3948</v>
      </c>
      <c r="J279">
        <v>16600</v>
      </c>
    </row>
    <row r="280" spans="4:10">
      <c r="D280" t="s">
        <v>1246</v>
      </c>
      <c r="E280" t="s">
        <v>1524</v>
      </c>
      <c r="F280">
        <v>3948</v>
      </c>
      <c r="G280">
        <v>3949</v>
      </c>
      <c r="H280">
        <v>3947</v>
      </c>
      <c r="I280">
        <v>3948</v>
      </c>
      <c r="J280">
        <v>23700</v>
      </c>
    </row>
    <row r="281" spans="4:10">
      <c r="D281" t="s">
        <v>1246</v>
      </c>
      <c r="E281" t="s">
        <v>1525</v>
      </c>
      <c r="F281">
        <v>3948</v>
      </c>
      <c r="G281">
        <v>3949</v>
      </c>
      <c r="H281">
        <v>3946</v>
      </c>
      <c r="I281">
        <v>3946</v>
      </c>
      <c r="J281">
        <v>37400</v>
      </c>
    </row>
    <row r="282" spans="4:10">
      <c r="D282" t="s">
        <v>1246</v>
      </c>
      <c r="E282" t="s">
        <v>1526</v>
      </c>
      <c r="F282">
        <v>3946</v>
      </c>
      <c r="G282">
        <v>3947</v>
      </c>
      <c r="H282">
        <v>3945</v>
      </c>
      <c r="I282">
        <v>3947</v>
      </c>
      <c r="J282">
        <v>53500</v>
      </c>
    </row>
    <row r="283" spans="4:10">
      <c r="D283" t="s">
        <v>1246</v>
      </c>
      <c r="E283" t="s">
        <v>1527</v>
      </c>
      <c r="F283">
        <v>3946</v>
      </c>
      <c r="G283">
        <v>3947</v>
      </c>
      <c r="H283">
        <v>3945</v>
      </c>
      <c r="I283">
        <v>3946</v>
      </c>
      <c r="J283">
        <v>30800</v>
      </c>
    </row>
    <row r="284" spans="4:10">
      <c r="D284" t="s">
        <v>1246</v>
      </c>
      <c r="E284" t="s">
        <v>1528</v>
      </c>
      <c r="F284">
        <v>3947</v>
      </c>
      <c r="G284">
        <v>3947</v>
      </c>
      <c r="H284">
        <v>3943</v>
      </c>
      <c r="I284">
        <v>3945</v>
      </c>
      <c r="J284">
        <v>59800</v>
      </c>
    </row>
    <row r="285" spans="4:10">
      <c r="D285" t="s">
        <v>1246</v>
      </c>
      <c r="E285" t="s">
        <v>1529</v>
      </c>
      <c r="F285">
        <v>3945</v>
      </c>
      <c r="G285">
        <v>3948</v>
      </c>
      <c r="H285">
        <v>3944</v>
      </c>
      <c r="I285">
        <v>3948</v>
      </c>
      <c r="J285">
        <v>81300</v>
      </c>
    </row>
    <row r="286" spans="4:10">
      <c r="D286" t="s">
        <v>1246</v>
      </c>
      <c r="E286" t="s">
        <v>1530</v>
      </c>
      <c r="F286">
        <v>3949</v>
      </c>
      <c r="G286">
        <v>3949</v>
      </c>
      <c r="H286">
        <v>3947</v>
      </c>
      <c r="I286">
        <v>3948</v>
      </c>
      <c r="J286">
        <v>31500</v>
      </c>
    </row>
    <row r="287" spans="4:10">
      <c r="D287" t="s">
        <v>1246</v>
      </c>
      <c r="E287" t="s">
        <v>1531</v>
      </c>
      <c r="F287">
        <v>3947</v>
      </c>
      <c r="G287">
        <v>3948</v>
      </c>
      <c r="H287">
        <v>3946</v>
      </c>
      <c r="I287">
        <v>3947</v>
      </c>
      <c r="J287">
        <v>25600</v>
      </c>
    </row>
    <row r="288" spans="4:10">
      <c r="D288" t="s">
        <v>1246</v>
      </c>
      <c r="E288" t="s">
        <v>1532</v>
      </c>
      <c r="F288">
        <v>3947</v>
      </c>
      <c r="G288">
        <v>3949</v>
      </c>
      <c r="H288">
        <v>3946</v>
      </c>
      <c r="I288">
        <v>3948</v>
      </c>
      <c r="J288">
        <v>43900</v>
      </c>
    </row>
    <row r="289" spans="4:10">
      <c r="D289" t="s">
        <v>1246</v>
      </c>
      <c r="E289" t="s">
        <v>1533</v>
      </c>
      <c r="F289">
        <v>3949</v>
      </c>
      <c r="G289">
        <v>3949</v>
      </c>
      <c r="H289">
        <v>3947</v>
      </c>
      <c r="I289">
        <v>3947</v>
      </c>
      <c r="J289">
        <v>50200</v>
      </c>
    </row>
    <row r="290" spans="4:10">
      <c r="D290" t="s">
        <v>1246</v>
      </c>
      <c r="E290" t="s">
        <v>1534</v>
      </c>
      <c r="F290">
        <v>3947</v>
      </c>
      <c r="G290">
        <v>3949</v>
      </c>
      <c r="H290">
        <v>3946</v>
      </c>
      <c r="I290">
        <v>3948</v>
      </c>
      <c r="J290">
        <v>50500</v>
      </c>
    </row>
    <row r="291" spans="4:10">
      <c r="D291" t="s">
        <v>1246</v>
      </c>
      <c r="E291" t="s">
        <v>1535</v>
      </c>
      <c r="F291">
        <v>3948</v>
      </c>
      <c r="G291">
        <v>3952</v>
      </c>
      <c r="H291">
        <v>3948</v>
      </c>
      <c r="I291">
        <v>3952</v>
      </c>
      <c r="J291">
        <v>69300</v>
      </c>
    </row>
    <row r="292" spans="4:10">
      <c r="D292" t="s">
        <v>1246</v>
      </c>
      <c r="E292" t="s">
        <v>1536</v>
      </c>
      <c r="F292">
        <v>3952</v>
      </c>
      <c r="G292">
        <v>3953</v>
      </c>
      <c r="H292">
        <v>3949</v>
      </c>
      <c r="I292">
        <v>3951</v>
      </c>
      <c r="J292">
        <v>49100</v>
      </c>
    </row>
    <row r="293" spans="4:10">
      <c r="D293" t="s">
        <v>1246</v>
      </c>
      <c r="E293" t="s">
        <v>1537</v>
      </c>
      <c r="F293" t="s">
        <v>35</v>
      </c>
      <c r="G293" t="s">
        <v>35</v>
      </c>
      <c r="H293" t="s">
        <v>35</v>
      </c>
      <c r="I293" t="s">
        <v>35</v>
      </c>
      <c r="J293">
        <v>0</v>
      </c>
    </row>
    <row r="294" spans="4:10">
      <c r="D294" t="s">
        <v>1246</v>
      </c>
      <c r="E294" t="s">
        <v>1538</v>
      </c>
      <c r="F294" t="s">
        <v>35</v>
      </c>
      <c r="G294" t="s">
        <v>35</v>
      </c>
      <c r="H294" t="s">
        <v>35</v>
      </c>
      <c r="I294" t="s">
        <v>35</v>
      </c>
      <c r="J294">
        <v>0</v>
      </c>
    </row>
    <row r="295" spans="4:10">
      <c r="D295" t="s">
        <v>1246</v>
      </c>
      <c r="E295" t="s">
        <v>1539</v>
      </c>
      <c r="F295" t="s">
        <v>35</v>
      </c>
      <c r="G295" t="s">
        <v>35</v>
      </c>
      <c r="H295" t="s">
        <v>35</v>
      </c>
      <c r="I295" t="s">
        <v>35</v>
      </c>
      <c r="J295">
        <v>0</v>
      </c>
    </row>
    <row r="296" spans="4:10">
      <c r="D296" t="s">
        <v>1246</v>
      </c>
      <c r="E296" t="s">
        <v>1540</v>
      </c>
      <c r="F296" t="s">
        <v>35</v>
      </c>
      <c r="G296" t="s">
        <v>35</v>
      </c>
      <c r="H296" t="s">
        <v>35</v>
      </c>
      <c r="I296" t="s">
        <v>35</v>
      </c>
      <c r="J296">
        <v>0</v>
      </c>
    </row>
    <row r="297" spans="4:10">
      <c r="D297" t="s">
        <v>1246</v>
      </c>
      <c r="E297" t="s">
        <v>1541</v>
      </c>
      <c r="F297" t="s">
        <v>35</v>
      </c>
      <c r="G297" t="s">
        <v>35</v>
      </c>
      <c r="H297" t="s">
        <v>35</v>
      </c>
      <c r="I297" t="s">
        <v>35</v>
      </c>
      <c r="J297">
        <v>0</v>
      </c>
    </row>
    <row r="298" spans="4:10">
      <c r="D298" t="s">
        <v>1246</v>
      </c>
      <c r="E298" t="s">
        <v>1542</v>
      </c>
      <c r="F298">
        <v>3960</v>
      </c>
      <c r="G298">
        <v>3960</v>
      </c>
      <c r="H298">
        <v>3960</v>
      </c>
      <c r="I298">
        <v>3960</v>
      </c>
      <c r="J298">
        <v>4613100</v>
      </c>
    </row>
    <row r="299" spans="4:10">
      <c r="D299" t="s">
        <v>1544</v>
      </c>
      <c r="E299" t="s">
        <v>1545</v>
      </c>
      <c r="F299">
        <v>3960</v>
      </c>
      <c r="G299">
        <v>3961</v>
      </c>
      <c r="H299">
        <v>3933</v>
      </c>
      <c r="I299">
        <v>3954</v>
      </c>
      <c r="J299">
        <v>918900</v>
      </c>
    </row>
    <row r="300" spans="4:10">
      <c r="D300" t="s">
        <v>1544</v>
      </c>
      <c r="E300" t="s">
        <v>1546</v>
      </c>
      <c r="F300">
        <v>3954</v>
      </c>
      <c r="G300">
        <v>3956</v>
      </c>
      <c r="H300">
        <v>3943</v>
      </c>
      <c r="I300">
        <v>3944</v>
      </c>
      <c r="J300">
        <v>61000</v>
      </c>
    </row>
    <row r="301" spans="4:10">
      <c r="D301" t="s">
        <v>1544</v>
      </c>
      <c r="E301" t="s">
        <v>1547</v>
      </c>
      <c r="F301">
        <v>3945</v>
      </c>
      <c r="G301">
        <v>3952</v>
      </c>
      <c r="H301">
        <v>3943</v>
      </c>
      <c r="I301">
        <v>3950</v>
      </c>
      <c r="J301">
        <v>48900</v>
      </c>
    </row>
    <row r="302" spans="4:10">
      <c r="D302" t="s">
        <v>1544</v>
      </c>
      <c r="E302" t="s">
        <v>1548</v>
      </c>
      <c r="F302">
        <v>3950</v>
      </c>
      <c r="G302">
        <v>3959</v>
      </c>
      <c r="H302">
        <v>3950</v>
      </c>
      <c r="I302">
        <v>3958</v>
      </c>
      <c r="J302">
        <v>49000</v>
      </c>
    </row>
    <row r="303" spans="4:10">
      <c r="D303" t="s">
        <v>1544</v>
      </c>
      <c r="E303" t="s">
        <v>1549</v>
      </c>
      <c r="F303">
        <v>3958</v>
      </c>
      <c r="G303">
        <v>3964</v>
      </c>
      <c r="H303">
        <v>3955</v>
      </c>
      <c r="I303">
        <v>3955</v>
      </c>
      <c r="J303">
        <v>49400</v>
      </c>
    </row>
    <row r="304" spans="4:10">
      <c r="D304" t="s">
        <v>1544</v>
      </c>
      <c r="E304" t="s">
        <v>1550</v>
      </c>
      <c r="F304">
        <v>3956</v>
      </c>
      <c r="G304">
        <v>3956</v>
      </c>
      <c r="H304">
        <v>3942</v>
      </c>
      <c r="I304">
        <v>3942</v>
      </c>
      <c r="J304">
        <v>49700</v>
      </c>
    </row>
    <row r="305" spans="4:10">
      <c r="D305" t="s">
        <v>1544</v>
      </c>
      <c r="E305" t="s">
        <v>1551</v>
      </c>
      <c r="F305">
        <v>3942</v>
      </c>
      <c r="G305">
        <v>3948</v>
      </c>
      <c r="H305">
        <v>3937</v>
      </c>
      <c r="I305">
        <v>3944</v>
      </c>
      <c r="J305">
        <v>57300</v>
      </c>
    </row>
    <row r="306" spans="4:10">
      <c r="D306" t="s">
        <v>1544</v>
      </c>
      <c r="E306" t="s">
        <v>1552</v>
      </c>
      <c r="F306">
        <v>3945</v>
      </c>
      <c r="G306">
        <v>3949</v>
      </c>
      <c r="H306">
        <v>3943</v>
      </c>
      <c r="I306">
        <v>3946</v>
      </c>
      <c r="J306">
        <v>66100</v>
      </c>
    </row>
    <row r="307" spans="4:10">
      <c r="D307" t="s">
        <v>1544</v>
      </c>
      <c r="E307" t="s">
        <v>1553</v>
      </c>
      <c r="F307">
        <v>3947</v>
      </c>
      <c r="G307">
        <v>3948</v>
      </c>
      <c r="H307">
        <v>3937</v>
      </c>
      <c r="I307">
        <v>3941</v>
      </c>
      <c r="J307">
        <v>92600</v>
      </c>
    </row>
    <row r="308" spans="4:10">
      <c r="D308" t="s">
        <v>1544</v>
      </c>
      <c r="E308" t="s">
        <v>1554</v>
      </c>
      <c r="F308">
        <v>3943</v>
      </c>
      <c r="G308">
        <v>3943</v>
      </c>
      <c r="H308">
        <v>3936</v>
      </c>
      <c r="I308">
        <v>3939</v>
      </c>
      <c r="J308">
        <v>37100</v>
      </c>
    </row>
    <row r="309" spans="4:10">
      <c r="D309" t="s">
        <v>1544</v>
      </c>
      <c r="E309" t="s">
        <v>1555</v>
      </c>
      <c r="F309">
        <v>3939</v>
      </c>
      <c r="G309">
        <v>3943</v>
      </c>
      <c r="H309">
        <v>3937</v>
      </c>
      <c r="I309">
        <v>3940</v>
      </c>
      <c r="J309">
        <v>37900</v>
      </c>
    </row>
    <row r="310" spans="4:10">
      <c r="D310" t="s">
        <v>1544</v>
      </c>
      <c r="E310" t="s">
        <v>1556</v>
      </c>
      <c r="F310">
        <v>3941</v>
      </c>
      <c r="G310">
        <v>3948</v>
      </c>
      <c r="H310">
        <v>3938</v>
      </c>
      <c r="I310">
        <v>3939</v>
      </c>
      <c r="J310">
        <v>57000</v>
      </c>
    </row>
    <row r="311" spans="4:10">
      <c r="D311" t="s">
        <v>1544</v>
      </c>
      <c r="E311" t="s">
        <v>1557</v>
      </c>
      <c r="F311">
        <v>3938</v>
      </c>
      <c r="G311">
        <v>3939</v>
      </c>
      <c r="H311">
        <v>3932</v>
      </c>
      <c r="I311">
        <v>3934</v>
      </c>
      <c r="J311">
        <v>31300</v>
      </c>
    </row>
    <row r="312" spans="4:10">
      <c r="D312" t="s">
        <v>1544</v>
      </c>
      <c r="E312" t="s">
        <v>1558</v>
      </c>
      <c r="F312">
        <v>3934</v>
      </c>
      <c r="G312">
        <v>3941</v>
      </c>
      <c r="H312">
        <v>3934</v>
      </c>
      <c r="I312">
        <v>3937</v>
      </c>
      <c r="J312">
        <v>34600</v>
      </c>
    </row>
    <row r="313" spans="4:10">
      <c r="D313" t="s">
        <v>1544</v>
      </c>
      <c r="E313" t="s">
        <v>1559</v>
      </c>
      <c r="F313">
        <v>3937</v>
      </c>
      <c r="G313">
        <v>3938</v>
      </c>
      <c r="H313">
        <v>3935</v>
      </c>
      <c r="I313">
        <v>3935</v>
      </c>
      <c r="J313">
        <v>19700</v>
      </c>
    </row>
    <row r="314" spans="4:10">
      <c r="D314" t="s">
        <v>1544</v>
      </c>
      <c r="E314" t="s">
        <v>1560</v>
      </c>
      <c r="F314">
        <v>3934</v>
      </c>
      <c r="G314">
        <v>3941</v>
      </c>
      <c r="H314">
        <v>3932</v>
      </c>
      <c r="I314">
        <v>3939</v>
      </c>
      <c r="J314">
        <v>41800</v>
      </c>
    </row>
    <row r="315" spans="4:10">
      <c r="D315" t="s">
        <v>1544</v>
      </c>
      <c r="E315" t="s">
        <v>1561</v>
      </c>
      <c r="F315">
        <v>3938</v>
      </c>
      <c r="G315">
        <v>3940</v>
      </c>
      <c r="H315">
        <v>3935</v>
      </c>
      <c r="I315">
        <v>3939</v>
      </c>
      <c r="J315">
        <v>32600</v>
      </c>
    </row>
    <row r="316" spans="4:10">
      <c r="D316" t="s">
        <v>1544</v>
      </c>
      <c r="E316" t="s">
        <v>1562</v>
      </c>
      <c r="F316">
        <v>3940</v>
      </c>
      <c r="G316">
        <v>3940</v>
      </c>
      <c r="H316">
        <v>3937</v>
      </c>
      <c r="I316">
        <v>3940</v>
      </c>
      <c r="J316">
        <v>17100</v>
      </c>
    </row>
    <row r="317" spans="4:10">
      <c r="D317" t="s">
        <v>1544</v>
      </c>
      <c r="E317" t="s">
        <v>1563</v>
      </c>
      <c r="F317">
        <v>3940</v>
      </c>
      <c r="G317">
        <v>3945</v>
      </c>
      <c r="H317">
        <v>3940</v>
      </c>
      <c r="I317">
        <v>3944</v>
      </c>
      <c r="J317">
        <v>31700</v>
      </c>
    </row>
    <row r="318" spans="4:10">
      <c r="D318" t="s">
        <v>1544</v>
      </c>
      <c r="E318" t="s">
        <v>1564</v>
      </c>
      <c r="F318">
        <v>3944</v>
      </c>
      <c r="G318">
        <v>3944</v>
      </c>
      <c r="H318">
        <v>3942</v>
      </c>
      <c r="I318">
        <v>3943</v>
      </c>
      <c r="J318">
        <v>9200</v>
      </c>
    </row>
    <row r="319" spans="4:10">
      <c r="D319" t="s">
        <v>1544</v>
      </c>
      <c r="E319" t="s">
        <v>1565</v>
      </c>
      <c r="F319">
        <v>3942</v>
      </c>
      <c r="G319">
        <v>3947</v>
      </c>
      <c r="H319">
        <v>3941</v>
      </c>
      <c r="I319">
        <v>3946</v>
      </c>
      <c r="J319">
        <v>23100</v>
      </c>
    </row>
    <row r="320" spans="4:10">
      <c r="D320" t="s">
        <v>1544</v>
      </c>
      <c r="E320" t="s">
        <v>1566</v>
      </c>
      <c r="F320">
        <v>3945</v>
      </c>
      <c r="G320">
        <v>3945</v>
      </c>
      <c r="H320">
        <v>3937</v>
      </c>
      <c r="I320">
        <v>3937</v>
      </c>
      <c r="J320">
        <v>23900</v>
      </c>
    </row>
    <row r="321" spans="1:10">
      <c r="D321" t="s">
        <v>1544</v>
      </c>
      <c r="E321" t="s">
        <v>1567</v>
      </c>
      <c r="F321">
        <v>3937</v>
      </c>
      <c r="G321">
        <v>3940</v>
      </c>
      <c r="H321">
        <v>3935</v>
      </c>
      <c r="I321">
        <v>3935</v>
      </c>
      <c r="J321">
        <v>25500</v>
      </c>
    </row>
    <row r="322" spans="1:10">
      <c r="D322" t="s">
        <v>1544</v>
      </c>
      <c r="E322" t="s">
        <v>1568</v>
      </c>
      <c r="F322">
        <v>3936</v>
      </c>
      <c r="G322">
        <v>3940</v>
      </c>
      <c r="H322">
        <v>3935</v>
      </c>
      <c r="I322">
        <v>3940</v>
      </c>
      <c r="J322">
        <v>19500</v>
      </c>
    </row>
    <row r="323" spans="1:10">
      <c r="D323" t="s">
        <v>1544</v>
      </c>
      <c r="E323" t="s">
        <v>1569</v>
      </c>
      <c r="F323">
        <v>3940</v>
      </c>
      <c r="G323">
        <v>3941</v>
      </c>
      <c r="H323">
        <v>3937</v>
      </c>
      <c r="I323">
        <v>3940</v>
      </c>
      <c r="J323">
        <v>18100</v>
      </c>
    </row>
    <row r="324" spans="1:10">
      <c r="D324" t="s">
        <v>1544</v>
      </c>
      <c r="E324" t="s">
        <v>1570</v>
      </c>
      <c r="F324">
        <v>3940</v>
      </c>
      <c r="G324">
        <v>3950</v>
      </c>
      <c r="H324">
        <v>3939</v>
      </c>
      <c r="I324">
        <v>3948</v>
      </c>
      <c r="J324">
        <v>37800</v>
      </c>
    </row>
    <row r="325" spans="1:10">
      <c r="D325" t="s">
        <v>1544</v>
      </c>
      <c r="E325" t="s">
        <v>1571</v>
      </c>
      <c r="F325">
        <v>3947</v>
      </c>
      <c r="G325">
        <v>3952</v>
      </c>
      <c r="H325">
        <v>3946</v>
      </c>
      <c r="I325">
        <v>3946</v>
      </c>
      <c r="J325">
        <v>44100</v>
      </c>
    </row>
    <row r="326" spans="1:10">
      <c r="D326" t="s">
        <v>1544</v>
      </c>
      <c r="E326" t="s">
        <v>1572</v>
      </c>
      <c r="F326">
        <v>3946</v>
      </c>
      <c r="G326">
        <v>3947</v>
      </c>
      <c r="H326">
        <v>3943</v>
      </c>
      <c r="I326">
        <v>3944</v>
      </c>
      <c r="J326">
        <v>15200</v>
      </c>
    </row>
    <row r="327" spans="1:10">
      <c r="D327" t="s">
        <v>1544</v>
      </c>
      <c r="E327" t="s">
        <v>1573</v>
      </c>
      <c r="F327">
        <v>3944</v>
      </c>
      <c r="G327">
        <v>3948</v>
      </c>
      <c r="H327">
        <v>3940</v>
      </c>
      <c r="I327">
        <v>3940</v>
      </c>
      <c r="J327">
        <v>30200</v>
      </c>
    </row>
    <row r="328" spans="1:10">
      <c r="D328" t="s">
        <v>1544</v>
      </c>
      <c r="E328" t="s">
        <v>1574</v>
      </c>
      <c r="F328">
        <v>3940</v>
      </c>
      <c r="G328">
        <v>3944</v>
      </c>
      <c r="H328">
        <v>3935</v>
      </c>
      <c r="I328">
        <v>3935</v>
      </c>
      <c r="J328">
        <v>26400</v>
      </c>
    </row>
    <row r="329" spans="1:10">
      <c r="D329" t="s">
        <v>1544</v>
      </c>
      <c r="E329" t="s">
        <v>1575</v>
      </c>
      <c r="F329">
        <v>3936</v>
      </c>
      <c r="G329">
        <v>3947</v>
      </c>
      <c r="H329">
        <v>3935</v>
      </c>
      <c r="I329">
        <v>3946</v>
      </c>
      <c r="J329">
        <v>40900</v>
      </c>
    </row>
    <row r="330" spans="1:10">
      <c r="D330" t="s">
        <v>1544</v>
      </c>
      <c r="E330" t="s">
        <v>1576</v>
      </c>
      <c r="F330">
        <v>3948</v>
      </c>
      <c r="G330">
        <v>3956</v>
      </c>
      <c r="H330">
        <v>3944</v>
      </c>
      <c r="I330">
        <v>3944</v>
      </c>
      <c r="J330">
        <v>87200</v>
      </c>
    </row>
    <row r="331" spans="1:10">
      <c r="D331" t="s">
        <v>1544</v>
      </c>
      <c r="E331" t="s">
        <v>1577</v>
      </c>
      <c r="F331">
        <v>3945</v>
      </c>
      <c r="G331">
        <v>3945</v>
      </c>
      <c r="H331">
        <v>3942</v>
      </c>
      <c r="I331">
        <v>3944</v>
      </c>
      <c r="J331">
        <v>18900</v>
      </c>
    </row>
    <row r="332" spans="1:10">
      <c r="D332" t="s">
        <v>1544</v>
      </c>
      <c r="E332" t="s">
        <v>1578</v>
      </c>
      <c r="F332">
        <v>3943</v>
      </c>
      <c r="G332">
        <v>3945</v>
      </c>
      <c r="H332">
        <v>3942</v>
      </c>
      <c r="I332">
        <v>3945</v>
      </c>
      <c r="J332">
        <v>17000</v>
      </c>
    </row>
    <row r="333" spans="1:10">
      <c r="D333" t="s">
        <v>1544</v>
      </c>
      <c r="E333" t="s">
        <v>1579</v>
      </c>
      <c r="F333">
        <v>3945</v>
      </c>
      <c r="G333">
        <v>3945</v>
      </c>
      <c r="H333">
        <v>3941</v>
      </c>
      <c r="I333">
        <v>3941</v>
      </c>
      <c r="J333">
        <v>28000</v>
      </c>
    </row>
    <row r="334" spans="1:10">
      <c r="A334" s="1"/>
      <c r="B334" s="1"/>
      <c r="C334" s="1"/>
      <c r="D334" s="1" t="s">
        <v>1544</v>
      </c>
      <c r="E334" s="1" t="s">
        <v>1580</v>
      </c>
      <c r="F334" s="1">
        <v>3943</v>
      </c>
      <c r="G334" s="1">
        <v>3946</v>
      </c>
      <c r="H334" s="1">
        <v>3942</v>
      </c>
      <c r="I334" s="1">
        <v>3946</v>
      </c>
      <c r="J334" s="1">
        <v>17100</v>
      </c>
    </row>
    <row r="335" spans="1:10">
      <c r="A335" s="1"/>
      <c r="B335" s="1"/>
      <c r="C335" s="1"/>
      <c r="D335" s="1" t="s">
        <v>1543</v>
      </c>
      <c r="E335" s="1" t="s">
        <v>1194</v>
      </c>
      <c r="F335" s="1">
        <v>3947</v>
      </c>
      <c r="G335" s="1">
        <v>3948</v>
      </c>
      <c r="H335" s="1">
        <v>3943</v>
      </c>
      <c r="I335" s="1">
        <v>3944</v>
      </c>
      <c r="J335" s="1">
        <v>33500</v>
      </c>
    </row>
    <row r="336" spans="1:10">
      <c r="A336" s="1"/>
      <c r="B336" s="1"/>
      <c r="C336" s="1"/>
      <c r="D336" s="1" t="s">
        <v>1543</v>
      </c>
      <c r="E336" s="1" t="s">
        <v>1195</v>
      </c>
      <c r="F336" s="1">
        <v>3944</v>
      </c>
      <c r="G336" s="1">
        <v>3947</v>
      </c>
      <c r="H336" s="1">
        <v>3943</v>
      </c>
      <c r="I336" s="1">
        <v>3944</v>
      </c>
      <c r="J336" s="1">
        <v>13500</v>
      </c>
    </row>
    <row r="337" spans="1:10">
      <c r="A337" s="1"/>
      <c r="B337" s="1"/>
      <c r="C337" s="1"/>
      <c r="D337" s="1" t="s">
        <v>1543</v>
      </c>
      <c r="E337" s="1" t="s">
        <v>1196</v>
      </c>
      <c r="F337" s="1">
        <v>3943</v>
      </c>
      <c r="G337" s="1">
        <v>3945</v>
      </c>
      <c r="H337" s="1">
        <v>3942</v>
      </c>
      <c r="I337" s="1">
        <v>3943</v>
      </c>
      <c r="J337" s="1">
        <v>17400</v>
      </c>
    </row>
    <row r="338" spans="1:10">
      <c r="A338" s="1"/>
      <c r="B338" s="1"/>
      <c r="C338" s="1"/>
      <c r="D338" s="1" t="s">
        <v>1543</v>
      </c>
      <c r="E338" s="1" t="s">
        <v>1197</v>
      </c>
      <c r="F338" s="1">
        <v>3944</v>
      </c>
      <c r="G338" s="1">
        <v>3945</v>
      </c>
      <c r="H338" s="1">
        <v>3939</v>
      </c>
      <c r="I338" s="1">
        <v>3940</v>
      </c>
      <c r="J338" s="1">
        <v>21000</v>
      </c>
    </row>
    <row r="339" spans="1:10">
      <c r="A339" s="1"/>
      <c r="B339" s="1"/>
      <c r="C339" s="1"/>
      <c r="D339" s="1" t="s">
        <v>1543</v>
      </c>
      <c r="E339" s="1" t="s">
        <v>1198</v>
      </c>
      <c r="F339" s="1">
        <v>3942</v>
      </c>
      <c r="G339" s="1">
        <v>3942</v>
      </c>
      <c r="H339" s="1">
        <v>3935</v>
      </c>
      <c r="I339" s="1">
        <v>3938</v>
      </c>
      <c r="J339" s="1">
        <v>21700</v>
      </c>
    </row>
    <row r="340" spans="1:10">
      <c r="A340" s="1"/>
      <c r="B340" s="1"/>
      <c r="C340" s="1"/>
      <c r="D340" s="1" t="s">
        <v>1543</v>
      </c>
      <c r="E340" s="1" t="s">
        <v>1199</v>
      </c>
      <c r="F340" s="1">
        <v>3939</v>
      </c>
      <c r="G340" s="1">
        <v>3940</v>
      </c>
      <c r="H340" s="1">
        <v>3931</v>
      </c>
      <c r="I340" s="1">
        <v>3932</v>
      </c>
      <c r="J340" s="1">
        <v>40800</v>
      </c>
    </row>
    <row r="341" spans="1:10">
      <c r="A341" s="1"/>
      <c r="B341" s="1"/>
      <c r="C341" s="1"/>
      <c r="D341" s="1" t="s">
        <v>1543</v>
      </c>
      <c r="E341" s="1" t="s">
        <v>1200</v>
      </c>
      <c r="F341" s="1">
        <v>3933</v>
      </c>
      <c r="G341" s="1">
        <v>3938</v>
      </c>
      <c r="H341" s="1">
        <v>3933</v>
      </c>
      <c r="I341" s="1">
        <v>3936</v>
      </c>
      <c r="J341" s="1">
        <v>30000</v>
      </c>
    </row>
    <row r="342" spans="1:10">
      <c r="A342" s="1"/>
      <c r="B342" s="1"/>
      <c r="C342" s="1"/>
      <c r="D342" s="1" t="s">
        <v>1543</v>
      </c>
      <c r="E342" s="1" t="s">
        <v>1201</v>
      </c>
      <c r="F342" s="1">
        <v>3936</v>
      </c>
      <c r="G342" s="1">
        <v>3938</v>
      </c>
      <c r="H342" s="1">
        <v>3935</v>
      </c>
      <c r="I342" s="1">
        <v>3937</v>
      </c>
      <c r="J342" s="1">
        <v>18400</v>
      </c>
    </row>
    <row r="343" spans="1:10">
      <c r="A343" s="1"/>
      <c r="B343" s="1"/>
      <c r="C343" s="1"/>
      <c r="D343" s="1" t="s">
        <v>1543</v>
      </c>
      <c r="E343" s="1" t="s">
        <v>1202</v>
      </c>
      <c r="F343" s="1">
        <v>3937</v>
      </c>
      <c r="G343" s="1">
        <v>3939</v>
      </c>
      <c r="H343" s="1">
        <v>3935</v>
      </c>
      <c r="I343" s="1">
        <v>3939</v>
      </c>
      <c r="J343" s="1">
        <v>14200</v>
      </c>
    </row>
    <row r="344" spans="1:10">
      <c r="A344" s="1"/>
      <c r="B344" s="1"/>
      <c r="C344" s="1"/>
      <c r="D344" s="1" t="s">
        <v>1543</v>
      </c>
      <c r="E344" s="1" t="s">
        <v>1203</v>
      </c>
      <c r="F344" s="1">
        <v>3939</v>
      </c>
      <c r="G344" s="1">
        <v>3941</v>
      </c>
      <c r="H344" s="1">
        <v>3938</v>
      </c>
      <c r="I344" s="1">
        <v>3939</v>
      </c>
      <c r="J344" s="1">
        <v>18200</v>
      </c>
    </row>
    <row r="345" spans="1:10">
      <c r="A345" s="1"/>
      <c r="B345" s="1"/>
      <c r="C345" s="1"/>
      <c r="D345" s="1" t="s">
        <v>1543</v>
      </c>
      <c r="E345" s="1" t="s">
        <v>1204</v>
      </c>
      <c r="F345" s="1">
        <v>3939</v>
      </c>
      <c r="G345" s="1">
        <v>3940</v>
      </c>
      <c r="H345" s="1">
        <v>3935</v>
      </c>
      <c r="I345" s="1">
        <v>3937</v>
      </c>
      <c r="J345" s="1">
        <v>17900</v>
      </c>
    </row>
    <row r="346" spans="1:10">
      <c r="A346" s="1"/>
      <c r="B346" s="1"/>
      <c r="C346" s="1"/>
      <c r="D346" s="1" t="s">
        <v>1543</v>
      </c>
      <c r="E346" s="1" t="s">
        <v>1205</v>
      </c>
      <c r="F346" s="1">
        <v>3937</v>
      </c>
      <c r="G346" s="1">
        <v>3940</v>
      </c>
      <c r="H346" s="1">
        <v>3935</v>
      </c>
      <c r="I346" s="1">
        <v>3936</v>
      </c>
      <c r="J346" s="1">
        <v>21100</v>
      </c>
    </row>
    <row r="347" spans="1:10">
      <c r="A347" s="1"/>
      <c r="B347" s="1"/>
      <c r="C347" s="1"/>
      <c r="D347" s="1" t="s">
        <v>1543</v>
      </c>
      <c r="E347" s="1" t="s">
        <v>1206</v>
      </c>
      <c r="F347" s="1">
        <v>3936</v>
      </c>
      <c r="G347" s="1">
        <v>3939</v>
      </c>
      <c r="H347" s="1">
        <v>3935</v>
      </c>
      <c r="I347" s="1">
        <v>3938</v>
      </c>
      <c r="J347" s="1">
        <v>20000</v>
      </c>
    </row>
    <row r="348" spans="1:10">
      <c r="A348" s="1"/>
      <c r="B348" s="1"/>
      <c r="C348" s="1"/>
      <c r="D348" s="1" t="s">
        <v>1543</v>
      </c>
      <c r="E348" s="1" t="s">
        <v>1207</v>
      </c>
      <c r="F348" s="1">
        <v>3938</v>
      </c>
      <c r="G348" s="1">
        <v>3940</v>
      </c>
      <c r="H348" s="1">
        <v>3935</v>
      </c>
      <c r="I348" s="1">
        <v>3939</v>
      </c>
      <c r="J348" s="1">
        <v>32700</v>
      </c>
    </row>
    <row r="349" spans="1:10">
      <c r="A349" s="1"/>
      <c r="B349" s="1"/>
      <c r="C349" s="1"/>
      <c r="D349" s="1" t="s">
        <v>1543</v>
      </c>
      <c r="E349" s="1" t="s">
        <v>1208</v>
      </c>
      <c r="F349" s="1">
        <v>3940</v>
      </c>
      <c r="G349" s="1">
        <v>3940</v>
      </c>
      <c r="H349" s="1">
        <v>3938</v>
      </c>
      <c r="I349" s="1">
        <v>3938</v>
      </c>
      <c r="J349" s="1">
        <v>10100</v>
      </c>
    </row>
    <row r="350" spans="1:10">
      <c r="A350" s="1"/>
      <c r="B350" s="1"/>
      <c r="C350" s="1"/>
      <c r="D350" s="1" t="s">
        <v>1543</v>
      </c>
      <c r="E350" s="1" t="s">
        <v>1209</v>
      </c>
      <c r="F350" s="1">
        <v>3937</v>
      </c>
      <c r="G350" s="1">
        <v>3938</v>
      </c>
      <c r="H350" s="1">
        <v>3935</v>
      </c>
      <c r="I350" s="1">
        <v>3937</v>
      </c>
      <c r="J350" s="1">
        <v>18500</v>
      </c>
    </row>
    <row r="351" spans="1:10">
      <c r="A351" s="1"/>
      <c r="B351" s="1"/>
      <c r="C351" s="1"/>
      <c r="D351" s="1" t="s">
        <v>1543</v>
      </c>
      <c r="E351" s="1" t="s">
        <v>1210</v>
      </c>
      <c r="F351" s="1">
        <v>3936</v>
      </c>
      <c r="G351" s="1">
        <v>3941</v>
      </c>
      <c r="H351" s="1">
        <v>3936</v>
      </c>
      <c r="I351" s="1">
        <v>3940</v>
      </c>
      <c r="J351" s="1">
        <v>22600</v>
      </c>
    </row>
    <row r="352" spans="1:10">
      <c r="A352" s="1"/>
      <c r="B352" s="1"/>
      <c r="C352" s="1"/>
      <c r="D352" s="1" t="s">
        <v>1543</v>
      </c>
      <c r="E352" s="1" t="s">
        <v>1211</v>
      </c>
      <c r="F352" s="1">
        <v>3940</v>
      </c>
      <c r="G352" s="1">
        <v>3940</v>
      </c>
      <c r="H352" s="1">
        <v>3936</v>
      </c>
      <c r="I352" s="1">
        <v>3938</v>
      </c>
      <c r="J352" s="1">
        <v>15000</v>
      </c>
    </row>
    <row r="353" spans="1:10">
      <c r="A353" s="1"/>
      <c r="B353" s="1"/>
      <c r="C353" s="1"/>
      <c r="D353" s="1" t="s">
        <v>1543</v>
      </c>
      <c r="E353" s="1" t="s">
        <v>1212</v>
      </c>
      <c r="F353" s="1">
        <v>3937</v>
      </c>
      <c r="G353" s="1">
        <v>3939</v>
      </c>
      <c r="H353" s="1">
        <v>3937</v>
      </c>
      <c r="I353" s="1">
        <v>3939</v>
      </c>
      <c r="J353" s="1">
        <v>11200</v>
      </c>
    </row>
    <row r="354" spans="1:10">
      <c r="A354" s="1"/>
      <c r="B354" s="1"/>
      <c r="C354" s="1"/>
      <c r="D354" s="1" t="s">
        <v>1543</v>
      </c>
      <c r="E354" s="1" t="s">
        <v>1213</v>
      </c>
      <c r="F354" s="1">
        <v>3940</v>
      </c>
      <c r="G354" s="1">
        <v>3942</v>
      </c>
      <c r="H354" s="1">
        <v>3939</v>
      </c>
      <c r="I354" s="1">
        <v>3940</v>
      </c>
      <c r="J354" s="1">
        <v>16300</v>
      </c>
    </row>
    <row r="355" spans="1:10">
      <c r="A355" s="1"/>
      <c r="B355" s="1"/>
      <c r="C355" s="1"/>
      <c r="D355" s="1" t="s">
        <v>1543</v>
      </c>
      <c r="E355" s="1" t="s">
        <v>1214</v>
      </c>
      <c r="F355" s="1">
        <v>3940</v>
      </c>
      <c r="G355" s="1">
        <v>3940</v>
      </c>
      <c r="H355" s="1">
        <v>3937</v>
      </c>
      <c r="I355" s="1">
        <v>3938</v>
      </c>
      <c r="J355" s="1">
        <v>7600</v>
      </c>
    </row>
    <row r="356" spans="1:10">
      <c r="A356" s="1"/>
      <c r="B356" s="1"/>
      <c r="C356" s="1"/>
      <c r="D356" s="1" t="s">
        <v>1543</v>
      </c>
      <c r="E356" s="1" t="s">
        <v>1215</v>
      </c>
      <c r="F356" s="1">
        <v>3938</v>
      </c>
      <c r="G356" s="1">
        <v>3939</v>
      </c>
      <c r="H356" s="1">
        <v>3935</v>
      </c>
      <c r="I356" s="1">
        <v>3935</v>
      </c>
      <c r="J356" s="1">
        <v>14700</v>
      </c>
    </row>
    <row r="357" spans="1:10">
      <c r="A357" s="1"/>
      <c r="B357" s="1"/>
      <c r="C357" s="1"/>
      <c r="D357" s="1" t="s">
        <v>1543</v>
      </c>
      <c r="E357" s="1" t="s">
        <v>1216</v>
      </c>
      <c r="F357" s="1">
        <v>3935</v>
      </c>
      <c r="G357" s="1">
        <v>3935</v>
      </c>
      <c r="H357" s="1">
        <v>3933</v>
      </c>
      <c r="I357" s="1">
        <v>3934</v>
      </c>
      <c r="J357" s="1">
        <v>12700</v>
      </c>
    </row>
    <row r="358" spans="1:10">
      <c r="A358" s="1"/>
      <c r="B358" s="1"/>
      <c r="C358" s="1"/>
      <c r="D358" s="1" t="s">
        <v>1543</v>
      </c>
      <c r="E358" s="1" t="s">
        <v>1217</v>
      </c>
      <c r="F358" s="1">
        <v>3934</v>
      </c>
      <c r="G358" s="1">
        <v>3935</v>
      </c>
      <c r="H358" s="1">
        <v>3933</v>
      </c>
      <c r="I358" s="1">
        <v>3933</v>
      </c>
      <c r="J358" s="1">
        <v>13500</v>
      </c>
    </row>
    <row r="359" spans="1:10">
      <c r="A359" s="1"/>
      <c r="B359" s="1"/>
      <c r="C359" s="1"/>
      <c r="D359" s="1" t="s">
        <v>1543</v>
      </c>
      <c r="E359" s="1" t="s">
        <v>1218</v>
      </c>
      <c r="F359" s="1">
        <v>3934</v>
      </c>
      <c r="G359" s="1">
        <v>3936</v>
      </c>
      <c r="H359" s="1">
        <v>3933</v>
      </c>
      <c r="I359" s="1">
        <v>3935</v>
      </c>
      <c r="J359" s="1">
        <v>21900</v>
      </c>
    </row>
    <row r="360" spans="1:10">
      <c r="A360" s="1"/>
      <c r="B360" s="1"/>
      <c r="C360" s="1"/>
      <c r="D360" s="1" t="s">
        <v>1543</v>
      </c>
      <c r="E360" s="1" t="s">
        <v>1219</v>
      </c>
      <c r="F360" s="1">
        <v>3936</v>
      </c>
      <c r="G360" s="1">
        <v>3937</v>
      </c>
      <c r="H360" s="1">
        <v>3935</v>
      </c>
      <c r="I360" s="1">
        <v>3936</v>
      </c>
      <c r="J360" s="1">
        <v>13900</v>
      </c>
    </row>
    <row r="361" spans="1:10">
      <c r="A361" s="1"/>
      <c r="B361" s="1"/>
      <c r="C361" s="1"/>
      <c r="D361" s="1" t="s">
        <v>1543</v>
      </c>
      <c r="E361" s="1" t="s">
        <v>1220</v>
      </c>
      <c r="F361" s="1">
        <v>3936</v>
      </c>
      <c r="G361" s="1">
        <v>3938</v>
      </c>
      <c r="H361" s="1">
        <v>3935</v>
      </c>
      <c r="I361" s="1">
        <v>3936</v>
      </c>
      <c r="J361" s="1">
        <v>13400</v>
      </c>
    </row>
    <row r="362" spans="1:10">
      <c r="A362" s="1"/>
      <c r="B362" s="1"/>
      <c r="C362" s="1"/>
      <c r="D362" s="1" t="s">
        <v>1543</v>
      </c>
      <c r="E362" s="1" t="s">
        <v>1221</v>
      </c>
      <c r="F362" s="1">
        <v>3936</v>
      </c>
      <c r="G362" s="1">
        <v>3936</v>
      </c>
      <c r="H362" s="1">
        <v>3934</v>
      </c>
      <c r="I362" s="1">
        <v>3935</v>
      </c>
      <c r="J362" s="1">
        <v>8800</v>
      </c>
    </row>
    <row r="363" spans="1:10">
      <c r="A363" s="1"/>
      <c r="B363" s="1"/>
      <c r="C363" s="1"/>
      <c r="D363" s="1" t="s">
        <v>1543</v>
      </c>
      <c r="E363" s="1" t="s">
        <v>1222</v>
      </c>
      <c r="F363" s="1">
        <v>3936</v>
      </c>
      <c r="G363" s="1">
        <v>3938</v>
      </c>
      <c r="H363" s="1">
        <v>3933</v>
      </c>
      <c r="I363" s="1">
        <v>3933</v>
      </c>
      <c r="J363" s="1">
        <v>26900</v>
      </c>
    </row>
    <row r="364" spans="1:10">
      <c r="A364" s="1"/>
      <c r="B364" s="1"/>
      <c r="C364" s="1"/>
      <c r="D364" s="1" t="s">
        <v>1543</v>
      </c>
      <c r="E364" s="1" t="s">
        <v>1223</v>
      </c>
      <c r="F364" s="1">
        <v>3934</v>
      </c>
      <c r="G364" s="1">
        <v>3936</v>
      </c>
      <c r="H364" s="1">
        <v>3933</v>
      </c>
      <c r="I364" s="1">
        <v>3934</v>
      </c>
      <c r="J364" s="1">
        <v>14200</v>
      </c>
    </row>
    <row r="365" spans="1:10">
      <c r="A365" s="1"/>
      <c r="B365" s="1"/>
      <c r="C365" s="1"/>
      <c r="D365" s="1" t="s">
        <v>1543</v>
      </c>
      <c r="E365" s="1" t="s">
        <v>1224</v>
      </c>
      <c r="F365" s="1">
        <v>3935</v>
      </c>
      <c r="G365" s="1">
        <v>3937</v>
      </c>
      <c r="H365" s="1">
        <v>3934</v>
      </c>
      <c r="I365" s="1">
        <v>3935</v>
      </c>
      <c r="J365" s="1">
        <v>9700</v>
      </c>
    </row>
    <row r="366" spans="1:10">
      <c r="A366" s="1"/>
      <c r="B366" s="1"/>
      <c r="C366" s="1"/>
      <c r="D366" s="1" t="s">
        <v>1543</v>
      </c>
      <c r="E366" s="1" t="s">
        <v>1225</v>
      </c>
      <c r="F366" s="1">
        <v>3935</v>
      </c>
      <c r="G366" s="1">
        <v>3938</v>
      </c>
      <c r="H366" s="1">
        <v>3935</v>
      </c>
      <c r="I366" s="1">
        <v>3937</v>
      </c>
      <c r="J366" s="1">
        <v>20300</v>
      </c>
    </row>
    <row r="367" spans="1:10">
      <c r="A367" s="1"/>
      <c r="B367" s="1"/>
      <c r="C367" s="1"/>
      <c r="D367" s="1" t="s">
        <v>1543</v>
      </c>
      <c r="E367" s="1" t="s">
        <v>1226</v>
      </c>
      <c r="F367" s="1">
        <v>3938</v>
      </c>
      <c r="G367" s="1">
        <v>3943</v>
      </c>
      <c r="H367" s="1">
        <v>3936</v>
      </c>
      <c r="I367" s="1">
        <v>3943</v>
      </c>
      <c r="J367" s="1">
        <v>38500</v>
      </c>
    </row>
    <row r="368" spans="1:10">
      <c r="A368" s="1"/>
      <c r="B368" s="1"/>
      <c r="C368" s="1"/>
      <c r="D368" s="1" t="s">
        <v>1543</v>
      </c>
      <c r="E368" s="1" t="s">
        <v>1227</v>
      </c>
      <c r="F368" s="1">
        <v>3942</v>
      </c>
      <c r="G368" s="1">
        <v>3942</v>
      </c>
      <c r="H368" s="1">
        <v>3939</v>
      </c>
      <c r="I368" s="1">
        <v>3941</v>
      </c>
      <c r="J368" s="1">
        <v>8600</v>
      </c>
    </row>
    <row r="369" spans="1:10">
      <c r="A369" s="1"/>
      <c r="B369" s="1"/>
      <c r="C369" s="1"/>
      <c r="D369" s="1" t="s">
        <v>1543</v>
      </c>
      <c r="E369" s="1" t="s">
        <v>1228</v>
      </c>
      <c r="F369" s="1">
        <v>3940</v>
      </c>
      <c r="G369" s="1">
        <v>3940</v>
      </c>
      <c r="H369" s="1">
        <v>3937</v>
      </c>
      <c r="I369" s="1">
        <v>3939</v>
      </c>
      <c r="J369" s="1">
        <v>10000</v>
      </c>
    </row>
    <row r="370" spans="1:10">
      <c r="A370" s="1"/>
      <c r="B370" s="1"/>
      <c r="C370" s="1"/>
      <c r="D370" s="1" t="s">
        <v>1543</v>
      </c>
      <c r="E370" s="1" t="s">
        <v>1229</v>
      </c>
      <c r="F370" s="1">
        <v>3937</v>
      </c>
      <c r="G370" s="1">
        <v>3937</v>
      </c>
      <c r="H370" s="1">
        <v>3933</v>
      </c>
      <c r="I370" s="1">
        <v>3936</v>
      </c>
      <c r="J370" s="1">
        <v>49300</v>
      </c>
    </row>
    <row r="371" spans="1:10">
      <c r="A371" s="1"/>
      <c r="B371" s="1"/>
      <c r="C371" s="1"/>
      <c r="D371" s="1" t="s">
        <v>1543</v>
      </c>
      <c r="E371" s="1" t="s">
        <v>1230</v>
      </c>
      <c r="F371" s="1">
        <v>3937</v>
      </c>
      <c r="G371" s="1">
        <v>3940</v>
      </c>
      <c r="H371" s="1">
        <v>3937</v>
      </c>
      <c r="I371" s="1">
        <v>3939</v>
      </c>
      <c r="J371" s="1">
        <v>31100</v>
      </c>
    </row>
    <row r="372" spans="1:10">
      <c r="A372" s="1"/>
      <c r="B372" s="1"/>
      <c r="C372" s="1"/>
      <c r="D372" s="1" t="s">
        <v>1543</v>
      </c>
      <c r="E372" s="1" t="s">
        <v>1231</v>
      </c>
      <c r="F372" s="1">
        <v>3939</v>
      </c>
      <c r="G372" s="1">
        <v>3939</v>
      </c>
      <c r="H372" s="1">
        <v>3935</v>
      </c>
      <c r="I372" s="1">
        <v>3935</v>
      </c>
      <c r="J372" s="1">
        <v>10100</v>
      </c>
    </row>
    <row r="373" spans="1:10">
      <c r="A373" s="1"/>
      <c r="B373" s="1"/>
      <c r="C373" s="1"/>
      <c r="D373" s="1" t="s">
        <v>1543</v>
      </c>
      <c r="E373" s="1" t="s">
        <v>1232</v>
      </c>
      <c r="F373" s="1">
        <v>3936</v>
      </c>
      <c r="G373" s="1">
        <v>3936</v>
      </c>
      <c r="H373" s="1">
        <v>3934</v>
      </c>
      <c r="I373" s="1">
        <v>3934</v>
      </c>
      <c r="J373" s="1">
        <v>15600</v>
      </c>
    </row>
    <row r="374" spans="1:10">
      <c r="A374" s="1"/>
      <c r="B374" s="1"/>
      <c r="C374" s="1"/>
      <c r="D374" s="1" t="s">
        <v>1543</v>
      </c>
      <c r="E374" s="1" t="s">
        <v>1233</v>
      </c>
      <c r="F374" s="1">
        <v>3934</v>
      </c>
      <c r="G374" s="1">
        <v>3935</v>
      </c>
      <c r="H374" s="1">
        <v>3933</v>
      </c>
      <c r="I374" s="1">
        <v>3935</v>
      </c>
      <c r="J374" s="1">
        <v>12600</v>
      </c>
    </row>
    <row r="375" spans="1:10">
      <c r="A375" s="1"/>
      <c r="B375" s="1"/>
      <c r="C375" s="1"/>
      <c r="D375" s="1" t="s">
        <v>1543</v>
      </c>
      <c r="E375" s="1" t="s">
        <v>1234</v>
      </c>
      <c r="F375" s="1">
        <v>3935</v>
      </c>
      <c r="G375" s="1">
        <v>3936</v>
      </c>
      <c r="H375" s="1">
        <v>3934</v>
      </c>
      <c r="I375" s="1">
        <v>3936</v>
      </c>
      <c r="J375" s="1">
        <v>13900</v>
      </c>
    </row>
    <row r="376" spans="1:10">
      <c r="A376" s="1"/>
      <c r="B376" s="1"/>
      <c r="C376" s="1"/>
      <c r="D376" s="1" t="s">
        <v>1543</v>
      </c>
      <c r="E376" s="1" t="s">
        <v>1235</v>
      </c>
      <c r="F376" s="1">
        <v>3936</v>
      </c>
      <c r="G376" s="1">
        <v>3938</v>
      </c>
      <c r="H376" s="1">
        <v>3935</v>
      </c>
      <c r="I376" s="1">
        <v>3937</v>
      </c>
      <c r="J376" s="1">
        <v>48900</v>
      </c>
    </row>
    <row r="377" spans="1:10">
      <c r="A377" s="1"/>
      <c r="B377" s="1"/>
      <c r="C377" s="1"/>
      <c r="D377" s="1" t="s">
        <v>1543</v>
      </c>
      <c r="E377" s="1" t="s">
        <v>1236</v>
      </c>
      <c r="F377" s="1">
        <v>3937</v>
      </c>
      <c r="G377" s="1">
        <v>3940</v>
      </c>
      <c r="H377" s="1">
        <v>3934</v>
      </c>
      <c r="I377" s="1">
        <v>3939</v>
      </c>
      <c r="J377" s="1">
        <v>42200</v>
      </c>
    </row>
    <row r="378" spans="1:10">
      <c r="A378" s="1"/>
      <c r="B378" s="1"/>
      <c r="C378" s="1"/>
      <c r="D378" s="1" t="s">
        <v>1543</v>
      </c>
      <c r="E378" s="1" t="s">
        <v>1237</v>
      </c>
      <c r="F378" s="1">
        <v>3939</v>
      </c>
      <c r="G378" s="1">
        <v>3940</v>
      </c>
      <c r="H378" s="1">
        <v>3935</v>
      </c>
      <c r="I378" s="1">
        <v>3935</v>
      </c>
      <c r="J378" s="1">
        <v>8900</v>
      </c>
    </row>
    <row r="379" spans="1:10">
      <c r="A379" s="1"/>
      <c r="B379" s="1"/>
      <c r="C379" s="1"/>
      <c r="D379" s="1" t="s">
        <v>1543</v>
      </c>
      <c r="E379" s="1" t="s">
        <v>1238</v>
      </c>
      <c r="F379" s="1">
        <v>3934</v>
      </c>
      <c r="G379" s="1">
        <v>3934</v>
      </c>
      <c r="H379" s="1">
        <v>3929</v>
      </c>
      <c r="I379" s="1">
        <v>3929</v>
      </c>
      <c r="J379" s="1">
        <v>57700</v>
      </c>
    </row>
    <row r="380" spans="1:10">
      <c r="A380" s="1"/>
      <c r="B380" s="1"/>
      <c r="C380" s="1"/>
      <c r="D380" s="1" t="s">
        <v>1543</v>
      </c>
      <c r="E380" s="1" t="s">
        <v>1239</v>
      </c>
      <c r="F380" s="1">
        <v>3929</v>
      </c>
      <c r="G380" s="1">
        <v>3932</v>
      </c>
      <c r="H380" s="1">
        <v>3928</v>
      </c>
      <c r="I380" s="1">
        <v>3932</v>
      </c>
      <c r="J380" s="1">
        <v>23200</v>
      </c>
    </row>
    <row r="381" spans="1:10">
      <c r="A381" s="1"/>
      <c r="B381" s="1"/>
      <c r="C381" s="1"/>
      <c r="D381" s="1" t="s">
        <v>1543</v>
      </c>
      <c r="E381" s="1" t="s">
        <v>1240</v>
      </c>
      <c r="F381" s="1">
        <v>3932</v>
      </c>
      <c r="G381" s="1">
        <v>3932</v>
      </c>
      <c r="H381" s="1">
        <v>3930</v>
      </c>
      <c r="I381" s="1">
        <v>3931</v>
      </c>
      <c r="J381" s="1">
        <v>5200</v>
      </c>
    </row>
    <row r="382" spans="1:10">
      <c r="A382" s="1"/>
      <c r="B382" s="1"/>
      <c r="C382" s="1"/>
      <c r="D382" s="1" t="s">
        <v>1543</v>
      </c>
      <c r="E382" s="1" t="s">
        <v>1241</v>
      </c>
      <c r="F382" s="1">
        <v>3930</v>
      </c>
      <c r="G382" s="1">
        <v>3931</v>
      </c>
      <c r="H382" s="1">
        <v>3929</v>
      </c>
      <c r="I382" s="1">
        <v>3930</v>
      </c>
      <c r="J382" s="1">
        <v>16300</v>
      </c>
    </row>
    <row r="383" spans="1:10">
      <c r="A383" s="1"/>
      <c r="B383" s="1"/>
      <c r="C383" s="1"/>
      <c r="D383" s="1" t="s">
        <v>1543</v>
      </c>
      <c r="E383" s="1" t="s">
        <v>1242</v>
      </c>
      <c r="F383" s="1">
        <v>3931</v>
      </c>
      <c r="G383" s="1">
        <v>3934</v>
      </c>
      <c r="H383" s="1">
        <v>3930</v>
      </c>
      <c r="I383" s="1">
        <v>3933</v>
      </c>
      <c r="J383" s="1">
        <v>17500</v>
      </c>
    </row>
    <row r="384" spans="1:10">
      <c r="A384" s="1"/>
      <c r="B384" s="1"/>
      <c r="C384" s="1"/>
      <c r="D384" s="1" t="s">
        <v>1543</v>
      </c>
      <c r="E384" s="1" t="s">
        <v>1243</v>
      </c>
      <c r="F384" s="1">
        <v>3933</v>
      </c>
      <c r="G384" s="1">
        <v>3933</v>
      </c>
      <c r="H384" s="1">
        <v>3932</v>
      </c>
      <c r="I384" s="1">
        <v>3933</v>
      </c>
      <c r="J384" s="1">
        <v>4100</v>
      </c>
    </row>
    <row r="385" spans="1:10">
      <c r="A385" s="1" t="s">
        <v>78</v>
      </c>
      <c r="B385" s="1" t="s">
        <v>78</v>
      </c>
      <c r="C385" s="1" t="s">
        <v>78</v>
      </c>
      <c r="D385" s="1" t="s">
        <v>78</v>
      </c>
      <c r="E385" s="1" t="s">
        <v>78</v>
      </c>
      <c r="F385" s="1" t="s">
        <v>78</v>
      </c>
      <c r="G385" s="1" t="s">
        <v>78</v>
      </c>
      <c r="H385" s="1" t="s">
        <v>78</v>
      </c>
      <c r="I385" s="1" t="s">
        <v>78</v>
      </c>
      <c r="J385" s="1" t="s">
        <v>78</v>
      </c>
    </row>
    <row r="394" spans="1:10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503" spans="1:10">
      <c r="A503" s="1"/>
      <c r="B503" s="1"/>
      <c r="C503" s="1"/>
      <c r="D503" s="1"/>
      <c r="E503" s="1"/>
      <c r="F503" s="1"/>
      <c r="G503" s="1"/>
      <c r="H503" s="1"/>
      <c r="I503" s="1"/>
      <c r="J503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7F399-0C23-4D21-BC33-5BB337FB0839}">
  <dimension ref="A1:B2"/>
  <sheetViews>
    <sheetView workbookViewId="0">
      <selection activeCell="B2" sqref="B2"/>
    </sheetView>
  </sheetViews>
  <sheetFormatPr defaultRowHeight="18.75"/>
  <cols>
    <col min="2" max="2" width="21" customWidth="1"/>
  </cols>
  <sheetData>
    <row r="1" spans="1:2">
      <c r="A1" t="s">
        <v>683</v>
      </c>
      <c r="B1" t="s">
        <v>681</v>
      </c>
    </row>
    <row r="2" spans="1:2">
      <c r="A2">
        <v>102</v>
      </c>
      <c r="B2" cm="1">
        <f t="array" ref="B2">_xll.RssOrderStatus($A2)</f>
        <v>-1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5D040-2826-446F-BF14-09F2551ECC8E}">
  <dimension ref="A1:K2"/>
  <sheetViews>
    <sheetView workbookViewId="0">
      <selection activeCell="I10" sqref="I10"/>
    </sheetView>
  </sheetViews>
  <sheetFormatPr defaultRowHeight="18.75"/>
  <cols>
    <col min="4" max="4" width="12.875" customWidth="1"/>
  </cols>
  <sheetData>
    <row r="1" spans="1:11">
      <c r="A1" t="s">
        <v>82</v>
      </c>
      <c r="B1" t="s">
        <v>83</v>
      </c>
      <c r="C1" t="s">
        <v>504</v>
      </c>
      <c r="D1" t="s">
        <v>678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1">
      <c r="A2">
        <v>7203</v>
      </c>
      <c r="B2">
        <v>3000</v>
      </c>
      <c r="C2" s="27">
        <v>46313</v>
      </c>
      <c r="D2" s="28">
        <v>0.89984953703703707</v>
      </c>
      <c r="E2" t="s">
        <v>1181</v>
      </c>
    </row>
  </sheetData>
  <phoneticPr fontId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7D6B-0687-442A-BE9C-2A992A2A1041}">
  <dimension ref="A1:K1"/>
  <sheetViews>
    <sheetView tabSelected="1" workbookViewId="0">
      <selection activeCell="A2" sqref="A2:XFD4"/>
    </sheetView>
  </sheetViews>
  <sheetFormatPr defaultRowHeight="18.75"/>
  <sheetData>
    <row r="1" spans="1:11">
      <c r="A1" t="s">
        <v>82</v>
      </c>
      <c r="B1" t="s">
        <v>83</v>
      </c>
      <c r="C1" t="s">
        <v>504</v>
      </c>
      <c r="D1" t="s">
        <v>678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F430-9EC9-40D5-86C4-2E10FA771AAA}">
  <dimension ref="B3:E12"/>
  <sheetViews>
    <sheetView workbookViewId="0">
      <selection activeCell="D8" sqref="D8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3" spans="2:5">
      <c r="B3" s="1"/>
      <c r="C3" s="1"/>
      <c r="D3" s="1"/>
      <c r="E3" s="1"/>
    </row>
    <row r="4" spans="2:5">
      <c r="B4" s="1"/>
    </row>
    <row r="5" spans="2:5">
      <c r="B5" s="1"/>
      <c r="C5" s="1"/>
      <c r="D5" s="1"/>
      <c r="E5" s="1"/>
    </row>
    <row r="6" spans="2:5">
      <c r="B6" s="1"/>
      <c r="C6" s="1"/>
      <c r="D6" s="1"/>
      <c r="E6" s="1"/>
    </row>
    <row r="9" spans="2:5">
      <c r="C9" s="1"/>
      <c r="D9" s="1"/>
      <c r="E9" s="1"/>
    </row>
    <row r="12" spans="2:5">
      <c r="C12" s="1"/>
      <c r="D12" s="1"/>
      <c r="E12" s="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9"/>
  <sheetViews>
    <sheetView workbookViewId="0">
      <selection activeCell="C16" sqref="C16"/>
    </sheetView>
  </sheetViews>
  <sheetFormatPr defaultRowHeight="18.75"/>
  <cols>
    <col min="1" max="1" width="9" style="3"/>
    <col min="2" max="2" width="35" style="3" customWidth="1"/>
    <col min="3" max="3" width="22.25" style="3" customWidth="1"/>
    <col min="4" max="4" width="9" style="3"/>
    <col min="5" max="5" width="11" style="3" customWidth="1"/>
    <col min="6" max="6" width="71" style="3" customWidth="1"/>
    <col min="7" max="16384" width="9" style="3"/>
  </cols>
  <sheetData>
    <row r="1" spans="1:6">
      <c r="A1" s="3" t="s">
        <v>741</v>
      </c>
    </row>
    <row r="2" spans="1:6">
      <c r="A2" s="3" t="s">
        <v>682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>
      <c r="A3" s="4">
        <v>10770</v>
      </c>
      <c r="B3" s="4" t="s">
        <v>1184</v>
      </c>
      <c r="C3" s="29">
        <v>46311</v>
      </c>
      <c r="D3" s="30">
        <v>0.89307870370370368</v>
      </c>
      <c r="E3" s="4">
        <v>20770</v>
      </c>
      <c r="F3" s="4" t="s">
        <v>70</v>
      </c>
    </row>
    <row r="4" spans="1:6">
      <c r="A4" s="4">
        <v>10780</v>
      </c>
      <c r="B4" s="4" t="s">
        <v>1184</v>
      </c>
      <c r="C4" s="29">
        <v>46311</v>
      </c>
      <c r="D4" s="30">
        <v>0.89377314814814812</v>
      </c>
      <c r="E4" s="4">
        <v>20780</v>
      </c>
      <c r="F4" s="4" t="s">
        <v>70</v>
      </c>
    </row>
    <row r="5" spans="1:6">
      <c r="A5" s="4">
        <v>10790</v>
      </c>
      <c r="B5" s="4" t="s">
        <v>1184</v>
      </c>
      <c r="C5" s="29">
        <v>46311</v>
      </c>
      <c r="D5" s="30">
        <v>0.89394675925925926</v>
      </c>
      <c r="E5" s="4">
        <v>20790</v>
      </c>
      <c r="F5" s="4" t="s">
        <v>70</v>
      </c>
    </row>
    <row r="6" spans="1:6">
      <c r="A6" s="4">
        <v>10800</v>
      </c>
      <c r="B6" s="4" t="s">
        <v>1184</v>
      </c>
      <c r="C6" s="29">
        <v>46311</v>
      </c>
      <c r="D6" s="30">
        <v>0.89423611111111112</v>
      </c>
      <c r="E6" s="4">
        <v>20800</v>
      </c>
      <c r="F6" s="4" t="s">
        <v>70</v>
      </c>
    </row>
    <row r="7" spans="1:6">
      <c r="A7" s="4">
        <v>10810</v>
      </c>
      <c r="B7" s="4" t="s">
        <v>1184</v>
      </c>
      <c r="C7" s="29">
        <v>46313</v>
      </c>
      <c r="D7" s="30">
        <v>0.89922453703703709</v>
      </c>
      <c r="E7" s="4">
        <v>20810</v>
      </c>
      <c r="F7" s="4" t="s">
        <v>70</v>
      </c>
    </row>
    <row r="8" spans="1:6">
      <c r="A8" s="4">
        <v>10820</v>
      </c>
      <c r="B8" s="4" t="s">
        <v>1184</v>
      </c>
      <c r="C8" s="29">
        <v>46313</v>
      </c>
      <c r="D8" s="30">
        <v>0.89962962962962967</v>
      </c>
      <c r="E8" s="4">
        <v>20820</v>
      </c>
      <c r="F8" s="4" t="s">
        <v>70</v>
      </c>
    </row>
    <row r="9" spans="1:6">
      <c r="A9" s="4" t="s">
        <v>64</v>
      </c>
      <c r="B9" s="4" t="s">
        <v>64</v>
      </c>
      <c r="C9" s="4" t="s">
        <v>64</v>
      </c>
      <c r="D9" s="4" t="s">
        <v>64</v>
      </c>
      <c r="E9" s="4" t="s">
        <v>64</v>
      </c>
      <c r="F9" s="4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9"/>
  <sheetViews>
    <sheetView workbookViewId="0">
      <selection activeCell="A3" sqref="A3:XFD5"/>
    </sheetView>
  </sheetViews>
  <sheetFormatPr defaultRowHeight="18.75"/>
  <cols>
    <col min="1" max="1" width="14.875" customWidth="1"/>
    <col min="3" max="3" width="14" customWidth="1"/>
    <col min="12" max="12" width="17.375" customWidth="1"/>
  </cols>
  <sheetData>
    <row r="1" spans="1:30">
      <c r="A1" t="s">
        <v>705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742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20770</v>
      </c>
      <c r="B3" s="1" t="s">
        <v>1182</v>
      </c>
      <c r="C3" s="1" t="s">
        <v>519</v>
      </c>
      <c r="D3" s="1"/>
      <c r="E3" s="1"/>
      <c r="F3" s="1">
        <v>7203</v>
      </c>
      <c r="G3" s="1" t="s">
        <v>520</v>
      </c>
      <c r="H3" s="1" t="s">
        <v>36</v>
      </c>
      <c r="I3" s="1" t="s">
        <v>37</v>
      </c>
      <c r="J3" s="1" t="s">
        <v>38</v>
      </c>
      <c r="K3" s="1" t="s">
        <v>522</v>
      </c>
      <c r="L3" s="6">
        <v>46311.893078703702</v>
      </c>
      <c r="M3" s="1" t="s">
        <v>1183</v>
      </c>
      <c r="N3" s="1" t="s">
        <v>521</v>
      </c>
      <c r="O3" s="1" t="s">
        <v>214</v>
      </c>
      <c r="P3" s="1">
        <v>20261016</v>
      </c>
      <c r="Q3" s="1">
        <v>100</v>
      </c>
      <c r="R3" s="1">
        <v>100</v>
      </c>
      <c r="S3" s="1">
        <v>3040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1">
        <v>20780</v>
      </c>
      <c r="B4" s="1" t="s">
        <v>1182</v>
      </c>
      <c r="C4" s="1" t="s">
        <v>519</v>
      </c>
      <c r="D4" s="1"/>
      <c r="E4" s="1"/>
      <c r="F4" s="1">
        <v>7203</v>
      </c>
      <c r="G4" s="1" t="s">
        <v>520</v>
      </c>
      <c r="H4" s="1" t="s">
        <v>36</v>
      </c>
      <c r="I4" s="1" t="s">
        <v>37</v>
      </c>
      <c r="J4" s="1" t="s">
        <v>38</v>
      </c>
      <c r="K4" s="1" t="s">
        <v>522</v>
      </c>
      <c r="L4" s="6">
        <v>46311.893773148149</v>
      </c>
      <c r="M4" s="1" t="s">
        <v>1185</v>
      </c>
      <c r="N4" s="1" t="s">
        <v>523</v>
      </c>
      <c r="O4" s="1" t="s">
        <v>214</v>
      </c>
      <c r="P4" s="1">
        <v>20261016</v>
      </c>
      <c r="Q4" s="1">
        <v>100</v>
      </c>
      <c r="R4" s="1">
        <v>100</v>
      </c>
      <c r="S4" s="1">
        <v>3040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20790</v>
      </c>
      <c r="B5" s="1" t="s">
        <v>1182</v>
      </c>
      <c r="C5" s="1" t="s">
        <v>519</v>
      </c>
      <c r="D5" s="1"/>
      <c r="E5" s="1"/>
      <c r="F5" s="1">
        <v>7203</v>
      </c>
      <c r="G5" s="1" t="s">
        <v>520</v>
      </c>
      <c r="H5" s="1" t="s">
        <v>36</v>
      </c>
      <c r="I5" s="1" t="s">
        <v>37</v>
      </c>
      <c r="J5" s="1" t="s">
        <v>38</v>
      </c>
      <c r="K5" s="1" t="s">
        <v>522</v>
      </c>
      <c r="L5" s="6">
        <v>46311.893946759257</v>
      </c>
      <c r="M5" s="1" t="s">
        <v>1183</v>
      </c>
      <c r="N5" s="1" t="s">
        <v>521</v>
      </c>
      <c r="O5" s="1" t="s">
        <v>214</v>
      </c>
      <c r="P5" s="1">
        <v>20261016</v>
      </c>
      <c r="Q5" s="1">
        <v>100</v>
      </c>
      <c r="R5" s="1">
        <v>100</v>
      </c>
      <c r="S5" s="1">
        <v>3010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>
      <c r="A6" s="1">
        <v>20800</v>
      </c>
      <c r="B6" s="1" t="s">
        <v>1182</v>
      </c>
      <c r="C6" s="1" t="s">
        <v>519</v>
      </c>
      <c r="D6" s="1"/>
      <c r="E6" s="1"/>
      <c r="F6" s="1">
        <v>7203</v>
      </c>
      <c r="G6" s="1" t="s">
        <v>520</v>
      </c>
      <c r="H6" s="1" t="s">
        <v>36</v>
      </c>
      <c r="I6" s="1" t="s">
        <v>37</v>
      </c>
      <c r="J6" s="1" t="s">
        <v>38</v>
      </c>
      <c r="K6" s="1" t="s">
        <v>522</v>
      </c>
      <c r="L6" s="6">
        <v>46311.894224537034</v>
      </c>
      <c r="M6" s="1" t="s">
        <v>1185</v>
      </c>
      <c r="N6" s="1" t="s">
        <v>523</v>
      </c>
      <c r="O6" s="1" t="s">
        <v>214</v>
      </c>
      <c r="P6" s="1">
        <v>20261016</v>
      </c>
      <c r="Q6" s="1">
        <v>100</v>
      </c>
      <c r="R6" s="1">
        <v>100</v>
      </c>
      <c r="S6" s="1">
        <v>3000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>
      <c r="A7" s="1">
        <v>20810</v>
      </c>
      <c r="B7" s="1" t="s">
        <v>1182</v>
      </c>
      <c r="C7" s="1" t="s">
        <v>519</v>
      </c>
      <c r="D7" s="1"/>
      <c r="E7" s="1"/>
      <c r="F7" s="1">
        <v>7203</v>
      </c>
      <c r="G7" s="1" t="s">
        <v>520</v>
      </c>
      <c r="H7" s="1" t="s">
        <v>36</v>
      </c>
      <c r="I7" s="1" t="s">
        <v>37</v>
      </c>
      <c r="J7" s="1" t="s">
        <v>38</v>
      </c>
      <c r="K7" s="1" t="s">
        <v>522</v>
      </c>
      <c r="L7" s="6">
        <v>46313.899224537039</v>
      </c>
      <c r="M7" s="1" t="s">
        <v>1183</v>
      </c>
      <c r="N7" s="1" t="s">
        <v>521</v>
      </c>
      <c r="O7" s="1" t="s">
        <v>214</v>
      </c>
      <c r="P7" s="1">
        <v>20261018</v>
      </c>
      <c r="Q7" s="1">
        <v>100</v>
      </c>
      <c r="R7" s="1">
        <v>100</v>
      </c>
      <c r="S7" s="1">
        <v>3000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>
      <c r="A8" s="1">
        <v>20820</v>
      </c>
      <c r="B8" s="1" t="s">
        <v>1182</v>
      </c>
      <c r="C8" s="1" t="s">
        <v>519</v>
      </c>
      <c r="D8" s="1"/>
      <c r="E8" s="1"/>
      <c r="F8" s="1">
        <v>7203</v>
      </c>
      <c r="G8" s="1" t="s">
        <v>520</v>
      </c>
      <c r="H8" s="1" t="s">
        <v>36</v>
      </c>
      <c r="I8" s="1" t="s">
        <v>37</v>
      </c>
      <c r="J8" s="1" t="s">
        <v>38</v>
      </c>
      <c r="K8" s="1" t="s">
        <v>522</v>
      </c>
      <c r="L8" s="6">
        <v>46313.899629629632</v>
      </c>
      <c r="M8" s="1" t="s">
        <v>1185</v>
      </c>
      <c r="N8" s="1" t="s">
        <v>523</v>
      </c>
      <c r="O8" s="1" t="s">
        <v>214</v>
      </c>
      <c r="P8" s="1">
        <v>20261018</v>
      </c>
      <c r="Q8" s="1">
        <v>100</v>
      </c>
      <c r="R8" s="1">
        <v>100</v>
      </c>
      <c r="S8" s="1">
        <v>3040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>
      <c r="A9" s="1" t="s">
        <v>64</v>
      </c>
      <c r="B9" s="1" t="s">
        <v>64</v>
      </c>
      <c r="C9" s="1" t="s">
        <v>64</v>
      </c>
      <c r="D9" s="1" t="s">
        <v>64</v>
      </c>
      <c r="E9" s="1" t="s">
        <v>64</v>
      </c>
      <c r="F9" s="1" t="s">
        <v>64</v>
      </c>
      <c r="G9" s="1" t="s">
        <v>64</v>
      </c>
      <c r="H9" s="1" t="s">
        <v>64</v>
      </c>
      <c r="I9" s="1" t="s">
        <v>64</v>
      </c>
      <c r="J9" s="1" t="s">
        <v>64</v>
      </c>
      <c r="K9" s="1" t="s">
        <v>64</v>
      </c>
      <c r="L9" s="1" t="s">
        <v>64</v>
      </c>
      <c r="M9" s="1" t="s">
        <v>64</v>
      </c>
      <c r="N9" s="1" t="s">
        <v>64</v>
      </c>
      <c r="O9" s="1" t="s">
        <v>64</v>
      </c>
      <c r="P9" s="1" t="s">
        <v>64</v>
      </c>
      <c r="Q9" s="1" t="s">
        <v>64</v>
      </c>
      <c r="R9" s="1" t="s">
        <v>64</v>
      </c>
      <c r="S9" s="1" t="s">
        <v>64</v>
      </c>
      <c r="T9" s="1" t="s">
        <v>64</v>
      </c>
      <c r="U9" s="1" t="s">
        <v>64</v>
      </c>
      <c r="V9" s="1" t="s">
        <v>64</v>
      </c>
      <c r="W9" s="1" t="s">
        <v>64</v>
      </c>
      <c r="X9" s="1" t="s">
        <v>64</v>
      </c>
      <c r="Y9" s="1" t="s">
        <v>64</v>
      </c>
      <c r="Z9" s="1" t="s">
        <v>64</v>
      </c>
      <c r="AA9" s="1" t="s">
        <v>64</v>
      </c>
      <c r="AB9" s="1" t="s">
        <v>64</v>
      </c>
      <c r="AC9" s="1" t="s">
        <v>64</v>
      </c>
      <c r="AD9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F6A2A-102C-4C09-BED6-7CC88446CEB1}">
  <dimension ref="A1:O9"/>
  <sheetViews>
    <sheetView workbookViewId="0">
      <selection activeCell="A3" sqref="A3:XFD6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879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>
        <v>46311.893078703702</v>
      </c>
      <c r="B3" s="1">
        <v>20261020</v>
      </c>
      <c r="C3" s="1">
        <v>7203</v>
      </c>
      <c r="D3" s="1" t="s">
        <v>520</v>
      </c>
      <c r="E3" s="1" t="s">
        <v>36</v>
      </c>
      <c r="F3" s="1" t="s">
        <v>706</v>
      </c>
      <c r="G3" s="1" t="s">
        <v>38</v>
      </c>
      <c r="H3" s="1" t="s">
        <v>522</v>
      </c>
      <c r="I3" s="1" t="s">
        <v>521</v>
      </c>
      <c r="J3" s="1" t="s">
        <v>1183</v>
      </c>
      <c r="K3" s="1">
        <v>100</v>
      </c>
      <c r="L3" s="1">
        <v>3040</v>
      </c>
      <c r="M3" s="1">
        <v>304000</v>
      </c>
      <c r="N3" s="1" t="s">
        <v>675</v>
      </c>
      <c r="O3" s="1">
        <v>0</v>
      </c>
    </row>
    <row r="4" spans="1:15">
      <c r="A4" s="6">
        <v>46311.893773148149</v>
      </c>
      <c r="B4" s="1">
        <v>20261020</v>
      </c>
      <c r="C4" s="1">
        <v>7203</v>
      </c>
      <c r="D4" s="1" t="s">
        <v>520</v>
      </c>
      <c r="E4" s="1" t="s">
        <v>36</v>
      </c>
      <c r="F4" s="1" t="s">
        <v>706</v>
      </c>
      <c r="G4" s="1" t="s">
        <v>38</v>
      </c>
      <c r="H4" s="1" t="s">
        <v>522</v>
      </c>
      <c r="I4" s="1" t="s">
        <v>523</v>
      </c>
      <c r="J4" s="1" t="s">
        <v>1185</v>
      </c>
      <c r="K4" s="1">
        <v>100</v>
      </c>
      <c r="L4" s="1">
        <v>3040</v>
      </c>
      <c r="M4" s="1">
        <v>304000</v>
      </c>
      <c r="N4" s="1" t="s">
        <v>675</v>
      </c>
      <c r="O4" s="1">
        <v>0</v>
      </c>
    </row>
    <row r="5" spans="1:15">
      <c r="A5" s="6">
        <v>46311.893958333334</v>
      </c>
      <c r="B5" s="1">
        <v>20261020</v>
      </c>
      <c r="C5" s="1">
        <v>7203</v>
      </c>
      <c r="D5" s="1" t="s">
        <v>520</v>
      </c>
      <c r="E5" s="1" t="s">
        <v>36</v>
      </c>
      <c r="F5" s="1" t="s">
        <v>706</v>
      </c>
      <c r="G5" s="1" t="s">
        <v>38</v>
      </c>
      <c r="H5" s="1" t="s">
        <v>522</v>
      </c>
      <c r="I5" s="1" t="s">
        <v>521</v>
      </c>
      <c r="J5" s="1" t="s">
        <v>1183</v>
      </c>
      <c r="K5" s="1">
        <v>100</v>
      </c>
      <c r="L5" s="1">
        <v>3010</v>
      </c>
      <c r="M5" s="1">
        <v>301000</v>
      </c>
      <c r="N5" s="1" t="s">
        <v>675</v>
      </c>
      <c r="O5" s="1">
        <v>0</v>
      </c>
    </row>
    <row r="6" spans="1:15">
      <c r="A6" s="6">
        <v>46311.894236111111</v>
      </c>
      <c r="B6" s="1">
        <v>20261020</v>
      </c>
      <c r="C6" s="1">
        <v>7203</v>
      </c>
      <c r="D6" s="1" t="s">
        <v>520</v>
      </c>
      <c r="E6" s="1" t="s">
        <v>36</v>
      </c>
      <c r="F6" s="1" t="s">
        <v>706</v>
      </c>
      <c r="G6" s="1" t="s">
        <v>38</v>
      </c>
      <c r="H6" s="1" t="s">
        <v>522</v>
      </c>
      <c r="I6" s="1" t="s">
        <v>523</v>
      </c>
      <c r="J6" s="1" t="s">
        <v>1185</v>
      </c>
      <c r="K6" s="1">
        <v>100</v>
      </c>
      <c r="L6" s="1">
        <v>3000</v>
      </c>
      <c r="M6" s="1">
        <v>300000</v>
      </c>
      <c r="N6" s="1" t="s">
        <v>675</v>
      </c>
      <c r="O6" s="1">
        <v>0</v>
      </c>
    </row>
    <row r="7" spans="1:15">
      <c r="A7" s="6">
        <v>46313.899224537039</v>
      </c>
      <c r="B7" s="1">
        <v>20261022</v>
      </c>
      <c r="C7" s="1">
        <v>7203</v>
      </c>
      <c r="D7" s="1" t="s">
        <v>520</v>
      </c>
      <c r="E7" s="1" t="s">
        <v>36</v>
      </c>
      <c r="F7" s="1" t="s">
        <v>706</v>
      </c>
      <c r="G7" s="1" t="s">
        <v>38</v>
      </c>
      <c r="H7" s="1" t="s">
        <v>522</v>
      </c>
      <c r="I7" s="1" t="s">
        <v>521</v>
      </c>
      <c r="J7" s="1" t="s">
        <v>1183</v>
      </c>
      <c r="K7" s="1">
        <v>100</v>
      </c>
      <c r="L7" s="1">
        <v>3000</v>
      </c>
      <c r="M7" s="1">
        <v>300000</v>
      </c>
      <c r="N7" s="1" t="s">
        <v>675</v>
      </c>
      <c r="O7" s="1">
        <v>0</v>
      </c>
    </row>
    <row r="8" spans="1:15">
      <c r="A8" s="6">
        <v>46313.899641203701</v>
      </c>
      <c r="B8" s="1">
        <v>20261022</v>
      </c>
      <c r="C8" s="1">
        <v>7203</v>
      </c>
      <c r="D8" s="1" t="s">
        <v>520</v>
      </c>
      <c r="E8" s="1" t="s">
        <v>36</v>
      </c>
      <c r="F8" s="1" t="s">
        <v>706</v>
      </c>
      <c r="G8" s="1" t="s">
        <v>38</v>
      </c>
      <c r="H8" s="1" t="s">
        <v>522</v>
      </c>
      <c r="I8" s="1" t="s">
        <v>523</v>
      </c>
      <c r="J8" s="1" t="s">
        <v>1185</v>
      </c>
      <c r="K8" s="1">
        <v>100</v>
      </c>
      <c r="L8" s="1">
        <v>3040</v>
      </c>
      <c r="M8" s="1">
        <v>304000</v>
      </c>
      <c r="N8" s="1" t="s">
        <v>675</v>
      </c>
      <c r="O8" s="1">
        <v>0</v>
      </c>
    </row>
    <row r="9" spans="1:15">
      <c r="A9" s="1" t="s">
        <v>78</v>
      </c>
      <c r="B9" s="1" t="s">
        <v>78</v>
      </c>
      <c r="C9" s="1" t="s">
        <v>78</v>
      </c>
      <c r="D9" s="1" t="s">
        <v>78</v>
      </c>
      <c r="E9" s="1" t="s">
        <v>78</v>
      </c>
      <c r="F9" s="1" t="s">
        <v>78</v>
      </c>
      <c r="G9" s="1" t="s">
        <v>78</v>
      </c>
      <c r="H9" s="1" t="s">
        <v>78</v>
      </c>
      <c r="I9" s="1" t="s">
        <v>78</v>
      </c>
      <c r="J9" s="1" t="s">
        <v>78</v>
      </c>
      <c r="K9" s="1" t="s">
        <v>78</v>
      </c>
      <c r="L9" s="1" t="s">
        <v>78</v>
      </c>
      <c r="M9" s="1" t="s">
        <v>78</v>
      </c>
      <c r="N9" s="1" t="s">
        <v>78</v>
      </c>
      <c r="O9" s="1" t="s">
        <v>78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F425-41EE-4CD2-A5EA-A9D89683FD85}">
  <dimension ref="A1:T10"/>
  <sheetViews>
    <sheetView workbookViewId="0">
      <selection activeCell="A3" sqref="A3:XFD9"/>
    </sheetView>
  </sheetViews>
  <sheetFormatPr defaultRowHeight="18.75"/>
  <cols>
    <col min="11" max="11" width="10.5" customWidth="1"/>
  </cols>
  <sheetData>
    <row r="1" spans="1:20">
      <c r="A1" t="str">
        <f>_xll.RssMarginPositionList($A$2:$T$2,"","A",0,0,0)</f>
        <v>=@RssMarginPositionList($A$2:$T$2,"","A",0,0,0) =&gt; 配信中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>
        <v>3436</v>
      </c>
      <c r="B3" s="1" t="s">
        <v>1581</v>
      </c>
      <c r="C3" s="1" t="s">
        <v>36</v>
      </c>
      <c r="D3" s="1" t="s">
        <v>524</v>
      </c>
      <c r="E3" s="1" t="s">
        <v>38</v>
      </c>
      <c r="F3" s="1" t="s">
        <v>522</v>
      </c>
      <c r="G3" s="1" t="s">
        <v>674</v>
      </c>
      <c r="H3" s="1">
        <v>100</v>
      </c>
      <c r="I3" s="1">
        <v>0</v>
      </c>
      <c r="J3" s="1">
        <v>2560.5</v>
      </c>
      <c r="K3" s="1">
        <v>20261020</v>
      </c>
      <c r="L3" s="1">
        <v>20261020</v>
      </c>
      <c r="M3" s="1">
        <v>2533</v>
      </c>
      <c r="N3" s="1">
        <v>-126.5</v>
      </c>
      <c r="O3" s="1">
        <v>-4.76</v>
      </c>
      <c r="P3" s="1">
        <v>253300</v>
      </c>
      <c r="Q3" s="1">
        <v>-2750</v>
      </c>
      <c r="R3" s="1">
        <v>-1.074009</v>
      </c>
      <c r="S3" s="1">
        <v>30</v>
      </c>
      <c r="T3" s="1">
        <v>0</v>
      </c>
    </row>
    <row r="4" spans="1:20">
      <c r="A4" s="1">
        <v>5016</v>
      </c>
      <c r="B4" s="1" t="s">
        <v>719</v>
      </c>
      <c r="C4" s="1" t="s">
        <v>36</v>
      </c>
      <c r="D4" s="1" t="s">
        <v>706</v>
      </c>
      <c r="E4" s="1" t="s">
        <v>685</v>
      </c>
      <c r="F4" s="1" t="s">
        <v>686</v>
      </c>
      <c r="G4" s="1" t="s">
        <v>674</v>
      </c>
      <c r="H4" s="1">
        <v>100</v>
      </c>
      <c r="I4" s="1">
        <v>0</v>
      </c>
      <c r="J4" s="1">
        <v>5653.6</v>
      </c>
      <c r="K4" s="1">
        <v>20260511</v>
      </c>
      <c r="L4" s="1">
        <v>20261110</v>
      </c>
      <c r="M4" s="1">
        <v>2968.5</v>
      </c>
      <c r="N4" s="1">
        <v>-94.5</v>
      </c>
      <c r="O4" s="1">
        <v>-3.09</v>
      </c>
      <c r="P4" s="1">
        <v>296850</v>
      </c>
      <c r="Q4" s="1">
        <v>-276239</v>
      </c>
      <c r="R4" s="1">
        <v>-48.860726</v>
      </c>
      <c r="S4" s="1">
        <v>30</v>
      </c>
      <c r="T4" s="1">
        <v>0</v>
      </c>
    </row>
    <row r="5" spans="1:20">
      <c r="A5" s="1">
        <v>5016</v>
      </c>
      <c r="B5" s="1" t="s">
        <v>719</v>
      </c>
      <c r="C5" s="1" t="s">
        <v>36</v>
      </c>
      <c r="D5" s="1" t="s">
        <v>706</v>
      </c>
      <c r="E5" s="1" t="s">
        <v>685</v>
      </c>
      <c r="F5" s="1" t="s">
        <v>686</v>
      </c>
      <c r="G5" s="1" t="s">
        <v>674</v>
      </c>
      <c r="H5" s="1">
        <v>100</v>
      </c>
      <c r="I5" s="1">
        <v>0</v>
      </c>
      <c r="J5" s="1">
        <v>5702.3</v>
      </c>
      <c r="K5" s="1">
        <v>20260511</v>
      </c>
      <c r="L5" s="1">
        <v>20261110</v>
      </c>
      <c r="M5" s="1">
        <v>2968.5</v>
      </c>
      <c r="N5" s="1">
        <v>-94.5</v>
      </c>
      <c r="O5" s="1">
        <v>-3.09</v>
      </c>
      <c r="P5" s="1">
        <v>296850</v>
      </c>
      <c r="Q5" s="1">
        <v>-280620</v>
      </c>
      <c r="R5" s="1">
        <v>-49.211722000000002</v>
      </c>
      <c r="S5" s="1">
        <v>30</v>
      </c>
      <c r="T5" s="1">
        <v>0</v>
      </c>
    </row>
    <row r="6" spans="1:20">
      <c r="A6" s="1">
        <v>5016</v>
      </c>
      <c r="B6" s="1" t="s">
        <v>719</v>
      </c>
      <c r="C6" s="1" t="s">
        <v>36</v>
      </c>
      <c r="D6" s="1" t="s">
        <v>706</v>
      </c>
      <c r="E6" s="1" t="s">
        <v>685</v>
      </c>
      <c r="F6" s="1" t="s">
        <v>686</v>
      </c>
      <c r="G6" s="1" t="s">
        <v>674</v>
      </c>
      <c r="H6" s="1">
        <v>100</v>
      </c>
      <c r="I6" s="1">
        <v>0</v>
      </c>
      <c r="J6" s="1">
        <v>5315</v>
      </c>
      <c r="K6" s="1">
        <v>20260622</v>
      </c>
      <c r="L6" s="1">
        <v>20261221</v>
      </c>
      <c r="M6" s="1">
        <v>2968.5</v>
      </c>
      <c r="N6" s="1">
        <v>-94.5</v>
      </c>
      <c r="O6" s="1">
        <v>-3.09</v>
      </c>
      <c r="P6" s="1">
        <v>296850</v>
      </c>
      <c r="Q6" s="1">
        <v>-240023</v>
      </c>
      <c r="R6" s="1">
        <v>-45.159548000000001</v>
      </c>
      <c r="S6" s="1">
        <v>30</v>
      </c>
      <c r="T6" s="1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4197</v>
      </c>
      <c r="N7">
        <v>-285</v>
      </c>
      <c r="O7">
        <v>-6.36</v>
      </c>
      <c r="P7">
        <v>419700</v>
      </c>
      <c r="Q7">
        <v>-231479</v>
      </c>
      <c r="R7">
        <v>-35.872644000000001</v>
      </c>
      <c r="S7">
        <v>30</v>
      </c>
      <c r="T7">
        <v>0</v>
      </c>
    </row>
    <row r="8" spans="1:20">
      <c r="A8">
        <v>5803</v>
      </c>
      <c r="B8" t="s">
        <v>490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5525.6</v>
      </c>
      <c r="K8">
        <v>20261008</v>
      </c>
      <c r="L8">
        <v>20270407</v>
      </c>
      <c r="M8">
        <v>4197</v>
      </c>
      <c r="N8">
        <v>-285</v>
      </c>
      <c r="O8">
        <v>-6.36</v>
      </c>
      <c r="P8">
        <v>419700</v>
      </c>
      <c r="Q8">
        <v>-133284</v>
      </c>
      <c r="R8">
        <v>-24.121181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5399.7</v>
      </c>
      <c r="K9" s="1">
        <v>20261014</v>
      </c>
      <c r="L9" s="1">
        <v>20270413</v>
      </c>
      <c r="M9" s="1">
        <v>4538</v>
      </c>
      <c r="N9" s="1">
        <v>-307</v>
      </c>
      <c r="O9" s="1">
        <v>-6.34</v>
      </c>
      <c r="P9" s="1">
        <v>453800</v>
      </c>
      <c r="Q9" s="1">
        <v>-86460</v>
      </c>
      <c r="R9" s="1">
        <v>-16.012001000000001</v>
      </c>
      <c r="S9" s="1">
        <v>30</v>
      </c>
      <c r="T9" s="1">
        <v>0</v>
      </c>
    </row>
    <row r="10" spans="1:20">
      <c r="A10" s="1" t="s">
        <v>78</v>
      </c>
      <c r="B10" s="1" t="s">
        <v>78</v>
      </c>
      <c r="C10" s="1" t="s">
        <v>78</v>
      </c>
      <c r="D10" s="1" t="s">
        <v>78</v>
      </c>
      <c r="E10" s="1" t="s">
        <v>78</v>
      </c>
      <c r="F10" s="1" t="s">
        <v>78</v>
      </c>
      <c r="G10" s="1" t="s">
        <v>78</v>
      </c>
      <c r="H10" s="1" t="s">
        <v>78</v>
      </c>
      <c r="I10" s="1" t="s">
        <v>78</v>
      </c>
      <c r="J10" s="1" t="s">
        <v>78</v>
      </c>
      <c r="K10" s="1" t="s">
        <v>78</v>
      </c>
      <c r="L10" s="1" t="s">
        <v>78</v>
      </c>
      <c r="M10" s="1" t="s">
        <v>78</v>
      </c>
      <c r="N10" s="1" t="s">
        <v>78</v>
      </c>
      <c r="O10" s="1" t="s">
        <v>78</v>
      </c>
      <c r="P10" s="1" t="s">
        <v>78</v>
      </c>
      <c r="Q10" s="1" t="s">
        <v>78</v>
      </c>
      <c r="R10" s="1" t="s">
        <v>78</v>
      </c>
      <c r="S10" s="1" t="s">
        <v>78</v>
      </c>
      <c r="T10" s="1" t="s">
        <v>78</v>
      </c>
    </row>
  </sheetData>
  <phoneticPr fontId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E3F6-4DF6-4340-B853-A3FAE0A4D5EE}">
  <dimension ref="A1:T14"/>
  <sheetViews>
    <sheetView workbookViewId="0">
      <selection activeCell="G12" sqref="G12"/>
    </sheetView>
  </sheetViews>
  <sheetFormatPr defaultRowHeight="18.75"/>
  <cols>
    <col min="12" max="12" width="12.875" customWidth="1"/>
  </cols>
  <sheetData>
    <row r="1" spans="1:20">
      <c r="A1" t="s">
        <v>880</v>
      </c>
    </row>
    <row r="2" spans="1:20">
      <c r="A2" t="s">
        <v>10</v>
      </c>
      <c r="B2" t="s">
        <v>720</v>
      </c>
      <c r="C2" t="s">
        <v>12</v>
      </c>
      <c r="D2" t="s">
        <v>711</v>
      </c>
      <c r="E2" t="s">
        <v>14</v>
      </c>
      <c r="F2" t="s">
        <v>15</v>
      </c>
      <c r="G2" t="s">
        <v>16</v>
      </c>
      <c r="H2" t="s">
        <v>712</v>
      </c>
      <c r="I2" t="s">
        <v>472</v>
      </c>
      <c r="J2" t="s">
        <v>713</v>
      </c>
      <c r="K2" t="s">
        <v>714</v>
      </c>
      <c r="L2" t="s">
        <v>715</v>
      </c>
      <c r="M2" t="s">
        <v>474</v>
      </c>
      <c r="N2" t="s">
        <v>475</v>
      </c>
      <c r="O2" t="s">
        <v>476</v>
      </c>
      <c r="P2" t="s">
        <v>477</v>
      </c>
      <c r="Q2" t="s">
        <v>478</v>
      </c>
      <c r="R2" t="s">
        <v>479</v>
      </c>
      <c r="S2" t="s">
        <v>716</v>
      </c>
      <c r="T2" t="s">
        <v>717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</v>
      </c>
      <c r="S5">
        <v>30</v>
      </c>
      <c r="T5">
        <v>0</v>
      </c>
    </row>
    <row r="6" spans="1:20">
      <c r="A6" s="1">
        <v>5803</v>
      </c>
      <c r="B6" s="1" t="s">
        <v>490</v>
      </c>
      <c r="C6" s="1" t="s">
        <v>36</v>
      </c>
      <c r="D6" s="1" t="s">
        <v>706</v>
      </c>
      <c r="E6" s="1" t="s">
        <v>685</v>
      </c>
      <c r="F6" s="1" t="s">
        <v>686</v>
      </c>
      <c r="G6" s="1" t="s">
        <v>674</v>
      </c>
      <c r="H6" s="1">
        <v>100</v>
      </c>
      <c r="I6" s="1">
        <v>0</v>
      </c>
      <c r="J6" s="1">
        <v>6449.9</v>
      </c>
      <c r="K6" s="1">
        <v>20260624</v>
      </c>
      <c r="L6" s="1">
        <v>20261223</v>
      </c>
      <c r="M6" s="1">
        <v>5493</v>
      </c>
      <c r="N6" s="1">
        <v>410</v>
      </c>
      <c r="O6" s="1">
        <v>8.07</v>
      </c>
      <c r="P6" s="1">
        <v>549300</v>
      </c>
      <c r="Q6" s="1">
        <v>-99769</v>
      </c>
      <c r="R6" s="1">
        <v>-15.46</v>
      </c>
      <c r="S6" s="1">
        <v>30</v>
      </c>
      <c r="T6" s="1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-99842</v>
      </c>
      <c r="R7">
        <v>-15.47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78</v>
      </c>
      <c r="B10" s="1" t="s">
        <v>78</v>
      </c>
      <c r="C10" s="1" t="s">
        <v>78</v>
      </c>
      <c r="D10" s="1" t="s">
        <v>78</v>
      </c>
      <c r="E10" s="1" t="s">
        <v>78</v>
      </c>
      <c r="F10" s="1" t="s">
        <v>78</v>
      </c>
      <c r="G10" s="1" t="s">
        <v>78</v>
      </c>
      <c r="H10" s="1" t="s">
        <v>78</v>
      </c>
      <c r="I10" s="1" t="s">
        <v>78</v>
      </c>
      <c r="J10" s="1" t="s">
        <v>78</v>
      </c>
      <c r="K10" s="1" t="s">
        <v>78</v>
      </c>
      <c r="L10" s="1" t="s">
        <v>78</v>
      </c>
      <c r="M10" s="1" t="s">
        <v>78</v>
      </c>
      <c r="N10" s="1" t="s">
        <v>78</v>
      </c>
      <c r="O10" s="1" t="s">
        <v>78</v>
      </c>
      <c r="P10" s="1" t="s">
        <v>78</v>
      </c>
      <c r="Q10" s="1" t="s">
        <v>78</v>
      </c>
      <c r="R10" s="1" t="s">
        <v>78</v>
      </c>
      <c r="S10" s="1" t="s">
        <v>78</v>
      </c>
      <c r="T10" s="1" t="s">
        <v>78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>
        <v>5803</v>
      </c>
      <c r="B14" t="s">
        <v>490</v>
      </c>
      <c r="C14" t="s">
        <v>36</v>
      </c>
      <c r="D14" t="s">
        <v>706</v>
      </c>
      <c r="E14" t="s">
        <v>685</v>
      </c>
      <c r="F14" t="s">
        <v>686</v>
      </c>
      <c r="G14" t="s">
        <v>674</v>
      </c>
      <c r="H14">
        <v>100</v>
      </c>
      <c r="I14">
        <v>0</v>
      </c>
      <c r="J14">
        <v>5162.8</v>
      </c>
      <c r="K14">
        <v>20260908</v>
      </c>
      <c r="L14">
        <v>20270305</v>
      </c>
      <c r="M14">
        <v>5083</v>
      </c>
      <c r="N14">
        <v>-158</v>
      </c>
      <c r="O14">
        <v>-3.01</v>
      </c>
      <c r="P14">
        <v>508300</v>
      </c>
      <c r="Q14">
        <v>-8060</v>
      </c>
      <c r="R14">
        <v>-1.5611679999999999</v>
      </c>
      <c r="S14">
        <v>30</v>
      </c>
      <c r="T14">
        <v>0</v>
      </c>
    </row>
  </sheetData>
  <phoneticPr fontId="1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F7B6-AADD-404D-80E3-63A05F925972}">
  <dimension ref="A1:F18"/>
  <sheetViews>
    <sheetView workbookViewId="0">
      <selection activeCell="D18" sqref="D18"/>
    </sheetView>
  </sheetViews>
  <sheetFormatPr defaultRowHeight="18.75"/>
  <cols>
    <col min="3" max="3" width="12.25" customWidth="1"/>
    <col min="5" max="5" width="10.75" customWidth="1"/>
    <col min="6" max="6" width="20.875" customWidth="1"/>
  </cols>
  <sheetData>
    <row r="1" spans="1:6">
      <c r="A1" t="s">
        <v>81</v>
      </c>
    </row>
    <row r="2" spans="1: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>
      <c r="A3" s="1" t="s">
        <v>64</v>
      </c>
      <c r="B3" s="1" t="s">
        <v>64</v>
      </c>
      <c r="C3" s="1" t="s">
        <v>64</v>
      </c>
      <c r="D3" s="1" t="s">
        <v>64</v>
      </c>
      <c r="E3" s="1" t="s">
        <v>64</v>
      </c>
      <c r="F3" s="1" t="s">
        <v>64</v>
      </c>
    </row>
    <row r="5" spans="1:6">
      <c r="A5" s="1">
        <v>1</v>
      </c>
      <c r="B5" s="1" t="s">
        <v>65</v>
      </c>
      <c r="C5" s="1" t="s">
        <v>66</v>
      </c>
      <c r="D5" s="1" t="s">
        <v>67</v>
      </c>
      <c r="E5" s="1" t="s">
        <v>34</v>
      </c>
      <c r="F5" s="1" t="s">
        <v>68</v>
      </c>
    </row>
    <row r="6" spans="1:6">
      <c r="A6" s="1">
        <v>2</v>
      </c>
      <c r="B6" s="1" t="s">
        <v>65</v>
      </c>
      <c r="C6" s="1" t="s">
        <v>66</v>
      </c>
      <c r="D6" s="1" t="s">
        <v>69</v>
      </c>
      <c r="E6" s="1">
        <v>54053073</v>
      </c>
      <c r="F6" s="1" t="s">
        <v>70</v>
      </c>
    </row>
    <row r="8" spans="1:6" s="3" customFormat="1">
      <c r="A8" s="4">
        <v>344</v>
      </c>
      <c r="B8" s="4" t="s">
        <v>198</v>
      </c>
      <c r="C8" s="4" t="s">
        <v>200</v>
      </c>
      <c r="D8" s="4" t="s">
        <v>201</v>
      </c>
      <c r="E8" s="4" t="s">
        <v>47</v>
      </c>
      <c r="F8" s="4" t="s">
        <v>202</v>
      </c>
    </row>
    <row r="9" spans="1:6" s="3" customFormat="1">
      <c r="A9" s="3">
        <v>345</v>
      </c>
      <c r="B9" s="3" t="s">
        <v>198</v>
      </c>
      <c r="C9" s="3" t="s">
        <v>200</v>
      </c>
      <c r="D9" s="3" t="s">
        <v>203</v>
      </c>
      <c r="E9" s="3" t="s">
        <v>47</v>
      </c>
      <c r="F9" s="3" t="s">
        <v>204</v>
      </c>
    </row>
    <row r="10" spans="1:6" s="3" customFormat="1">
      <c r="A10" s="3">
        <v>351</v>
      </c>
      <c r="B10" s="3" t="s">
        <v>198</v>
      </c>
      <c r="C10" s="3" t="s">
        <v>200</v>
      </c>
      <c r="D10" s="3" t="s">
        <v>205</v>
      </c>
      <c r="E10" s="3" t="s">
        <v>47</v>
      </c>
      <c r="F10" s="3" t="s">
        <v>206</v>
      </c>
    </row>
    <row r="11" spans="1:6" s="3" customFormat="1">
      <c r="A11" s="3">
        <v>352</v>
      </c>
      <c r="B11" s="3" t="s">
        <v>198</v>
      </c>
      <c r="C11" s="3" t="s">
        <v>200</v>
      </c>
      <c r="D11" s="3" t="s">
        <v>207</v>
      </c>
      <c r="E11" s="3" t="s">
        <v>47</v>
      </c>
      <c r="F11" s="3" t="s">
        <v>206</v>
      </c>
    </row>
    <row r="12" spans="1:6" s="3" customFormat="1" ht="112.5">
      <c r="A12" s="4">
        <v>353</v>
      </c>
      <c r="B12" s="4" t="s">
        <v>197</v>
      </c>
      <c r="C12" s="4" t="s">
        <v>199</v>
      </c>
      <c r="D12" s="4" t="s">
        <v>208</v>
      </c>
      <c r="E12" s="4" t="s">
        <v>34</v>
      </c>
      <c r="F12" s="5" t="s">
        <v>209</v>
      </c>
    </row>
    <row r="13" spans="1:6" s="3" customFormat="1">
      <c r="A13" s="4">
        <v>354</v>
      </c>
      <c r="B13" s="4" t="s">
        <v>197</v>
      </c>
      <c r="C13" s="4" t="s">
        <v>199</v>
      </c>
      <c r="D13" s="4" t="s">
        <v>210</v>
      </c>
      <c r="E13" s="4">
        <v>51051621</v>
      </c>
      <c r="F13" s="4" t="s">
        <v>70</v>
      </c>
    </row>
    <row r="14" spans="1:6" s="3" customFormat="1">
      <c r="A14" s="4">
        <v>355</v>
      </c>
      <c r="B14" s="4" t="s">
        <v>197</v>
      </c>
      <c r="C14" s="4" t="s">
        <v>199</v>
      </c>
      <c r="D14" s="4" t="s">
        <v>459</v>
      </c>
      <c r="E14" s="4">
        <v>51051926</v>
      </c>
      <c r="F14" s="4" t="s">
        <v>70</v>
      </c>
    </row>
    <row r="15" spans="1:6" s="3" customFormat="1">
      <c r="A15" s="4">
        <v>357</v>
      </c>
      <c r="B15" s="4" t="s">
        <v>197</v>
      </c>
      <c r="C15" s="4" t="s">
        <v>199</v>
      </c>
      <c r="D15" s="4" t="s">
        <v>464</v>
      </c>
      <c r="E15" s="4">
        <v>51053912</v>
      </c>
      <c r="F15" s="4" t="s">
        <v>70</v>
      </c>
    </row>
    <row r="18" spans="1:6" s="3" customFormat="1">
      <c r="A18" s="4">
        <v>104</v>
      </c>
      <c r="B18" s="4" t="s">
        <v>197</v>
      </c>
      <c r="C18" s="4" t="s">
        <v>680</v>
      </c>
      <c r="D18" s="4" t="s">
        <v>688</v>
      </c>
      <c r="E18" s="4" t="s">
        <v>34</v>
      </c>
      <c r="F18" s="4" t="s">
        <v>689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AD589-8B96-4BA9-A545-6179123737A2}">
  <dimension ref="A1:AD189"/>
  <sheetViews>
    <sheetView topLeftCell="A166" workbookViewId="0">
      <selection activeCell="I5" sqref="I5"/>
    </sheetView>
  </sheetViews>
  <sheetFormatPr defaultRowHeight="18.75"/>
  <cols>
    <col min="12" max="12" width="22.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 t="s">
        <v>78</v>
      </c>
      <c r="B3" s="1" t="s">
        <v>78</v>
      </c>
      <c r="C3" s="1" t="s">
        <v>78</v>
      </c>
      <c r="D3" s="1" t="s">
        <v>78</v>
      </c>
      <c r="E3" s="1" t="s">
        <v>78</v>
      </c>
      <c r="F3" s="1" t="s">
        <v>78</v>
      </c>
      <c r="G3" s="1" t="s">
        <v>78</v>
      </c>
      <c r="H3" s="1" t="s">
        <v>78</v>
      </c>
      <c r="I3" s="1" t="s">
        <v>78</v>
      </c>
      <c r="J3" s="1" t="s">
        <v>78</v>
      </c>
      <c r="K3" s="1" t="s">
        <v>78</v>
      </c>
      <c r="L3" s="1" t="s">
        <v>78</v>
      </c>
      <c r="M3" s="1" t="s">
        <v>78</v>
      </c>
      <c r="N3" s="1" t="s">
        <v>78</v>
      </c>
      <c r="O3" s="1" t="s">
        <v>78</v>
      </c>
      <c r="P3" s="1" t="s">
        <v>78</v>
      </c>
      <c r="Q3" s="1" t="s">
        <v>78</v>
      </c>
      <c r="R3" s="1" t="s">
        <v>78</v>
      </c>
      <c r="S3" s="1" t="s">
        <v>78</v>
      </c>
      <c r="T3" s="1" t="s">
        <v>78</v>
      </c>
      <c r="U3" s="1" t="s">
        <v>78</v>
      </c>
      <c r="V3" s="1" t="s">
        <v>78</v>
      </c>
      <c r="W3" s="1" t="s">
        <v>78</v>
      </c>
      <c r="X3" s="1" t="s">
        <v>78</v>
      </c>
      <c r="Y3" s="1" t="s">
        <v>78</v>
      </c>
      <c r="Z3" s="1" t="s">
        <v>78</v>
      </c>
      <c r="AA3" s="1" t="s">
        <v>78</v>
      </c>
      <c r="AB3" s="1" t="s">
        <v>78</v>
      </c>
      <c r="AC3" s="1" t="s">
        <v>78</v>
      </c>
      <c r="AD3" s="1" t="s">
        <v>78</v>
      </c>
    </row>
    <row r="4" spans="1:30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53248847</v>
      </c>
      <c r="B5" s="1" t="s">
        <v>52</v>
      </c>
      <c r="C5" s="1" t="s">
        <v>53</v>
      </c>
      <c r="D5" s="1" t="s">
        <v>47</v>
      </c>
      <c r="E5" s="1" t="s">
        <v>35</v>
      </c>
      <c r="F5" s="1">
        <v>9432</v>
      </c>
      <c r="G5" s="1" t="s">
        <v>54</v>
      </c>
      <c r="H5" s="1" t="s">
        <v>45</v>
      </c>
      <c r="I5" s="1" t="s">
        <v>48</v>
      </c>
      <c r="J5" s="1" t="s">
        <v>35</v>
      </c>
      <c r="K5" s="1" t="s">
        <v>35</v>
      </c>
      <c r="L5" s="1" t="s">
        <v>56</v>
      </c>
      <c r="M5" s="1" t="s">
        <v>57</v>
      </c>
      <c r="N5" s="1" t="s">
        <v>58</v>
      </c>
      <c r="O5" s="1" t="s">
        <v>60</v>
      </c>
      <c r="P5" s="1">
        <v>20260724</v>
      </c>
      <c r="Q5" s="1">
        <v>100</v>
      </c>
      <c r="R5" s="1">
        <v>0</v>
      </c>
      <c r="S5" s="1">
        <v>146.9</v>
      </c>
      <c r="T5" s="1" t="s">
        <v>49</v>
      </c>
      <c r="U5" s="1" t="s">
        <v>47</v>
      </c>
      <c r="V5" s="1" t="s">
        <v>47</v>
      </c>
      <c r="W5" s="1" t="s">
        <v>47</v>
      </c>
      <c r="X5" s="1" t="s">
        <v>35</v>
      </c>
      <c r="Y5" s="1" t="s">
        <v>47</v>
      </c>
      <c r="Z5" s="1" t="s">
        <v>35</v>
      </c>
      <c r="AA5" s="1" t="s">
        <v>50</v>
      </c>
      <c r="AB5" s="1" t="s">
        <v>35</v>
      </c>
      <c r="AC5" s="1" t="s">
        <v>56</v>
      </c>
      <c r="AD5" s="1" t="s">
        <v>62</v>
      </c>
    </row>
    <row r="6" spans="1:30">
      <c r="A6" t="s">
        <v>63</v>
      </c>
    </row>
    <row r="7" spans="1:30">
      <c r="A7" s="1">
        <v>53248847</v>
      </c>
      <c r="B7" s="1" t="s">
        <v>51</v>
      </c>
      <c r="C7" s="1" t="s">
        <v>44</v>
      </c>
      <c r="D7" s="1" t="s">
        <v>34</v>
      </c>
      <c r="E7" s="1" t="s">
        <v>35</v>
      </c>
      <c r="F7" s="1">
        <v>9432</v>
      </c>
      <c r="G7" s="1" t="s">
        <v>41</v>
      </c>
      <c r="H7" s="1" t="s">
        <v>36</v>
      </c>
      <c r="I7" s="1" t="s">
        <v>37</v>
      </c>
      <c r="J7" s="1" t="s">
        <v>35</v>
      </c>
      <c r="K7" s="1" t="s">
        <v>35</v>
      </c>
      <c r="L7" s="1" t="s">
        <v>55</v>
      </c>
      <c r="M7" s="1" t="s">
        <v>42</v>
      </c>
      <c r="N7" s="1" t="s">
        <v>43</v>
      </c>
      <c r="O7" s="1" t="s">
        <v>59</v>
      </c>
      <c r="P7" s="1">
        <v>20260724</v>
      </c>
      <c r="Q7" s="1">
        <v>100</v>
      </c>
      <c r="R7" s="1">
        <v>0</v>
      </c>
      <c r="S7" s="1">
        <v>146.9</v>
      </c>
      <c r="T7" s="1" t="s">
        <v>39</v>
      </c>
      <c r="U7" s="1" t="s">
        <v>34</v>
      </c>
      <c r="V7" s="1" t="s">
        <v>34</v>
      </c>
      <c r="W7" s="1" t="s">
        <v>34</v>
      </c>
      <c r="X7" s="1" t="s">
        <v>35</v>
      </c>
      <c r="Y7" s="1" t="s">
        <v>34</v>
      </c>
      <c r="Z7" s="1" t="s">
        <v>35</v>
      </c>
      <c r="AA7" s="1" t="s">
        <v>40</v>
      </c>
      <c r="AB7" s="1" t="s">
        <v>35</v>
      </c>
      <c r="AC7" s="1" t="s">
        <v>55</v>
      </c>
      <c r="AD7" s="1" t="s">
        <v>61</v>
      </c>
    </row>
    <row r="11" spans="1:30">
      <c r="A11" s="1">
        <v>54053073</v>
      </c>
      <c r="B11" s="1" t="s">
        <v>71</v>
      </c>
      <c r="C11" s="1" t="s">
        <v>72</v>
      </c>
      <c r="D11" s="1" t="s">
        <v>47</v>
      </c>
      <c r="E11" s="1" t="s">
        <v>35</v>
      </c>
      <c r="F11" s="1">
        <v>9432</v>
      </c>
      <c r="G11" s="1" t="s">
        <v>54</v>
      </c>
      <c r="H11" s="1" t="s">
        <v>46</v>
      </c>
      <c r="I11" s="1" t="s">
        <v>48</v>
      </c>
      <c r="J11" s="1" t="s">
        <v>35</v>
      </c>
      <c r="K11" s="1" t="s">
        <v>35</v>
      </c>
      <c r="L11" s="1" t="s">
        <v>73</v>
      </c>
      <c r="M11" s="1" t="s">
        <v>57</v>
      </c>
      <c r="N11" s="1" t="s">
        <v>58</v>
      </c>
      <c r="O11" s="1" t="s">
        <v>60</v>
      </c>
      <c r="P11" s="1">
        <v>20260724</v>
      </c>
      <c r="Q11" s="1">
        <v>100</v>
      </c>
      <c r="R11" s="1">
        <v>0</v>
      </c>
      <c r="S11" s="1">
        <v>145</v>
      </c>
      <c r="T11" s="1" t="s">
        <v>49</v>
      </c>
      <c r="U11" s="1" t="s">
        <v>47</v>
      </c>
      <c r="V11" s="1" t="s">
        <v>47</v>
      </c>
      <c r="W11" s="1" t="s">
        <v>47</v>
      </c>
      <c r="X11" s="1" t="s">
        <v>35</v>
      </c>
      <c r="Y11" s="1" t="s">
        <v>47</v>
      </c>
      <c r="Z11" s="1" t="s">
        <v>35</v>
      </c>
      <c r="AA11" s="1" t="s">
        <v>50</v>
      </c>
      <c r="AB11" s="1" t="s">
        <v>35</v>
      </c>
      <c r="AC11" s="1" t="s">
        <v>73</v>
      </c>
      <c r="AD11" s="1" t="s">
        <v>74</v>
      </c>
    </row>
    <row r="12" spans="1:30">
      <c r="A12" t="s">
        <v>63</v>
      </c>
    </row>
    <row r="13" spans="1:30">
      <c r="A13" s="1">
        <v>54053073</v>
      </c>
      <c r="B13" s="1" t="s">
        <v>75</v>
      </c>
      <c r="C13" s="1" t="s">
        <v>44</v>
      </c>
      <c r="D13" s="1" t="s">
        <v>34</v>
      </c>
      <c r="E13" s="1" t="s">
        <v>35</v>
      </c>
      <c r="F13" s="1">
        <v>9432</v>
      </c>
      <c r="G13" s="1" t="s">
        <v>41</v>
      </c>
      <c r="H13" s="1" t="s">
        <v>827</v>
      </c>
      <c r="I13" s="1" t="s">
        <v>37</v>
      </c>
      <c r="J13" s="1" t="s">
        <v>35</v>
      </c>
      <c r="K13" s="1" t="s">
        <v>35</v>
      </c>
      <c r="L13" s="1" t="s">
        <v>76</v>
      </c>
      <c r="M13" s="1" t="s">
        <v>42</v>
      </c>
      <c r="N13" s="1" t="s">
        <v>43</v>
      </c>
      <c r="O13" s="1" t="s">
        <v>59</v>
      </c>
      <c r="P13" s="1">
        <v>20260724</v>
      </c>
      <c r="Q13" s="1">
        <v>100</v>
      </c>
      <c r="R13" s="1">
        <v>0</v>
      </c>
      <c r="S13" s="1">
        <v>145</v>
      </c>
      <c r="T13" s="1" t="s">
        <v>39</v>
      </c>
      <c r="U13" s="1" t="s">
        <v>34</v>
      </c>
      <c r="V13" s="1" t="s">
        <v>34</v>
      </c>
      <c r="W13" s="1" t="s">
        <v>34</v>
      </c>
      <c r="X13" s="1" t="s">
        <v>35</v>
      </c>
      <c r="Y13" s="1" t="s">
        <v>34</v>
      </c>
      <c r="Z13" s="1" t="s">
        <v>35</v>
      </c>
      <c r="AA13" s="1" t="s">
        <v>40</v>
      </c>
      <c r="AB13" s="1" t="s">
        <v>35</v>
      </c>
      <c r="AC13" s="1" t="s">
        <v>76</v>
      </c>
      <c r="AD13" s="1" t="s">
        <v>77</v>
      </c>
    </row>
    <row r="16" spans="1:30">
      <c r="A16" s="1">
        <v>55097302</v>
      </c>
      <c r="B16" s="1" t="s">
        <v>211</v>
      </c>
      <c r="C16" s="1" t="s">
        <v>212</v>
      </c>
      <c r="D16" s="1" t="s">
        <v>47</v>
      </c>
      <c r="E16" s="1" t="s">
        <v>35</v>
      </c>
      <c r="F16" s="1">
        <v>5016</v>
      </c>
      <c r="G16" s="1" t="s">
        <v>139</v>
      </c>
      <c r="H16" s="1" t="s">
        <v>45</v>
      </c>
      <c r="I16" s="1" t="s">
        <v>48</v>
      </c>
      <c r="J16" s="1" t="s">
        <v>46</v>
      </c>
      <c r="K16" s="1" t="s">
        <v>116</v>
      </c>
      <c r="L16" s="1" t="s">
        <v>213</v>
      </c>
      <c r="M16" s="1" t="s">
        <v>118</v>
      </c>
      <c r="N16" s="1" t="s">
        <v>117</v>
      </c>
      <c r="O16" s="1" t="s">
        <v>215</v>
      </c>
      <c r="P16" s="1">
        <v>20260814</v>
      </c>
      <c r="Q16" s="1">
        <v>100</v>
      </c>
      <c r="R16" s="1">
        <v>100</v>
      </c>
      <c r="S16" s="1" t="s">
        <v>217</v>
      </c>
      <c r="T16" s="1" t="s">
        <v>49</v>
      </c>
      <c r="U16" s="1" t="s">
        <v>47</v>
      </c>
      <c r="V16" s="1" t="s">
        <v>47</v>
      </c>
      <c r="W16" s="1" t="s">
        <v>47</v>
      </c>
      <c r="X16" s="1" t="s">
        <v>35</v>
      </c>
      <c r="Y16" s="1" t="s">
        <v>47</v>
      </c>
      <c r="Z16" s="1" t="s">
        <v>35</v>
      </c>
      <c r="AA16" s="1" t="s">
        <v>50</v>
      </c>
      <c r="AB16" s="1" t="s">
        <v>35</v>
      </c>
      <c r="AC16" s="1" t="s">
        <v>213</v>
      </c>
      <c r="AD16" s="1" t="s">
        <v>218</v>
      </c>
    </row>
    <row r="17" spans="1:30">
      <c r="A17">
        <v>55099117</v>
      </c>
      <c r="B17" t="s">
        <v>219</v>
      </c>
      <c r="C17" t="s">
        <v>212</v>
      </c>
      <c r="D17" t="s">
        <v>47</v>
      </c>
      <c r="E17" t="s">
        <v>35</v>
      </c>
      <c r="F17">
        <v>5803</v>
      </c>
      <c r="G17" t="s">
        <v>176</v>
      </c>
      <c r="H17" t="s">
        <v>45</v>
      </c>
      <c r="I17" t="s">
        <v>48</v>
      </c>
      <c r="J17" t="s">
        <v>46</v>
      </c>
      <c r="K17" t="s">
        <v>116</v>
      </c>
      <c r="L17" t="s">
        <v>220</v>
      </c>
      <c r="M17" t="s">
        <v>118</v>
      </c>
      <c r="N17" t="s">
        <v>117</v>
      </c>
      <c r="O17" t="s">
        <v>215</v>
      </c>
      <c r="P17">
        <v>20260814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35</v>
      </c>
      <c r="Y17" t="s">
        <v>47</v>
      </c>
      <c r="Z17" t="s">
        <v>35</v>
      </c>
      <c r="AA17" t="s">
        <v>50</v>
      </c>
      <c r="AB17" t="s">
        <v>35</v>
      </c>
      <c r="AC17" t="s">
        <v>220</v>
      </c>
      <c r="AD17" t="s">
        <v>221</v>
      </c>
    </row>
    <row r="18" spans="1:30">
      <c r="A18">
        <v>55112035</v>
      </c>
      <c r="B18" t="s">
        <v>222</v>
      </c>
      <c r="C18" t="s">
        <v>212</v>
      </c>
      <c r="D18" t="s">
        <v>47</v>
      </c>
      <c r="E18" t="s">
        <v>35</v>
      </c>
      <c r="F18">
        <v>9984</v>
      </c>
      <c r="G18" t="s">
        <v>191</v>
      </c>
      <c r="H18" t="s">
        <v>45</v>
      </c>
      <c r="I18" t="s">
        <v>48</v>
      </c>
      <c r="J18" t="s">
        <v>223</v>
      </c>
      <c r="K18" t="s">
        <v>224</v>
      </c>
      <c r="L18" t="s">
        <v>225</v>
      </c>
      <c r="M18" t="s">
        <v>124</v>
      </c>
      <c r="N18" t="s">
        <v>123</v>
      </c>
      <c r="O18" t="s">
        <v>215</v>
      </c>
      <c r="P18">
        <v>20260814</v>
      </c>
      <c r="Q18">
        <v>100</v>
      </c>
      <c r="R18">
        <v>100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225</v>
      </c>
      <c r="AD18" t="s">
        <v>226</v>
      </c>
    </row>
    <row r="19" spans="1:30">
      <c r="A19">
        <v>55113031</v>
      </c>
      <c r="B19" t="s">
        <v>227</v>
      </c>
      <c r="C19" t="s">
        <v>212</v>
      </c>
      <c r="D19" t="s">
        <v>47</v>
      </c>
      <c r="E19" t="s">
        <v>35</v>
      </c>
      <c r="F19">
        <v>9984</v>
      </c>
      <c r="G19" t="s">
        <v>191</v>
      </c>
      <c r="H19" t="s">
        <v>45</v>
      </c>
      <c r="I19" t="s">
        <v>48</v>
      </c>
      <c r="J19" t="s">
        <v>46</v>
      </c>
      <c r="K19" t="s">
        <v>116</v>
      </c>
      <c r="L19" t="s">
        <v>228</v>
      </c>
      <c r="M19" t="s">
        <v>118</v>
      </c>
      <c r="N19" t="s">
        <v>117</v>
      </c>
      <c r="O19" t="s">
        <v>215</v>
      </c>
      <c r="P19">
        <v>20260814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229</v>
      </c>
      <c r="AD19" t="s">
        <v>230</v>
      </c>
    </row>
    <row r="20" spans="1:30">
      <c r="A20">
        <v>55114915</v>
      </c>
      <c r="B20" t="s">
        <v>231</v>
      </c>
      <c r="C20" t="s">
        <v>212</v>
      </c>
      <c r="D20" t="s">
        <v>232</v>
      </c>
      <c r="E20" t="s">
        <v>35</v>
      </c>
      <c r="F20">
        <v>9984</v>
      </c>
      <c r="G20" t="s">
        <v>191</v>
      </c>
      <c r="H20" t="s">
        <v>45</v>
      </c>
      <c r="I20" t="s">
        <v>48</v>
      </c>
      <c r="J20" t="s">
        <v>46</v>
      </c>
      <c r="K20" t="s">
        <v>116</v>
      </c>
      <c r="L20" t="s">
        <v>233</v>
      </c>
      <c r="M20" t="s">
        <v>124</v>
      </c>
      <c r="N20" t="s">
        <v>123</v>
      </c>
      <c r="O20" t="s">
        <v>215</v>
      </c>
      <c r="P20">
        <v>20260814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233</v>
      </c>
      <c r="AD20" t="s">
        <v>234</v>
      </c>
    </row>
    <row r="21" spans="1:30">
      <c r="A21">
        <v>55115721</v>
      </c>
      <c r="B21" t="s">
        <v>235</v>
      </c>
      <c r="C21" t="s">
        <v>212</v>
      </c>
      <c r="D21" t="s">
        <v>47</v>
      </c>
      <c r="E21" t="s">
        <v>35</v>
      </c>
      <c r="F21">
        <v>9984</v>
      </c>
      <c r="G21" t="s">
        <v>191</v>
      </c>
      <c r="H21" t="s">
        <v>45</v>
      </c>
      <c r="I21" t="s">
        <v>48</v>
      </c>
      <c r="J21" t="s">
        <v>46</v>
      </c>
      <c r="K21" t="s">
        <v>116</v>
      </c>
      <c r="L21" t="s">
        <v>236</v>
      </c>
      <c r="M21" t="s">
        <v>118</v>
      </c>
      <c r="N21" t="s">
        <v>117</v>
      </c>
      <c r="O21" t="s">
        <v>215</v>
      </c>
      <c r="P21">
        <v>20260814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236</v>
      </c>
      <c r="AD21" t="s">
        <v>237</v>
      </c>
    </row>
    <row r="22" spans="1:30">
      <c r="A22">
        <v>55118261</v>
      </c>
      <c r="B22" t="s">
        <v>238</v>
      </c>
      <c r="C22" t="s">
        <v>212</v>
      </c>
      <c r="D22" t="s">
        <v>232</v>
      </c>
      <c r="E22" t="s">
        <v>35</v>
      </c>
      <c r="F22">
        <v>9984</v>
      </c>
      <c r="G22" t="s">
        <v>191</v>
      </c>
      <c r="H22" t="s">
        <v>45</v>
      </c>
      <c r="I22" t="s">
        <v>48</v>
      </c>
      <c r="J22" t="s">
        <v>46</v>
      </c>
      <c r="K22" t="s">
        <v>116</v>
      </c>
      <c r="L22" t="s">
        <v>239</v>
      </c>
      <c r="M22" t="s">
        <v>124</v>
      </c>
      <c r="N22" t="s">
        <v>123</v>
      </c>
      <c r="O22" t="s">
        <v>215</v>
      </c>
      <c r="P22">
        <v>20260814</v>
      </c>
      <c r="Q22">
        <v>100</v>
      </c>
      <c r="R22">
        <v>100</v>
      </c>
      <c r="S22" t="s">
        <v>217</v>
      </c>
      <c r="T22" t="s">
        <v>49</v>
      </c>
      <c r="U22" t="s">
        <v>47</v>
      </c>
      <c r="V22" t="s">
        <v>47</v>
      </c>
      <c r="W22" t="s">
        <v>47</v>
      </c>
      <c r="X22" t="s">
        <v>125</v>
      </c>
      <c r="Y22" t="s">
        <v>47</v>
      </c>
      <c r="Z22" t="s">
        <v>35</v>
      </c>
      <c r="AA22" t="s">
        <v>50</v>
      </c>
      <c r="AB22" t="s">
        <v>35</v>
      </c>
      <c r="AC22" t="s">
        <v>239</v>
      </c>
      <c r="AD22" t="s">
        <v>240</v>
      </c>
    </row>
    <row r="23" spans="1:30">
      <c r="A23">
        <v>55120795</v>
      </c>
      <c r="B23" t="s">
        <v>241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242</v>
      </c>
      <c r="M23" t="s">
        <v>118</v>
      </c>
      <c r="N23" t="s">
        <v>117</v>
      </c>
      <c r="O23" t="s">
        <v>215</v>
      </c>
      <c r="P23">
        <v>20260814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35</v>
      </c>
      <c r="Y23" t="s">
        <v>47</v>
      </c>
      <c r="Z23" t="s">
        <v>35</v>
      </c>
      <c r="AA23" t="s">
        <v>50</v>
      </c>
      <c r="AB23" t="s">
        <v>35</v>
      </c>
      <c r="AC23" t="s">
        <v>242</v>
      </c>
      <c r="AD23" t="s">
        <v>243</v>
      </c>
    </row>
    <row r="24" spans="1:30">
      <c r="A24">
        <v>55123176</v>
      </c>
      <c r="B24" t="s">
        <v>244</v>
      </c>
      <c r="C24" t="s">
        <v>212</v>
      </c>
      <c r="D24" t="s">
        <v>232</v>
      </c>
      <c r="E24" t="s">
        <v>35</v>
      </c>
      <c r="F24">
        <v>3436</v>
      </c>
      <c r="G24" t="s">
        <v>152</v>
      </c>
      <c r="H24" t="s">
        <v>45</v>
      </c>
      <c r="I24" t="s">
        <v>48</v>
      </c>
      <c r="J24" t="s">
        <v>46</v>
      </c>
      <c r="K24" t="s">
        <v>116</v>
      </c>
      <c r="L24" t="s">
        <v>245</v>
      </c>
      <c r="M24" t="s">
        <v>124</v>
      </c>
      <c r="N24" t="s">
        <v>123</v>
      </c>
      <c r="O24" t="s">
        <v>215</v>
      </c>
      <c r="P24">
        <v>20260814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125</v>
      </c>
      <c r="Y24" t="s">
        <v>47</v>
      </c>
      <c r="Z24" t="s">
        <v>35</v>
      </c>
      <c r="AA24" t="s">
        <v>50</v>
      </c>
      <c r="AB24" t="s">
        <v>35</v>
      </c>
      <c r="AC24" t="s">
        <v>245</v>
      </c>
      <c r="AD24" t="s">
        <v>246</v>
      </c>
    </row>
    <row r="25" spans="1:30">
      <c r="A25">
        <v>55124666</v>
      </c>
      <c r="B25" t="s">
        <v>247</v>
      </c>
      <c r="C25" t="s">
        <v>212</v>
      </c>
      <c r="D25" t="s">
        <v>47</v>
      </c>
      <c r="E25" t="s">
        <v>35</v>
      </c>
      <c r="F25">
        <v>6613</v>
      </c>
      <c r="G25" t="s">
        <v>165</v>
      </c>
      <c r="H25" t="s">
        <v>45</v>
      </c>
      <c r="I25" t="s">
        <v>48</v>
      </c>
      <c r="J25" t="s">
        <v>46</v>
      </c>
      <c r="K25" t="s">
        <v>116</v>
      </c>
      <c r="L25" t="s">
        <v>248</v>
      </c>
      <c r="M25" t="s">
        <v>118</v>
      </c>
      <c r="N25" t="s">
        <v>117</v>
      </c>
      <c r="O25" t="s">
        <v>215</v>
      </c>
      <c r="P25">
        <v>20260814</v>
      </c>
      <c r="Q25">
        <v>100</v>
      </c>
      <c r="R25">
        <v>100</v>
      </c>
      <c r="S25" t="s">
        <v>217</v>
      </c>
      <c r="T25" t="s">
        <v>49</v>
      </c>
      <c r="U25" t="s">
        <v>47</v>
      </c>
      <c r="V25" t="s">
        <v>47</v>
      </c>
      <c r="W25" t="s">
        <v>47</v>
      </c>
      <c r="X25" t="s">
        <v>35</v>
      </c>
      <c r="Y25" t="s">
        <v>47</v>
      </c>
      <c r="Z25" t="s">
        <v>35</v>
      </c>
      <c r="AA25" t="s">
        <v>50</v>
      </c>
      <c r="AB25" t="s">
        <v>35</v>
      </c>
      <c r="AC25" t="s">
        <v>248</v>
      </c>
      <c r="AD25" t="s">
        <v>249</v>
      </c>
    </row>
    <row r="26" spans="1:30">
      <c r="A26">
        <v>55130431</v>
      </c>
      <c r="B26" t="s">
        <v>250</v>
      </c>
      <c r="C26" t="s">
        <v>212</v>
      </c>
      <c r="D26" t="s">
        <v>47</v>
      </c>
      <c r="E26" t="s">
        <v>35</v>
      </c>
      <c r="F26">
        <v>6613</v>
      </c>
      <c r="G26" t="s">
        <v>165</v>
      </c>
      <c r="H26" t="s">
        <v>45</v>
      </c>
      <c r="I26" t="s">
        <v>48</v>
      </c>
      <c r="J26" t="s">
        <v>46</v>
      </c>
      <c r="K26" t="s">
        <v>116</v>
      </c>
      <c r="L26" t="s">
        <v>251</v>
      </c>
      <c r="M26" t="s">
        <v>124</v>
      </c>
      <c r="N26" t="s">
        <v>123</v>
      </c>
      <c r="O26" t="s">
        <v>215</v>
      </c>
      <c r="P26">
        <v>20260814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125</v>
      </c>
      <c r="Y26" t="s">
        <v>47</v>
      </c>
      <c r="Z26" t="s">
        <v>35</v>
      </c>
      <c r="AA26" t="s">
        <v>50</v>
      </c>
      <c r="AB26" t="s">
        <v>35</v>
      </c>
      <c r="AC26" t="s">
        <v>251</v>
      </c>
      <c r="AD26" t="s">
        <v>252</v>
      </c>
    </row>
    <row r="27" spans="1:30">
      <c r="A27">
        <v>55130795</v>
      </c>
      <c r="B27" t="s">
        <v>253</v>
      </c>
      <c r="C27" t="s">
        <v>212</v>
      </c>
      <c r="D27" t="s">
        <v>47</v>
      </c>
      <c r="E27" t="s">
        <v>35</v>
      </c>
      <c r="F27">
        <v>9984</v>
      </c>
      <c r="G27" t="s">
        <v>191</v>
      </c>
      <c r="H27" t="s">
        <v>45</v>
      </c>
      <c r="I27" t="s">
        <v>48</v>
      </c>
      <c r="J27" t="s">
        <v>46</v>
      </c>
      <c r="K27" t="s">
        <v>116</v>
      </c>
      <c r="L27" t="s">
        <v>254</v>
      </c>
      <c r="M27" t="s">
        <v>118</v>
      </c>
      <c r="N27" t="s">
        <v>117</v>
      </c>
      <c r="O27" t="s">
        <v>215</v>
      </c>
      <c r="P27">
        <v>20260814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35</v>
      </c>
      <c r="Y27" t="s">
        <v>47</v>
      </c>
      <c r="Z27" t="s">
        <v>35</v>
      </c>
      <c r="AA27" t="s">
        <v>50</v>
      </c>
      <c r="AB27" t="s">
        <v>35</v>
      </c>
      <c r="AC27" t="s">
        <v>254</v>
      </c>
      <c r="AD27" t="s">
        <v>255</v>
      </c>
    </row>
    <row r="28" spans="1:30">
      <c r="A28">
        <v>55131941</v>
      </c>
      <c r="B28" t="s">
        <v>256</v>
      </c>
      <c r="C28" t="s">
        <v>212</v>
      </c>
      <c r="D28" t="s">
        <v>47</v>
      </c>
      <c r="E28" t="s">
        <v>35</v>
      </c>
      <c r="F28">
        <v>9984</v>
      </c>
      <c r="G28" t="s">
        <v>191</v>
      </c>
      <c r="H28" t="s">
        <v>45</v>
      </c>
      <c r="I28" t="s">
        <v>48</v>
      </c>
      <c r="J28" t="s">
        <v>46</v>
      </c>
      <c r="K28" t="s">
        <v>116</v>
      </c>
      <c r="L28" t="s">
        <v>257</v>
      </c>
      <c r="M28" t="s">
        <v>124</v>
      </c>
      <c r="N28" t="s">
        <v>123</v>
      </c>
      <c r="O28" t="s">
        <v>215</v>
      </c>
      <c r="P28">
        <v>20260814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257</v>
      </c>
      <c r="AD28" t="s">
        <v>258</v>
      </c>
    </row>
    <row r="29" spans="1:30">
      <c r="A29">
        <v>55135851</v>
      </c>
      <c r="B29" t="s">
        <v>259</v>
      </c>
      <c r="C29" t="s">
        <v>212</v>
      </c>
      <c r="D29" t="s">
        <v>47</v>
      </c>
      <c r="E29" t="s">
        <v>35</v>
      </c>
      <c r="F29">
        <v>5803</v>
      </c>
      <c r="G29" t="s">
        <v>176</v>
      </c>
      <c r="H29" t="s">
        <v>45</v>
      </c>
      <c r="I29" t="s">
        <v>48</v>
      </c>
      <c r="J29" t="s">
        <v>46</v>
      </c>
      <c r="K29" t="s">
        <v>116</v>
      </c>
      <c r="L29" t="s">
        <v>260</v>
      </c>
      <c r="M29" t="s">
        <v>118</v>
      </c>
      <c r="N29" t="s">
        <v>117</v>
      </c>
      <c r="O29" t="s">
        <v>215</v>
      </c>
      <c r="P29">
        <v>20260814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260</v>
      </c>
      <c r="AD29" t="s">
        <v>261</v>
      </c>
    </row>
    <row r="30" spans="1:30">
      <c r="A30">
        <v>55143414</v>
      </c>
      <c r="B30" t="s">
        <v>262</v>
      </c>
      <c r="C30" t="s">
        <v>212</v>
      </c>
      <c r="D30" t="s">
        <v>47</v>
      </c>
      <c r="E30" t="s">
        <v>35</v>
      </c>
      <c r="F30">
        <v>5803</v>
      </c>
      <c r="G30" t="s">
        <v>176</v>
      </c>
      <c r="H30" t="s">
        <v>45</v>
      </c>
      <c r="I30" t="s">
        <v>48</v>
      </c>
      <c r="J30" t="s">
        <v>46</v>
      </c>
      <c r="K30" t="s">
        <v>116</v>
      </c>
      <c r="L30" t="s">
        <v>263</v>
      </c>
      <c r="M30" t="s">
        <v>124</v>
      </c>
      <c r="N30" t="s">
        <v>123</v>
      </c>
      <c r="O30" t="s">
        <v>215</v>
      </c>
      <c r="P30">
        <v>20260814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125</v>
      </c>
      <c r="Y30" t="s">
        <v>47</v>
      </c>
      <c r="Z30" t="s">
        <v>35</v>
      </c>
      <c r="AA30" t="s">
        <v>50</v>
      </c>
      <c r="AB30" t="s">
        <v>35</v>
      </c>
      <c r="AC30" t="s">
        <v>263</v>
      </c>
      <c r="AD30" t="s">
        <v>264</v>
      </c>
    </row>
    <row r="31" spans="1:30">
      <c r="A31">
        <v>55145092</v>
      </c>
      <c r="B31" t="s">
        <v>265</v>
      </c>
      <c r="C31" t="s">
        <v>212</v>
      </c>
      <c r="D31" t="s">
        <v>47</v>
      </c>
      <c r="E31" t="s">
        <v>35</v>
      </c>
      <c r="F31">
        <v>5016</v>
      </c>
      <c r="G31" t="s">
        <v>139</v>
      </c>
      <c r="H31" t="s">
        <v>45</v>
      </c>
      <c r="I31" t="s">
        <v>48</v>
      </c>
      <c r="J31" t="s">
        <v>46</v>
      </c>
      <c r="K31" t="s">
        <v>116</v>
      </c>
      <c r="L31" t="s">
        <v>266</v>
      </c>
      <c r="M31" t="s">
        <v>118</v>
      </c>
      <c r="N31" t="s">
        <v>117</v>
      </c>
      <c r="O31" t="s">
        <v>215</v>
      </c>
      <c r="P31">
        <v>20260814</v>
      </c>
      <c r="Q31">
        <v>100</v>
      </c>
      <c r="R31">
        <v>100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35</v>
      </c>
      <c r="Y31" t="s">
        <v>47</v>
      </c>
      <c r="Z31" t="s">
        <v>35</v>
      </c>
      <c r="AA31" t="s">
        <v>50</v>
      </c>
      <c r="AB31" t="s">
        <v>35</v>
      </c>
      <c r="AC31" t="s">
        <v>266</v>
      </c>
      <c r="AD31" t="s">
        <v>267</v>
      </c>
    </row>
    <row r="32" spans="1:30">
      <c r="A32">
        <v>55147070</v>
      </c>
      <c r="B32" t="s">
        <v>268</v>
      </c>
      <c r="C32" t="s">
        <v>212</v>
      </c>
      <c r="D32" t="s">
        <v>47</v>
      </c>
      <c r="E32" t="s">
        <v>35</v>
      </c>
      <c r="F32">
        <v>5016</v>
      </c>
      <c r="G32" t="s">
        <v>139</v>
      </c>
      <c r="H32" t="s">
        <v>45</v>
      </c>
      <c r="I32" t="s">
        <v>48</v>
      </c>
      <c r="J32" t="s">
        <v>46</v>
      </c>
      <c r="K32" t="s">
        <v>116</v>
      </c>
      <c r="L32" t="s">
        <v>269</v>
      </c>
      <c r="M32" t="s">
        <v>124</v>
      </c>
      <c r="N32" t="s">
        <v>123</v>
      </c>
      <c r="O32" t="s">
        <v>215</v>
      </c>
      <c r="P32">
        <v>20260814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125</v>
      </c>
      <c r="Y32" t="s">
        <v>47</v>
      </c>
      <c r="Z32" t="s">
        <v>35</v>
      </c>
      <c r="AA32" t="s">
        <v>50</v>
      </c>
      <c r="AB32" t="s">
        <v>35</v>
      </c>
      <c r="AC32" t="s">
        <v>269</v>
      </c>
      <c r="AD32" t="s">
        <v>267</v>
      </c>
    </row>
    <row r="33" spans="1:30">
      <c r="A33">
        <v>55147887</v>
      </c>
      <c r="B33" t="s">
        <v>270</v>
      </c>
      <c r="C33" t="s">
        <v>212</v>
      </c>
      <c r="D33" t="s">
        <v>47</v>
      </c>
      <c r="E33" t="s">
        <v>35</v>
      </c>
      <c r="F33">
        <v>5016</v>
      </c>
      <c r="G33" t="s">
        <v>139</v>
      </c>
      <c r="H33" t="s">
        <v>45</v>
      </c>
      <c r="I33" t="s">
        <v>48</v>
      </c>
      <c r="J33" t="s">
        <v>46</v>
      </c>
      <c r="K33" t="s">
        <v>116</v>
      </c>
      <c r="L33" t="s">
        <v>271</v>
      </c>
      <c r="M33" t="s">
        <v>118</v>
      </c>
      <c r="N33" t="s">
        <v>117</v>
      </c>
      <c r="O33" t="s">
        <v>215</v>
      </c>
      <c r="P33">
        <v>20260814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271</v>
      </c>
      <c r="AD33" t="s">
        <v>272</v>
      </c>
    </row>
    <row r="34" spans="1:30">
      <c r="A34">
        <v>55160502</v>
      </c>
      <c r="B34" t="s">
        <v>273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274</v>
      </c>
      <c r="M34" t="s">
        <v>118</v>
      </c>
      <c r="N34" t="s">
        <v>117</v>
      </c>
      <c r="O34" t="s">
        <v>215</v>
      </c>
      <c r="P34">
        <v>20260814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274</v>
      </c>
      <c r="AD34" t="s">
        <v>275</v>
      </c>
    </row>
    <row r="35" spans="1:30">
      <c r="A35">
        <v>55161885</v>
      </c>
      <c r="B35" t="s">
        <v>276</v>
      </c>
      <c r="C35" t="s">
        <v>212</v>
      </c>
      <c r="D35" t="s">
        <v>47</v>
      </c>
      <c r="E35" t="s">
        <v>35</v>
      </c>
      <c r="F35">
        <v>5803</v>
      </c>
      <c r="G35" t="s">
        <v>176</v>
      </c>
      <c r="H35" t="s">
        <v>45</v>
      </c>
      <c r="I35" t="s">
        <v>48</v>
      </c>
      <c r="J35" t="s">
        <v>46</v>
      </c>
      <c r="K35" t="s">
        <v>116</v>
      </c>
      <c r="L35" t="s">
        <v>277</v>
      </c>
      <c r="M35" t="s">
        <v>124</v>
      </c>
      <c r="N35" t="s">
        <v>123</v>
      </c>
      <c r="O35" t="s">
        <v>215</v>
      </c>
      <c r="P35">
        <v>20260814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277</v>
      </c>
      <c r="AD35" t="s">
        <v>278</v>
      </c>
    </row>
    <row r="36" spans="1:30">
      <c r="A36">
        <v>55163487</v>
      </c>
      <c r="B36" t="s">
        <v>279</v>
      </c>
      <c r="C36" t="s">
        <v>212</v>
      </c>
      <c r="D36" t="s">
        <v>47</v>
      </c>
      <c r="E36" t="s">
        <v>35</v>
      </c>
      <c r="F36">
        <v>6613</v>
      </c>
      <c r="G36" t="s">
        <v>165</v>
      </c>
      <c r="H36" t="s">
        <v>45</v>
      </c>
      <c r="I36" t="s">
        <v>48</v>
      </c>
      <c r="J36" t="s">
        <v>46</v>
      </c>
      <c r="K36" t="s">
        <v>116</v>
      </c>
      <c r="L36" t="s">
        <v>280</v>
      </c>
      <c r="M36" t="s">
        <v>124</v>
      </c>
      <c r="N36" t="s">
        <v>123</v>
      </c>
      <c r="O36" t="s">
        <v>215</v>
      </c>
      <c r="P36">
        <v>20260814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125</v>
      </c>
      <c r="Y36" t="s">
        <v>47</v>
      </c>
      <c r="Z36" t="s">
        <v>35</v>
      </c>
      <c r="AA36" t="s">
        <v>50</v>
      </c>
      <c r="AB36" t="s">
        <v>35</v>
      </c>
      <c r="AC36" t="s">
        <v>280</v>
      </c>
      <c r="AD36" t="s">
        <v>281</v>
      </c>
    </row>
    <row r="37" spans="1:30">
      <c r="A37">
        <v>55165362</v>
      </c>
      <c r="B37" t="s">
        <v>282</v>
      </c>
      <c r="C37" t="s">
        <v>212</v>
      </c>
      <c r="D37" t="s">
        <v>47</v>
      </c>
      <c r="E37" t="s">
        <v>35</v>
      </c>
      <c r="F37">
        <v>5016</v>
      </c>
      <c r="G37" t="s">
        <v>139</v>
      </c>
      <c r="H37" t="s">
        <v>45</v>
      </c>
      <c r="I37" t="s">
        <v>48</v>
      </c>
      <c r="J37" t="s">
        <v>46</v>
      </c>
      <c r="K37" t="s">
        <v>116</v>
      </c>
      <c r="L37" t="s">
        <v>283</v>
      </c>
      <c r="M37" t="s">
        <v>118</v>
      </c>
      <c r="N37" t="s">
        <v>117</v>
      </c>
      <c r="O37" t="s">
        <v>215</v>
      </c>
      <c r="P37">
        <v>20260814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35</v>
      </c>
      <c r="Y37" t="s">
        <v>47</v>
      </c>
      <c r="Z37" t="s">
        <v>35</v>
      </c>
      <c r="AA37" t="s">
        <v>50</v>
      </c>
      <c r="AB37" t="s">
        <v>35</v>
      </c>
      <c r="AC37" t="s">
        <v>283</v>
      </c>
      <c r="AD37" t="s">
        <v>284</v>
      </c>
    </row>
    <row r="38" spans="1:30">
      <c r="A38">
        <v>55167713</v>
      </c>
      <c r="B38" t="s">
        <v>285</v>
      </c>
      <c r="C38" t="s">
        <v>212</v>
      </c>
      <c r="D38" t="s">
        <v>47</v>
      </c>
      <c r="E38" t="s">
        <v>35</v>
      </c>
      <c r="F38">
        <v>5803</v>
      </c>
      <c r="G38" t="s">
        <v>176</v>
      </c>
      <c r="H38" t="s">
        <v>45</v>
      </c>
      <c r="I38" t="s">
        <v>48</v>
      </c>
      <c r="J38" t="s">
        <v>46</v>
      </c>
      <c r="K38" t="s">
        <v>116</v>
      </c>
      <c r="L38" t="s">
        <v>286</v>
      </c>
      <c r="M38" t="s">
        <v>118</v>
      </c>
      <c r="N38" t="s">
        <v>117</v>
      </c>
      <c r="O38" t="s">
        <v>215</v>
      </c>
      <c r="P38">
        <v>20260814</v>
      </c>
      <c r="Q38">
        <v>100</v>
      </c>
      <c r="R38">
        <v>100</v>
      </c>
      <c r="S38">
        <v>5753</v>
      </c>
      <c r="T38" t="s">
        <v>49</v>
      </c>
      <c r="U38" t="s">
        <v>47</v>
      </c>
      <c r="V38" t="s">
        <v>47</v>
      </c>
      <c r="W38" t="s">
        <v>47</v>
      </c>
      <c r="X38" t="s">
        <v>35</v>
      </c>
      <c r="Y38" t="s">
        <v>47</v>
      </c>
      <c r="Z38" t="s">
        <v>35</v>
      </c>
      <c r="AA38" t="s">
        <v>50</v>
      </c>
      <c r="AB38" t="s">
        <v>35</v>
      </c>
      <c r="AC38" t="s">
        <v>287</v>
      </c>
      <c r="AD38" t="s">
        <v>288</v>
      </c>
    </row>
    <row r="39" spans="1:30">
      <c r="A39">
        <v>55182279</v>
      </c>
      <c r="B39" t="s">
        <v>289</v>
      </c>
      <c r="C39" t="s">
        <v>290</v>
      </c>
      <c r="D39" t="s">
        <v>47</v>
      </c>
      <c r="E39" t="s">
        <v>35</v>
      </c>
      <c r="F39">
        <v>5803</v>
      </c>
      <c r="G39" t="s">
        <v>176</v>
      </c>
      <c r="H39" t="s">
        <v>45</v>
      </c>
      <c r="I39" t="s">
        <v>48</v>
      </c>
      <c r="J39" t="s">
        <v>46</v>
      </c>
      <c r="K39" t="s">
        <v>116</v>
      </c>
      <c r="L39" t="s">
        <v>291</v>
      </c>
      <c r="M39" t="s">
        <v>124</v>
      </c>
      <c r="N39" t="s">
        <v>123</v>
      </c>
      <c r="O39" t="s">
        <v>215</v>
      </c>
      <c r="P39">
        <v>20260814</v>
      </c>
      <c r="Q39">
        <v>100</v>
      </c>
      <c r="R39">
        <v>0</v>
      </c>
      <c r="S39">
        <v>5742</v>
      </c>
      <c r="T39" t="s">
        <v>49</v>
      </c>
      <c r="U39" t="s">
        <v>47</v>
      </c>
      <c r="V39" t="s">
        <v>47</v>
      </c>
      <c r="W39" t="s">
        <v>47</v>
      </c>
      <c r="X39" t="s">
        <v>125</v>
      </c>
      <c r="Y39" t="s">
        <v>47</v>
      </c>
      <c r="Z39" t="s">
        <v>35</v>
      </c>
      <c r="AA39" t="s">
        <v>50</v>
      </c>
      <c r="AB39" t="s">
        <v>35</v>
      </c>
      <c r="AC39" t="s">
        <v>291</v>
      </c>
      <c r="AD39" t="s">
        <v>292</v>
      </c>
    </row>
    <row r="40" spans="1:30">
      <c r="A40">
        <v>55184002</v>
      </c>
      <c r="B40" t="s">
        <v>293</v>
      </c>
      <c r="C40" t="s">
        <v>212</v>
      </c>
      <c r="D40" t="s">
        <v>47</v>
      </c>
      <c r="E40" t="s">
        <v>35</v>
      </c>
      <c r="F40">
        <v>5803</v>
      </c>
      <c r="G40" t="s">
        <v>176</v>
      </c>
      <c r="H40" t="s">
        <v>45</v>
      </c>
      <c r="I40" t="s">
        <v>48</v>
      </c>
      <c r="J40" t="s">
        <v>46</v>
      </c>
      <c r="K40" t="s">
        <v>116</v>
      </c>
      <c r="L40" t="s">
        <v>294</v>
      </c>
      <c r="M40" t="s">
        <v>124</v>
      </c>
      <c r="N40" t="s">
        <v>123</v>
      </c>
      <c r="O40" t="s">
        <v>215</v>
      </c>
      <c r="P40">
        <v>20260814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294</v>
      </c>
      <c r="AD40" t="s">
        <v>295</v>
      </c>
    </row>
    <row r="41" spans="1:30">
      <c r="A41">
        <v>55185966</v>
      </c>
      <c r="B41" t="s">
        <v>296</v>
      </c>
      <c r="C41" t="s">
        <v>212</v>
      </c>
      <c r="D41" t="s">
        <v>47</v>
      </c>
      <c r="E41" t="s">
        <v>35</v>
      </c>
      <c r="F41">
        <v>5016</v>
      </c>
      <c r="G41" t="s">
        <v>139</v>
      </c>
      <c r="H41" t="s">
        <v>45</v>
      </c>
      <c r="I41" t="s">
        <v>48</v>
      </c>
      <c r="J41" t="s">
        <v>46</v>
      </c>
      <c r="K41" t="s">
        <v>116</v>
      </c>
      <c r="L41" t="s">
        <v>297</v>
      </c>
      <c r="M41" t="s">
        <v>124</v>
      </c>
      <c r="N41" t="s">
        <v>123</v>
      </c>
      <c r="O41" t="s">
        <v>215</v>
      </c>
      <c r="P41">
        <v>20260814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125</v>
      </c>
      <c r="Y41" t="s">
        <v>47</v>
      </c>
      <c r="Z41" t="s">
        <v>35</v>
      </c>
      <c r="AA41" t="s">
        <v>50</v>
      </c>
      <c r="AB41" t="s">
        <v>35</v>
      </c>
      <c r="AC41" t="s">
        <v>297</v>
      </c>
      <c r="AD41" t="s">
        <v>298</v>
      </c>
    </row>
    <row r="42" spans="1:30">
      <c r="A42">
        <v>55186137</v>
      </c>
      <c r="B42" t="s">
        <v>299</v>
      </c>
      <c r="C42" t="s">
        <v>212</v>
      </c>
      <c r="D42" t="s">
        <v>47</v>
      </c>
      <c r="E42" t="s">
        <v>35</v>
      </c>
      <c r="F42">
        <v>5803</v>
      </c>
      <c r="G42" t="s">
        <v>176</v>
      </c>
      <c r="H42" t="s">
        <v>45</v>
      </c>
      <c r="I42" t="s">
        <v>48</v>
      </c>
      <c r="J42" t="s">
        <v>46</v>
      </c>
      <c r="K42" t="s">
        <v>116</v>
      </c>
      <c r="L42" t="s">
        <v>300</v>
      </c>
      <c r="M42" t="s">
        <v>118</v>
      </c>
      <c r="N42" t="s">
        <v>117</v>
      </c>
      <c r="O42" t="s">
        <v>215</v>
      </c>
      <c r="P42">
        <v>20260814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300</v>
      </c>
      <c r="AD42" t="s">
        <v>301</v>
      </c>
    </row>
    <row r="43" spans="1:30">
      <c r="A43">
        <v>55189216</v>
      </c>
      <c r="B43" t="s">
        <v>302</v>
      </c>
      <c r="C43" t="s">
        <v>212</v>
      </c>
      <c r="D43" t="s">
        <v>47</v>
      </c>
      <c r="E43" t="s">
        <v>35</v>
      </c>
      <c r="F43">
        <v>5803</v>
      </c>
      <c r="G43" t="s">
        <v>176</v>
      </c>
      <c r="H43" t="s">
        <v>45</v>
      </c>
      <c r="I43" t="s">
        <v>48</v>
      </c>
      <c r="J43" t="s">
        <v>46</v>
      </c>
      <c r="K43" t="s">
        <v>116</v>
      </c>
      <c r="L43" t="s">
        <v>303</v>
      </c>
      <c r="M43" t="s">
        <v>124</v>
      </c>
      <c r="N43" t="s">
        <v>123</v>
      </c>
      <c r="O43" t="s">
        <v>215</v>
      </c>
      <c r="P43">
        <v>20260814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303</v>
      </c>
      <c r="AD43" t="s">
        <v>292</v>
      </c>
    </row>
    <row r="44" spans="1:30">
      <c r="A44">
        <v>55190871</v>
      </c>
      <c r="B44" t="s">
        <v>304</v>
      </c>
      <c r="C44" t="s">
        <v>212</v>
      </c>
      <c r="D44" t="s">
        <v>47</v>
      </c>
      <c r="E44" t="s">
        <v>35</v>
      </c>
      <c r="F44">
        <v>5803</v>
      </c>
      <c r="G44" t="s">
        <v>176</v>
      </c>
      <c r="H44" t="s">
        <v>45</v>
      </c>
      <c r="I44" t="s">
        <v>48</v>
      </c>
      <c r="J44" t="s">
        <v>46</v>
      </c>
      <c r="K44" t="s">
        <v>116</v>
      </c>
      <c r="L44" t="s">
        <v>305</v>
      </c>
      <c r="M44" t="s">
        <v>118</v>
      </c>
      <c r="N44" t="s">
        <v>117</v>
      </c>
      <c r="O44" t="s">
        <v>215</v>
      </c>
      <c r="P44">
        <v>20260814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305</v>
      </c>
      <c r="AD44" t="s">
        <v>306</v>
      </c>
    </row>
    <row r="45" spans="1:30">
      <c r="A45">
        <v>55193078</v>
      </c>
      <c r="B45" t="s">
        <v>307</v>
      </c>
      <c r="C45" t="s">
        <v>212</v>
      </c>
      <c r="D45" t="s">
        <v>47</v>
      </c>
      <c r="E45" t="s">
        <v>35</v>
      </c>
      <c r="F45">
        <v>5803</v>
      </c>
      <c r="G45" t="s">
        <v>176</v>
      </c>
      <c r="H45" t="s">
        <v>45</v>
      </c>
      <c r="I45" t="s">
        <v>48</v>
      </c>
      <c r="J45" t="s">
        <v>46</v>
      </c>
      <c r="K45" t="s">
        <v>116</v>
      </c>
      <c r="L45" t="s">
        <v>308</v>
      </c>
      <c r="M45" t="s">
        <v>124</v>
      </c>
      <c r="N45" t="s">
        <v>123</v>
      </c>
      <c r="O45" t="s">
        <v>215</v>
      </c>
      <c r="P45">
        <v>20260814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308</v>
      </c>
      <c r="AD45" t="s">
        <v>309</v>
      </c>
    </row>
    <row r="46" spans="1:30">
      <c r="A46">
        <v>55193693</v>
      </c>
      <c r="B46" t="s">
        <v>310</v>
      </c>
      <c r="C46" t="s">
        <v>212</v>
      </c>
      <c r="D46" t="s">
        <v>47</v>
      </c>
      <c r="E46" t="s">
        <v>35</v>
      </c>
      <c r="F46">
        <v>5803</v>
      </c>
      <c r="G46" t="s">
        <v>176</v>
      </c>
      <c r="H46" t="s">
        <v>45</v>
      </c>
      <c r="I46" t="s">
        <v>48</v>
      </c>
      <c r="J46" t="s">
        <v>46</v>
      </c>
      <c r="K46" t="s">
        <v>116</v>
      </c>
      <c r="L46" t="s">
        <v>311</v>
      </c>
      <c r="M46" t="s">
        <v>118</v>
      </c>
      <c r="N46" t="s">
        <v>117</v>
      </c>
      <c r="O46" t="s">
        <v>215</v>
      </c>
      <c r="P46">
        <v>20260814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35</v>
      </c>
      <c r="Y46" t="s">
        <v>47</v>
      </c>
      <c r="Z46" t="s">
        <v>35</v>
      </c>
      <c r="AA46" t="s">
        <v>50</v>
      </c>
      <c r="AB46" t="s">
        <v>35</v>
      </c>
      <c r="AC46" t="s">
        <v>312</v>
      </c>
      <c r="AD46" t="s">
        <v>313</v>
      </c>
    </row>
    <row r="47" spans="1:30">
      <c r="A47">
        <v>55195337</v>
      </c>
      <c r="B47" t="s">
        <v>314</v>
      </c>
      <c r="C47" t="s">
        <v>212</v>
      </c>
      <c r="D47" t="s">
        <v>47</v>
      </c>
      <c r="E47" t="s">
        <v>35</v>
      </c>
      <c r="F47">
        <v>5803</v>
      </c>
      <c r="G47" t="s">
        <v>176</v>
      </c>
      <c r="H47" t="s">
        <v>45</v>
      </c>
      <c r="I47" t="s">
        <v>48</v>
      </c>
      <c r="J47" t="s">
        <v>46</v>
      </c>
      <c r="K47" t="s">
        <v>116</v>
      </c>
      <c r="L47" t="s">
        <v>315</v>
      </c>
      <c r="M47" t="s">
        <v>124</v>
      </c>
      <c r="N47" t="s">
        <v>123</v>
      </c>
      <c r="O47" t="s">
        <v>215</v>
      </c>
      <c r="P47">
        <v>20260814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125</v>
      </c>
      <c r="Y47" t="s">
        <v>47</v>
      </c>
      <c r="Z47" t="s">
        <v>35</v>
      </c>
      <c r="AA47" t="s">
        <v>50</v>
      </c>
      <c r="AB47" t="s">
        <v>35</v>
      </c>
      <c r="AC47" t="s">
        <v>315</v>
      </c>
      <c r="AD47" t="s">
        <v>316</v>
      </c>
    </row>
    <row r="48" spans="1:30">
      <c r="A48">
        <v>55196511</v>
      </c>
      <c r="B48" t="s">
        <v>317</v>
      </c>
      <c r="C48" t="s">
        <v>212</v>
      </c>
      <c r="D48" t="s">
        <v>47</v>
      </c>
      <c r="E48" t="s">
        <v>35</v>
      </c>
      <c r="F48">
        <v>5016</v>
      </c>
      <c r="G48" t="s">
        <v>139</v>
      </c>
      <c r="H48" t="s">
        <v>45</v>
      </c>
      <c r="I48" t="s">
        <v>48</v>
      </c>
      <c r="J48" t="s">
        <v>46</v>
      </c>
      <c r="K48" t="s">
        <v>116</v>
      </c>
      <c r="L48" t="s">
        <v>318</v>
      </c>
      <c r="M48" t="s">
        <v>124</v>
      </c>
      <c r="N48" t="s">
        <v>123</v>
      </c>
      <c r="O48" t="s">
        <v>215</v>
      </c>
      <c r="P48">
        <v>20260814</v>
      </c>
      <c r="Q48">
        <v>200</v>
      </c>
      <c r="R48">
        <v>200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125</v>
      </c>
      <c r="Y48" t="s">
        <v>47</v>
      </c>
      <c r="Z48" t="s">
        <v>35</v>
      </c>
      <c r="AA48" t="s">
        <v>50</v>
      </c>
      <c r="AB48" t="s">
        <v>35</v>
      </c>
      <c r="AC48" t="s">
        <v>318</v>
      </c>
      <c r="AD48" t="s">
        <v>319</v>
      </c>
    </row>
    <row r="49" spans="1:30">
      <c r="A49">
        <v>55197512</v>
      </c>
      <c r="B49" t="s">
        <v>320</v>
      </c>
      <c r="C49" t="s">
        <v>212</v>
      </c>
      <c r="D49" t="s">
        <v>47</v>
      </c>
      <c r="E49" t="s">
        <v>35</v>
      </c>
      <c r="F49">
        <v>5803</v>
      </c>
      <c r="G49" t="s">
        <v>176</v>
      </c>
      <c r="H49" t="s">
        <v>45</v>
      </c>
      <c r="I49" t="s">
        <v>48</v>
      </c>
      <c r="J49" t="s">
        <v>46</v>
      </c>
      <c r="K49" t="s">
        <v>116</v>
      </c>
      <c r="L49" t="s">
        <v>321</v>
      </c>
      <c r="M49" t="s">
        <v>118</v>
      </c>
      <c r="N49" t="s">
        <v>117</v>
      </c>
      <c r="O49" t="s">
        <v>215</v>
      </c>
      <c r="P49">
        <v>20260814</v>
      </c>
      <c r="Q49">
        <v>100</v>
      </c>
      <c r="R49">
        <v>100</v>
      </c>
      <c r="S49" t="s">
        <v>217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321</v>
      </c>
      <c r="AD49" t="s">
        <v>322</v>
      </c>
    </row>
    <row r="50" spans="1:30">
      <c r="A50">
        <v>55199058</v>
      </c>
      <c r="B50" t="s">
        <v>323</v>
      </c>
      <c r="C50" t="s">
        <v>212</v>
      </c>
      <c r="D50" t="s">
        <v>47</v>
      </c>
      <c r="E50" t="s">
        <v>35</v>
      </c>
      <c r="F50">
        <v>5803</v>
      </c>
      <c r="G50" t="s">
        <v>176</v>
      </c>
      <c r="H50" t="s">
        <v>45</v>
      </c>
      <c r="I50" t="s">
        <v>48</v>
      </c>
      <c r="J50" t="s">
        <v>46</v>
      </c>
      <c r="K50" t="s">
        <v>116</v>
      </c>
      <c r="L50" t="s">
        <v>324</v>
      </c>
      <c r="M50" t="s">
        <v>118</v>
      </c>
      <c r="N50" t="s">
        <v>117</v>
      </c>
      <c r="O50" t="s">
        <v>215</v>
      </c>
      <c r="P50">
        <v>20260814</v>
      </c>
      <c r="Q50">
        <v>100</v>
      </c>
      <c r="R50">
        <v>100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35</v>
      </c>
      <c r="Y50" t="s">
        <v>47</v>
      </c>
      <c r="Z50" t="s">
        <v>35</v>
      </c>
      <c r="AA50" t="s">
        <v>50</v>
      </c>
      <c r="AB50" t="s">
        <v>35</v>
      </c>
      <c r="AC50" t="s">
        <v>324</v>
      </c>
      <c r="AD50" t="s">
        <v>325</v>
      </c>
    </row>
    <row r="51" spans="1:30">
      <c r="A51">
        <v>55201601</v>
      </c>
      <c r="B51" t="s">
        <v>326</v>
      </c>
      <c r="C51" t="s">
        <v>212</v>
      </c>
      <c r="D51" t="s">
        <v>47</v>
      </c>
      <c r="E51" t="s">
        <v>35</v>
      </c>
      <c r="F51">
        <v>5016</v>
      </c>
      <c r="G51" t="s">
        <v>139</v>
      </c>
      <c r="H51" t="s">
        <v>45</v>
      </c>
      <c r="I51" t="s">
        <v>48</v>
      </c>
      <c r="J51" t="s">
        <v>46</v>
      </c>
      <c r="K51" t="s">
        <v>116</v>
      </c>
      <c r="L51" t="s">
        <v>327</v>
      </c>
      <c r="M51" t="s">
        <v>118</v>
      </c>
      <c r="N51" t="s">
        <v>117</v>
      </c>
      <c r="O51" t="s">
        <v>215</v>
      </c>
      <c r="P51">
        <v>20260814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327</v>
      </c>
      <c r="AD51" t="s">
        <v>328</v>
      </c>
    </row>
    <row r="52" spans="1:30">
      <c r="A52">
        <v>55203563</v>
      </c>
      <c r="B52" t="s">
        <v>329</v>
      </c>
      <c r="C52" t="s">
        <v>212</v>
      </c>
      <c r="D52" t="s">
        <v>47</v>
      </c>
      <c r="E52" t="s">
        <v>35</v>
      </c>
      <c r="F52">
        <v>5803</v>
      </c>
      <c r="G52" t="s">
        <v>176</v>
      </c>
      <c r="H52" t="s">
        <v>45</v>
      </c>
      <c r="I52" t="s">
        <v>48</v>
      </c>
      <c r="J52" t="s">
        <v>46</v>
      </c>
      <c r="K52" t="s">
        <v>116</v>
      </c>
      <c r="L52" t="s">
        <v>330</v>
      </c>
      <c r="M52" t="s">
        <v>124</v>
      </c>
      <c r="N52" t="s">
        <v>123</v>
      </c>
      <c r="O52" t="s">
        <v>215</v>
      </c>
      <c r="P52">
        <v>20260814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330</v>
      </c>
      <c r="AD52" t="s">
        <v>331</v>
      </c>
    </row>
    <row r="53" spans="1:30">
      <c r="A53">
        <v>55203834</v>
      </c>
      <c r="B53" t="s">
        <v>332</v>
      </c>
      <c r="C53" t="s">
        <v>212</v>
      </c>
      <c r="D53" t="s">
        <v>47</v>
      </c>
      <c r="E53" t="s">
        <v>35</v>
      </c>
      <c r="F53">
        <v>5016</v>
      </c>
      <c r="G53" t="s">
        <v>139</v>
      </c>
      <c r="H53" t="s">
        <v>45</v>
      </c>
      <c r="I53" t="s">
        <v>48</v>
      </c>
      <c r="J53" t="s">
        <v>46</v>
      </c>
      <c r="K53" t="s">
        <v>116</v>
      </c>
      <c r="L53" t="s">
        <v>333</v>
      </c>
      <c r="M53" t="s">
        <v>118</v>
      </c>
      <c r="N53" t="s">
        <v>117</v>
      </c>
      <c r="O53" t="s">
        <v>215</v>
      </c>
      <c r="P53">
        <v>20260814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333</v>
      </c>
      <c r="AD53" t="s">
        <v>334</v>
      </c>
    </row>
    <row r="54" spans="1:30">
      <c r="A54">
        <v>55210451</v>
      </c>
      <c r="B54" t="s">
        <v>335</v>
      </c>
      <c r="C54" t="s">
        <v>212</v>
      </c>
      <c r="D54" t="s">
        <v>47</v>
      </c>
      <c r="E54" t="s">
        <v>35</v>
      </c>
      <c r="F54">
        <v>6613</v>
      </c>
      <c r="G54" t="s">
        <v>165</v>
      </c>
      <c r="H54" t="s">
        <v>45</v>
      </c>
      <c r="I54" t="s">
        <v>48</v>
      </c>
      <c r="J54" t="s">
        <v>46</v>
      </c>
      <c r="K54" t="s">
        <v>116</v>
      </c>
      <c r="L54" t="s">
        <v>336</v>
      </c>
      <c r="M54" t="s">
        <v>118</v>
      </c>
      <c r="N54" t="s">
        <v>117</v>
      </c>
      <c r="O54" t="s">
        <v>215</v>
      </c>
      <c r="P54">
        <v>20260814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336</v>
      </c>
      <c r="AD54" t="s">
        <v>337</v>
      </c>
    </row>
    <row r="55" spans="1:30">
      <c r="A55">
        <v>55215596</v>
      </c>
      <c r="B55" t="s">
        <v>338</v>
      </c>
      <c r="C55" t="s">
        <v>212</v>
      </c>
      <c r="D55" t="s">
        <v>47</v>
      </c>
      <c r="E55" t="s">
        <v>35</v>
      </c>
      <c r="F55">
        <v>5803</v>
      </c>
      <c r="G55" t="s">
        <v>176</v>
      </c>
      <c r="H55" t="s">
        <v>45</v>
      </c>
      <c r="I55" t="s">
        <v>48</v>
      </c>
      <c r="J55" t="s">
        <v>46</v>
      </c>
      <c r="K55" t="s">
        <v>116</v>
      </c>
      <c r="L55" t="s">
        <v>339</v>
      </c>
      <c r="M55" t="s">
        <v>124</v>
      </c>
      <c r="N55" t="s">
        <v>123</v>
      </c>
      <c r="O55" t="s">
        <v>215</v>
      </c>
      <c r="P55">
        <v>20260814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339</v>
      </c>
      <c r="AD55" t="s">
        <v>340</v>
      </c>
    </row>
    <row r="56" spans="1:30">
      <c r="A56">
        <v>55216493</v>
      </c>
      <c r="B56" t="s">
        <v>341</v>
      </c>
      <c r="C56" t="s">
        <v>212</v>
      </c>
      <c r="D56" t="s">
        <v>47</v>
      </c>
      <c r="E56" t="s">
        <v>35</v>
      </c>
      <c r="F56">
        <v>5803</v>
      </c>
      <c r="G56" t="s">
        <v>176</v>
      </c>
      <c r="H56" t="s">
        <v>45</v>
      </c>
      <c r="I56" t="s">
        <v>48</v>
      </c>
      <c r="J56" t="s">
        <v>46</v>
      </c>
      <c r="K56" t="s">
        <v>116</v>
      </c>
      <c r="L56" t="s">
        <v>342</v>
      </c>
      <c r="M56" t="s">
        <v>118</v>
      </c>
      <c r="N56" t="s">
        <v>117</v>
      </c>
      <c r="O56" t="s">
        <v>215</v>
      </c>
      <c r="P56">
        <v>20260814</v>
      </c>
      <c r="Q56">
        <v>100</v>
      </c>
      <c r="R56">
        <v>100</v>
      </c>
      <c r="S56">
        <v>5690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342</v>
      </c>
      <c r="AD56" t="s">
        <v>343</v>
      </c>
    </row>
    <row r="57" spans="1:30">
      <c r="A57">
        <v>55221293</v>
      </c>
      <c r="B57" t="s">
        <v>344</v>
      </c>
      <c r="C57" t="s">
        <v>212</v>
      </c>
      <c r="D57" t="s">
        <v>47</v>
      </c>
      <c r="E57" t="s">
        <v>35</v>
      </c>
      <c r="F57">
        <v>5803</v>
      </c>
      <c r="G57" t="s">
        <v>176</v>
      </c>
      <c r="H57" t="s">
        <v>45</v>
      </c>
      <c r="I57" t="s">
        <v>48</v>
      </c>
      <c r="J57" t="s">
        <v>46</v>
      </c>
      <c r="K57" t="s">
        <v>116</v>
      </c>
      <c r="L57" t="s">
        <v>345</v>
      </c>
      <c r="M57" t="s">
        <v>124</v>
      </c>
      <c r="N57" t="s">
        <v>123</v>
      </c>
      <c r="O57" t="s">
        <v>215</v>
      </c>
      <c r="P57">
        <v>20260814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345</v>
      </c>
      <c r="AD57" t="s">
        <v>346</v>
      </c>
    </row>
    <row r="58" spans="1:30">
      <c r="A58">
        <v>55221955</v>
      </c>
      <c r="B58" t="s">
        <v>347</v>
      </c>
      <c r="C58" t="s">
        <v>212</v>
      </c>
      <c r="D58" t="s">
        <v>47</v>
      </c>
      <c r="E58" t="s">
        <v>35</v>
      </c>
      <c r="F58">
        <v>5803</v>
      </c>
      <c r="G58" t="s">
        <v>176</v>
      </c>
      <c r="H58" t="s">
        <v>45</v>
      </c>
      <c r="I58" t="s">
        <v>48</v>
      </c>
      <c r="J58" t="s">
        <v>46</v>
      </c>
      <c r="K58" t="s">
        <v>116</v>
      </c>
      <c r="L58" t="s">
        <v>348</v>
      </c>
      <c r="M58" t="s">
        <v>118</v>
      </c>
      <c r="N58" t="s">
        <v>117</v>
      </c>
      <c r="O58" t="s">
        <v>215</v>
      </c>
      <c r="P58">
        <v>20260814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35</v>
      </c>
      <c r="Y58" t="s">
        <v>47</v>
      </c>
      <c r="Z58" t="s">
        <v>35</v>
      </c>
      <c r="AA58" t="s">
        <v>50</v>
      </c>
      <c r="AB58" t="s">
        <v>35</v>
      </c>
      <c r="AC58" t="s">
        <v>348</v>
      </c>
      <c r="AD58" t="s">
        <v>349</v>
      </c>
    </row>
    <row r="59" spans="1:30">
      <c r="A59">
        <v>55234682</v>
      </c>
      <c r="B59" t="s">
        <v>350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351</v>
      </c>
      <c r="M59" t="s">
        <v>124</v>
      </c>
      <c r="N59" t="s">
        <v>123</v>
      </c>
      <c r="O59" t="s">
        <v>215</v>
      </c>
      <c r="P59">
        <v>20260814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351</v>
      </c>
      <c r="AD59" t="s">
        <v>352</v>
      </c>
    </row>
    <row r="60" spans="1:30">
      <c r="A60">
        <v>55235031</v>
      </c>
      <c r="B60" t="s">
        <v>353</v>
      </c>
      <c r="C60" t="s">
        <v>212</v>
      </c>
      <c r="D60" t="s">
        <v>47</v>
      </c>
      <c r="E60" t="s">
        <v>35</v>
      </c>
      <c r="F60">
        <v>5803</v>
      </c>
      <c r="G60" t="s">
        <v>176</v>
      </c>
      <c r="H60" t="s">
        <v>45</v>
      </c>
      <c r="I60" t="s">
        <v>48</v>
      </c>
      <c r="J60" t="s">
        <v>46</v>
      </c>
      <c r="K60" t="s">
        <v>116</v>
      </c>
      <c r="L60" t="s">
        <v>354</v>
      </c>
      <c r="M60" t="s">
        <v>124</v>
      </c>
      <c r="N60" t="s">
        <v>123</v>
      </c>
      <c r="O60" t="s">
        <v>215</v>
      </c>
      <c r="P60">
        <v>20260814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125</v>
      </c>
      <c r="Y60" t="s">
        <v>47</v>
      </c>
      <c r="Z60" t="s">
        <v>35</v>
      </c>
      <c r="AA60" t="s">
        <v>50</v>
      </c>
      <c r="AB60" t="s">
        <v>35</v>
      </c>
      <c r="AC60" t="s">
        <v>354</v>
      </c>
      <c r="AD60" t="s">
        <v>355</v>
      </c>
    </row>
    <row r="61" spans="1:30">
      <c r="A61">
        <v>55235159</v>
      </c>
      <c r="B61" t="s">
        <v>356</v>
      </c>
      <c r="C61" t="s">
        <v>212</v>
      </c>
      <c r="D61" t="s">
        <v>47</v>
      </c>
      <c r="E61" t="s">
        <v>35</v>
      </c>
      <c r="F61">
        <v>3436</v>
      </c>
      <c r="G61" t="s">
        <v>152</v>
      </c>
      <c r="H61" t="s">
        <v>45</v>
      </c>
      <c r="I61" t="s">
        <v>48</v>
      </c>
      <c r="J61" t="s">
        <v>46</v>
      </c>
      <c r="K61" t="s">
        <v>116</v>
      </c>
      <c r="L61" t="s">
        <v>357</v>
      </c>
      <c r="M61" t="s">
        <v>118</v>
      </c>
      <c r="N61" t="s">
        <v>117</v>
      </c>
      <c r="O61" t="s">
        <v>215</v>
      </c>
      <c r="P61">
        <v>20260814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357</v>
      </c>
      <c r="AD61" t="s">
        <v>358</v>
      </c>
    </row>
    <row r="62" spans="1:30">
      <c r="A62">
        <v>55237579</v>
      </c>
      <c r="B62" t="s">
        <v>359</v>
      </c>
      <c r="C62" t="s">
        <v>212</v>
      </c>
      <c r="D62" t="s">
        <v>47</v>
      </c>
      <c r="E62" t="s">
        <v>35</v>
      </c>
      <c r="F62">
        <v>5016</v>
      </c>
      <c r="G62" t="s">
        <v>139</v>
      </c>
      <c r="H62" t="s">
        <v>45</v>
      </c>
      <c r="I62" t="s">
        <v>48</v>
      </c>
      <c r="J62" t="s">
        <v>46</v>
      </c>
      <c r="K62" t="s">
        <v>116</v>
      </c>
      <c r="L62" t="s">
        <v>360</v>
      </c>
      <c r="M62" t="s">
        <v>124</v>
      </c>
      <c r="N62" t="s">
        <v>123</v>
      </c>
      <c r="O62" t="s">
        <v>215</v>
      </c>
      <c r="P62">
        <v>20260814</v>
      </c>
      <c r="Q62">
        <v>200</v>
      </c>
      <c r="R62">
        <v>200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125</v>
      </c>
      <c r="Y62" t="s">
        <v>47</v>
      </c>
      <c r="Z62" t="s">
        <v>35</v>
      </c>
      <c r="AA62" t="s">
        <v>50</v>
      </c>
      <c r="AB62" t="s">
        <v>35</v>
      </c>
      <c r="AC62" t="s">
        <v>360</v>
      </c>
      <c r="AD62" t="s">
        <v>361</v>
      </c>
    </row>
    <row r="63" spans="1:30">
      <c r="A63">
        <v>55237916</v>
      </c>
      <c r="B63" t="s">
        <v>362</v>
      </c>
      <c r="C63" t="s">
        <v>212</v>
      </c>
      <c r="D63" t="s">
        <v>47</v>
      </c>
      <c r="E63" t="s">
        <v>35</v>
      </c>
      <c r="F63">
        <v>5803</v>
      </c>
      <c r="G63" t="s">
        <v>176</v>
      </c>
      <c r="H63" t="s">
        <v>45</v>
      </c>
      <c r="I63" t="s">
        <v>48</v>
      </c>
      <c r="J63" t="s">
        <v>46</v>
      </c>
      <c r="K63" t="s">
        <v>116</v>
      </c>
      <c r="L63" t="s">
        <v>363</v>
      </c>
      <c r="M63" t="s">
        <v>118</v>
      </c>
      <c r="N63" t="s">
        <v>117</v>
      </c>
      <c r="O63" t="s">
        <v>215</v>
      </c>
      <c r="P63">
        <v>20260814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35</v>
      </c>
      <c r="Y63" t="s">
        <v>47</v>
      </c>
      <c r="Z63" t="s">
        <v>35</v>
      </c>
      <c r="AA63" t="s">
        <v>50</v>
      </c>
      <c r="AB63" t="s">
        <v>35</v>
      </c>
      <c r="AC63" t="s">
        <v>363</v>
      </c>
      <c r="AD63" t="s">
        <v>349</v>
      </c>
    </row>
    <row r="64" spans="1:30">
      <c r="A64">
        <v>55238616</v>
      </c>
      <c r="B64" t="s">
        <v>364</v>
      </c>
      <c r="C64" t="s">
        <v>212</v>
      </c>
      <c r="D64" t="s">
        <v>47</v>
      </c>
      <c r="E64" t="s">
        <v>35</v>
      </c>
      <c r="F64">
        <v>5016</v>
      </c>
      <c r="G64" t="s">
        <v>139</v>
      </c>
      <c r="H64" t="s">
        <v>45</v>
      </c>
      <c r="I64" t="s">
        <v>48</v>
      </c>
      <c r="J64" t="s">
        <v>46</v>
      </c>
      <c r="K64" t="s">
        <v>116</v>
      </c>
      <c r="L64" t="s">
        <v>365</v>
      </c>
      <c r="M64" t="s">
        <v>118</v>
      </c>
      <c r="N64" t="s">
        <v>117</v>
      </c>
      <c r="O64" t="s">
        <v>215</v>
      </c>
      <c r="P64">
        <v>20260814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35</v>
      </c>
      <c r="Y64" t="s">
        <v>47</v>
      </c>
      <c r="Z64" t="s">
        <v>35</v>
      </c>
      <c r="AA64" t="s">
        <v>50</v>
      </c>
      <c r="AB64" t="s">
        <v>35</v>
      </c>
      <c r="AC64" t="s">
        <v>365</v>
      </c>
      <c r="AD64" t="s">
        <v>366</v>
      </c>
    </row>
    <row r="65" spans="1:30">
      <c r="A65">
        <v>55240357</v>
      </c>
      <c r="B65" t="s">
        <v>367</v>
      </c>
      <c r="C65" t="s">
        <v>212</v>
      </c>
      <c r="D65" t="s">
        <v>47</v>
      </c>
      <c r="E65" t="s">
        <v>35</v>
      </c>
      <c r="F65">
        <v>3436</v>
      </c>
      <c r="G65" t="s">
        <v>152</v>
      </c>
      <c r="H65" t="s">
        <v>45</v>
      </c>
      <c r="I65" t="s">
        <v>48</v>
      </c>
      <c r="J65" t="s">
        <v>46</v>
      </c>
      <c r="K65" t="s">
        <v>116</v>
      </c>
      <c r="L65" t="s">
        <v>368</v>
      </c>
      <c r="M65" t="s">
        <v>124</v>
      </c>
      <c r="N65" t="s">
        <v>123</v>
      </c>
      <c r="O65" t="s">
        <v>215</v>
      </c>
      <c r="P65">
        <v>20260814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125</v>
      </c>
      <c r="Y65" t="s">
        <v>47</v>
      </c>
      <c r="Z65" t="s">
        <v>35</v>
      </c>
      <c r="AA65" t="s">
        <v>50</v>
      </c>
      <c r="AB65" t="s">
        <v>35</v>
      </c>
      <c r="AC65" t="s">
        <v>368</v>
      </c>
      <c r="AD65" t="s">
        <v>369</v>
      </c>
    </row>
    <row r="66" spans="1:30">
      <c r="A66">
        <v>55241364</v>
      </c>
      <c r="B66" t="s">
        <v>370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371</v>
      </c>
      <c r="M66" t="s">
        <v>118</v>
      </c>
      <c r="N66" t="s">
        <v>117</v>
      </c>
      <c r="O66" t="s">
        <v>215</v>
      </c>
      <c r="P66">
        <v>20260814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35</v>
      </c>
      <c r="Y66" t="s">
        <v>47</v>
      </c>
      <c r="Z66" t="s">
        <v>35</v>
      </c>
      <c r="AA66" t="s">
        <v>50</v>
      </c>
      <c r="AB66" t="s">
        <v>35</v>
      </c>
      <c r="AC66" t="s">
        <v>371</v>
      </c>
      <c r="AD66" t="s">
        <v>372</v>
      </c>
    </row>
    <row r="67" spans="1:30">
      <c r="A67">
        <v>55243264</v>
      </c>
      <c r="B67" t="s">
        <v>373</v>
      </c>
      <c r="C67" t="s">
        <v>212</v>
      </c>
      <c r="D67" t="s">
        <v>47</v>
      </c>
      <c r="E67" t="s">
        <v>35</v>
      </c>
      <c r="F67">
        <v>5016</v>
      </c>
      <c r="G67" t="s">
        <v>139</v>
      </c>
      <c r="H67" t="s">
        <v>45</v>
      </c>
      <c r="I67" t="s">
        <v>48</v>
      </c>
      <c r="J67" t="s">
        <v>46</v>
      </c>
      <c r="K67" t="s">
        <v>116</v>
      </c>
      <c r="L67" t="s">
        <v>374</v>
      </c>
      <c r="M67" t="s">
        <v>124</v>
      </c>
      <c r="N67" t="s">
        <v>123</v>
      </c>
      <c r="O67" t="s">
        <v>215</v>
      </c>
      <c r="P67">
        <v>20260814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374</v>
      </c>
      <c r="AD67" t="s">
        <v>375</v>
      </c>
    </row>
    <row r="68" spans="1:30">
      <c r="A68">
        <v>55244562</v>
      </c>
      <c r="B68" t="s">
        <v>376</v>
      </c>
      <c r="C68" t="s">
        <v>212</v>
      </c>
      <c r="D68" t="s">
        <v>47</v>
      </c>
      <c r="E68" t="s">
        <v>35</v>
      </c>
      <c r="F68">
        <v>5016</v>
      </c>
      <c r="G68" t="s">
        <v>139</v>
      </c>
      <c r="H68" t="s">
        <v>45</v>
      </c>
      <c r="I68" t="s">
        <v>48</v>
      </c>
      <c r="J68" t="s">
        <v>46</v>
      </c>
      <c r="K68" t="s">
        <v>116</v>
      </c>
      <c r="L68" t="s">
        <v>377</v>
      </c>
      <c r="M68" t="s">
        <v>118</v>
      </c>
      <c r="N68" t="s">
        <v>117</v>
      </c>
      <c r="O68" t="s">
        <v>215</v>
      </c>
      <c r="P68">
        <v>20260814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35</v>
      </c>
      <c r="Y68" t="s">
        <v>47</v>
      </c>
      <c r="Z68" t="s">
        <v>35</v>
      </c>
      <c r="AA68" t="s">
        <v>50</v>
      </c>
      <c r="AB68" t="s">
        <v>35</v>
      </c>
      <c r="AC68" t="s">
        <v>377</v>
      </c>
      <c r="AD68" t="s">
        <v>378</v>
      </c>
    </row>
    <row r="69" spans="1:30">
      <c r="A69">
        <v>55254063</v>
      </c>
      <c r="B69" t="s">
        <v>379</v>
      </c>
      <c r="C69" t="s">
        <v>212</v>
      </c>
      <c r="D69" t="s">
        <v>47</v>
      </c>
      <c r="E69" t="s">
        <v>35</v>
      </c>
      <c r="F69">
        <v>3436</v>
      </c>
      <c r="G69" t="s">
        <v>152</v>
      </c>
      <c r="H69" t="s">
        <v>45</v>
      </c>
      <c r="I69" t="s">
        <v>48</v>
      </c>
      <c r="J69" t="s">
        <v>46</v>
      </c>
      <c r="K69" t="s">
        <v>116</v>
      </c>
      <c r="L69" t="s">
        <v>380</v>
      </c>
      <c r="M69" t="s">
        <v>124</v>
      </c>
      <c r="N69" t="s">
        <v>123</v>
      </c>
      <c r="O69" t="s">
        <v>215</v>
      </c>
      <c r="P69">
        <v>20260814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125</v>
      </c>
      <c r="Y69" t="s">
        <v>47</v>
      </c>
      <c r="Z69" t="s">
        <v>35</v>
      </c>
      <c r="AA69" t="s">
        <v>50</v>
      </c>
      <c r="AB69" t="s">
        <v>35</v>
      </c>
      <c r="AC69" t="s">
        <v>380</v>
      </c>
      <c r="AD69" t="s">
        <v>381</v>
      </c>
    </row>
    <row r="70" spans="1:30">
      <c r="A70">
        <v>55254403</v>
      </c>
      <c r="B70" t="s">
        <v>382</v>
      </c>
      <c r="C70" t="s">
        <v>212</v>
      </c>
      <c r="D70" t="s">
        <v>47</v>
      </c>
      <c r="E70" t="s">
        <v>35</v>
      </c>
      <c r="F70">
        <v>5016</v>
      </c>
      <c r="G70" t="s">
        <v>139</v>
      </c>
      <c r="H70" t="s">
        <v>45</v>
      </c>
      <c r="I70" t="s">
        <v>48</v>
      </c>
      <c r="J70" t="s">
        <v>46</v>
      </c>
      <c r="K70" t="s">
        <v>116</v>
      </c>
      <c r="L70" t="s">
        <v>383</v>
      </c>
      <c r="M70" t="s">
        <v>124</v>
      </c>
      <c r="N70" t="s">
        <v>123</v>
      </c>
      <c r="O70" t="s">
        <v>215</v>
      </c>
      <c r="P70">
        <v>20260814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125</v>
      </c>
      <c r="Y70" t="s">
        <v>47</v>
      </c>
      <c r="Z70" t="s">
        <v>35</v>
      </c>
      <c r="AA70" t="s">
        <v>50</v>
      </c>
      <c r="AB70" t="s">
        <v>35</v>
      </c>
      <c r="AC70" t="s">
        <v>383</v>
      </c>
      <c r="AD70" t="s">
        <v>384</v>
      </c>
    </row>
    <row r="71" spans="1:30">
      <c r="A71">
        <v>55254824</v>
      </c>
      <c r="B71" t="s">
        <v>385</v>
      </c>
      <c r="C71" t="s">
        <v>212</v>
      </c>
      <c r="D71" t="s">
        <v>47</v>
      </c>
      <c r="E71" t="s">
        <v>35</v>
      </c>
      <c r="F71">
        <v>5016</v>
      </c>
      <c r="G71" t="s">
        <v>139</v>
      </c>
      <c r="H71" t="s">
        <v>45</v>
      </c>
      <c r="I71" t="s">
        <v>48</v>
      </c>
      <c r="J71" t="s">
        <v>46</v>
      </c>
      <c r="K71" t="s">
        <v>116</v>
      </c>
      <c r="L71" t="s">
        <v>386</v>
      </c>
      <c r="M71" t="s">
        <v>118</v>
      </c>
      <c r="N71" t="s">
        <v>117</v>
      </c>
      <c r="O71" t="s">
        <v>215</v>
      </c>
      <c r="P71">
        <v>20260814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386</v>
      </c>
      <c r="AD71" t="s">
        <v>387</v>
      </c>
    </row>
    <row r="72" spans="1:30">
      <c r="A72">
        <v>55256048</v>
      </c>
      <c r="B72" t="s">
        <v>388</v>
      </c>
      <c r="C72" t="s">
        <v>212</v>
      </c>
      <c r="D72" t="s">
        <v>47</v>
      </c>
      <c r="E72" t="s">
        <v>35</v>
      </c>
      <c r="F72">
        <v>3436</v>
      </c>
      <c r="G72" t="s">
        <v>152</v>
      </c>
      <c r="H72" t="s">
        <v>45</v>
      </c>
      <c r="I72" t="s">
        <v>48</v>
      </c>
      <c r="J72" t="s">
        <v>46</v>
      </c>
      <c r="K72" t="s">
        <v>116</v>
      </c>
      <c r="L72" t="s">
        <v>389</v>
      </c>
      <c r="M72" t="s">
        <v>118</v>
      </c>
      <c r="N72" t="s">
        <v>117</v>
      </c>
      <c r="O72" t="s">
        <v>215</v>
      </c>
      <c r="P72">
        <v>20260814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389</v>
      </c>
      <c r="AD72" t="s">
        <v>390</v>
      </c>
    </row>
    <row r="73" spans="1:30">
      <c r="A73">
        <v>55257759</v>
      </c>
      <c r="B73" t="s">
        <v>391</v>
      </c>
      <c r="C73" t="s">
        <v>212</v>
      </c>
      <c r="D73" t="s">
        <v>47</v>
      </c>
      <c r="E73" t="s">
        <v>35</v>
      </c>
      <c r="F73">
        <v>5016</v>
      </c>
      <c r="G73" t="s">
        <v>139</v>
      </c>
      <c r="H73" t="s">
        <v>45</v>
      </c>
      <c r="I73" t="s">
        <v>48</v>
      </c>
      <c r="J73" t="s">
        <v>46</v>
      </c>
      <c r="K73" t="s">
        <v>116</v>
      </c>
      <c r="L73" t="s">
        <v>392</v>
      </c>
      <c r="M73" t="s">
        <v>124</v>
      </c>
      <c r="N73" t="s">
        <v>123</v>
      </c>
      <c r="O73" t="s">
        <v>215</v>
      </c>
      <c r="P73">
        <v>20260814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392</v>
      </c>
      <c r="AD73" t="s">
        <v>393</v>
      </c>
    </row>
    <row r="74" spans="1:30">
      <c r="A74">
        <v>55258062</v>
      </c>
      <c r="B74" t="s">
        <v>394</v>
      </c>
      <c r="C74" t="s">
        <v>212</v>
      </c>
      <c r="D74" t="s">
        <v>47</v>
      </c>
      <c r="E74" t="s">
        <v>35</v>
      </c>
      <c r="F74">
        <v>5803</v>
      </c>
      <c r="G74" t="s">
        <v>176</v>
      </c>
      <c r="H74" t="s">
        <v>45</v>
      </c>
      <c r="I74" t="s">
        <v>48</v>
      </c>
      <c r="J74" t="s">
        <v>46</v>
      </c>
      <c r="K74" t="s">
        <v>116</v>
      </c>
      <c r="L74" t="s">
        <v>395</v>
      </c>
      <c r="M74" t="s">
        <v>124</v>
      </c>
      <c r="N74" t="s">
        <v>123</v>
      </c>
      <c r="O74" t="s">
        <v>215</v>
      </c>
      <c r="P74">
        <v>20260814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125</v>
      </c>
      <c r="Y74" t="s">
        <v>47</v>
      </c>
      <c r="Z74" t="s">
        <v>35</v>
      </c>
      <c r="AA74" t="s">
        <v>50</v>
      </c>
      <c r="AB74" t="s">
        <v>35</v>
      </c>
      <c r="AC74" t="s">
        <v>396</v>
      </c>
      <c r="AD74" t="s">
        <v>397</v>
      </c>
    </row>
    <row r="75" spans="1:30">
      <c r="A75">
        <v>55258326</v>
      </c>
      <c r="B75" t="s">
        <v>398</v>
      </c>
      <c r="C75" t="s">
        <v>212</v>
      </c>
      <c r="D75" t="s">
        <v>47</v>
      </c>
      <c r="E75" t="s">
        <v>35</v>
      </c>
      <c r="F75">
        <v>5016</v>
      </c>
      <c r="G75" t="s">
        <v>139</v>
      </c>
      <c r="H75" t="s">
        <v>45</v>
      </c>
      <c r="I75" t="s">
        <v>48</v>
      </c>
      <c r="J75" t="s">
        <v>46</v>
      </c>
      <c r="K75" t="s">
        <v>116</v>
      </c>
      <c r="L75" t="s">
        <v>399</v>
      </c>
      <c r="M75" t="s">
        <v>118</v>
      </c>
      <c r="N75" t="s">
        <v>117</v>
      </c>
      <c r="O75" t="s">
        <v>215</v>
      </c>
      <c r="P75">
        <v>20260814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399</v>
      </c>
      <c r="AD75" t="s">
        <v>387</v>
      </c>
    </row>
    <row r="76" spans="1:30">
      <c r="A76">
        <v>55260747</v>
      </c>
      <c r="B76" t="s">
        <v>400</v>
      </c>
      <c r="C76" t="s">
        <v>212</v>
      </c>
      <c r="D76" t="s">
        <v>47</v>
      </c>
      <c r="E76" t="s">
        <v>35</v>
      </c>
      <c r="F76">
        <v>5016</v>
      </c>
      <c r="G76" t="s">
        <v>139</v>
      </c>
      <c r="H76" t="s">
        <v>45</v>
      </c>
      <c r="I76" t="s">
        <v>48</v>
      </c>
      <c r="J76" t="s">
        <v>46</v>
      </c>
      <c r="K76" t="s">
        <v>116</v>
      </c>
      <c r="L76" t="s">
        <v>401</v>
      </c>
      <c r="M76" t="s">
        <v>124</v>
      </c>
      <c r="N76" t="s">
        <v>123</v>
      </c>
      <c r="O76" t="s">
        <v>215</v>
      </c>
      <c r="P76">
        <v>20260814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401</v>
      </c>
      <c r="AD76" t="s">
        <v>402</v>
      </c>
    </row>
    <row r="77" spans="1:30">
      <c r="A77">
        <v>55262609</v>
      </c>
      <c r="B77" t="s">
        <v>403</v>
      </c>
      <c r="C77" t="s">
        <v>212</v>
      </c>
      <c r="D77" t="s">
        <v>47</v>
      </c>
      <c r="E77" t="s">
        <v>35</v>
      </c>
      <c r="F77">
        <v>7013</v>
      </c>
      <c r="G77" t="s">
        <v>404</v>
      </c>
      <c r="H77" t="s">
        <v>45</v>
      </c>
      <c r="I77" t="s">
        <v>48</v>
      </c>
      <c r="J77" t="s">
        <v>46</v>
      </c>
      <c r="K77" t="s">
        <v>116</v>
      </c>
      <c r="L77" t="s">
        <v>405</v>
      </c>
      <c r="M77" t="s">
        <v>118</v>
      </c>
      <c r="N77" t="s">
        <v>117</v>
      </c>
      <c r="O77" t="s">
        <v>215</v>
      </c>
      <c r="P77">
        <v>20260814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406</v>
      </c>
      <c r="AD77" t="s">
        <v>407</v>
      </c>
    </row>
    <row r="78" spans="1:30">
      <c r="A78">
        <v>55263415</v>
      </c>
      <c r="B78" t="s">
        <v>408</v>
      </c>
      <c r="C78" t="s">
        <v>212</v>
      </c>
      <c r="D78" t="s">
        <v>47</v>
      </c>
      <c r="E78" t="s">
        <v>35</v>
      </c>
      <c r="F78">
        <v>5016</v>
      </c>
      <c r="G78" t="s">
        <v>139</v>
      </c>
      <c r="H78" t="s">
        <v>45</v>
      </c>
      <c r="I78" t="s">
        <v>48</v>
      </c>
      <c r="J78" t="s">
        <v>46</v>
      </c>
      <c r="K78" t="s">
        <v>116</v>
      </c>
      <c r="L78" t="s">
        <v>409</v>
      </c>
      <c r="M78" t="s">
        <v>118</v>
      </c>
      <c r="N78" t="s">
        <v>117</v>
      </c>
      <c r="O78" t="s">
        <v>215</v>
      </c>
      <c r="P78">
        <v>20260814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35</v>
      </c>
      <c r="Y78" t="s">
        <v>47</v>
      </c>
      <c r="Z78" t="s">
        <v>35</v>
      </c>
      <c r="AA78" t="s">
        <v>50</v>
      </c>
      <c r="AB78" t="s">
        <v>35</v>
      </c>
      <c r="AC78" t="s">
        <v>409</v>
      </c>
      <c r="AD78" t="s">
        <v>410</v>
      </c>
    </row>
    <row r="79" spans="1:30">
      <c r="A79">
        <v>55265765</v>
      </c>
      <c r="B79" t="s">
        <v>411</v>
      </c>
      <c r="C79" t="s">
        <v>212</v>
      </c>
      <c r="D79" t="s">
        <v>47</v>
      </c>
      <c r="E79" t="s">
        <v>35</v>
      </c>
      <c r="F79">
        <v>3436</v>
      </c>
      <c r="G79" t="s">
        <v>152</v>
      </c>
      <c r="H79" t="s">
        <v>45</v>
      </c>
      <c r="I79" t="s">
        <v>48</v>
      </c>
      <c r="J79" t="s">
        <v>46</v>
      </c>
      <c r="K79" t="s">
        <v>116</v>
      </c>
      <c r="L79" t="s">
        <v>412</v>
      </c>
      <c r="M79" t="s">
        <v>124</v>
      </c>
      <c r="N79" t="s">
        <v>123</v>
      </c>
      <c r="O79" t="s">
        <v>215</v>
      </c>
      <c r="P79">
        <v>20260814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412</v>
      </c>
      <c r="AD79" t="s">
        <v>413</v>
      </c>
    </row>
    <row r="80" spans="1:30">
      <c r="A80">
        <v>55266150</v>
      </c>
      <c r="B80" t="s">
        <v>414</v>
      </c>
      <c r="C80" t="s">
        <v>212</v>
      </c>
      <c r="D80" t="s">
        <v>47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415</v>
      </c>
      <c r="M80" t="s">
        <v>118</v>
      </c>
      <c r="N80" t="s">
        <v>117</v>
      </c>
      <c r="O80" t="s">
        <v>215</v>
      </c>
      <c r="P80">
        <v>20260814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35</v>
      </c>
      <c r="Y80" t="s">
        <v>47</v>
      </c>
      <c r="Z80" t="s">
        <v>35</v>
      </c>
      <c r="AA80" t="s">
        <v>50</v>
      </c>
      <c r="AB80" t="s">
        <v>35</v>
      </c>
      <c r="AC80" t="s">
        <v>415</v>
      </c>
      <c r="AD80" t="s">
        <v>416</v>
      </c>
    </row>
    <row r="81" spans="1:30">
      <c r="A81">
        <v>55267758</v>
      </c>
      <c r="B81" t="s">
        <v>417</v>
      </c>
      <c r="C81" t="s">
        <v>212</v>
      </c>
      <c r="D81" t="s">
        <v>47</v>
      </c>
      <c r="E81" t="s">
        <v>35</v>
      </c>
      <c r="F81">
        <v>5803</v>
      </c>
      <c r="G81" t="s">
        <v>176</v>
      </c>
      <c r="H81" t="s">
        <v>45</v>
      </c>
      <c r="I81" t="s">
        <v>48</v>
      </c>
      <c r="J81" t="s">
        <v>46</v>
      </c>
      <c r="K81" t="s">
        <v>116</v>
      </c>
      <c r="L81" t="s">
        <v>418</v>
      </c>
      <c r="M81" t="s">
        <v>124</v>
      </c>
      <c r="N81" t="s">
        <v>123</v>
      </c>
      <c r="O81" t="s">
        <v>215</v>
      </c>
      <c r="P81">
        <v>20260814</v>
      </c>
      <c r="Q81">
        <v>100</v>
      </c>
      <c r="R81">
        <v>100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418</v>
      </c>
      <c r="AD81" t="s">
        <v>419</v>
      </c>
    </row>
    <row r="82" spans="1:30">
      <c r="A82">
        <v>55267894</v>
      </c>
      <c r="B82" t="s">
        <v>420</v>
      </c>
      <c r="C82" t="s">
        <v>212</v>
      </c>
      <c r="D82" t="s">
        <v>47</v>
      </c>
      <c r="E82" t="s">
        <v>35</v>
      </c>
      <c r="F82">
        <v>5016</v>
      </c>
      <c r="G82" t="s">
        <v>139</v>
      </c>
      <c r="H82" t="s">
        <v>45</v>
      </c>
      <c r="I82" t="s">
        <v>48</v>
      </c>
      <c r="J82" t="s">
        <v>46</v>
      </c>
      <c r="K82" t="s">
        <v>116</v>
      </c>
      <c r="L82" t="s">
        <v>421</v>
      </c>
      <c r="M82" t="s">
        <v>124</v>
      </c>
      <c r="N82" t="s">
        <v>123</v>
      </c>
      <c r="O82" t="s">
        <v>215</v>
      </c>
      <c r="P82">
        <v>20260814</v>
      </c>
      <c r="Q82">
        <v>100</v>
      </c>
      <c r="R82">
        <v>100</v>
      </c>
      <c r="S82" t="s">
        <v>217</v>
      </c>
      <c r="T82" t="s">
        <v>49</v>
      </c>
      <c r="U82" t="s">
        <v>47</v>
      </c>
      <c r="V82" t="s">
        <v>47</v>
      </c>
      <c r="W82" t="s">
        <v>47</v>
      </c>
      <c r="X82" t="s">
        <v>125</v>
      </c>
      <c r="Y82" t="s">
        <v>47</v>
      </c>
      <c r="Z82" t="s">
        <v>35</v>
      </c>
      <c r="AA82" t="s">
        <v>50</v>
      </c>
      <c r="AB82" t="s">
        <v>35</v>
      </c>
      <c r="AC82" t="s">
        <v>421</v>
      </c>
      <c r="AD82" t="s">
        <v>410</v>
      </c>
    </row>
    <row r="83" spans="1:30">
      <c r="A83">
        <v>55269453</v>
      </c>
      <c r="B83" t="s">
        <v>422</v>
      </c>
      <c r="C83" t="s">
        <v>212</v>
      </c>
      <c r="D83" t="s">
        <v>47</v>
      </c>
      <c r="E83" t="s">
        <v>35</v>
      </c>
      <c r="F83">
        <v>7013</v>
      </c>
      <c r="G83" t="s">
        <v>404</v>
      </c>
      <c r="H83" t="s">
        <v>45</v>
      </c>
      <c r="I83" t="s">
        <v>48</v>
      </c>
      <c r="J83" t="s">
        <v>46</v>
      </c>
      <c r="K83" t="s">
        <v>116</v>
      </c>
      <c r="L83" t="s">
        <v>423</v>
      </c>
      <c r="M83" t="s">
        <v>124</v>
      </c>
      <c r="N83" t="s">
        <v>123</v>
      </c>
      <c r="O83" t="s">
        <v>215</v>
      </c>
      <c r="P83">
        <v>20260814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423</v>
      </c>
      <c r="AD83" t="s">
        <v>424</v>
      </c>
    </row>
    <row r="84" spans="1:30">
      <c r="A84">
        <v>55331106</v>
      </c>
      <c r="B84" t="s">
        <v>425</v>
      </c>
      <c r="C84" t="s">
        <v>212</v>
      </c>
      <c r="D84" t="s">
        <v>47</v>
      </c>
      <c r="E84" t="s">
        <v>35</v>
      </c>
      <c r="F84">
        <v>5016</v>
      </c>
      <c r="G84" t="s">
        <v>139</v>
      </c>
      <c r="H84" t="s">
        <v>45</v>
      </c>
      <c r="I84" t="s">
        <v>48</v>
      </c>
      <c r="J84" t="s">
        <v>46</v>
      </c>
      <c r="K84" t="s">
        <v>116</v>
      </c>
      <c r="L84" t="s">
        <v>426</v>
      </c>
      <c r="M84" t="s">
        <v>118</v>
      </c>
      <c r="N84" t="s">
        <v>117</v>
      </c>
      <c r="O84" t="s">
        <v>215</v>
      </c>
      <c r="P84">
        <v>20260814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427</v>
      </c>
      <c r="AD84" t="s">
        <v>428</v>
      </c>
    </row>
    <row r="85" spans="1:30">
      <c r="A85">
        <v>55332599</v>
      </c>
      <c r="B85" t="s">
        <v>429</v>
      </c>
      <c r="C85" t="s">
        <v>212</v>
      </c>
      <c r="D85" t="s">
        <v>47</v>
      </c>
      <c r="E85" t="s">
        <v>35</v>
      </c>
      <c r="F85">
        <v>5016</v>
      </c>
      <c r="G85" t="s">
        <v>139</v>
      </c>
      <c r="H85" t="s">
        <v>45</v>
      </c>
      <c r="I85" t="s">
        <v>48</v>
      </c>
      <c r="J85" t="s">
        <v>46</v>
      </c>
      <c r="K85" t="s">
        <v>116</v>
      </c>
      <c r="L85" t="s">
        <v>430</v>
      </c>
      <c r="M85" t="s">
        <v>124</v>
      </c>
      <c r="N85" t="s">
        <v>123</v>
      </c>
      <c r="O85" t="s">
        <v>215</v>
      </c>
      <c r="P85">
        <v>20260814</v>
      </c>
      <c r="Q85">
        <v>100</v>
      </c>
      <c r="R85">
        <v>100</v>
      </c>
      <c r="S85" t="s">
        <v>217</v>
      </c>
      <c r="T85" t="s">
        <v>49</v>
      </c>
      <c r="U85" t="s">
        <v>47</v>
      </c>
      <c r="V85" t="s">
        <v>47</v>
      </c>
      <c r="W85" t="s">
        <v>47</v>
      </c>
      <c r="X85" t="s">
        <v>125</v>
      </c>
      <c r="Y85" t="s">
        <v>47</v>
      </c>
      <c r="Z85" t="s">
        <v>35</v>
      </c>
      <c r="AA85" t="s">
        <v>50</v>
      </c>
      <c r="AB85" t="s">
        <v>35</v>
      </c>
      <c r="AC85" t="s">
        <v>430</v>
      </c>
      <c r="AD85" t="s">
        <v>431</v>
      </c>
    </row>
    <row r="86" spans="1:30">
      <c r="A86">
        <v>55333252</v>
      </c>
      <c r="B86" t="s">
        <v>432</v>
      </c>
      <c r="C86" t="s">
        <v>212</v>
      </c>
      <c r="D86" t="s">
        <v>47</v>
      </c>
      <c r="E86" t="s">
        <v>35</v>
      </c>
      <c r="F86">
        <v>5803</v>
      </c>
      <c r="G86" t="s">
        <v>176</v>
      </c>
      <c r="H86" t="s">
        <v>45</v>
      </c>
      <c r="I86" t="s">
        <v>48</v>
      </c>
      <c r="J86" t="s">
        <v>46</v>
      </c>
      <c r="K86" t="s">
        <v>116</v>
      </c>
      <c r="L86" t="s">
        <v>433</v>
      </c>
      <c r="M86" t="s">
        <v>118</v>
      </c>
      <c r="N86" t="s">
        <v>117</v>
      </c>
      <c r="O86" t="s">
        <v>215</v>
      </c>
      <c r="P86">
        <v>20260814</v>
      </c>
      <c r="Q86">
        <v>200</v>
      </c>
      <c r="R86">
        <v>200</v>
      </c>
      <c r="S86" t="s">
        <v>217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433</v>
      </c>
      <c r="AD86" t="s">
        <v>434</v>
      </c>
    </row>
    <row r="87" spans="1:30">
      <c r="A87">
        <v>55335560</v>
      </c>
      <c r="B87" t="s">
        <v>435</v>
      </c>
      <c r="C87" t="s">
        <v>212</v>
      </c>
      <c r="D87" t="s">
        <v>47</v>
      </c>
      <c r="E87" t="s">
        <v>35</v>
      </c>
      <c r="F87">
        <v>5803</v>
      </c>
      <c r="G87" t="s">
        <v>176</v>
      </c>
      <c r="H87" t="s">
        <v>45</v>
      </c>
      <c r="I87" t="s">
        <v>48</v>
      </c>
      <c r="J87" t="s">
        <v>46</v>
      </c>
      <c r="K87" t="s">
        <v>116</v>
      </c>
      <c r="L87" t="s">
        <v>436</v>
      </c>
      <c r="M87" t="s">
        <v>124</v>
      </c>
      <c r="N87" t="s">
        <v>123</v>
      </c>
      <c r="O87" t="s">
        <v>215</v>
      </c>
      <c r="P87">
        <v>20260814</v>
      </c>
      <c r="Q87">
        <v>200</v>
      </c>
      <c r="R87">
        <v>200</v>
      </c>
      <c r="S87" t="s">
        <v>217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436</v>
      </c>
      <c r="AD87" t="s">
        <v>437</v>
      </c>
    </row>
    <row r="88" spans="1:30">
      <c r="A88">
        <v>55335740</v>
      </c>
      <c r="B88" t="s">
        <v>438</v>
      </c>
      <c r="C88" t="s">
        <v>212</v>
      </c>
      <c r="D88" t="s">
        <v>47</v>
      </c>
      <c r="E88" t="s">
        <v>35</v>
      </c>
      <c r="F88">
        <v>5803</v>
      </c>
      <c r="G88" t="s">
        <v>176</v>
      </c>
      <c r="H88" t="s">
        <v>45</v>
      </c>
      <c r="I88" t="s">
        <v>48</v>
      </c>
      <c r="J88" t="s">
        <v>46</v>
      </c>
      <c r="K88" t="s">
        <v>116</v>
      </c>
      <c r="L88" t="s">
        <v>439</v>
      </c>
      <c r="M88" t="s">
        <v>118</v>
      </c>
      <c r="N88" t="s">
        <v>117</v>
      </c>
      <c r="O88" t="s">
        <v>215</v>
      </c>
      <c r="P88">
        <v>20260814</v>
      </c>
      <c r="Q88">
        <v>200</v>
      </c>
      <c r="R88">
        <v>200</v>
      </c>
      <c r="S88" t="s">
        <v>217</v>
      </c>
      <c r="T88" t="s">
        <v>49</v>
      </c>
      <c r="U88" t="s">
        <v>47</v>
      </c>
      <c r="V88" t="s">
        <v>47</v>
      </c>
      <c r="W88" t="s">
        <v>47</v>
      </c>
      <c r="X88" t="s">
        <v>35</v>
      </c>
      <c r="Y88" t="s">
        <v>47</v>
      </c>
      <c r="Z88" t="s">
        <v>35</v>
      </c>
      <c r="AA88" t="s">
        <v>50</v>
      </c>
      <c r="AB88" t="s">
        <v>35</v>
      </c>
      <c r="AC88" t="s">
        <v>439</v>
      </c>
      <c r="AD88" t="s">
        <v>440</v>
      </c>
    </row>
    <row r="89" spans="1:30">
      <c r="A89">
        <v>55337617</v>
      </c>
      <c r="B89" t="s">
        <v>441</v>
      </c>
      <c r="C89" t="s">
        <v>212</v>
      </c>
      <c r="D89" t="s">
        <v>47</v>
      </c>
      <c r="E89" t="s">
        <v>35</v>
      </c>
      <c r="F89">
        <v>5803</v>
      </c>
      <c r="G89" t="s">
        <v>176</v>
      </c>
      <c r="H89" t="s">
        <v>45</v>
      </c>
      <c r="I89" t="s">
        <v>48</v>
      </c>
      <c r="J89" t="s">
        <v>46</v>
      </c>
      <c r="K89" t="s">
        <v>116</v>
      </c>
      <c r="L89" t="s">
        <v>442</v>
      </c>
      <c r="M89" t="s">
        <v>124</v>
      </c>
      <c r="N89" t="s">
        <v>123</v>
      </c>
      <c r="O89" t="s">
        <v>215</v>
      </c>
      <c r="P89">
        <v>20260814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442</v>
      </c>
      <c r="AD89" t="s">
        <v>443</v>
      </c>
    </row>
    <row r="90" spans="1:30">
      <c r="A90">
        <v>55337782</v>
      </c>
      <c r="B90" t="s">
        <v>444</v>
      </c>
      <c r="C90" t="s">
        <v>212</v>
      </c>
      <c r="D90" t="s">
        <v>47</v>
      </c>
      <c r="E90" t="s">
        <v>35</v>
      </c>
      <c r="F90">
        <v>5803</v>
      </c>
      <c r="G90" t="s">
        <v>176</v>
      </c>
      <c r="H90" t="s">
        <v>45</v>
      </c>
      <c r="I90" t="s">
        <v>48</v>
      </c>
      <c r="J90" t="s">
        <v>46</v>
      </c>
      <c r="K90" t="s">
        <v>116</v>
      </c>
      <c r="L90" t="s">
        <v>445</v>
      </c>
      <c r="M90" t="s">
        <v>124</v>
      </c>
      <c r="N90" t="s">
        <v>123</v>
      </c>
      <c r="O90" t="s">
        <v>215</v>
      </c>
      <c r="P90">
        <v>20260814</v>
      </c>
      <c r="Q90">
        <v>100</v>
      </c>
      <c r="R90">
        <v>100</v>
      </c>
      <c r="S90" t="s">
        <v>217</v>
      </c>
      <c r="T90" t="s">
        <v>49</v>
      </c>
      <c r="U90" t="s">
        <v>47</v>
      </c>
      <c r="V90" t="s">
        <v>47</v>
      </c>
      <c r="W90" t="s">
        <v>47</v>
      </c>
      <c r="X90" t="s">
        <v>125</v>
      </c>
      <c r="Y90" t="s">
        <v>47</v>
      </c>
      <c r="Z90" t="s">
        <v>35</v>
      </c>
      <c r="AA90" t="s">
        <v>50</v>
      </c>
      <c r="AB90" t="s">
        <v>35</v>
      </c>
      <c r="AC90" t="s">
        <v>445</v>
      </c>
      <c r="AD90" t="s">
        <v>446</v>
      </c>
    </row>
    <row r="91" spans="1:30">
      <c r="A91">
        <v>55340216</v>
      </c>
      <c r="B91" t="s">
        <v>447</v>
      </c>
      <c r="C91" t="s">
        <v>212</v>
      </c>
      <c r="D91" t="s">
        <v>47</v>
      </c>
      <c r="E91" t="s">
        <v>35</v>
      </c>
      <c r="F91">
        <v>8136</v>
      </c>
      <c r="G91" t="s">
        <v>172</v>
      </c>
      <c r="H91" t="s">
        <v>45</v>
      </c>
      <c r="I91" t="s">
        <v>48</v>
      </c>
      <c r="J91" t="s">
        <v>35</v>
      </c>
      <c r="K91" t="s">
        <v>35</v>
      </c>
      <c r="L91" t="s">
        <v>448</v>
      </c>
      <c r="M91" t="s">
        <v>57</v>
      </c>
      <c r="N91" t="s">
        <v>58</v>
      </c>
      <c r="O91" t="s">
        <v>215</v>
      </c>
      <c r="P91">
        <v>20260814</v>
      </c>
      <c r="Q91">
        <v>100</v>
      </c>
      <c r="R91">
        <v>100</v>
      </c>
      <c r="S91" t="s">
        <v>217</v>
      </c>
      <c r="T91" t="s">
        <v>49</v>
      </c>
      <c r="U91" t="s">
        <v>47</v>
      </c>
      <c r="V91" t="s">
        <v>47</v>
      </c>
      <c r="W91" t="s">
        <v>47</v>
      </c>
      <c r="X91" t="s">
        <v>35</v>
      </c>
      <c r="Y91" t="s">
        <v>47</v>
      </c>
      <c r="Z91" t="s">
        <v>35</v>
      </c>
      <c r="AA91" t="s">
        <v>50</v>
      </c>
      <c r="AB91" t="s">
        <v>35</v>
      </c>
      <c r="AC91" t="s">
        <v>448</v>
      </c>
      <c r="AD91" t="s">
        <v>449</v>
      </c>
    </row>
    <row r="92" spans="1:30">
      <c r="A92">
        <v>55342054</v>
      </c>
      <c r="B92" t="s">
        <v>450</v>
      </c>
      <c r="C92" t="s">
        <v>212</v>
      </c>
      <c r="D92" t="s">
        <v>47</v>
      </c>
      <c r="E92" t="s">
        <v>35</v>
      </c>
      <c r="F92">
        <v>5016</v>
      </c>
      <c r="G92" t="s">
        <v>139</v>
      </c>
      <c r="H92" t="s">
        <v>45</v>
      </c>
      <c r="I92" t="s">
        <v>48</v>
      </c>
      <c r="J92" t="s">
        <v>46</v>
      </c>
      <c r="K92" t="s">
        <v>116</v>
      </c>
      <c r="L92" t="s">
        <v>451</v>
      </c>
      <c r="M92" t="s">
        <v>118</v>
      </c>
      <c r="N92" t="s">
        <v>117</v>
      </c>
      <c r="O92" t="s">
        <v>215</v>
      </c>
      <c r="P92">
        <v>20260814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452</v>
      </c>
      <c r="AD92" t="s">
        <v>453</v>
      </c>
    </row>
    <row r="93" spans="1:30">
      <c r="A93">
        <v>55342702</v>
      </c>
      <c r="B93" t="s">
        <v>454</v>
      </c>
      <c r="C93" t="s">
        <v>212</v>
      </c>
      <c r="D93" t="s">
        <v>47</v>
      </c>
      <c r="E93" t="s">
        <v>35</v>
      </c>
      <c r="F93">
        <v>5016</v>
      </c>
      <c r="G93" t="s">
        <v>139</v>
      </c>
      <c r="H93" t="s">
        <v>45</v>
      </c>
      <c r="I93" t="s">
        <v>48</v>
      </c>
      <c r="J93" t="s">
        <v>46</v>
      </c>
      <c r="K93" t="s">
        <v>116</v>
      </c>
      <c r="L93" t="s">
        <v>455</v>
      </c>
      <c r="M93" t="s">
        <v>124</v>
      </c>
      <c r="N93" t="s">
        <v>123</v>
      </c>
      <c r="O93" t="s">
        <v>215</v>
      </c>
      <c r="P93">
        <v>20260814</v>
      </c>
      <c r="Q93">
        <v>100</v>
      </c>
      <c r="R93">
        <v>100</v>
      </c>
      <c r="S93" t="s">
        <v>217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455</v>
      </c>
      <c r="AD93" t="s">
        <v>456</v>
      </c>
    </row>
    <row r="94" spans="1:30">
      <c r="A94">
        <v>51051621</v>
      </c>
      <c r="B94" t="s">
        <v>457</v>
      </c>
      <c r="C94" t="s">
        <v>290</v>
      </c>
      <c r="D94" t="s">
        <v>47</v>
      </c>
      <c r="E94" t="s">
        <v>35</v>
      </c>
      <c r="F94">
        <v>9432</v>
      </c>
      <c r="G94" t="s">
        <v>54</v>
      </c>
      <c r="H94" t="s">
        <v>45</v>
      </c>
      <c r="I94" t="s">
        <v>48</v>
      </c>
      <c r="J94" t="s">
        <v>35</v>
      </c>
      <c r="K94" t="s">
        <v>35</v>
      </c>
      <c r="L94" t="s">
        <v>458</v>
      </c>
      <c r="M94" t="s">
        <v>57</v>
      </c>
      <c r="N94" t="s">
        <v>58</v>
      </c>
      <c r="O94" t="s">
        <v>215</v>
      </c>
      <c r="P94">
        <v>20260817</v>
      </c>
      <c r="Q94">
        <v>100</v>
      </c>
      <c r="R94">
        <v>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458</v>
      </c>
      <c r="AD94" t="s">
        <v>74</v>
      </c>
    </row>
    <row r="95" spans="1:30">
      <c r="A95" s="1">
        <v>51051926</v>
      </c>
      <c r="B95" s="1" t="s">
        <v>460</v>
      </c>
      <c r="C95" s="1" t="s">
        <v>44</v>
      </c>
      <c r="D95" s="1" t="s">
        <v>34</v>
      </c>
      <c r="E95" s="1" t="s">
        <v>35</v>
      </c>
      <c r="F95" s="1">
        <v>9432</v>
      </c>
      <c r="G95" s="1" t="s">
        <v>41</v>
      </c>
      <c r="H95" s="1" t="s">
        <v>36</v>
      </c>
      <c r="I95" s="1" t="s">
        <v>37</v>
      </c>
      <c r="J95" s="1" t="s">
        <v>35</v>
      </c>
      <c r="K95" s="1" t="s">
        <v>35</v>
      </c>
      <c r="L95" s="1" t="s">
        <v>462</v>
      </c>
      <c r="M95" s="1" t="s">
        <v>42</v>
      </c>
      <c r="N95" s="1" t="s">
        <v>43</v>
      </c>
      <c r="O95" s="1" t="s">
        <v>214</v>
      </c>
      <c r="P95" s="1">
        <v>20260817</v>
      </c>
      <c r="Q95" s="1">
        <v>100</v>
      </c>
      <c r="R95" s="1">
        <v>0</v>
      </c>
      <c r="S95" s="1" t="s">
        <v>216</v>
      </c>
      <c r="T95" s="1" t="s">
        <v>39</v>
      </c>
      <c r="U95" s="1" t="s">
        <v>34</v>
      </c>
      <c r="V95" s="1" t="s">
        <v>34</v>
      </c>
      <c r="W95" s="1" t="s">
        <v>34</v>
      </c>
      <c r="X95" s="1" t="s">
        <v>35</v>
      </c>
      <c r="Y95" s="1" t="s">
        <v>34</v>
      </c>
      <c r="Z95" s="1" t="s">
        <v>35</v>
      </c>
      <c r="AA95" s="1" t="s">
        <v>40</v>
      </c>
      <c r="AB95" s="1" t="s">
        <v>35</v>
      </c>
      <c r="AC95" s="1" t="s">
        <v>462</v>
      </c>
      <c r="AD95" s="1" t="s">
        <v>77</v>
      </c>
    </row>
    <row r="96" spans="1:30">
      <c r="A96" s="1">
        <v>51053912</v>
      </c>
      <c r="B96" s="1" t="s">
        <v>465</v>
      </c>
      <c r="C96" s="1" t="s">
        <v>44</v>
      </c>
      <c r="D96" s="1" t="s">
        <v>34</v>
      </c>
      <c r="E96" s="1" t="s">
        <v>35</v>
      </c>
      <c r="F96" s="1">
        <v>9432</v>
      </c>
      <c r="G96" s="1" t="s">
        <v>41</v>
      </c>
      <c r="H96" s="1" t="s">
        <v>36</v>
      </c>
      <c r="I96" s="1" t="s">
        <v>37</v>
      </c>
      <c r="J96" s="1" t="s">
        <v>35</v>
      </c>
      <c r="K96" s="1" t="s">
        <v>35</v>
      </c>
      <c r="L96" s="1" t="s">
        <v>466</v>
      </c>
      <c r="M96" s="1" t="s">
        <v>42</v>
      </c>
      <c r="N96" s="1" t="s">
        <v>43</v>
      </c>
      <c r="O96" s="1" t="s">
        <v>214</v>
      </c>
      <c r="P96" s="1">
        <v>20260817</v>
      </c>
      <c r="Q96" s="1">
        <v>100</v>
      </c>
      <c r="R96" s="1">
        <v>0</v>
      </c>
      <c r="S96" s="1" t="s">
        <v>216</v>
      </c>
      <c r="T96" s="1" t="s">
        <v>39</v>
      </c>
      <c r="U96" s="1" t="s">
        <v>34</v>
      </c>
      <c r="V96" s="1" t="s">
        <v>34</v>
      </c>
      <c r="W96" s="1" t="s">
        <v>34</v>
      </c>
      <c r="X96" s="1" t="s">
        <v>35</v>
      </c>
      <c r="Y96" s="1" t="s">
        <v>34</v>
      </c>
      <c r="Z96" s="1" t="s">
        <v>35</v>
      </c>
      <c r="AA96" s="1" t="s">
        <v>40</v>
      </c>
      <c r="AB96" s="1" t="s">
        <v>35</v>
      </c>
      <c r="AC96" s="1" t="s">
        <v>466</v>
      </c>
      <c r="AD96" s="1" t="s">
        <v>77</v>
      </c>
    </row>
    <row r="97" spans="1:30">
      <c r="A97">
        <v>55113031</v>
      </c>
      <c r="B97" t="s">
        <v>227</v>
      </c>
      <c r="C97" t="s">
        <v>212</v>
      </c>
      <c r="D97" t="s">
        <v>47</v>
      </c>
      <c r="E97" t="s">
        <v>35</v>
      </c>
      <c r="F97">
        <v>9984</v>
      </c>
      <c r="G97" t="s">
        <v>191</v>
      </c>
      <c r="H97" t="s">
        <v>45</v>
      </c>
      <c r="I97" t="s">
        <v>48</v>
      </c>
      <c r="J97" t="s">
        <v>46</v>
      </c>
      <c r="K97" t="s">
        <v>116</v>
      </c>
      <c r="L97" t="s">
        <v>228</v>
      </c>
      <c r="M97" t="s">
        <v>118</v>
      </c>
      <c r="N97" t="s">
        <v>117</v>
      </c>
      <c r="O97" t="s">
        <v>215</v>
      </c>
      <c r="P97">
        <v>20260814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229</v>
      </c>
      <c r="AD97" t="s">
        <v>230</v>
      </c>
    </row>
    <row r="98" spans="1:30">
      <c r="A98">
        <v>55114915</v>
      </c>
      <c r="B98" t="s">
        <v>231</v>
      </c>
      <c r="C98" t="s">
        <v>212</v>
      </c>
      <c r="D98" t="s">
        <v>232</v>
      </c>
      <c r="E98" t="s">
        <v>35</v>
      </c>
      <c r="F98">
        <v>9984</v>
      </c>
      <c r="G98" t="s">
        <v>191</v>
      </c>
      <c r="H98" t="s">
        <v>45</v>
      </c>
      <c r="I98" t="s">
        <v>48</v>
      </c>
      <c r="J98" t="s">
        <v>46</v>
      </c>
      <c r="K98" t="s">
        <v>116</v>
      </c>
      <c r="L98" t="s">
        <v>233</v>
      </c>
      <c r="M98" t="s">
        <v>124</v>
      </c>
      <c r="N98" t="s">
        <v>123</v>
      </c>
      <c r="O98" t="s">
        <v>215</v>
      </c>
      <c r="P98">
        <v>20260814</v>
      </c>
      <c r="Q98">
        <v>100</v>
      </c>
      <c r="R98">
        <v>100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233</v>
      </c>
      <c r="AD98" t="s">
        <v>234</v>
      </c>
    </row>
    <row r="99" spans="1:30">
      <c r="A99">
        <v>55115721</v>
      </c>
      <c r="B99" t="s">
        <v>235</v>
      </c>
      <c r="C99" t="s">
        <v>212</v>
      </c>
      <c r="D99" t="s">
        <v>47</v>
      </c>
      <c r="E99" t="s">
        <v>35</v>
      </c>
      <c r="F99">
        <v>9984</v>
      </c>
      <c r="G99" t="s">
        <v>191</v>
      </c>
      <c r="H99" t="s">
        <v>45</v>
      </c>
      <c r="I99" t="s">
        <v>48</v>
      </c>
      <c r="J99" t="s">
        <v>46</v>
      </c>
      <c r="K99" t="s">
        <v>116</v>
      </c>
      <c r="L99" t="s">
        <v>236</v>
      </c>
      <c r="M99" t="s">
        <v>118</v>
      </c>
      <c r="N99" t="s">
        <v>117</v>
      </c>
      <c r="O99" t="s">
        <v>215</v>
      </c>
      <c r="P99">
        <v>20260814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236</v>
      </c>
      <c r="AD99" t="s">
        <v>237</v>
      </c>
    </row>
    <row r="100" spans="1:30">
      <c r="A100">
        <v>55118261</v>
      </c>
      <c r="B100" t="s">
        <v>238</v>
      </c>
      <c r="C100" t="s">
        <v>212</v>
      </c>
      <c r="D100" t="s">
        <v>232</v>
      </c>
      <c r="E100" t="s">
        <v>35</v>
      </c>
      <c r="F100">
        <v>9984</v>
      </c>
      <c r="G100" t="s">
        <v>191</v>
      </c>
      <c r="H100" t="s">
        <v>45</v>
      </c>
      <c r="I100" t="s">
        <v>48</v>
      </c>
      <c r="J100" t="s">
        <v>46</v>
      </c>
      <c r="K100" t="s">
        <v>116</v>
      </c>
      <c r="L100" t="s">
        <v>239</v>
      </c>
      <c r="M100" t="s">
        <v>124</v>
      </c>
      <c r="N100" t="s">
        <v>123</v>
      </c>
      <c r="O100" t="s">
        <v>215</v>
      </c>
      <c r="P100">
        <v>20260814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239</v>
      </c>
      <c r="AD100" t="s">
        <v>240</v>
      </c>
    </row>
    <row r="101" spans="1:30">
      <c r="A101">
        <v>55120795</v>
      </c>
      <c r="B101" t="s">
        <v>241</v>
      </c>
      <c r="C101" t="s">
        <v>212</v>
      </c>
      <c r="D101" t="s">
        <v>47</v>
      </c>
      <c r="E101" t="s">
        <v>35</v>
      </c>
      <c r="F101">
        <v>3436</v>
      </c>
      <c r="G101" t="s">
        <v>152</v>
      </c>
      <c r="H101" t="s">
        <v>45</v>
      </c>
      <c r="I101" t="s">
        <v>48</v>
      </c>
      <c r="J101" t="s">
        <v>46</v>
      </c>
      <c r="K101" t="s">
        <v>116</v>
      </c>
      <c r="L101" t="s">
        <v>242</v>
      </c>
      <c r="M101" t="s">
        <v>118</v>
      </c>
      <c r="N101" t="s">
        <v>117</v>
      </c>
      <c r="O101" t="s">
        <v>215</v>
      </c>
      <c r="P101">
        <v>20260814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35</v>
      </c>
      <c r="Y101" t="s">
        <v>47</v>
      </c>
      <c r="Z101" t="s">
        <v>35</v>
      </c>
      <c r="AA101" t="s">
        <v>50</v>
      </c>
      <c r="AB101" t="s">
        <v>35</v>
      </c>
      <c r="AC101" t="s">
        <v>242</v>
      </c>
      <c r="AD101" t="s">
        <v>243</v>
      </c>
    </row>
    <row r="102" spans="1:30">
      <c r="A102">
        <v>55123176</v>
      </c>
      <c r="B102" t="s">
        <v>244</v>
      </c>
      <c r="C102" t="s">
        <v>212</v>
      </c>
      <c r="D102" t="s">
        <v>232</v>
      </c>
      <c r="E102" t="s">
        <v>35</v>
      </c>
      <c r="F102">
        <v>3436</v>
      </c>
      <c r="G102" t="s">
        <v>152</v>
      </c>
      <c r="H102" t="s">
        <v>45</v>
      </c>
      <c r="I102" t="s">
        <v>48</v>
      </c>
      <c r="J102" t="s">
        <v>46</v>
      </c>
      <c r="K102" t="s">
        <v>116</v>
      </c>
      <c r="L102" t="s">
        <v>245</v>
      </c>
      <c r="M102" t="s">
        <v>124</v>
      </c>
      <c r="N102" t="s">
        <v>123</v>
      </c>
      <c r="O102" t="s">
        <v>215</v>
      </c>
      <c r="P102">
        <v>20260814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125</v>
      </c>
      <c r="Y102" t="s">
        <v>47</v>
      </c>
      <c r="Z102" t="s">
        <v>35</v>
      </c>
      <c r="AA102" t="s">
        <v>50</v>
      </c>
      <c r="AB102" t="s">
        <v>35</v>
      </c>
      <c r="AC102" t="s">
        <v>245</v>
      </c>
      <c r="AD102" t="s">
        <v>246</v>
      </c>
    </row>
    <row r="103" spans="1:30">
      <c r="A103">
        <v>55124666</v>
      </c>
      <c r="B103" t="s">
        <v>247</v>
      </c>
      <c r="C103" t="s">
        <v>212</v>
      </c>
      <c r="D103" t="s">
        <v>47</v>
      </c>
      <c r="E103" t="s">
        <v>35</v>
      </c>
      <c r="F103">
        <v>6613</v>
      </c>
      <c r="G103" t="s">
        <v>165</v>
      </c>
      <c r="H103" t="s">
        <v>45</v>
      </c>
      <c r="I103" t="s">
        <v>48</v>
      </c>
      <c r="J103" t="s">
        <v>46</v>
      </c>
      <c r="K103" t="s">
        <v>116</v>
      </c>
      <c r="L103" t="s">
        <v>248</v>
      </c>
      <c r="M103" t="s">
        <v>118</v>
      </c>
      <c r="N103" t="s">
        <v>117</v>
      </c>
      <c r="O103" t="s">
        <v>215</v>
      </c>
      <c r="P103">
        <v>20260814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248</v>
      </c>
      <c r="AD103" t="s">
        <v>249</v>
      </c>
    </row>
    <row r="104" spans="1:30">
      <c r="A104">
        <v>55130431</v>
      </c>
      <c r="B104" t="s">
        <v>250</v>
      </c>
      <c r="C104" t="s">
        <v>212</v>
      </c>
      <c r="D104" t="s">
        <v>47</v>
      </c>
      <c r="E104" t="s">
        <v>35</v>
      </c>
      <c r="F104">
        <v>6613</v>
      </c>
      <c r="G104" t="s">
        <v>165</v>
      </c>
      <c r="H104" t="s">
        <v>45</v>
      </c>
      <c r="I104" t="s">
        <v>48</v>
      </c>
      <c r="J104" t="s">
        <v>46</v>
      </c>
      <c r="K104" t="s">
        <v>116</v>
      </c>
      <c r="L104" t="s">
        <v>251</v>
      </c>
      <c r="M104" t="s">
        <v>124</v>
      </c>
      <c r="N104" t="s">
        <v>123</v>
      </c>
      <c r="O104" t="s">
        <v>215</v>
      </c>
      <c r="P104">
        <v>20260814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251</v>
      </c>
      <c r="AD104" t="s">
        <v>252</v>
      </c>
    </row>
    <row r="105" spans="1:30">
      <c r="A105">
        <v>55130795</v>
      </c>
      <c r="B105" t="s">
        <v>253</v>
      </c>
      <c r="C105" t="s">
        <v>212</v>
      </c>
      <c r="D105" t="s">
        <v>47</v>
      </c>
      <c r="E105" t="s">
        <v>35</v>
      </c>
      <c r="F105">
        <v>9984</v>
      </c>
      <c r="G105" t="s">
        <v>191</v>
      </c>
      <c r="H105" t="s">
        <v>45</v>
      </c>
      <c r="I105" t="s">
        <v>48</v>
      </c>
      <c r="J105" t="s">
        <v>46</v>
      </c>
      <c r="K105" t="s">
        <v>116</v>
      </c>
      <c r="L105" t="s">
        <v>254</v>
      </c>
      <c r="M105" t="s">
        <v>118</v>
      </c>
      <c r="N105" t="s">
        <v>117</v>
      </c>
      <c r="O105" t="s">
        <v>215</v>
      </c>
      <c r="P105">
        <v>20260814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254</v>
      </c>
      <c r="AD105" t="s">
        <v>255</v>
      </c>
    </row>
    <row r="106" spans="1:30">
      <c r="A106">
        <v>55131941</v>
      </c>
      <c r="B106" t="s">
        <v>256</v>
      </c>
      <c r="C106" t="s">
        <v>212</v>
      </c>
      <c r="D106" t="s">
        <v>47</v>
      </c>
      <c r="E106" t="s">
        <v>35</v>
      </c>
      <c r="F106">
        <v>9984</v>
      </c>
      <c r="G106" t="s">
        <v>191</v>
      </c>
      <c r="H106" t="s">
        <v>45</v>
      </c>
      <c r="I106" t="s">
        <v>48</v>
      </c>
      <c r="J106" t="s">
        <v>46</v>
      </c>
      <c r="K106" t="s">
        <v>116</v>
      </c>
      <c r="L106" t="s">
        <v>257</v>
      </c>
      <c r="M106" t="s">
        <v>124</v>
      </c>
      <c r="N106" t="s">
        <v>123</v>
      </c>
      <c r="O106" t="s">
        <v>215</v>
      </c>
      <c r="P106">
        <v>20260814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257</v>
      </c>
      <c r="AD106" t="s">
        <v>258</v>
      </c>
    </row>
    <row r="107" spans="1:30">
      <c r="A107">
        <v>55135851</v>
      </c>
      <c r="B107" t="s">
        <v>259</v>
      </c>
      <c r="C107" t="s">
        <v>212</v>
      </c>
      <c r="D107" t="s">
        <v>47</v>
      </c>
      <c r="E107" t="s">
        <v>35</v>
      </c>
      <c r="F107">
        <v>5803</v>
      </c>
      <c r="G107" t="s">
        <v>176</v>
      </c>
      <c r="H107" t="s">
        <v>45</v>
      </c>
      <c r="I107" t="s">
        <v>48</v>
      </c>
      <c r="J107" t="s">
        <v>46</v>
      </c>
      <c r="K107" t="s">
        <v>116</v>
      </c>
      <c r="L107" t="s">
        <v>260</v>
      </c>
      <c r="M107" t="s">
        <v>118</v>
      </c>
      <c r="N107" t="s">
        <v>117</v>
      </c>
      <c r="O107" t="s">
        <v>215</v>
      </c>
      <c r="P107">
        <v>20260814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35</v>
      </c>
      <c r="Y107" t="s">
        <v>47</v>
      </c>
      <c r="Z107" t="s">
        <v>35</v>
      </c>
      <c r="AA107" t="s">
        <v>50</v>
      </c>
      <c r="AB107" t="s">
        <v>35</v>
      </c>
      <c r="AC107" t="s">
        <v>260</v>
      </c>
      <c r="AD107" t="s">
        <v>261</v>
      </c>
    </row>
    <row r="108" spans="1:30">
      <c r="A108">
        <v>55143414</v>
      </c>
      <c r="B108" t="s">
        <v>262</v>
      </c>
      <c r="C108" t="s">
        <v>212</v>
      </c>
      <c r="D108" t="s">
        <v>47</v>
      </c>
      <c r="E108" t="s">
        <v>35</v>
      </c>
      <c r="F108">
        <v>5803</v>
      </c>
      <c r="G108" t="s">
        <v>176</v>
      </c>
      <c r="H108" t="s">
        <v>45</v>
      </c>
      <c r="I108" t="s">
        <v>48</v>
      </c>
      <c r="J108" t="s">
        <v>46</v>
      </c>
      <c r="K108" t="s">
        <v>116</v>
      </c>
      <c r="L108" t="s">
        <v>263</v>
      </c>
      <c r="M108" t="s">
        <v>124</v>
      </c>
      <c r="N108" t="s">
        <v>123</v>
      </c>
      <c r="O108" t="s">
        <v>215</v>
      </c>
      <c r="P108">
        <v>20260814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263</v>
      </c>
      <c r="AD108" t="s">
        <v>264</v>
      </c>
    </row>
    <row r="109" spans="1:30">
      <c r="A109">
        <v>55145092</v>
      </c>
      <c r="B109" t="s">
        <v>265</v>
      </c>
      <c r="C109" t="s">
        <v>212</v>
      </c>
      <c r="D109" t="s">
        <v>47</v>
      </c>
      <c r="E109" t="s">
        <v>35</v>
      </c>
      <c r="F109">
        <v>5016</v>
      </c>
      <c r="G109" t="s">
        <v>139</v>
      </c>
      <c r="H109" t="s">
        <v>45</v>
      </c>
      <c r="I109" t="s">
        <v>48</v>
      </c>
      <c r="J109" t="s">
        <v>46</v>
      </c>
      <c r="K109" t="s">
        <v>116</v>
      </c>
      <c r="L109" t="s">
        <v>266</v>
      </c>
      <c r="M109" t="s">
        <v>118</v>
      </c>
      <c r="N109" t="s">
        <v>117</v>
      </c>
      <c r="O109" t="s">
        <v>215</v>
      </c>
      <c r="P109">
        <v>20260814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266</v>
      </c>
      <c r="AD109" t="s">
        <v>267</v>
      </c>
    </row>
    <row r="110" spans="1:30">
      <c r="A110">
        <v>55147070</v>
      </c>
      <c r="B110" t="s">
        <v>268</v>
      </c>
      <c r="C110" t="s">
        <v>212</v>
      </c>
      <c r="D110" t="s">
        <v>47</v>
      </c>
      <c r="E110" t="s">
        <v>35</v>
      </c>
      <c r="F110">
        <v>5016</v>
      </c>
      <c r="G110" t="s">
        <v>139</v>
      </c>
      <c r="H110" t="s">
        <v>45</v>
      </c>
      <c r="I110" t="s">
        <v>48</v>
      </c>
      <c r="J110" t="s">
        <v>46</v>
      </c>
      <c r="K110" t="s">
        <v>116</v>
      </c>
      <c r="L110" t="s">
        <v>269</v>
      </c>
      <c r="M110" t="s">
        <v>124</v>
      </c>
      <c r="N110" t="s">
        <v>123</v>
      </c>
      <c r="O110" t="s">
        <v>215</v>
      </c>
      <c r="P110">
        <v>20260814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125</v>
      </c>
      <c r="Y110" t="s">
        <v>47</v>
      </c>
      <c r="Z110" t="s">
        <v>35</v>
      </c>
      <c r="AA110" t="s">
        <v>50</v>
      </c>
      <c r="AB110" t="s">
        <v>35</v>
      </c>
      <c r="AC110" t="s">
        <v>269</v>
      </c>
      <c r="AD110" t="s">
        <v>267</v>
      </c>
    </row>
    <row r="111" spans="1:30">
      <c r="A111">
        <v>55147887</v>
      </c>
      <c r="B111" t="s">
        <v>270</v>
      </c>
      <c r="C111" t="s">
        <v>212</v>
      </c>
      <c r="D111" t="s">
        <v>47</v>
      </c>
      <c r="E111" t="s">
        <v>35</v>
      </c>
      <c r="F111">
        <v>5016</v>
      </c>
      <c r="G111" t="s">
        <v>139</v>
      </c>
      <c r="H111" t="s">
        <v>45</v>
      </c>
      <c r="I111" t="s">
        <v>48</v>
      </c>
      <c r="J111" t="s">
        <v>46</v>
      </c>
      <c r="K111" t="s">
        <v>116</v>
      </c>
      <c r="L111" t="s">
        <v>271</v>
      </c>
      <c r="M111" t="s">
        <v>118</v>
      </c>
      <c r="N111" t="s">
        <v>117</v>
      </c>
      <c r="O111" t="s">
        <v>215</v>
      </c>
      <c r="P111">
        <v>20260814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35</v>
      </c>
      <c r="Y111" t="s">
        <v>47</v>
      </c>
      <c r="Z111" t="s">
        <v>35</v>
      </c>
      <c r="AA111" t="s">
        <v>50</v>
      </c>
      <c r="AB111" t="s">
        <v>35</v>
      </c>
      <c r="AC111" t="s">
        <v>271</v>
      </c>
      <c r="AD111" t="s">
        <v>272</v>
      </c>
    </row>
    <row r="112" spans="1:30">
      <c r="A112">
        <v>55160502</v>
      </c>
      <c r="B112" t="s">
        <v>273</v>
      </c>
      <c r="C112" t="s">
        <v>212</v>
      </c>
      <c r="D112" t="s">
        <v>47</v>
      </c>
      <c r="E112" t="s">
        <v>35</v>
      </c>
      <c r="F112">
        <v>6613</v>
      </c>
      <c r="G112" t="s">
        <v>165</v>
      </c>
      <c r="H112" t="s">
        <v>45</v>
      </c>
      <c r="I112" t="s">
        <v>48</v>
      </c>
      <c r="J112" t="s">
        <v>46</v>
      </c>
      <c r="K112" t="s">
        <v>116</v>
      </c>
      <c r="L112" t="s">
        <v>274</v>
      </c>
      <c r="M112" t="s">
        <v>118</v>
      </c>
      <c r="N112" t="s">
        <v>117</v>
      </c>
      <c r="O112" t="s">
        <v>215</v>
      </c>
      <c r="P112">
        <v>20260814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35</v>
      </c>
      <c r="Y112" t="s">
        <v>47</v>
      </c>
      <c r="Z112" t="s">
        <v>35</v>
      </c>
      <c r="AA112" t="s">
        <v>50</v>
      </c>
      <c r="AB112" t="s">
        <v>35</v>
      </c>
      <c r="AC112" t="s">
        <v>274</v>
      </c>
      <c r="AD112" t="s">
        <v>275</v>
      </c>
    </row>
    <row r="113" spans="1:30">
      <c r="A113">
        <v>55161885</v>
      </c>
      <c r="B113" t="s">
        <v>276</v>
      </c>
      <c r="C113" t="s">
        <v>212</v>
      </c>
      <c r="D113" t="s">
        <v>47</v>
      </c>
      <c r="E113" t="s">
        <v>35</v>
      </c>
      <c r="F113">
        <v>5803</v>
      </c>
      <c r="G113" t="s">
        <v>176</v>
      </c>
      <c r="H113" t="s">
        <v>45</v>
      </c>
      <c r="I113" t="s">
        <v>48</v>
      </c>
      <c r="J113" t="s">
        <v>46</v>
      </c>
      <c r="K113" t="s">
        <v>116</v>
      </c>
      <c r="L113" t="s">
        <v>277</v>
      </c>
      <c r="M113" t="s">
        <v>124</v>
      </c>
      <c r="N113" t="s">
        <v>123</v>
      </c>
      <c r="O113" t="s">
        <v>215</v>
      </c>
      <c r="P113">
        <v>20260814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125</v>
      </c>
      <c r="Y113" t="s">
        <v>47</v>
      </c>
      <c r="Z113" t="s">
        <v>35</v>
      </c>
      <c r="AA113" t="s">
        <v>50</v>
      </c>
      <c r="AB113" t="s">
        <v>35</v>
      </c>
      <c r="AC113" t="s">
        <v>277</v>
      </c>
      <c r="AD113" t="s">
        <v>278</v>
      </c>
    </row>
    <row r="114" spans="1:30">
      <c r="A114">
        <v>55163487</v>
      </c>
      <c r="B114" t="s">
        <v>279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280</v>
      </c>
      <c r="M114" t="s">
        <v>124</v>
      </c>
      <c r="N114" t="s">
        <v>123</v>
      </c>
      <c r="O114" t="s">
        <v>215</v>
      </c>
      <c r="P114">
        <v>20260814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125</v>
      </c>
      <c r="Y114" t="s">
        <v>47</v>
      </c>
      <c r="Z114" t="s">
        <v>35</v>
      </c>
      <c r="AA114" t="s">
        <v>50</v>
      </c>
      <c r="AB114" t="s">
        <v>35</v>
      </c>
      <c r="AC114" t="s">
        <v>280</v>
      </c>
      <c r="AD114" t="s">
        <v>281</v>
      </c>
    </row>
    <row r="115" spans="1:30">
      <c r="A115">
        <v>55165362</v>
      </c>
      <c r="B115" t="s">
        <v>282</v>
      </c>
      <c r="C115" t="s">
        <v>212</v>
      </c>
      <c r="D115" t="s">
        <v>47</v>
      </c>
      <c r="E115" t="s">
        <v>35</v>
      </c>
      <c r="F115">
        <v>5016</v>
      </c>
      <c r="G115" t="s">
        <v>139</v>
      </c>
      <c r="H115" t="s">
        <v>45</v>
      </c>
      <c r="I115" t="s">
        <v>48</v>
      </c>
      <c r="J115" t="s">
        <v>46</v>
      </c>
      <c r="K115" t="s">
        <v>116</v>
      </c>
      <c r="L115" t="s">
        <v>283</v>
      </c>
      <c r="M115" t="s">
        <v>118</v>
      </c>
      <c r="N115" t="s">
        <v>117</v>
      </c>
      <c r="O115" t="s">
        <v>215</v>
      </c>
      <c r="P115">
        <v>20260814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283</v>
      </c>
      <c r="AD115" t="s">
        <v>284</v>
      </c>
    </row>
    <row r="116" spans="1:30">
      <c r="A116">
        <v>55167713</v>
      </c>
      <c r="B116" t="s">
        <v>285</v>
      </c>
      <c r="C116" t="s">
        <v>212</v>
      </c>
      <c r="D116" t="s">
        <v>47</v>
      </c>
      <c r="E116" t="s">
        <v>35</v>
      </c>
      <c r="F116">
        <v>5803</v>
      </c>
      <c r="G116" t="s">
        <v>176</v>
      </c>
      <c r="H116" t="s">
        <v>45</v>
      </c>
      <c r="I116" t="s">
        <v>48</v>
      </c>
      <c r="J116" t="s">
        <v>46</v>
      </c>
      <c r="K116" t="s">
        <v>116</v>
      </c>
      <c r="L116" t="s">
        <v>286</v>
      </c>
      <c r="M116" t="s">
        <v>118</v>
      </c>
      <c r="N116" t="s">
        <v>117</v>
      </c>
      <c r="O116" t="s">
        <v>215</v>
      </c>
      <c r="P116">
        <v>20260814</v>
      </c>
      <c r="Q116">
        <v>100</v>
      </c>
      <c r="R116">
        <v>100</v>
      </c>
      <c r="S116">
        <v>5753</v>
      </c>
      <c r="T116" t="s">
        <v>49</v>
      </c>
      <c r="U116" t="s">
        <v>47</v>
      </c>
      <c r="V116" t="s">
        <v>47</v>
      </c>
      <c r="W116" t="s">
        <v>47</v>
      </c>
      <c r="X116" t="s">
        <v>35</v>
      </c>
      <c r="Y116" t="s">
        <v>47</v>
      </c>
      <c r="Z116" t="s">
        <v>35</v>
      </c>
      <c r="AA116" t="s">
        <v>50</v>
      </c>
      <c r="AB116" t="s">
        <v>35</v>
      </c>
      <c r="AC116" t="s">
        <v>287</v>
      </c>
      <c r="AD116" t="s">
        <v>288</v>
      </c>
    </row>
    <row r="117" spans="1:30">
      <c r="A117">
        <v>55182279</v>
      </c>
      <c r="B117" t="s">
        <v>289</v>
      </c>
      <c r="C117" t="s">
        <v>290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291</v>
      </c>
      <c r="M117" t="s">
        <v>124</v>
      </c>
      <c r="N117" t="s">
        <v>123</v>
      </c>
      <c r="O117" t="s">
        <v>215</v>
      </c>
      <c r="P117">
        <v>20260814</v>
      </c>
      <c r="Q117">
        <v>100</v>
      </c>
      <c r="R117">
        <v>0</v>
      </c>
      <c r="S117">
        <v>5742</v>
      </c>
      <c r="T117" t="s">
        <v>49</v>
      </c>
      <c r="U117" t="s">
        <v>47</v>
      </c>
      <c r="V117" t="s">
        <v>47</v>
      </c>
      <c r="W117" t="s">
        <v>47</v>
      </c>
      <c r="X117" t="s">
        <v>125</v>
      </c>
      <c r="Y117" t="s">
        <v>47</v>
      </c>
      <c r="Z117" t="s">
        <v>35</v>
      </c>
      <c r="AA117" t="s">
        <v>50</v>
      </c>
      <c r="AB117" t="s">
        <v>35</v>
      </c>
      <c r="AC117" t="s">
        <v>291</v>
      </c>
      <c r="AD117" t="s">
        <v>292</v>
      </c>
    </row>
    <row r="118" spans="1:30">
      <c r="A118">
        <v>55184002</v>
      </c>
      <c r="B118" t="s">
        <v>293</v>
      </c>
      <c r="C118" t="s">
        <v>212</v>
      </c>
      <c r="D118" t="s">
        <v>47</v>
      </c>
      <c r="E118" t="s">
        <v>35</v>
      </c>
      <c r="F118">
        <v>5803</v>
      </c>
      <c r="G118" t="s">
        <v>176</v>
      </c>
      <c r="H118" t="s">
        <v>45</v>
      </c>
      <c r="I118" t="s">
        <v>48</v>
      </c>
      <c r="J118" t="s">
        <v>46</v>
      </c>
      <c r="K118" t="s">
        <v>116</v>
      </c>
      <c r="L118" t="s">
        <v>294</v>
      </c>
      <c r="M118" t="s">
        <v>124</v>
      </c>
      <c r="N118" t="s">
        <v>123</v>
      </c>
      <c r="O118" t="s">
        <v>215</v>
      </c>
      <c r="P118">
        <v>20260814</v>
      </c>
      <c r="Q118">
        <v>100</v>
      </c>
      <c r="R118">
        <v>100</v>
      </c>
      <c r="S118" t="s">
        <v>217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294</v>
      </c>
      <c r="AD118" t="s">
        <v>295</v>
      </c>
    </row>
    <row r="119" spans="1:30">
      <c r="A119">
        <v>55185966</v>
      </c>
      <c r="B119" t="s">
        <v>296</v>
      </c>
      <c r="C119" t="s">
        <v>212</v>
      </c>
      <c r="D119" t="s">
        <v>47</v>
      </c>
      <c r="E119" t="s">
        <v>35</v>
      </c>
      <c r="F119">
        <v>5016</v>
      </c>
      <c r="G119" t="s">
        <v>139</v>
      </c>
      <c r="H119" t="s">
        <v>45</v>
      </c>
      <c r="I119" t="s">
        <v>48</v>
      </c>
      <c r="J119" t="s">
        <v>46</v>
      </c>
      <c r="K119" t="s">
        <v>116</v>
      </c>
      <c r="L119" t="s">
        <v>297</v>
      </c>
      <c r="M119" t="s">
        <v>124</v>
      </c>
      <c r="N119" t="s">
        <v>123</v>
      </c>
      <c r="O119" t="s">
        <v>215</v>
      </c>
      <c r="P119">
        <v>20260814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297</v>
      </c>
      <c r="AD119" t="s">
        <v>298</v>
      </c>
    </row>
    <row r="120" spans="1:30">
      <c r="A120">
        <v>55186137</v>
      </c>
      <c r="B120" t="s">
        <v>299</v>
      </c>
      <c r="C120" t="s">
        <v>212</v>
      </c>
      <c r="D120" t="s">
        <v>47</v>
      </c>
      <c r="E120" t="s">
        <v>35</v>
      </c>
      <c r="F120">
        <v>5803</v>
      </c>
      <c r="G120" t="s">
        <v>176</v>
      </c>
      <c r="H120" t="s">
        <v>45</v>
      </c>
      <c r="I120" t="s">
        <v>48</v>
      </c>
      <c r="J120" t="s">
        <v>46</v>
      </c>
      <c r="K120" t="s">
        <v>116</v>
      </c>
      <c r="L120" t="s">
        <v>300</v>
      </c>
      <c r="M120" t="s">
        <v>118</v>
      </c>
      <c r="N120" t="s">
        <v>117</v>
      </c>
      <c r="O120" t="s">
        <v>215</v>
      </c>
      <c r="P120">
        <v>20260814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300</v>
      </c>
      <c r="AD120" t="s">
        <v>301</v>
      </c>
    </row>
    <row r="121" spans="1:30">
      <c r="A121">
        <v>55189216</v>
      </c>
      <c r="B121" t="s">
        <v>302</v>
      </c>
      <c r="C121" t="s">
        <v>212</v>
      </c>
      <c r="D121" t="s">
        <v>47</v>
      </c>
      <c r="E121" t="s">
        <v>35</v>
      </c>
      <c r="F121">
        <v>5803</v>
      </c>
      <c r="G121" t="s">
        <v>176</v>
      </c>
      <c r="H121" t="s">
        <v>45</v>
      </c>
      <c r="I121" t="s">
        <v>48</v>
      </c>
      <c r="J121" t="s">
        <v>46</v>
      </c>
      <c r="K121" t="s">
        <v>116</v>
      </c>
      <c r="L121" t="s">
        <v>303</v>
      </c>
      <c r="M121" t="s">
        <v>124</v>
      </c>
      <c r="N121" t="s">
        <v>123</v>
      </c>
      <c r="O121" t="s">
        <v>215</v>
      </c>
      <c r="P121">
        <v>20260814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303</v>
      </c>
      <c r="AD121" t="s">
        <v>292</v>
      </c>
    </row>
    <row r="122" spans="1:30">
      <c r="A122">
        <v>55190871</v>
      </c>
      <c r="B122" t="s">
        <v>304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305</v>
      </c>
      <c r="M122" t="s">
        <v>118</v>
      </c>
      <c r="N122" t="s">
        <v>117</v>
      </c>
      <c r="O122" t="s">
        <v>215</v>
      </c>
      <c r="P122">
        <v>20260814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35</v>
      </c>
      <c r="Y122" t="s">
        <v>47</v>
      </c>
      <c r="Z122" t="s">
        <v>35</v>
      </c>
      <c r="AA122" t="s">
        <v>50</v>
      </c>
      <c r="AB122" t="s">
        <v>35</v>
      </c>
      <c r="AC122" t="s">
        <v>305</v>
      </c>
      <c r="AD122" t="s">
        <v>306</v>
      </c>
    </row>
    <row r="123" spans="1:30">
      <c r="A123">
        <v>55193078</v>
      </c>
      <c r="B123" t="s">
        <v>307</v>
      </c>
      <c r="C123" t="s">
        <v>212</v>
      </c>
      <c r="D123" t="s">
        <v>47</v>
      </c>
      <c r="E123" t="s">
        <v>35</v>
      </c>
      <c r="F123">
        <v>5803</v>
      </c>
      <c r="G123" t="s">
        <v>176</v>
      </c>
      <c r="H123" t="s">
        <v>45</v>
      </c>
      <c r="I123" t="s">
        <v>48</v>
      </c>
      <c r="J123" t="s">
        <v>46</v>
      </c>
      <c r="K123" t="s">
        <v>116</v>
      </c>
      <c r="L123" t="s">
        <v>308</v>
      </c>
      <c r="M123" t="s">
        <v>124</v>
      </c>
      <c r="N123" t="s">
        <v>123</v>
      </c>
      <c r="O123" t="s">
        <v>215</v>
      </c>
      <c r="P123">
        <v>20260814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125</v>
      </c>
      <c r="Y123" t="s">
        <v>47</v>
      </c>
      <c r="Z123" t="s">
        <v>35</v>
      </c>
      <c r="AA123" t="s">
        <v>50</v>
      </c>
      <c r="AB123" t="s">
        <v>35</v>
      </c>
      <c r="AC123" t="s">
        <v>308</v>
      </c>
      <c r="AD123" t="s">
        <v>309</v>
      </c>
    </row>
    <row r="124" spans="1:30">
      <c r="A124">
        <v>55193693</v>
      </c>
      <c r="B124" t="s">
        <v>310</v>
      </c>
      <c r="C124" t="s">
        <v>212</v>
      </c>
      <c r="D124" t="s">
        <v>47</v>
      </c>
      <c r="E124" t="s">
        <v>35</v>
      </c>
      <c r="F124">
        <v>5803</v>
      </c>
      <c r="G124" t="s">
        <v>176</v>
      </c>
      <c r="H124" t="s">
        <v>45</v>
      </c>
      <c r="I124" t="s">
        <v>48</v>
      </c>
      <c r="J124" t="s">
        <v>46</v>
      </c>
      <c r="K124" t="s">
        <v>116</v>
      </c>
      <c r="L124" t="s">
        <v>311</v>
      </c>
      <c r="M124" t="s">
        <v>118</v>
      </c>
      <c r="N124" t="s">
        <v>117</v>
      </c>
      <c r="O124" t="s">
        <v>215</v>
      </c>
      <c r="P124">
        <v>20260814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312</v>
      </c>
      <c r="AD124" t="s">
        <v>313</v>
      </c>
    </row>
    <row r="125" spans="1:30">
      <c r="A125">
        <v>55195337</v>
      </c>
      <c r="B125" t="s">
        <v>314</v>
      </c>
      <c r="C125" t="s">
        <v>212</v>
      </c>
      <c r="D125" t="s">
        <v>47</v>
      </c>
      <c r="E125" t="s">
        <v>35</v>
      </c>
      <c r="F125">
        <v>5803</v>
      </c>
      <c r="G125" t="s">
        <v>176</v>
      </c>
      <c r="H125" t="s">
        <v>45</v>
      </c>
      <c r="I125" t="s">
        <v>48</v>
      </c>
      <c r="J125" t="s">
        <v>46</v>
      </c>
      <c r="K125" t="s">
        <v>116</v>
      </c>
      <c r="L125" t="s">
        <v>315</v>
      </c>
      <c r="M125" t="s">
        <v>124</v>
      </c>
      <c r="N125" t="s">
        <v>123</v>
      </c>
      <c r="O125" t="s">
        <v>215</v>
      </c>
      <c r="P125">
        <v>20260814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315</v>
      </c>
      <c r="AD125" t="s">
        <v>316</v>
      </c>
    </row>
    <row r="126" spans="1:30">
      <c r="A126">
        <v>55196511</v>
      </c>
      <c r="B126" t="s">
        <v>317</v>
      </c>
      <c r="C126" t="s">
        <v>212</v>
      </c>
      <c r="D126" t="s">
        <v>47</v>
      </c>
      <c r="E126" t="s">
        <v>35</v>
      </c>
      <c r="F126">
        <v>5016</v>
      </c>
      <c r="G126" t="s">
        <v>139</v>
      </c>
      <c r="H126" t="s">
        <v>45</v>
      </c>
      <c r="I126" t="s">
        <v>48</v>
      </c>
      <c r="J126" t="s">
        <v>46</v>
      </c>
      <c r="K126" t="s">
        <v>116</v>
      </c>
      <c r="L126" t="s">
        <v>318</v>
      </c>
      <c r="M126" t="s">
        <v>124</v>
      </c>
      <c r="N126" t="s">
        <v>123</v>
      </c>
      <c r="O126" t="s">
        <v>215</v>
      </c>
      <c r="P126">
        <v>20260814</v>
      </c>
      <c r="Q126">
        <v>200</v>
      </c>
      <c r="R126">
        <v>200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125</v>
      </c>
      <c r="Y126" t="s">
        <v>47</v>
      </c>
      <c r="Z126" t="s">
        <v>35</v>
      </c>
      <c r="AA126" t="s">
        <v>50</v>
      </c>
      <c r="AB126" t="s">
        <v>35</v>
      </c>
      <c r="AC126" t="s">
        <v>318</v>
      </c>
      <c r="AD126" t="s">
        <v>319</v>
      </c>
    </row>
    <row r="127" spans="1:30">
      <c r="A127">
        <v>55197512</v>
      </c>
      <c r="B127" t="s">
        <v>320</v>
      </c>
      <c r="C127" t="s">
        <v>212</v>
      </c>
      <c r="D127" t="s">
        <v>47</v>
      </c>
      <c r="E127" t="s">
        <v>35</v>
      </c>
      <c r="F127">
        <v>5803</v>
      </c>
      <c r="G127" t="s">
        <v>176</v>
      </c>
      <c r="H127" t="s">
        <v>45</v>
      </c>
      <c r="I127" t="s">
        <v>48</v>
      </c>
      <c r="J127" t="s">
        <v>46</v>
      </c>
      <c r="K127" t="s">
        <v>116</v>
      </c>
      <c r="L127" t="s">
        <v>321</v>
      </c>
      <c r="M127" t="s">
        <v>118</v>
      </c>
      <c r="N127" t="s">
        <v>117</v>
      </c>
      <c r="O127" t="s">
        <v>215</v>
      </c>
      <c r="P127">
        <v>20260814</v>
      </c>
      <c r="Q127">
        <v>100</v>
      </c>
      <c r="R127">
        <v>100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35</v>
      </c>
      <c r="Y127" t="s">
        <v>47</v>
      </c>
      <c r="Z127" t="s">
        <v>35</v>
      </c>
      <c r="AA127" t="s">
        <v>50</v>
      </c>
      <c r="AB127" t="s">
        <v>35</v>
      </c>
      <c r="AC127" t="s">
        <v>321</v>
      </c>
      <c r="AD127" t="s">
        <v>322</v>
      </c>
    </row>
    <row r="128" spans="1:30">
      <c r="A128">
        <v>55199058</v>
      </c>
      <c r="B128" t="s">
        <v>323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324</v>
      </c>
      <c r="M128" t="s">
        <v>118</v>
      </c>
      <c r="N128" t="s">
        <v>117</v>
      </c>
      <c r="O128" t="s">
        <v>215</v>
      </c>
      <c r="P128">
        <v>20260814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324</v>
      </c>
      <c r="AD128" t="s">
        <v>325</v>
      </c>
    </row>
    <row r="129" spans="1:30">
      <c r="A129">
        <v>55201601</v>
      </c>
      <c r="B129" t="s">
        <v>326</v>
      </c>
      <c r="C129" t="s">
        <v>212</v>
      </c>
      <c r="D129" t="s">
        <v>47</v>
      </c>
      <c r="E129" t="s">
        <v>35</v>
      </c>
      <c r="F129">
        <v>5016</v>
      </c>
      <c r="G129" t="s">
        <v>139</v>
      </c>
      <c r="H129" t="s">
        <v>45</v>
      </c>
      <c r="I129" t="s">
        <v>48</v>
      </c>
      <c r="J129" t="s">
        <v>46</v>
      </c>
      <c r="K129" t="s">
        <v>116</v>
      </c>
      <c r="L129" t="s">
        <v>327</v>
      </c>
      <c r="M129" t="s">
        <v>118</v>
      </c>
      <c r="N129" t="s">
        <v>117</v>
      </c>
      <c r="O129" t="s">
        <v>215</v>
      </c>
      <c r="P129">
        <v>20260814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35</v>
      </c>
      <c r="Y129" t="s">
        <v>47</v>
      </c>
      <c r="Z129" t="s">
        <v>35</v>
      </c>
      <c r="AA129" t="s">
        <v>50</v>
      </c>
      <c r="AB129" t="s">
        <v>35</v>
      </c>
      <c r="AC129" t="s">
        <v>327</v>
      </c>
      <c r="AD129" t="s">
        <v>328</v>
      </c>
    </row>
    <row r="130" spans="1:30">
      <c r="A130">
        <v>55203563</v>
      </c>
      <c r="B130" t="s">
        <v>329</v>
      </c>
      <c r="C130" t="s">
        <v>212</v>
      </c>
      <c r="D130" t="s">
        <v>47</v>
      </c>
      <c r="E130" t="s">
        <v>35</v>
      </c>
      <c r="F130">
        <v>5803</v>
      </c>
      <c r="G130" t="s">
        <v>176</v>
      </c>
      <c r="H130" t="s">
        <v>45</v>
      </c>
      <c r="I130" t="s">
        <v>48</v>
      </c>
      <c r="J130" t="s">
        <v>46</v>
      </c>
      <c r="K130" t="s">
        <v>116</v>
      </c>
      <c r="L130" t="s">
        <v>330</v>
      </c>
      <c r="M130" t="s">
        <v>124</v>
      </c>
      <c r="N130" t="s">
        <v>123</v>
      </c>
      <c r="O130" t="s">
        <v>215</v>
      </c>
      <c r="P130">
        <v>20260814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125</v>
      </c>
      <c r="Y130" t="s">
        <v>47</v>
      </c>
      <c r="Z130" t="s">
        <v>35</v>
      </c>
      <c r="AA130" t="s">
        <v>50</v>
      </c>
      <c r="AB130" t="s">
        <v>35</v>
      </c>
      <c r="AC130" t="s">
        <v>330</v>
      </c>
      <c r="AD130" t="s">
        <v>331</v>
      </c>
    </row>
    <row r="131" spans="1:30">
      <c r="A131">
        <v>55203834</v>
      </c>
      <c r="B131" t="s">
        <v>332</v>
      </c>
      <c r="C131" t="s">
        <v>212</v>
      </c>
      <c r="D131" t="s">
        <v>47</v>
      </c>
      <c r="E131" t="s">
        <v>35</v>
      </c>
      <c r="F131">
        <v>5016</v>
      </c>
      <c r="G131" t="s">
        <v>139</v>
      </c>
      <c r="H131" t="s">
        <v>45</v>
      </c>
      <c r="I131" t="s">
        <v>48</v>
      </c>
      <c r="J131" t="s">
        <v>46</v>
      </c>
      <c r="K131" t="s">
        <v>116</v>
      </c>
      <c r="L131" t="s">
        <v>333</v>
      </c>
      <c r="M131" t="s">
        <v>118</v>
      </c>
      <c r="N131" t="s">
        <v>117</v>
      </c>
      <c r="O131" t="s">
        <v>215</v>
      </c>
      <c r="P131">
        <v>20260814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35</v>
      </c>
      <c r="Y131" t="s">
        <v>47</v>
      </c>
      <c r="Z131" t="s">
        <v>35</v>
      </c>
      <c r="AA131" t="s">
        <v>50</v>
      </c>
      <c r="AB131" t="s">
        <v>35</v>
      </c>
      <c r="AC131" t="s">
        <v>333</v>
      </c>
      <c r="AD131" t="s">
        <v>334</v>
      </c>
    </row>
    <row r="132" spans="1:30">
      <c r="A132">
        <v>55210451</v>
      </c>
      <c r="B132" t="s">
        <v>335</v>
      </c>
      <c r="C132" t="s">
        <v>212</v>
      </c>
      <c r="D132" t="s">
        <v>47</v>
      </c>
      <c r="E132" t="s">
        <v>35</v>
      </c>
      <c r="F132">
        <v>6613</v>
      </c>
      <c r="G132" t="s">
        <v>165</v>
      </c>
      <c r="H132" t="s">
        <v>45</v>
      </c>
      <c r="I132" t="s">
        <v>48</v>
      </c>
      <c r="J132" t="s">
        <v>46</v>
      </c>
      <c r="K132" t="s">
        <v>116</v>
      </c>
      <c r="L132" t="s">
        <v>336</v>
      </c>
      <c r="M132" t="s">
        <v>118</v>
      </c>
      <c r="N132" t="s">
        <v>117</v>
      </c>
      <c r="O132" t="s">
        <v>215</v>
      </c>
      <c r="P132">
        <v>20260814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35</v>
      </c>
      <c r="Y132" t="s">
        <v>47</v>
      </c>
      <c r="Z132" t="s">
        <v>35</v>
      </c>
      <c r="AA132" t="s">
        <v>50</v>
      </c>
      <c r="AB132" t="s">
        <v>35</v>
      </c>
      <c r="AC132" t="s">
        <v>336</v>
      </c>
      <c r="AD132" t="s">
        <v>337</v>
      </c>
    </row>
    <row r="133" spans="1:30">
      <c r="A133">
        <v>55215596</v>
      </c>
      <c r="B133" t="s">
        <v>338</v>
      </c>
      <c r="C133" t="s">
        <v>212</v>
      </c>
      <c r="D133" t="s">
        <v>47</v>
      </c>
      <c r="E133" t="s">
        <v>35</v>
      </c>
      <c r="F133">
        <v>5803</v>
      </c>
      <c r="G133" t="s">
        <v>176</v>
      </c>
      <c r="H133" t="s">
        <v>45</v>
      </c>
      <c r="I133" t="s">
        <v>48</v>
      </c>
      <c r="J133" t="s">
        <v>46</v>
      </c>
      <c r="K133" t="s">
        <v>116</v>
      </c>
      <c r="L133" t="s">
        <v>339</v>
      </c>
      <c r="M133" t="s">
        <v>124</v>
      </c>
      <c r="N133" t="s">
        <v>123</v>
      </c>
      <c r="O133" t="s">
        <v>215</v>
      </c>
      <c r="P133">
        <v>20260814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125</v>
      </c>
      <c r="Y133" t="s">
        <v>47</v>
      </c>
      <c r="Z133" t="s">
        <v>35</v>
      </c>
      <c r="AA133" t="s">
        <v>50</v>
      </c>
      <c r="AB133" t="s">
        <v>35</v>
      </c>
      <c r="AC133" t="s">
        <v>339</v>
      </c>
      <c r="AD133" t="s">
        <v>340</v>
      </c>
    </row>
    <row r="134" spans="1:30">
      <c r="A134">
        <v>55216493</v>
      </c>
      <c r="B134" t="s">
        <v>341</v>
      </c>
      <c r="C134" t="s">
        <v>212</v>
      </c>
      <c r="D134" t="s">
        <v>47</v>
      </c>
      <c r="E134" t="s">
        <v>35</v>
      </c>
      <c r="F134">
        <v>5803</v>
      </c>
      <c r="G134" t="s">
        <v>176</v>
      </c>
      <c r="H134" t="s">
        <v>45</v>
      </c>
      <c r="I134" t="s">
        <v>48</v>
      </c>
      <c r="J134" t="s">
        <v>46</v>
      </c>
      <c r="K134" t="s">
        <v>116</v>
      </c>
      <c r="L134" t="s">
        <v>342</v>
      </c>
      <c r="M134" t="s">
        <v>118</v>
      </c>
      <c r="N134" t="s">
        <v>117</v>
      </c>
      <c r="O134" t="s">
        <v>215</v>
      </c>
      <c r="P134">
        <v>20260814</v>
      </c>
      <c r="Q134">
        <v>100</v>
      </c>
      <c r="R134">
        <v>100</v>
      </c>
      <c r="S134">
        <v>5690</v>
      </c>
      <c r="T134" t="s">
        <v>49</v>
      </c>
      <c r="U134" t="s">
        <v>47</v>
      </c>
      <c r="V134" t="s">
        <v>47</v>
      </c>
      <c r="W134" t="s">
        <v>47</v>
      </c>
      <c r="X134" t="s">
        <v>35</v>
      </c>
      <c r="Y134" t="s">
        <v>47</v>
      </c>
      <c r="Z134" t="s">
        <v>35</v>
      </c>
      <c r="AA134" t="s">
        <v>50</v>
      </c>
      <c r="AB134" t="s">
        <v>35</v>
      </c>
      <c r="AC134" t="s">
        <v>342</v>
      </c>
      <c r="AD134" t="s">
        <v>343</v>
      </c>
    </row>
    <row r="135" spans="1:30">
      <c r="A135">
        <v>55221293</v>
      </c>
      <c r="B135" t="s">
        <v>344</v>
      </c>
      <c r="C135" t="s">
        <v>212</v>
      </c>
      <c r="D135" t="s">
        <v>47</v>
      </c>
      <c r="E135" t="s">
        <v>35</v>
      </c>
      <c r="F135">
        <v>5803</v>
      </c>
      <c r="G135" t="s">
        <v>176</v>
      </c>
      <c r="H135" t="s">
        <v>45</v>
      </c>
      <c r="I135" t="s">
        <v>48</v>
      </c>
      <c r="J135" t="s">
        <v>46</v>
      </c>
      <c r="K135" t="s">
        <v>116</v>
      </c>
      <c r="L135" t="s">
        <v>345</v>
      </c>
      <c r="M135" t="s">
        <v>124</v>
      </c>
      <c r="N135" t="s">
        <v>123</v>
      </c>
      <c r="O135" t="s">
        <v>215</v>
      </c>
      <c r="P135">
        <v>20260814</v>
      </c>
      <c r="Q135">
        <v>100</v>
      </c>
      <c r="R135">
        <v>100</v>
      </c>
      <c r="S135" t="s">
        <v>217</v>
      </c>
      <c r="T135" t="s">
        <v>49</v>
      </c>
      <c r="U135" t="s">
        <v>47</v>
      </c>
      <c r="V135" t="s">
        <v>47</v>
      </c>
      <c r="W135" t="s">
        <v>47</v>
      </c>
      <c r="X135" t="s">
        <v>125</v>
      </c>
      <c r="Y135" t="s">
        <v>47</v>
      </c>
      <c r="Z135" t="s">
        <v>35</v>
      </c>
      <c r="AA135" t="s">
        <v>50</v>
      </c>
      <c r="AB135" t="s">
        <v>35</v>
      </c>
      <c r="AC135" t="s">
        <v>345</v>
      </c>
      <c r="AD135" t="s">
        <v>346</v>
      </c>
    </row>
    <row r="136" spans="1:30">
      <c r="A136">
        <v>55221955</v>
      </c>
      <c r="B136" t="s">
        <v>347</v>
      </c>
      <c r="C136" t="s">
        <v>212</v>
      </c>
      <c r="D136" t="s">
        <v>47</v>
      </c>
      <c r="E136" t="s">
        <v>35</v>
      </c>
      <c r="F136">
        <v>5803</v>
      </c>
      <c r="G136" t="s">
        <v>176</v>
      </c>
      <c r="H136" t="s">
        <v>45</v>
      </c>
      <c r="I136" t="s">
        <v>48</v>
      </c>
      <c r="J136" t="s">
        <v>46</v>
      </c>
      <c r="K136" t="s">
        <v>116</v>
      </c>
      <c r="L136" t="s">
        <v>348</v>
      </c>
      <c r="M136" t="s">
        <v>118</v>
      </c>
      <c r="N136" t="s">
        <v>117</v>
      </c>
      <c r="O136" t="s">
        <v>215</v>
      </c>
      <c r="P136">
        <v>20260814</v>
      </c>
      <c r="Q136">
        <v>100</v>
      </c>
      <c r="R136">
        <v>100</v>
      </c>
      <c r="S136" t="s">
        <v>217</v>
      </c>
      <c r="T136" t="s">
        <v>49</v>
      </c>
      <c r="U136" t="s">
        <v>47</v>
      </c>
      <c r="V136" t="s">
        <v>47</v>
      </c>
      <c r="W136" t="s">
        <v>47</v>
      </c>
      <c r="X136" t="s">
        <v>35</v>
      </c>
      <c r="Y136" t="s">
        <v>47</v>
      </c>
      <c r="Z136" t="s">
        <v>35</v>
      </c>
      <c r="AA136" t="s">
        <v>50</v>
      </c>
      <c r="AB136" t="s">
        <v>35</v>
      </c>
      <c r="AC136" t="s">
        <v>348</v>
      </c>
      <c r="AD136" t="s">
        <v>349</v>
      </c>
    </row>
    <row r="137" spans="1:30">
      <c r="A137">
        <v>55234682</v>
      </c>
      <c r="B137" t="s">
        <v>350</v>
      </c>
      <c r="C137" t="s">
        <v>212</v>
      </c>
      <c r="D137" t="s">
        <v>47</v>
      </c>
      <c r="E137" t="s">
        <v>35</v>
      </c>
      <c r="F137">
        <v>6613</v>
      </c>
      <c r="G137" t="s">
        <v>165</v>
      </c>
      <c r="H137" t="s">
        <v>45</v>
      </c>
      <c r="I137" t="s">
        <v>48</v>
      </c>
      <c r="J137" t="s">
        <v>46</v>
      </c>
      <c r="K137" t="s">
        <v>116</v>
      </c>
      <c r="L137" t="s">
        <v>351</v>
      </c>
      <c r="M137" t="s">
        <v>124</v>
      </c>
      <c r="N137" t="s">
        <v>123</v>
      </c>
      <c r="O137" t="s">
        <v>215</v>
      </c>
      <c r="P137">
        <v>20260814</v>
      </c>
      <c r="Q137">
        <v>100</v>
      </c>
      <c r="R137">
        <v>100</v>
      </c>
      <c r="S137" t="s">
        <v>217</v>
      </c>
      <c r="T137" t="s">
        <v>49</v>
      </c>
      <c r="U137" t="s">
        <v>47</v>
      </c>
      <c r="V137" t="s">
        <v>47</v>
      </c>
      <c r="W137" t="s">
        <v>47</v>
      </c>
      <c r="X137" t="s">
        <v>125</v>
      </c>
      <c r="Y137" t="s">
        <v>47</v>
      </c>
      <c r="Z137" t="s">
        <v>35</v>
      </c>
      <c r="AA137" t="s">
        <v>50</v>
      </c>
      <c r="AB137" t="s">
        <v>35</v>
      </c>
      <c r="AC137" t="s">
        <v>351</v>
      </c>
      <c r="AD137" t="s">
        <v>352</v>
      </c>
    </row>
    <row r="138" spans="1:30">
      <c r="A138">
        <v>55235031</v>
      </c>
      <c r="B138" t="s">
        <v>353</v>
      </c>
      <c r="C138" t="s">
        <v>212</v>
      </c>
      <c r="D138" t="s">
        <v>47</v>
      </c>
      <c r="E138" t="s">
        <v>35</v>
      </c>
      <c r="F138">
        <v>5803</v>
      </c>
      <c r="G138" t="s">
        <v>176</v>
      </c>
      <c r="H138" t="s">
        <v>45</v>
      </c>
      <c r="I138" t="s">
        <v>48</v>
      </c>
      <c r="J138" t="s">
        <v>46</v>
      </c>
      <c r="K138" t="s">
        <v>116</v>
      </c>
      <c r="L138" t="s">
        <v>354</v>
      </c>
      <c r="M138" t="s">
        <v>124</v>
      </c>
      <c r="N138" t="s">
        <v>123</v>
      </c>
      <c r="O138" t="s">
        <v>215</v>
      </c>
      <c r="P138">
        <v>20260814</v>
      </c>
      <c r="Q138">
        <v>100</v>
      </c>
      <c r="R138">
        <v>100</v>
      </c>
      <c r="S138" t="s">
        <v>217</v>
      </c>
      <c r="T138" t="s">
        <v>49</v>
      </c>
      <c r="U138" t="s">
        <v>47</v>
      </c>
      <c r="V138" t="s">
        <v>47</v>
      </c>
      <c r="W138" t="s">
        <v>47</v>
      </c>
      <c r="X138" t="s">
        <v>125</v>
      </c>
      <c r="Y138" t="s">
        <v>47</v>
      </c>
      <c r="Z138" t="s">
        <v>35</v>
      </c>
      <c r="AA138" t="s">
        <v>50</v>
      </c>
      <c r="AB138" t="s">
        <v>35</v>
      </c>
      <c r="AC138" t="s">
        <v>354</v>
      </c>
      <c r="AD138" t="s">
        <v>355</v>
      </c>
    </row>
    <row r="139" spans="1:30">
      <c r="A139">
        <v>55235159</v>
      </c>
      <c r="B139" t="s">
        <v>356</v>
      </c>
      <c r="C139" t="s">
        <v>212</v>
      </c>
      <c r="D139" t="s">
        <v>47</v>
      </c>
      <c r="E139" t="s">
        <v>35</v>
      </c>
      <c r="F139">
        <v>3436</v>
      </c>
      <c r="G139" t="s">
        <v>152</v>
      </c>
      <c r="H139" t="s">
        <v>45</v>
      </c>
      <c r="I139" t="s">
        <v>48</v>
      </c>
      <c r="J139" t="s">
        <v>46</v>
      </c>
      <c r="K139" t="s">
        <v>116</v>
      </c>
      <c r="L139" t="s">
        <v>357</v>
      </c>
      <c r="M139" t="s">
        <v>118</v>
      </c>
      <c r="N139" t="s">
        <v>117</v>
      </c>
      <c r="O139" t="s">
        <v>215</v>
      </c>
      <c r="P139">
        <v>20260814</v>
      </c>
      <c r="Q139">
        <v>100</v>
      </c>
      <c r="R139">
        <v>100</v>
      </c>
      <c r="S139" t="s">
        <v>217</v>
      </c>
      <c r="T139" t="s">
        <v>49</v>
      </c>
      <c r="U139" t="s">
        <v>47</v>
      </c>
      <c r="V139" t="s">
        <v>47</v>
      </c>
      <c r="W139" t="s">
        <v>47</v>
      </c>
      <c r="X139" t="s">
        <v>35</v>
      </c>
      <c r="Y139" t="s">
        <v>47</v>
      </c>
      <c r="Z139" t="s">
        <v>35</v>
      </c>
      <c r="AA139" t="s">
        <v>50</v>
      </c>
      <c r="AB139" t="s">
        <v>35</v>
      </c>
      <c r="AC139" t="s">
        <v>357</v>
      </c>
      <c r="AD139" t="s">
        <v>358</v>
      </c>
    </row>
    <row r="140" spans="1:30">
      <c r="A140">
        <v>55237579</v>
      </c>
      <c r="B140" t="s">
        <v>359</v>
      </c>
      <c r="C140" t="s">
        <v>212</v>
      </c>
      <c r="D140" t="s">
        <v>47</v>
      </c>
      <c r="E140" t="s">
        <v>35</v>
      </c>
      <c r="F140">
        <v>5016</v>
      </c>
      <c r="G140" t="s">
        <v>139</v>
      </c>
      <c r="H140" t="s">
        <v>45</v>
      </c>
      <c r="I140" t="s">
        <v>48</v>
      </c>
      <c r="J140" t="s">
        <v>46</v>
      </c>
      <c r="K140" t="s">
        <v>116</v>
      </c>
      <c r="L140" t="s">
        <v>360</v>
      </c>
      <c r="M140" t="s">
        <v>124</v>
      </c>
      <c r="N140" t="s">
        <v>123</v>
      </c>
      <c r="O140" t="s">
        <v>215</v>
      </c>
      <c r="P140">
        <v>20260814</v>
      </c>
      <c r="Q140">
        <v>200</v>
      </c>
      <c r="R140">
        <v>200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360</v>
      </c>
      <c r="AD140" t="s">
        <v>361</v>
      </c>
    </row>
    <row r="141" spans="1:30">
      <c r="A141">
        <v>55237916</v>
      </c>
      <c r="B141" t="s">
        <v>362</v>
      </c>
      <c r="C141" t="s">
        <v>212</v>
      </c>
      <c r="D141" t="s">
        <v>47</v>
      </c>
      <c r="E141" t="s">
        <v>35</v>
      </c>
      <c r="F141">
        <v>5803</v>
      </c>
      <c r="G141" t="s">
        <v>176</v>
      </c>
      <c r="H141" t="s">
        <v>45</v>
      </c>
      <c r="I141" t="s">
        <v>48</v>
      </c>
      <c r="J141" t="s">
        <v>46</v>
      </c>
      <c r="K141" t="s">
        <v>116</v>
      </c>
      <c r="L141" t="s">
        <v>363</v>
      </c>
      <c r="M141" t="s">
        <v>118</v>
      </c>
      <c r="N141" t="s">
        <v>117</v>
      </c>
      <c r="O141" t="s">
        <v>215</v>
      </c>
      <c r="P141">
        <v>20260814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363</v>
      </c>
      <c r="AD141" t="s">
        <v>349</v>
      </c>
    </row>
    <row r="142" spans="1:30">
      <c r="A142">
        <v>55238616</v>
      </c>
      <c r="B142" t="s">
        <v>364</v>
      </c>
      <c r="C142" t="s">
        <v>212</v>
      </c>
      <c r="D142" t="s">
        <v>47</v>
      </c>
      <c r="E142" t="s">
        <v>35</v>
      </c>
      <c r="F142">
        <v>5016</v>
      </c>
      <c r="G142" t="s">
        <v>139</v>
      </c>
      <c r="H142" t="s">
        <v>45</v>
      </c>
      <c r="I142" t="s">
        <v>48</v>
      </c>
      <c r="J142" t="s">
        <v>46</v>
      </c>
      <c r="K142" t="s">
        <v>116</v>
      </c>
      <c r="L142" t="s">
        <v>365</v>
      </c>
      <c r="M142" t="s">
        <v>118</v>
      </c>
      <c r="N142" t="s">
        <v>117</v>
      </c>
      <c r="O142" t="s">
        <v>215</v>
      </c>
      <c r="P142">
        <v>20260814</v>
      </c>
      <c r="Q142">
        <v>100</v>
      </c>
      <c r="R142">
        <v>100</v>
      </c>
      <c r="S142" t="s">
        <v>217</v>
      </c>
      <c r="T142" t="s">
        <v>49</v>
      </c>
      <c r="U142" t="s">
        <v>47</v>
      </c>
      <c r="V142" t="s">
        <v>47</v>
      </c>
      <c r="W142" t="s">
        <v>47</v>
      </c>
      <c r="X142" t="s">
        <v>35</v>
      </c>
      <c r="Y142" t="s">
        <v>47</v>
      </c>
      <c r="Z142" t="s">
        <v>35</v>
      </c>
      <c r="AA142" t="s">
        <v>50</v>
      </c>
      <c r="AB142" t="s">
        <v>35</v>
      </c>
      <c r="AC142" t="s">
        <v>365</v>
      </c>
      <c r="AD142" t="s">
        <v>366</v>
      </c>
    </row>
    <row r="143" spans="1:30">
      <c r="A143">
        <v>55240357</v>
      </c>
      <c r="B143" t="s">
        <v>367</v>
      </c>
      <c r="C143" t="s">
        <v>212</v>
      </c>
      <c r="D143" t="s">
        <v>47</v>
      </c>
      <c r="E143" t="s">
        <v>35</v>
      </c>
      <c r="F143">
        <v>3436</v>
      </c>
      <c r="G143" t="s">
        <v>152</v>
      </c>
      <c r="H143" t="s">
        <v>45</v>
      </c>
      <c r="I143" t="s">
        <v>48</v>
      </c>
      <c r="J143" t="s">
        <v>46</v>
      </c>
      <c r="K143" t="s">
        <v>116</v>
      </c>
      <c r="L143" t="s">
        <v>368</v>
      </c>
      <c r="M143" t="s">
        <v>124</v>
      </c>
      <c r="N143" t="s">
        <v>123</v>
      </c>
      <c r="O143" t="s">
        <v>215</v>
      </c>
      <c r="P143">
        <v>20260814</v>
      </c>
      <c r="Q143">
        <v>100</v>
      </c>
      <c r="R143">
        <v>100</v>
      </c>
      <c r="S143" t="s">
        <v>217</v>
      </c>
      <c r="T143" t="s">
        <v>49</v>
      </c>
      <c r="U143" t="s">
        <v>47</v>
      </c>
      <c r="V143" t="s">
        <v>47</v>
      </c>
      <c r="W143" t="s">
        <v>47</v>
      </c>
      <c r="X143" t="s">
        <v>125</v>
      </c>
      <c r="Y143" t="s">
        <v>47</v>
      </c>
      <c r="Z143" t="s">
        <v>35</v>
      </c>
      <c r="AA143" t="s">
        <v>50</v>
      </c>
      <c r="AB143" t="s">
        <v>35</v>
      </c>
      <c r="AC143" t="s">
        <v>368</v>
      </c>
      <c r="AD143" t="s">
        <v>369</v>
      </c>
    </row>
    <row r="144" spans="1:30">
      <c r="A144">
        <v>55241364</v>
      </c>
      <c r="B144" t="s">
        <v>370</v>
      </c>
      <c r="C144" t="s">
        <v>212</v>
      </c>
      <c r="D144" t="s">
        <v>47</v>
      </c>
      <c r="E144" t="s">
        <v>35</v>
      </c>
      <c r="F144">
        <v>3436</v>
      </c>
      <c r="G144" t="s">
        <v>152</v>
      </c>
      <c r="H144" t="s">
        <v>45</v>
      </c>
      <c r="I144" t="s">
        <v>48</v>
      </c>
      <c r="J144" t="s">
        <v>46</v>
      </c>
      <c r="K144" t="s">
        <v>116</v>
      </c>
      <c r="L144" t="s">
        <v>371</v>
      </c>
      <c r="M144" t="s">
        <v>118</v>
      </c>
      <c r="N144" t="s">
        <v>117</v>
      </c>
      <c r="O144" t="s">
        <v>215</v>
      </c>
      <c r="P144">
        <v>20260814</v>
      </c>
      <c r="Q144">
        <v>100</v>
      </c>
      <c r="R144">
        <v>100</v>
      </c>
      <c r="S144" t="s">
        <v>217</v>
      </c>
      <c r="T144" t="s">
        <v>49</v>
      </c>
      <c r="U144" t="s">
        <v>47</v>
      </c>
      <c r="V144" t="s">
        <v>47</v>
      </c>
      <c r="W144" t="s">
        <v>47</v>
      </c>
      <c r="X144" t="s">
        <v>35</v>
      </c>
      <c r="Y144" t="s">
        <v>47</v>
      </c>
      <c r="Z144" t="s">
        <v>35</v>
      </c>
      <c r="AA144" t="s">
        <v>50</v>
      </c>
      <c r="AB144" t="s">
        <v>35</v>
      </c>
      <c r="AC144" t="s">
        <v>371</v>
      </c>
      <c r="AD144" t="s">
        <v>372</v>
      </c>
    </row>
    <row r="145" spans="1:30">
      <c r="A145">
        <v>55243264</v>
      </c>
      <c r="B145" t="s">
        <v>373</v>
      </c>
      <c r="C145" t="s">
        <v>212</v>
      </c>
      <c r="D145" t="s">
        <v>47</v>
      </c>
      <c r="E145" t="s">
        <v>35</v>
      </c>
      <c r="F145">
        <v>5016</v>
      </c>
      <c r="G145" t="s">
        <v>139</v>
      </c>
      <c r="H145" t="s">
        <v>45</v>
      </c>
      <c r="I145" t="s">
        <v>48</v>
      </c>
      <c r="J145" t="s">
        <v>46</v>
      </c>
      <c r="K145" t="s">
        <v>116</v>
      </c>
      <c r="L145" t="s">
        <v>374</v>
      </c>
      <c r="M145" t="s">
        <v>124</v>
      </c>
      <c r="N145" t="s">
        <v>123</v>
      </c>
      <c r="O145" t="s">
        <v>215</v>
      </c>
      <c r="P145">
        <v>20260814</v>
      </c>
      <c r="Q145">
        <v>100</v>
      </c>
      <c r="R145">
        <v>100</v>
      </c>
      <c r="S145" t="s">
        <v>217</v>
      </c>
      <c r="T145" t="s">
        <v>49</v>
      </c>
      <c r="U145" t="s">
        <v>47</v>
      </c>
      <c r="V145" t="s">
        <v>47</v>
      </c>
      <c r="W145" t="s">
        <v>47</v>
      </c>
      <c r="X145" t="s">
        <v>125</v>
      </c>
      <c r="Y145" t="s">
        <v>47</v>
      </c>
      <c r="Z145" t="s">
        <v>35</v>
      </c>
      <c r="AA145" t="s">
        <v>50</v>
      </c>
      <c r="AB145" t="s">
        <v>35</v>
      </c>
      <c r="AC145" t="s">
        <v>374</v>
      </c>
      <c r="AD145" t="s">
        <v>375</v>
      </c>
    </row>
    <row r="146" spans="1:30">
      <c r="A146">
        <v>55244562</v>
      </c>
      <c r="B146" t="s">
        <v>376</v>
      </c>
      <c r="C146" t="s">
        <v>212</v>
      </c>
      <c r="D146" t="s">
        <v>47</v>
      </c>
      <c r="E146" t="s">
        <v>35</v>
      </c>
      <c r="F146">
        <v>5016</v>
      </c>
      <c r="G146" t="s">
        <v>139</v>
      </c>
      <c r="H146" t="s">
        <v>45</v>
      </c>
      <c r="I146" t="s">
        <v>48</v>
      </c>
      <c r="J146" t="s">
        <v>46</v>
      </c>
      <c r="K146" t="s">
        <v>116</v>
      </c>
      <c r="L146" t="s">
        <v>377</v>
      </c>
      <c r="M146" t="s">
        <v>118</v>
      </c>
      <c r="N146" t="s">
        <v>117</v>
      </c>
      <c r="O146" t="s">
        <v>215</v>
      </c>
      <c r="P146">
        <v>20260814</v>
      </c>
      <c r="Q146">
        <v>100</v>
      </c>
      <c r="R146">
        <v>100</v>
      </c>
      <c r="S146" t="s">
        <v>217</v>
      </c>
      <c r="T146" t="s">
        <v>49</v>
      </c>
      <c r="U146" t="s">
        <v>47</v>
      </c>
      <c r="V146" t="s">
        <v>47</v>
      </c>
      <c r="W146" t="s">
        <v>47</v>
      </c>
      <c r="X146" t="s">
        <v>35</v>
      </c>
      <c r="Y146" t="s">
        <v>47</v>
      </c>
      <c r="Z146" t="s">
        <v>35</v>
      </c>
      <c r="AA146" t="s">
        <v>50</v>
      </c>
      <c r="AB146" t="s">
        <v>35</v>
      </c>
      <c r="AC146" t="s">
        <v>377</v>
      </c>
      <c r="AD146" t="s">
        <v>378</v>
      </c>
    </row>
    <row r="147" spans="1:30">
      <c r="A147">
        <v>55254063</v>
      </c>
      <c r="B147" t="s">
        <v>379</v>
      </c>
      <c r="C147" t="s">
        <v>212</v>
      </c>
      <c r="D147" t="s">
        <v>47</v>
      </c>
      <c r="E147" t="s">
        <v>35</v>
      </c>
      <c r="F147">
        <v>3436</v>
      </c>
      <c r="G147" t="s">
        <v>152</v>
      </c>
      <c r="H147" t="s">
        <v>45</v>
      </c>
      <c r="I147" t="s">
        <v>48</v>
      </c>
      <c r="J147" t="s">
        <v>46</v>
      </c>
      <c r="K147" t="s">
        <v>116</v>
      </c>
      <c r="L147" t="s">
        <v>380</v>
      </c>
      <c r="M147" t="s">
        <v>124</v>
      </c>
      <c r="N147" t="s">
        <v>123</v>
      </c>
      <c r="O147" t="s">
        <v>215</v>
      </c>
      <c r="P147">
        <v>20260814</v>
      </c>
      <c r="Q147">
        <v>100</v>
      </c>
      <c r="R147">
        <v>100</v>
      </c>
      <c r="S147" t="s">
        <v>217</v>
      </c>
      <c r="T147" t="s">
        <v>49</v>
      </c>
      <c r="U147" t="s">
        <v>47</v>
      </c>
      <c r="V147" t="s">
        <v>47</v>
      </c>
      <c r="W147" t="s">
        <v>47</v>
      </c>
      <c r="X147" t="s">
        <v>125</v>
      </c>
      <c r="Y147" t="s">
        <v>47</v>
      </c>
      <c r="Z147" t="s">
        <v>35</v>
      </c>
      <c r="AA147" t="s">
        <v>50</v>
      </c>
      <c r="AB147" t="s">
        <v>35</v>
      </c>
      <c r="AC147" t="s">
        <v>380</v>
      </c>
      <c r="AD147" t="s">
        <v>381</v>
      </c>
    </row>
    <row r="148" spans="1:30">
      <c r="A148">
        <v>55254403</v>
      </c>
      <c r="B148" t="s">
        <v>382</v>
      </c>
      <c r="C148" t="s">
        <v>212</v>
      </c>
      <c r="D148" t="s">
        <v>47</v>
      </c>
      <c r="E148" t="s">
        <v>35</v>
      </c>
      <c r="F148">
        <v>5016</v>
      </c>
      <c r="G148" t="s">
        <v>139</v>
      </c>
      <c r="H148" t="s">
        <v>45</v>
      </c>
      <c r="I148" t="s">
        <v>48</v>
      </c>
      <c r="J148" t="s">
        <v>46</v>
      </c>
      <c r="K148" t="s">
        <v>116</v>
      </c>
      <c r="L148" t="s">
        <v>383</v>
      </c>
      <c r="M148" t="s">
        <v>124</v>
      </c>
      <c r="N148" t="s">
        <v>123</v>
      </c>
      <c r="O148" t="s">
        <v>215</v>
      </c>
      <c r="P148">
        <v>20260814</v>
      </c>
      <c r="Q148">
        <v>100</v>
      </c>
      <c r="R148">
        <v>100</v>
      </c>
      <c r="S148" t="s">
        <v>217</v>
      </c>
      <c r="T148" t="s">
        <v>49</v>
      </c>
      <c r="U148" t="s">
        <v>47</v>
      </c>
      <c r="V148" t="s">
        <v>47</v>
      </c>
      <c r="W148" t="s">
        <v>47</v>
      </c>
      <c r="X148" t="s">
        <v>125</v>
      </c>
      <c r="Y148" t="s">
        <v>47</v>
      </c>
      <c r="Z148" t="s">
        <v>35</v>
      </c>
      <c r="AA148" t="s">
        <v>50</v>
      </c>
      <c r="AB148" t="s">
        <v>35</v>
      </c>
      <c r="AC148" t="s">
        <v>383</v>
      </c>
      <c r="AD148" t="s">
        <v>384</v>
      </c>
    </row>
    <row r="149" spans="1:30">
      <c r="A149">
        <v>55254824</v>
      </c>
      <c r="B149" t="s">
        <v>385</v>
      </c>
      <c r="C149" t="s">
        <v>212</v>
      </c>
      <c r="D149" t="s">
        <v>47</v>
      </c>
      <c r="E149" t="s">
        <v>35</v>
      </c>
      <c r="F149">
        <v>5016</v>
      </c>
      <c r="G149" t="s">
        <v>139</v>
      </c>
      <c r="H149" t="s">
        <v>45</v>
      </c>
      <c r="I149" t="s">
        <v>48</v>
      </c>
      <c r="J149" t="s">
        <v>46</v>
      </c>
      <c r="K149" t="s">
        <v>116</v>
      </c>
      <c r="L149" t="s">
        <v>386</v>
      </c>
      <c r="M149" t="s">
        <v>118</v>
      </c>
      <c r="N149" t="s">
        <v>117</v>
      </c>
      <c r="O149" t="s">
        <v>215</v>
      </c>
      <c r="P149">
        <v>20260814</v>
      </c>
      <c r="Q149">
        <v>100</v>
      </c>
      <c r="R149">
        <v>100</v>
      </c>
      <c r="S149" t="s">
        <v>217</v>
      </c>
      <c r="T149" t="s">
        <v>49</v>
      </c>
      <c r="U149" t="s">
        <v>47</v>
      </c>
      <c r="V149" t="s">
        <v>47</v>
      </c>
      <c r="W149" t="s">
        <v>47</v>
      </c>
      <c r="X149" t="s">
        <v>35</v>
      </c>
      <c r="Y149" t="s">
        <v>47</v>
      </c>
      <c r="Z149" t="s">
        <v>35</v>
      </c>
      <c r="AA149" t="s">
        <v>50</v>
      </c>
      <c r="AB149" t="s">
        <v>35</v>
      </c>
      <c r="AC149" t="s">
        <v>386</v>
      </c>
      <c r="AD149" t="s">
        <v>387</v>
      </c>
    </row>
    <row r="150" spans="1:30">
      <c r="A150">
        <v>55256048</v>
      </c>
      <c r="B150" t="s">
        <v>388</v>
      </c>
      <c r="C150" t="s">
        <v>212</v>
      </c>
      <c r="D150" t="s">
        <v>47</v>
      </c>
      <c r="E150" t="s">
        <v>35</v>
      </c>
      <c r="F150">
        <v>3436</v>
      </c>
      <c r="G150" t="s">
        <v>152</v>
      </c>
      <c r="H150" t="s">
        <v>45</v>
      </c>
      <c r="I150" t="s">
        <v>48</v>
      </c>
      <c r="J150" t="s">
        <v>46</v>
      </c>
      <c r="K150" t="s">
        <v>116</v>
      </c>
      <c r="L150" t="s">
        <v>389</v>
      </c>
      <c r="M150" t="s">
        <v>118</v>
      </c>
      <c r="N150" t="s">
        <v>117</v>
      </c>
      <c r="O150" t="s">
        <v>215</v>
      </c>
      <c r="P150">
        <v>20260814</v>
      </c>
      <c r="Q150">
        <v>100</v>
      </c>
      <c r="R150">
        <v>100</v>
      </c>
      <c r="S150" t="s">
        <v>217</v>
      </c>
      <c r="T150" t="s">
        <v>49</v>
      </c>
      <c r="U150" t="s">
        <v>47</v>
      </c>
      <c r="V150" t="s">
        <v>47</v>
      </c>
      <c r="W150" t="s">
        <v>47</v>
      </c>
      <c r="X150" t="s">
        <v>35</v>
      </c>
      <c r="Y150" t="s">
        <v>47</v>
      </c>
      <c r="Z150" t="s">
        <v>35</v>
      </c>
      <c r="AA150" t="s">
        <v>50</v>
      </c>
      <c r="AB150" t="s">
        <v>35</v>
      </c>
      <c r="AC150" t="s">
        <v>389</v>
      </c>
      <c r="AD150" t="s">
        <v>390</v>
      </c>
    </row>
    <row r="151" spans="1:30">
      <c r="A151">
        <v>55257759</v>
      </c>
      <c r="B151" t="s">
        <v>391</v>
      </c>
      <c r="C151" t="s">
        <v>212</v>
      </c>
      <c r="D151" t="s">
        <v>47</v>
      </c>
      <c r="E151" t="s">
        <v>35</v>
      </c>
      <c r="F151">
        <v>5016</v>
      </c>
      <c r="G151" t="s">
        <v>139</v>
      </c>
      <c r="H151" t="s">
        <v>45</v>
      </c>
      <c r="I151" t="s">
        <v>48</v>
      </c>
      <c r="J151" t="s">
        <v>46</v>
      </c>
      <c r="K151" t="s">
        <v>116</v>
      </c>
      <c r="L151" t="s">
        <v>392</v>
      </c>
      <c r="M151" t="s">
        <v>124</v>
      </c>
      <c r="N151" t="s">
        <v>123</v>
      </c>
      <c r="O151" t="s">
        <v>215</v>
      </c>
      <c r="P151">
        <v>20260814</v>
      </c>
      <c r="Q151">
        <v>100</v>
      </c>
      <c r="R151">
        <v>100</v>
      </c>
      <c r="S151" t="s">
        <v>217</v>
      </c>
      <c r="T151" t="s">
        <v>49</v>
      </c>
      <c r="U151" t="s">
        <v>47</v>
      </c>
      <c r="V151" t="s">
        <v>47</v>
      </c>
      <c r="W151" t="s">
        <v>47</v>
      </c>
      <c r="X151" t="s">
        <v>125</v>
      </c>
      <c r="Y151" t="s">
        <v>47</v>
      </c>
      <c r="Z151" t="s">
        <v>35</v>
      </c>
      <c r="AA151" t="s">
        <v>50</v>
      </c>
      <c r="AB151" t="s">
        <v>35</v>
      </c>
      <c r="AC151" t="s">
        <v>392</v>
      </c>
      <c r="AD151" t="s">
        <v>393</v>
      </c>
    </row>
    <row r="152" spans="1:30">
      <c r="A152">
        <v>55258062</v>
      </c>
      <c r="B152" t="s">
        <v>394</v>
      </c>
      <c r="C152" t="s">
        <v>212</v>
      </c>
      <c r="D152" t="s">
        <v>47</v>
      </c>
      <c r="E152" t="s">
        <v>35</v>
      </c>
      <c r="F152">
        <v>5803</v>
      </c>
      <c r="G152" t="s">
        <v>176</v>
      </c>
      <c r="H152" t="s">
        <v>45</v>
      </c>
      <c r="I152" t="s">
        <v>48</v>
      </c>
      <c r="J152" t="s">
        <v>46</v>
      </c>
      <c r="K152" t="s">
        <v>116</v>
      </c>
      <c r="L152" t="s">
        <v>395</v>
      </c>
      <c r="M152" t="s">
        <v>124</v>
      </c>
      <c r="N152" t="s">
        <v>123</v>
      </c>
      <c r="O152" t="s">
        <v>215</v>
      </c>
      <c r="P152">
        <v>20260814</v>
      </c>
      <c r="Q152">
        <v>100</v>
      </c>
      <c r="R152">
        <v>100</v>
      </c>
      <c r="S152" t="s">
        <v>217</v>
      </c>
      <c r="T152" t="s">
        <v>49</v>
      </c>
      <c r="U152" t="s">
        <v>47</v>
      </c>
      <c r="V152" t="s">
        <v>47</v>
      </c>
      <c r="W152" t="s">
        <v>47</v>
      </c>
      <c r="X152" t="s">
        <v>125</v>
      </c>
      <c r="Y152" t="s">
        <v>47</v>
      </c>
      <c r="Z152" t="s">
        <v>35</v>
      </c>
      <c r="AA152" t="s">
        <v>50</v>
      </c>
      <c r="AB152" t="s">
        <v>35</v>
      </c>
      <c r="AC152" t="s">
        <v>396</v>
      </c>
      <c r="AD152" t="s">
        <v>397</v>
      </c>
    </row>
    <row r="153" spans="1:30">
      <c r="A153">
        <v>55258326</v>
      </c>
      <c r="B153" t="s">
        <v>398</v>
      </c>
      <c r="C153" t="s">
        <v>212</v>
      </c>
      <c r="D153" t="s">
        <v>47</v>
      </c>
      <c r="E153" t="s">
        <v>35</v>
      </c>
      <c r="F153">
        <v>5016</v>
      </c>
      <c r="G153" t="s">
        <v>139</v>
      </c>
      <c r="H153" t="s">
        <v>45</v>
      </c>
      <c r="I153" t="s">
        <v>48</v>
      </c>
      <c r="J153" t="s">
        <v>46</v>
      </c>
      <c r="K153" t="s">
        <v>116</v>
      </c>
      <c r="L153" t="s">
        <v>399</v>
      </c>
      <c r="M153" t="s">
        <v>118</v>
      </c>
      <c r="N153" t="s">
        <v>117</v>
      </c>
      <c r="O153" t="s">
        <v>215</v>
      </c>
      <c r="P153">
        <v>20260814</v>
      </c>
      <c r="Q153">
        <v>100</v>
      </c>
      <c r="R153">
        <v>100</v>
      </c>
      <c r="S153" t="s">
        <v>217</v>
      </c>
      <c r="T153" t="s">
        <v>49</v>
      </c>
      <c r="U153" t="s">
        <v>47</v>
      </c>
      <c r="V153" t="s">
        <v>47</v>
      </c>
      <c r="W153" t="s">
        <v>47</v>
      </c>
      <c r="X153" t="s">
        <v>35</v>
      </c>
      <c r="Y153" t="s">
        <v>47</v>
      </c>
      <c r="Z153" t="s">
        <v>35</v>
      </c>
      <c r="AA153" t="s">
        <v>50</v>
      </c>
      <c r="AB153" t="s">
        <v>35</v>
      </c>
      <c r="AC153" t="s">
        <v>399</v>
      </c>
      <c r="AD153" t="s">
        <v>387</v>
      </c>
    </row>
    <row r="154" spans="1:30">
      <c r="A154">
        <v>55260747</v>
      </c>
      <c r="B154" t="s">
        <v>400</v>
      </c>
      <c r="C154" t="s">
        <v>212</v>
      </c>
      <c r="D154" t="s">
        <v>47</v>
      </c>
      <c r="E154" t="s">
        <v>35</v>
      </c>
      <c r="F154">
        <v>5016</v>
      </c>
      <c r="G154" t="s">
        <v>139</v>
      </c>
      <c r="H154" t="s">
        <v>45</v>
      </c>
      <c r="I154" t="s">
        <v>48</v>
      </c>
      <c r="J154" t="s">
        <v>46</v>
      </c>
      <c r="K154" t="s">
        <v>116</v>
      </c>
      <c r="L154" t="s">
        <v>401</v>
      </c>
      <c r="M154" t="s">
        <v>124</v>
      </c>
      <c r="N154" t="s">
        <v>123</v>
      </c>
      <c r="O154" t="s">
        <v>215</v>
      </c>
      <c r="P154">
        <v>20260814</v>
      </c>
      <c r="Q154">
        <v>100</v>
      </c>
      <c r="R154">
        <v>100</v>
      </c>
      <c r="S154" t="s">
        <v>217</v>
      </c>
      <c r="T154" t="s">
        <v>49</v>
      </c>
      <c r="U154" t="s">
        <v>47</v>
      </c>
      <c r="V154" t="s">
        <v>47</v>
      </c>
      <c r="W154" t="s">
        <v>47</v>
      </c>
      <c r="X154" t="s">
        <v>125</v>
      </c>
      <c r="Y154" t="s">
        <v>47</v>
      </c>
      <c r="Z154" t="s">
        <v>35</v>
      </c>
      <c r="AA154" t="s">
        <v>50</v>
      </c>
      <c r="AB154" t="s">
        <v>35</v>
      </c>
      <c r="AC154" t="s">
        <v>401</v>
      </c>
      <c r="AD154" t="s">
        <v>402</v>
      </c>
    </row>
    <row r="155" spans="1:30">
      <c r="A155">
        <v>55262609</v>
      </c>
      <c r="B155" t="s">
        <v>403</v>
      </c>
      <c r="C155" t="s">
        <v>212</v>
      </c>
      <c r="D155" t="s">
        <v>47</v>
      </c>
      <c r="E155" t="s">
        <v>35</v>
      </c>
      <c r="F155">
        <v>7013</v>
      </c>
      <c r="G155" t="s">
        <v>404</v>
      </c>
      <c r="H155" t="s">
        <v>45</v>
      </c>
      <c r="I155" t="s">
        <v>48</v>
      </c>
      <c r="J155" t="s">
        <v>46</v>
      </c>
      <c r="K155" t="s">
        <v>116</v>
      </c>
      <c r="L155" t="s">
        <v>405</v>
      </c>
      <c r="M155" t="s">
        <v>118</v>
      </c>
      <c r="N155" t="s">
        <v>117</v>
      </c>
      <c r="O155" t="s">
        <v>215</v>
      </c>
      <c r="P155">
        <v>20260814</v>
      </c>
      <c r="Q155">
        <v>100</v>
      </c>
      <c r="R155">
        <v>100</v>
      </c>
      <c r="S155" t="s">
        <v>217</v>
      </c>
      <c r="T155" t="s">
        <v>49</v>
      </c>
      <c r="U155" t="s">
        <v>47</v>
      </c>
      <c r="V155" t="s">
        <v>47</v>
      </c>
      <c r="W155" t="s">
        <v>47</v>
      </c>
      <c r="X155" t="s">
        <v>35</v>
      </c>
      <c r="Y155" t="s">
        <v>47</v>
      </c>
      <c r="Z155" t="s">
        <v>35</v>
      </c>
      <c r="AA155" t="s">
        <v>50</v>
      </c>
      <c r="AB155" t="s">
        <v>35</v>
      </c>
      <c r="AC155" t="s">
        <v>406</v>
      </c>
      <c r="AD155" t="s">
        <v>407</v>
      </c>
    </row>
    <row r="156" spans="1:30">
      <c r="A156">
        <v>55263415</v>
      </c>
      <c r="B156" t="s">
        <v>408</v>
      </c>
      <c r="C156" t="s">
        <v>212</v>
      </c>
      <c r="D156" t="s">
        <v>47</v>
      </c>
      <c r="E156" t="s">
        <v>35</v>
      </c>
      <c r="F156">
        <v>5016</v>
      </c>
      <c r="G156" t="s">
        <v>139</v>
      </c>
      <c r="H156" t="s">
        <v>45</v>
      </c>
      <c r="I156" t="s">
        <v>48</v>
      </c>
      <c r="J156" t="s">
        <v>46</v>
      </c>
      <c r="K156" t="s">
        <v>116</v>
      </c>
      <c r="L156" t="s">
        <v>409</v>
      </c>
      <c r="M156" t="s">
        <v>118</v>
      </c>
      <c r="N156" t="s">
        <v>117</v>
      </c>
      <c r="O156" t="s">
        <v>215</v>
      </c>
      <c r="P156">
        <v>20260814</v>
      </c>
      <c r="Q156">
        <v>100</v>
      </c>
      <c r="R156">
        <v>100</v>
      </c>
      <c r="S156" t="s">
        <v>217</v>
      </c>
      <c r="T156" t="s">
        <v>49</v>
      </c>
      <c r="U156" t="s">
        <v>47</v>
      </c>
      <c r="V156" t="s">
        <v>47</v>
      </c>
      <c r="W156" t="s">
        <v>47</v>
      </c>
      <c r="X156" t="s">
        <v>35</v>
      </c>
      <c r="Y156" t="s">
        <v>47</v>
      </c>
      <c r="Z156" t="s">
        <v>35</v>
      </c>
      <c r="AA156" t="s">
        <v>50</v>
      </c>
      <c r="AB156" t="s">
        <v>35</v>
      </c>
      <c r="AC156" t="s">
        <v>409</v>
      </c>
      <c r="AD156" t="s">
        <v>410</v>
      </c>
    </row>
    <row r="157" spans="1:30">
      <c r="A157">
        <v>55265765</v>
      </c>
      <c r="B157" t="s">
        <v>411</v>
      </c>
      <c r="C157" t="s">
        <v>212</v>
      </c>
      <c r="D157" t="s">
        <v>47</v>
      </c>
      <c r="E157" t="s">
        <v>35</v>
      </c>
      <c r="F157">
        <v>3436</v>
      </c>
      <c r="G157" t="s">
        <v>152</v>
      </c>
      <c r="H157" t="s">
        <v>45</v>
      </c>
      <c r="I157" t="s">
        <v>48</v>
      </c>
      <c r="J157" t="s">
        <v>46</v>
      </c>
      <c r="K157" t="s">
        <v>116</v>
      </c>
      <c r="L157" t="s">
        <v>412</v>
      </c>
      <c r="M157" t="s">
        <v>124</v>
      </c>
      <c r="N157" t="s">
        <v>123</v>
      </c>
      <c r="O157" t="s">
        <v>215</v>
      </c>
      <c r="P157">
        <v>20260814</v>
      </c>
      <c r="Q157">
        <v>100</v>
      </c>
      <c r="R157">
        <v>100</v>
      </c>
      <c r="S157" t="s">
        <v>217</v>
      </c>
      <c r="T157" t="s">
        <v>49</v>
      </c>
      <c r="U157" t="s">
        <v>47</v>
      </c>
      <c r="V157" t="s">
        <v>47</v>
      </c>
      <c r="W157" t="s">
        <v>47</v>
      </c>
      <c r="X157" t="s">
        <v>125</v>
      </c>
      <c r="Y157" t="s">
        <v>47</v>
      </c>
      <c r="Z157" t="s">
        <v>35</v>
      </c>
      <c r="AA157" t="s">
        <v>50</v>
      </c>
      <c r="AB157" t="s">
        <v>35</v>
      </c>
      <c r="AC157" t="s">
        <v>412</v>
      </c>
      <c r="AD157" t="s">
        <v>413</v>
      </c>
    </row>
    <row r="158" spans="1:30">
      <c r="A158">
        <v>55266150</v>
      </c>
      <c r="B158" t="s">
        <v>414</v>
      </c>
      <c r="C158" t="s">
        <v>212</v>
      </c>
      <c r="D158" t="s">
        <v>47</v>
      </c>
      <c r="E158" t="s">
        <v>35</v>
      </c>
      <c r="F158">
        <v>5803</v>
      </c>
      <c r="G158" t="s">
        <v>176</v>
      </c>
      <c r="H158" t="s">
        <v>45</v>
      </c>
      <c r="I158" t="s">
        <v>48</v>
      </c>
      <c r="J158" t="s">
        <v>46</v>
      </c>
      <c r="K158" t="s">
        <v>116</v>
      </c>
      <c r="L158" t="s">
        <v>415</v>
      </c>
      <c r="M158" t="s">
        <v>118</v>
      </c>
      <c r="N158" t="s">
        <v>117</v>
      </c>
      <c r="O158" t="s">
        <v>215</v>
      </c>
      <c r="P158">
        <v>20260814</v>
      </c>
      <c r="Q158">
        <v>100</v>
      </c>
      <c r="R158">
        <v>100</v>
      </c>
      <c r="S158" t="s">
        <v>217</v>
      </c>
      <c r="T158" t="s">
        <v>49</v>
      </c>
      <c r="U158" t="s">
        <v>47</v>
      </c>
      <c r="V158" t="s">
        <v>47</v>
      </c>
      <c r="W158" t="s">
        <v>47</v>
      </c>
      <c r="X158" t="s">
        <v>35</v>
      </c>
      <c r="Y158" t="s">
        <v>47</v>
      </c>
      <c r="Z158" t="s">
        <v>35</v>
      </c>
      <c r="AA158" t="s">
        <v>50</v>
      </c>
      <c r="AB158" t="s">
        <v>35</v>
      </c>
      <c r="AC158" t="s">
        <v>415</v>
      </c>
      <c r="AD158" t="s">
        <v>416</v>
      </c>
    </row>
    <row r="159" spans="1:30">
      <c r="A159">
        <v>55267758</v>
      </c>
      <c r="B159" t="s">
        <v>417</v>
      </c>
      <c r="C159" t="s">
        <v>212</v>
      </c>
      <c r="D159" t="s">
        <v>47</v>
      </c>
      <c r="E159" t="s">
        <v>35</v>
      </c>
      <c r="F159">
        <v>5803</v>
      </c>
      <c r="G159" t="s">
        <v>176</v>
      </c>
      <c r="H159" t="s">
        <v>45</v>
      </c>
      <c r="I159" t="s">
        <v>48</v>
      </c>
      <c r="J159" t="s">
        <v>46</v>
      </c>
      <c r="K159" t="s">
        <v>116</v>
      </c>
      <c r="L159" t="s">
        <v>418</v>
      </c>
      <c r="M159" t="s">
        <v>124</v>
      </c>
      <c r="N159" t="s">
        <v>123</v>
      </c>
      <c r="O159" t="s">
        <v>215</v>
      </c>
      <c r="P159">
        <v>20260814</v>
      </c>
      <c r="Q159">
        <v>100</v>
      </c>
      <c r="R159">
        <v>100</v>
      </c>
      <c r="S159" t="s">
        <v>217</v>
      </c>
      <c r="T159" t="s">
        <v>49</v>
      </c>
      <c r="U159" t="s">
        <v>47</v>
      </c>
      <c r="V159" t="s">
        <v>47</v>
      </c>
      <c r="W159" t="s">
        <v>47</v>
      </c>
      <c r="X159" t="s">
        <v>125</v>
      </c>
      <c r="Y159" t="s">
        <v>47</v>
      </c>
      <c r="Z159" t="s">
        <v>35</v>
      </c>
      <c r="AA159" t="s">
        <v>50</v>
      </c>
      <c r="AB159" t="s">
        <v>35</v>
      </c>
      <c r="AC159" t="s">
        <v>418</v>
      </c>
      <c r="AD159" t="s">
        <v>419</v>
      </c>
    </row>
    <row r="160" spans="1:30">
      <c r="A160">
        <v>55267894</v>
      </c>
      <c r="B160" t="s">
        <v>420</v>
      </c>
      <c r="C160" t="s">
        <v>212</v>
      </c>
      <c r="D160" t="s">
        <v>47</v>
      </c>
      <c r="E160" t="s">
        <v>35</v>
      </c>
      <c r="F160">
        <v>5016</v>
      </c>
      <c r="G160" t="s">
        <v>139</v>
      </c>
      <c r="H160" t="s">
        <v>45</v>
      </c>
      <c r="I160" t="s">
        <v>48</v>
      </c>
      <c r="J160" t="s">
        <v>46</v>
      </c>
      <c r="K160" t="s">
        <v>116</v>
      </c>
      <c r="L160" t="s">
        <v>421</v>
      </c>
      <c r="M160" t="s">
        <v>124</v>
      </c>
      <c r="N160" t="s">
        <v>123</v>
      </c>
      <c r="O160" t="s">
        <v>215</v>
      </c>
      <c r="P160">
        <v>20260814</v>
      </c>
      <c r="Q160">
        <v>100</v>
      </c>
      <c r="R160">
        <v>100</v>
      </c>
      <c r="S160" t="s">
        <v>217</v>
      </c>
      <c r="T160" t="s">
        <v>49</v>
      </c>
      <c r="U160" t="s">
        <v>47</v>
      </c>
      <c r="V160" t="s">
        <v>47</v>
      </c>
      <c r="W160" t="s">
        <v>47</v>
      </c>
      <c r="X160" t="s">
        <v>125</v>
      </c>
      <c r="Y160" t="s">
        <v>47</v>
      </c>
      <c r="Z160" t="s">
        <v>35</v>
      </c>
      <c r="AA160" t="s">
        <v>50</v>
      </c>
      <c r="AB160" t="s">
        <v>35</v>
      </c>
      <c r="AC160" t="s">
        <v>421</v>
      </c>
      <c r="AD160" t="s">
        <v>410</v>
      </c>
    </row>
    <row r="161" spans="1:30">
      <c r="A161">
        <v>55269453</v>
      </c>
      <c r="B161" t="s">
        <v>422</v>
      </c>
      <c r="C161" t="s">
        <v>212</v>
      </c>
      <c r="D161" t="s">
        <v>47</v>
      </c>
      <c r="E161" t="s">
        <v>35</v>
      </c>
      <c r="F161">
        <v>7013</v>
      </c>
      <c r="G161" t="s">
        <v>404</v>
      </c>
      <c r="H161" t="s">
        <v>45</v>
      </c>
      <c r="I161" t="s">
        <v>48</v>
      </c>
      <c r="J161" t="s">
        <v>46</v>
      </c>
      <c r="K161" t="s">
        <v>116</v>
      </c>
      <c r="L161" t="s">
        <v>423</v>
      </c>
      <c r="M161" t="s">
        <v>124</v>
      </c>
      <c r="N161" t="s">
        <v>123</v>
      </c>
      <c r="O161" t="s">
        <v>215</v>
      </c>
      <c r="P161">
        <v>20260814</v>
      </c>
      <c r="Q161">
        <v>100</v>
      </c>
      <c r="R161">
        <v>100</v>
      </c>
      <c r="S161" t="s">
        <v>217</v>
      </c>
      <c r="T161" t="s">
        <v>49</v>
      </c>
      <c r="U161" t="s">
        <v>47</v>
      </c>
      <c r="V161" t="s">
        <v>47</v>
      </c>
      <c r="W161" t="s">
        <v>47</v>
      </c>
      <c r="X161" t="s">
        <v>125</v>
      </c>
      <c r="Y161" t="s">
        <v>47</v>
      </c>
      <c r="Z161" t="s">
        <v>35</v>
      </c>
      <c r="AA161" t="s">
        <v>50</v>
      </c>
      <c r="AB161" t="s">
        <v>35</v>
      </c>
      <c r="AC161" t="s">
        <v>423</v>
      </c>
      <c r="AD161" t="s">
        <v>424</v>
      </c>
    </row>
    <row r="162" spans="1:30">
      <c r="A162">
        <v>55331106</v>
      </c>
      <c r="B162" t="s">
        <v>425</v>
      </c>
      <c r="C162" t="s">
        <v>212</v>
      </c>
      <c r="D162" t="s">
        <v>47</v>
      </c>
      <c r="E162" t="s">
        <v>35</v>
      </c>
      <c r="F162">
        <v>5016</v>
      </c>
      <c r="G162" t="s">
        <v>139</v>
      </c>
      <c r="H162" t="s">
        <v>45</v>
      </c>
      <c r="I162" t="s">
        <v>48</v>
      </c>
      <c r="J162" t="s">
        <v>46</v>
      </c>
      <c r="K162" t="s">
        <v>116</v>
      </c>
      <c r="L162" t="s">
        <v>426</v>
      </c>
      <c r="M162" t="s">
        <v>118</v>
      </c>
      <c r="N162" t="s">
        <v>117</v>
      </c>
      <c r="O162" t="s">
        <v>215</v>
      </c>
      <c r="P162">
        <v>20260814</v>
      </c>
      <c r="Q162">
        <v>100</v>
      </c>
      <c r="R162">
        <v>100</v>
      </c>
      <c r="S162" t="s">
        <v>217</v>
      </c>
      <c r="T162" t="s">
        <v>49</v>
      </c>
      <c r="U162" t="s">
        <v>47</v>
      </c>
      <c r="V162" t="s">
        <v>47</v>
      </c>
      <c r="W162" t="s">
        <v>47</v>
      </c>
      <c r="X162" t="s">
        <v>35</v>
      </c>
      <c r="Y162" t="s">
        <v>47</v>
      </c>
      <c r="Z162" t="s">
        <v>35</v>
      </c>
      <c r="AA162" t="s">
        <v>50</v>
      </c>
      <c r="AB162" t="s">
        <v>35</v>
      </c>
      <c r="AC162" t="s">
        <v>427</v>
      </c>
      <c r="AD162" t="s">
        <v>428</v>
      </c>
    </row>
    <row r="163" spans="1:30">
      <c r="A163">
        <v>55332599</v>
      </c>
      <c r="B163" t="s">
        <v>429</v>
      </c>
      <c r="C163" t="s">
        <v>212</v>
      </c>
      <c r="D163" t="s">
        <v>47</v>
      </c>
      <c r="E163" t="s">
        <v>35</v>
      </c>
      <c r="F163">
        <v>5016</v>
      </c>
      <c r="G163" t="s">
        <v>139</v>
      </c>
      <c r="H163" t="s">
        <v>45</v>
      </c>
      <c r="I163" t="s">
        <v>48</v>
      </c>
      <c r="J163" t="s">
        <v>46</v>
      </c>
      <c r="K163" t="s">
        <v>116</v>
      </c>
      <c r="L163" t="s">
        <v>430</v>
      </c>
      <c r="M163" t="s">
        <v>124</v>
      </c>
      <c r="N163" t="s">
        <v>123</v>
      </c>
      <c r="O163" t="s">
        <v>215</v>
      </c>
      <c r="P163">
        <v>20260814</v>
      </c>
      <c r="Q163">
        <v>100</v>
      </c>
      <c r="R163">
        <v>100</v>
      </c>
      <c r="S163" t="s">
        <v>217</v>
      </c>
      <c r="T163" t="s">
        <v>49</v>
      </c>
      <c r="U163" t="s">
        <v>47</v>
      </c>
      <c r="V163" t="s">
        <v>47</v>
      </c>
      <c r="W163" t="s">
        <v>47</v>
      </c>
      <c r="X163" t="s">
        <v>125</v>
      </c>
      <c r="Y163" t="s">
        <v>47</v>
      </c>
      <c r="Z163" t="s">
        <v>35</v>
      </c>
      <c r="AA163" t="s">
        <v>50</v>
      </c>
      <c r="AB163" t="s">
        <v>35</v>
      </c>
      <c r="AC163" t="s">
        <v>430</v>
      </c>
      <c r="AD163" t="s">
        <v>431</v>
      </c>
    </row>
    <row r="164" spans="1:30">
      <c r="A164">
        <v>55333252</v>
      </c>
      <c r="B164" t="s">
        <v>432</v>
      </c>
      <c r="C164" t="s">
        <v>212</v>
      </c>
      <c r="D164" t="s">
        <v>47</v>
      </c>
      <c r="E164" t="s">
        <v>35</v>
      </c>
      <c r="F164">
        <v>5803</v>
      </c>
      <c r="G164" t="s">
        <v>176</v>
      </c>
      <c r="H164" t="s">
        <v>45</v>
      </c>
      <c r="I164" t="s">
        <v>48</v>
      </c>
      <c r="J164" t="s">
        <v>46</v>
      </c>
      <c r="K164" t="s">
        <v>116</v>
      </c>
      <c r="L164" t="s">
        <v>433</v>
      </c>
      <c r="M164" t="s">
        <v>118</v>
      </c>
      <c r="N164" t="s">
        <v>117</v>
      </c>
      <c r="O164" t="s">
        <v>215</v>
      </c>
      <c r="P164">
        <v>20260814</v>
      </c>
      <c r="Q164">
        <v>200</v>
      </c>
      <c r="R164">
        <v>200</v>
      </c>
      <c r="S164" t="s">
        <v>217</v>
      </c>
      <c r="T164" t="s">
        <v>49</v>
      </c>
      <c r="U164" t="s">
        <v>47</v>
      </c>
      <c r="V164" t="s">
        <v>47</v>
      </c>
      <c r="W164" t="s">
        <v>47</v>
      </c>
      <c r="X164" t="s">
        <v>35</v>
      </c>
      <c r="Y164" t="s">
        <v>47</v>
      </c>
      <c r="Z164" t="s">
        <v>35</v>
      </c>
      <c r="AA164" t="s">
        <v>50</v>
      </c>
      <c r="AB164" t="s">
        <v>35</v>
      </c>
      <c r="AC164" t="s">
        <v>433</v>
      </c>
      <c r="AD164" t="s">
        <v>434</v>
      </c>
    </row>
    <row r="165" spans="1:30">
      <c r="A165">
        <v>55335560</v>
      </c>
      <c r="B165" t="s">
        <v>435</v>
      </c>
      <c r="C165" t="s">
        <v>212</v>
      </c>
      <c r="D165" t="s">
        <v>47</v>
      </c>
      <c r="E165" t="s">
        <v>35</v>
      </c>
      <c r="F165">
        <v>5803</v>
      </c>
      <c r="G165" t="s">
        <v>176</v>
      </c>
      <c r="H165" t="s">
        <v>45</v>
      </c>
      <c r="I165" t="s">
        <v>48</v>
      </c>
      <c r="J165" t="s">
        <v>46</v>
      </c>
      <c r="K165" t="s">
        <v>116</v>
      </c>
      <c r="L165" t="s">
        <v>436</v>
      </c>
      <c r="M165" t="s">
        <v>124</v>
      </c>
      <c r="N165" t="s">
        <v>123</v>
      </c>
      <c r="O165" t="s">
        <v>215</v>
      </c>
      <c r="P165">
        <v>20260814</v>
      </c>
      <c r="Q165">
        <v>200</v>
      </c>
      <c r="R165">
        <v>200</v>
      </c>
      <c r="S165" t="s">
        <v>217</v>
      </c>
      <c r="T165" t="s">
        <v>49</v>
      </c>
      <c r="U165" t="s">
        <v>47</v>
      </c>
      <c r="V165" t="s">
        <v>47</v>
      </c>
      <c r="W165" t="s">
        <v>47</v>
      </c>
      <c r="X165" t="s">
        <v>125</v>
      </c>
      <c r="Y165" t="s">
        <v>47</v>
      </c>
      <c r="Z165" t="s">
        <v>35</v>
      </c>
      <c r="AA165" t="s">
        <v>50</v>
      </c>
      <c r="AB165" t="s">
        <v>35</v>
      </c>
      <c r="AC165" t="s">
        <v>436</v>
      </c>
      <c r="AD165" t="s">
        <v>437</v>
      </c>
    </row>
    <row r="166" spans="1:30">
      <c r="A166">
        <v>55335740</v>
      </c>
      <c r="B166" t="s">
        <v>438</v>
      </c>
      <c r="C166" t="s">
        <v>212</v>
      </c>
      <c r="D166" t="s">
        <v>47</v>
      </c>
      <c r="E166" t="s">
        <v>35</v>
      </c>
      <c r="F166">
        <v>5803</v>
      </c>
      <c r="G166" t="s">
        <v>176</v>
      </c>
      <c r="H166" t="s">
        <v>45</v>
      </c>
      <c r="I166" t="s">
        <v>48</v>
      </c>
      <c r="J166" t="s">
        <v>46</v>
      </c>
      <c r="K166" t="s">
        <v>116</v>
      </c>
      <c r="L166" t="s">
        <v>439</v>
      </c>
      <c r="M166" t="s">
        <v>118</v>
      </c>
      <c r="N166" t="s">
        <v>117</v>
      </c>
      <c r="O166" t="s">
        <v>215</v>
      </c>
      <c r="P166">
        <v>20260814</v>
      </c>
      <c r="Q166">
        <v>200</v>
      </c>
      <c r="R166">
        <v>200</v>
      </c>
      <c r="S166" t="s">
        <v>217</v>
      </c>
      <c r="T166" t="s">
        <v>49</v>
      </c>
      <c r="U166" t="s">
        <v>47</v>
      </c>
      <c r="V166" t="s">
        <v>47</v>
      </c>
      <c r="W166" t="s">
        <v>47</v>
      </c>
      <c r="X166" t="s">
        <v>35</v>
      </c>
      <c r="Y166" t="s">
        <v>47</v>
      </c>
      <c r="Z166" t="s">
        <v>35</v>
      </c>
      <c r="AA166" t="s">
        <v>50</v>
      </c>
      <c r="AB166" t="s">
        <v>35</v>
      </c>
      <c r="AC166" t="s">
        <v>439</v>
      </c>
      <c r="AD166" t="s">
        <v>440</v>
      </c>
    </row>
    <row r="167" spans="1:30">
      <c r="A167">
        <v>55337617</v>
      </c>
      <c r="B167" t="s">
        <v>441</v>
      </c>
      <c r="C167" t="s">
        <v>212</v>
      </c>
      <c r="D167" t="s">
        <v>47</v>
      </c>
      <c r="E167" t="s">
        <v>35</v>
      </c>
      <c r="F167">
        <v>5803</v>
      </c>
      <c r="G167" t="s">
        <v>176</v>
      </c>
      <c r="H167" t="s">
        <v>45</v>
      </c>
      <c r="I167" t="s">
        <v>48</v>
      </c>
      <c r="J167" t="s">
        <v>46</v>
      </c>
      <c r="K167" t="s">
        <v>116</v>
      </c>
      <c r="L167" t="s">
        <v>442</v>
      </c>
      <c r="M167" t="s">
        <v>124</v>
      </c>
      <c r="N167" t="s">
        <v>123</v>
      </c>
      <c r="O167" t="s">
        <v>215</v>
      </c>
      <c r="P167">
        <v>20260814</v>
      </c>
      <c r="Q167">
        <v>100</v>
      </c>
      <c r="R167">
        <v>100</v>
      </c>
      <c r="S167" t="s">
        <v>217</v>
      </c>
      <c r="T167" t="s">
        <v>49</v>
      </c>
      <c r="U167" t="s">
        <v>47</v>
      </c>
      <c r="V167" t="s">
        <v>47</v>
      </c>
      <c r="W167" t="s">
        <v>47</v>
      </c>
      <c r="X167" t="s">
        <v>125</v>
      </c>
      <c r="Y167" t="s">
        <v>47</v>
      </c>
      <c r="Z167" t="s">
        <v>35</v>
      </c>
      <c r="AA167" t="s">
        <v>50</v>
      </c>
      <c r="AB167" t="s">
        <v>35</v>
      </c>
      <c r="AC167" t="s">
        <v>442</v>
      </c>
      <c r="AD167" t="s">
        <v>443</v>
      </c>
    </row>
    <row r="168" spans="1:30">
      <c r="A168">
        <v>55337782</v>
      </c>
      <c r="B168" t="s">
        <v>444</v>
      </c>
      <c r="C168" t="s">
        <v>212</v>
      </c>
      <c r="D168" t="s">
        <v>47</v>
      </c>
      <c r="E168" t="s">
        <v>35</v>
      </c>
      <c r="F168">
        <v>5803</v>
      </c>
      <c r="G168" t="s">
        <v>176</v>
      </c>
      <c r="H168" t="s">
        <v>45</v>
      </c>
      <c r="I168" t="s">
        <v>48</v>
      </c>
      <c r="J168" t="s">
        <v>46</v>
      </c>
      <c r="K168" t="s">
        <v>116</v>
      </c>
      <c r="L168" t="s">
        <v>445</v>
      </c>
      <c r="M168" t="s">
        <v>124</v>
      </c>
      <c r="N168" t="s">
        <v>123</v>
      </c>
      <c r="O168" t="s">
        <v>215</v>
      </c>
      <c r="P168">
        <v>20260814</v>
      </c>
      <c r="Q168">
        <v>100</v>
      </c>
      <c r="R168">
        <v>100</v>
      </c>
      <c r="S168" t="s">
        <v>217</v>
      </c>
      <c r="T168" t="s">
        <v>49</v>
      </c>
      <c r="U168" t="s">
        <v>47</v>
      </c>
      <c r="V168" t="s">
        <v>47</v>
      </c>
      <c r="W168" t="s">
        <v>47</v>
      </c>
      <c r="X168" t="s">
        <v>125</v>
      </c>
      <c r="Y168" t="s">
        <v>47</v>
      </c>
      <c r="Z168" t="s">
        <v>35</v>
      </c>
      <c r="AA168" t="s">
        <v>50</v>
      </c>
      <c r="AB168" t="s">
        <v>35</v>
      </c>
      <c r="AC168" t="s">
        <v>445</v>
      </c>
      <c r="AD168" t="s">
        <v>446</v>
      </c>
    </row>
    <row r="169" spans="1:30">
      <c r="A169">
        <v>55340216</v>
      </c>
      <c r="B169" t="s">
        <v>447</v>
      </c>
      <c r="C169" t="s">
        <v>212</v>
      </c>
      <c r="D169" t="s">
        <v>47</v>
      </c>
      <c r="E169" t="s">
        <v>35</v>
      </c>
      <c r="F169">
        <v>8136</v>
      </c>
      <c r="G169" t="s">
        <v>172</v>
      </c>
      <c r="H169" t="s">
        <v>45</v>
      </c>
      <c r="I169" t="s">
        <v>48</v>
      </c>
      <c r="J169" t="s">
        <v>35</v>
      </c>
      <c r="K169" t="s">
        <v>35</v>
      </c>
      <c r="L169" t="s">
        <v>448</v>
      </c>
      <c r="M169" t="s">
        <v>57</v>
      </c>
      <c r="N169" t="s">
        <v>58</v>
      </c>
      <c r="O169" t="s">
        <v>215</v>
      </c>
      <c r="P169">
        <v>20260814</v>
      </c>
      <c r="Q169">
        <v>100</v>
      </c>
      <c r="R169">
        <v>100</v>
      </c>
      <c r="S169" t="s">
        <v>217</v>
      </c>
      <c r="T169" t="s">
        <v>49</v>
      </c>
      <c r="U169" t="s">
        <v>47</v>
      </c>
      <c r="V169" t="s">
        <v>47</v>
      </c>
      <c r="W169" t="s">
        <v>47</v>
      </c>
      <c r="X169" t="s">
        <v>35</v>
      </c>
      <c r="Y169" t="s">
        <v>47</v>
      </c>
      <c r="Z169" t="s">
        <v>35</v>
      </c>
      <c r="AA169" t="s">
        <v>50</v>
      </c>
      <c r="AB169" t="s">
        <v>35</v>
      </c>
      <c r="AC169" t="s">
        <v>448</v>
      </c>
      <c r="AD169" t="s">
        <v>449</v>
      </c>
    </row>
    <row r="170" spans="1:30">
      <c r="A170">
        <v>55342054</v>
      </c>
      <c r="B170" t="s">
        <v>450</v>
      </c>
      <c r="C170" t="s">
        <v>212</v>
      </c>
      <c r="D170" t="s">
        <v>47</v>
      </c>
      <c r="E170" t="s">
        <v>35</v>
      </c>
      <c r="F170">
        <v>5016</v>
      </c>
      <c r="G170" t="s">
        <v>139</v>
      </c>
      <c r="H170" t="s">
        <v>45</v>
      </c>
      <c r="I170" t="s">
        <v>48</v>
      </c>
      <c r="J170" t="s">
        <v>46</v>
      </c>
      <c r="K170" t="s">
        <v>116</v>
      </c>
      <c r="L170" t="s">
        <v>451</v>
      </c>
      <c r="M170" t="s">
        <v>118</v>
      </c>
      <c r="N170" t="s">
        <v>117</v>
      </c>
      <c r="O170" t="s">
        <v>215</v>
      </c>
      <c r="P170">
        <v>20260814</v>
      </c>
      <c r="Q170">
        <v>100</v>
      </c>
      <c r="R170">
        <v>100</v>
      </c>
      <c r="S170" t="s">
        <v>217</v>
      </c>
      <c r="T170" t="s">
        <v>49</v>
      </c>
      <c r="U170" t="s">
        <v>47</v>
      </c>
      <c r="V170" t="s">
        <v>47</v>
      </c>
      <c r="W170" t="s">
        <v>47</v>
      </c>
      <c r="X170" t="s">
        <v>35</v>
      </c>
      <c r="Y170" t="s">
        <v>47</v>
      </c>
      <c r="Z170" t="s">
        <v>35</v>
      </c>
      <c r="AA170" t="s">
        <v>50</v>
      </c>
      <c r="AB170" t="s">
        <v>35</v>
      </c>
      <c r="AC170" t="s">
        <v>452</v>
      </c>
      <c r="AD170" t="s">
        <v>453</v>
      </c>
    </row>
    <row r="171" spans="1:30">
      <c r="A171">
        <v>55342702</v>
      </c>
      <c r="B171" t="s">
        <v>454</v>
      </c>
      <c r="C171" t="s">
        <v>212</v>
      </c>
      <c r="D171" t="s">
        <v>47</v>
      </c>
      <c r="E171" t="s">
        <v>35</v>
      </c>
      <c r="F171">
        <v>5016</v>
      </c>
      <c r="G171" t="s">
        <v>139</v>
      </c>
      <c r="H171" t="s">
        <v>45</v>
      </c>
      <c r="I171" t="s">
        <v>48</v>
      </c>
      <c r="J171" t="s">
        <v>46</v>
      </c>
      <c r="K171" t="s">
        <v>116</v>
      </c>
      <c r="L171" t="s">
        <v>455</v>
      </c>
      <c r="M171" t="s">
        <v>124</v>
      </c>
      <c r="N171" t="s">
        <v>123</v>
      </c>
      <c r="O171" t="s">
        <v>215</v>
      </c>
      <c r="P171">
        <v>20260814</v>
      </c>
      <c r="Q171">
        <v>100</v>
      </c>
      <c r="R171">
        <v>100</v>
      </c>
      <c r="S171" t="s">
        <v>217</v>
      </c>
      <c r="T171" t="s">
        <v>49</v>
      </c>
      <c r="U171" t="s">
        <v>47</v>
      </c>
      <c r="V171" t="s">
        <v>47</v>
      </c>
      <c r="W171" t="s">
        <v>47</v>
      </c>
      <c r="X171" t="s">
        <v>125</v>
      </c>
      <c r="Y171" t="s">
        <v>47</v>
      </c>
      <c r="Z171" t="s">
        <v>35</v>
      </c>
      <c r="AA171" t="s">
        <v>50</v>
      </c>
      <c r="AB171" t="s">
        <v>35</v>
      </c>
      <c r="AC171" t="s">
        <v>455</v>
      </c>
      <c r="AD171" t="s">
        <v>456</v>
      </c>
    </row>
    <row r="172" spans="1:30">
      <c r="A172">
        <v>51051621</v>
      </c>
      <c r="B172" t="s">
        <v>457</v>
      </c>
      <c r="C172" t="s">
        <v>290</v>
      </c>
      <c r="D172" t="s">
        <v>47</v>
      </c>
      <c r="E172" t="s">
        <v>35</v>
      </c>
      <c r="F172">
        <v>9432</v>
      </c>
      <c r="G172" t="s">
        <v>54</v>
      </c>
      <c r="H172" t="s">
        <v>45</v>
      </c>
      <c r="I172" t="s">
        <v>48</v>
      </c>
      <c r="J172" t="s">
        <v>35</v>
      </c>
      <c r="K172" t="s">
        <v>35</v>
      </c>
      <c r="L172" t="s">
        <v>458</v>
      </c>
      <c r="M172" t="s">
        <v>57</v>
      </c>
      <c r="N172" t="s">
        <v>58</v>
      </c>
      <c r="O172" t="s">
        <v>215</v>
      </c>
      <c r="P172">
        <v>20260817</v>
      </c>
      <c r="Q172">
        <v>100</v>
      </c>
      <c r="R172">
        <v>0</v>
      </c>
      <c r="S172" t="s">
        <v>217</v>
      </c>
      <c r="T172" t="s">
        <v>49</v>
      </c>
      <c r="U172" t="s">
        <v>47</v>
      </c>
      <c r="V172" t="s">
        <v>47</v>
      </c>
      <c r="W172" t="s">
        <v>47</v>
      </c>
      <c r="X172" t="s">
        <v>35</v>
      </c>
      <c r="Y172" t="s">
        <v>47</v>
      </c>
      <c r="Z172" t="s">
        <v>35</v>
      </c>
      <c r="AA172" t="s">
        <v>50</v>
      </c>
      <c r="AB172" t="s">
        <v>35</v>
      </c>
      <c r="AC172" t="s">
        <v>458</v>
      </c>
      <c r="AD172" t="s">
        <v>74</v>
      </c>
    </row>
    <row r="174" spans="1:30">
      <c r="A174" s="1">
        <v>51051926</v>
      </c>
      <c r="B174" s="1" t="s">
        <v>461</v>
      </c>
      <c r="C174" s="1" t="s">
        <v>72</v>
      </c>
      <c r="D174" s="1" t="s">
        <v>47</v>
      </c>
      <c r="E174" s="1" t="s">
        <v>35</v>
      </c>
      <c r="F174" s="1">
        <v>9432</v>
      </c>
      <c r="G174" s="1" t="s">
        <v>54</v>
      </c>
      <c r="H174" s="1" t="s">
        <v>45</v>
      </c>
      <c r="I174" s="1" t="s">
        <v>48</v>
      </c>
      <c r="J174" s="1" t="s">
        <v>35</v>
      </c>
      <c r="K174" s="1" t="s">
        <v>35</v>
      </c>
      <c r="L174" s="1" t="s">
        <v>463</v>
      </c>
      <c r="M174" s="1" t="s">
        <v>57</v>
      </c>
      <c r="N174" s="1" t="s">
        <v>58</v>
      </c>
      <c r="O174" s="1" t="s">
        <v>215</v>
      </c>
      <c r="P174" s="1">
        <v>20260817</v>
      </c>
      <c r="Q174" s="1">
        <v>100</v>
      </c>
      <c r="R174" s="1">
        <v>0</v>
      </c>
      <c r="S174" s="1" t="s">
        <v>217</v>
      </c>
      <c r="T174" s="1" t="s">
        <v>49</v>
      </c>
      <c r="U174" s="1" t="s">
        <v>47</v>
      </c>
      <c r="V174" s="1" t="s">
        <v>47</v>
      </c>
      <c r="W174" s="1" t="s">
        <v>47</v>
      </c>
      <c r="X174" s="1" t="s">
        <v>35</v>
      </c>
      <c r="Y174" s="1" t="s">
        <v>47</v>
      </c>
      <c r="Z174" s="1" t="s">
        <v>35</v>
      </c>
      <c r="AA174" s="1" t="s">
        <v>50</v>
      </c>
      <c r="AB174" s="1" t="s">
        <v>35</v>
      </c>
      <c r="AC174" s="1" t="s">
        <v>463</v>
      </c>
      <c r="AD174" s="1" t="s">
        <v>74</v>
      </c>
    </row>
    <row r="175" spans="1:30">
      <c r="A175" s="1">
        <v>51051926</v>
      </c>
      <c r="B175" s="1" t="s">
        <v>460</v>
      </c>
      <c r="C175" s="1" t="s">
        <v>44</v>
      </c>
      <c r="D175" s="1" t="s">
        <v>34</v>
      </c>
      <c r="E175" s="1" t="s">
        <v>35</v>
      </c>
      <c r="F175" s="1">
        <v>9432</v>
      </c>
      <c r="G175" s="1" t="s">
        <v>41</v>
      </c>
      <c r="H175" s="1" t="s">
        <v>36</v>
      </c>
      <c r="I175" s="1" t="s">
        <v>37</v>
      </c>
      <c r="J175" s="1" t="s">
        <v>35</v>
      </c>
      <c r="K175" s="1" t="s">
        <v>35</v>
      </c>
      <c r="L175" s="1" t="s">
        <v>462</v>
      </c>
      <c r="M175" s="1" t="s">
        <v>42</v>
      </c>
      <c r="N175" s="1" t="s">
        <v>43</v>
      </c>
      <c r="O175" s="1" t="s">
        <v>214</v>
      </c>
      <c r="P175" s="1">
        <v>20260817</v>
      </c>
      <c r="Q175" s="1">
        <v>100</v>
      </c>
      <c r="R175" s="1">
        <v>0</v>
      </c>
      <c r="S175" s="1" t="s">
        <v>216</v>
      </c>
      <c r="T175" s="1" t="s">
        <v>39</v>
      </c>
      <c r="U175" s="1" t="s">
        <v>34</v>
      </c>
      <c r="V175" s="1" t="s">
        <v>34</v>
      </c>
      <c r="W175" s="1" t="s">
        <v>34</v>
      </c>
      <c r="X175" s="1" t="s">
        <v>35</v>
      </c>
      <c r="Y175" s="1" t="s">
        <v>34</v>
      </c>
      <c r="Z175" s="1" t="s">
        <v>35</v>
      </c>
      <c r="AA175" s="1" t="s">
        <v>40</v>
      </c>
      <c r="AB175" s="1" t="s">
        <v>35</v>
      </c>
      <c r="AC175" s="1" t="s">
        <v>462</v>
      </c>
      <c r="AD175" s="1" t="s">
        <v>77</v>
      </c>
    </row>
    <row r="177" spans="1:30">
      <c r="A177" t="s">
        <v>4</v>
      </c>
      <c r="B177" t="s">
        <v>6</v>
      </c>
      <c r="C177" t="s">
        <v>7</v>
      </c>
      <c r="D177" t="s">
        <v>8</v>
      </c>
      <c r="E177" t="s">
        <v>9</v>
      </c>
      <c r="F177" t="s">
        <v>10</v>
      </c>
      <c r="G177" t="s">
        <v>11</v>
      </c>
      <c r="H177" t="s">
        <v>12</v>
      </c>
      <c r="I177" t="s">
        <v>13</v>
      </c>
      <c r="J177" t="s">
        <v>14</v>
      </c>
      <c r="K177" t="s">
        <v>15</v>
      </c>
      <c r="L177" t="s">
        <v>666</v>
      </c>
      <c r="M177" t="s">
        <v>16</v>
      </c>
      <c r="N177" t="s">
        <v>17</v>
      </c>
      <c r="O177" t="s">
        <v>18</v>
      </c>
      <c r="P177" t="s">
        <v>19</v>
      </c>
      <c r="Q177" t="s">
        <v>20</v>
      </c>
      <c r="R177" t="s">
        <v>21</v>
      </c>
      <c r="S177" t="s">
        <v>22</v>
      </c>
      <c r="T177" t="s">
        <v>23</v>
      </c>
      <c r="U177" t="s">
        <v>24</v>
      </c>
      <c r="V177" t="s">
        <v>25</v>
      </c>
      <c r="W177" t="s">
        <v>26</v>
      </c>
      <c r="X177" t="s">
        <v>27</v>
      </c>
      <c r="Y177" t="s">
        <v>28</v>
      </c>
      <c r="Z177" t="s">
        <v>29</v>
      </c>
      <c r="AA177" t="s">
        <v>30</v>
      </c>
      <c r="AB177" t="s">
        <v>31</v>
      </c>
      <c r="AC177" t="s">
        <v>32</v>
      </c>
      <c r="AD177" t="s">
        <v>33</v>
      </c>
    </row>
    <row r="178" spans="1:30">
      <c r="A178" s="1">
        <v>53095981</v>
      </c>
      <c r="B178" s="1" t="s">
        <v>667</v>
      </c>
      <c r="C178" s="1" t="s">
        <v>212</v>
      </c>
      <c r="D178" s="1" t="s">
        <v>47</v>
      </c>
      <c r="E178" s="1" t="s">
        <v>35</v>
      </c>
      <c r="F178" s="1">
        <v>7012</v>
      </c>
      <c r="G178" s="1" t="s">
        <v>120</v>
      </c>
      <c r="H178" s="1" t="s">
        <v>45</v>
      </c>
      <c r="I178" s="1" t="s">
        <v>48</v>
      </c>
      <c r="J178" s="1" t="s">
        <v>46</v>
      </c>
      <c r="K178" s="1" t="s">
        <v>116</v>
      </c>
      <c r="L178" s="1" t="s">
        <v>668</v>
      </c>
      <c r="M178" s="1" t="s">
        <v>118</v>
      </c>
      <c r="N178" s="1" t="s">
        <v>117</v>
      </c>
      <c r="O178" s="1" t="s">
        <v>215</v>
      </c>
      <c r="P178" s="1">
        <v>20260902</v>
      </c>
      <c r="Q178" s="1">
        <v>100</v>
      </c>
      <c r="R178" s="1">
        <v>100</v>
      </c>
      <c r="S178" s="1">
        <v>2446.5</v>
      </c>
      <c r="T178" s="1" t="s">
        <v>49</v>
      </c>
      <c r="U178" s="1" t="s">
        <v>47</v>
      </c>
      <c r="V178" s="1" t="s">
        <v>47</v>
      </c>
      <c r="W178" s="1" t="s">
        <v>47</v>
      </c>
      <c r="X178" s="1" t="s">
        <v>35</v>
      </c>
      <c r="Y178" s="1" t="s">
        <v>47</v>
      </c>
      <c r="Z178" s="1" t="s">
        <v>35</v>
      </c>
      <c r="AA178" s="1" t="s">
        <v>50</v>
      </c>
      <c r="AB178" s="1" t="s">
        <v>35</v>
      </c>
      <c r="AC178" s="1" t="s">
        <v>668</v>
      </c>
      <c r="AD178" s="1" t="s">
        <v>669</v>
      </c>
    </row>
    <row r="179" spans="1:30">
      <c r="A179">
        <v>53114625</v>
      </c>
      <c r="B179" t="s">
        <v>670</v>
      </c>
      <c r="C179" t="s">
        <v>212</v>
      </c>
      <c r="D179" t="s">
        <v>47</v>
      </c>
      <c r="E179" t="s">
        <v>35</v>
      </c>
      <c r="F179">
        <v>7012</v>
      </c>
      <c r="G179" t="s">
        <v>120</v>
      </c>
      <c r="H179" t="s">
        <v>45</v>
      </c>
      <c r="I179" t="s">
        <v>48</v>
      </c>
      <c r="J179" t="s">
        <v>46</v>
      </c>
      <c r="K179" t="s">
        <v>116</v>
      </c>
      <c r="L179" t="s">
        <v>671</v>
      </c>
      <c r="M179" t="s">
        <v>124</v>
      </c>
      <c r="N179" t="s">
        <v>123</v>
      </c>
      <c r="O179" t="s">
        <v>215</v>
      </c>
      <c r="P179">
        <v>20260902</v>
      </c>
      <c r="Q179">
        <v>100</v>
      </c>
      <c r="R179">
        <v>100</v>
      </c>
      <c r="S179" t="s">
        <v>217</v>
      </c>
      <c r="T179" t="s">
        <v>49</v>
      </c>
      <c r="U179" t="s">
        <v>47</v>
      </c>
      <c r="V179" t="s">
        <v>47</v>
      </c>
      <c r="W179" t="s">
        <v>47</v>
      </c>
      <c r="X179" t="s">
        <v>125</v>
      </c>
      <c r="Y179" t="s">
        <v>47</v>
      </c>
      <c r="Z179" t="s">
        <v>35</v>
      </c>
      <c r="AA179" t="s">
        <v>50</v>
      </c>
      <c r="AB179" t="s">
        <v>35</v>
      </c>
      <c r="AC179" t="s">
        <v>671</v>
      </c>
      <c r="AD179" t="s">
        <v>672</v>
      </c>
    </row>
    <row r="180" spans="1:30">
      <c r="A180" s="1" t="s">
        <v>78</v>
      </c>
      <c r="B180" s="1" t="s">
        <v>78</v>
      </c>
      <c r="C180" s="1" t="s">
        <v>78</v>
      </c>
      <c r="D180" s="1" t="s">
        <v>78</v>
      </c>
      <c r="E180" s="1" t="s">
        <v>78</v>
      </c>
      <c r="F180" s="1" t="s">
        <v>78</v>
      </c>
      <c r="G180" s="1" t="s">
        <v>78</v>
      </c>
      <c r="H180" s="1" t="s">
        <v>78</v>
      </c>
      <c r="I180" s="1" t="s">
        <v>78</v>
      </c>
      <c r="J180" s="1" t="s">
        <v>78</v>
      </c>
      <c r="K180" s="1" t="s">
        <v>78</v>
      </c>
      <c r="L180" s="1" t="s">
        <v>78</v>
      </c>
      <c r="M180" s="1" t="s">
        <v>78</v>
      </c>
      <c r="N180" s="1" t="s">
        <v>78</v>
      </c>
      <c r="O180" s="1" t="s">
        <v>78</v>
      </c>
      <c r="P180" s="1" t="s">
        <v>78</v>
      </c>
      <c r="Q180" s="1" t="s">
        <v>78</v>
      </c>
      <c r="R180" s="1" t="s">
        <v>78</v>
      </c>
      <c r="S180" s="1" t="s">
        <v>78</v>
      </c>
      <c r="T180" s="1" t="s">
        <v>78</v>
      </c>
      <c r="U180" s="1" t="s">
        <v>78</v>
      </c>
      <c r="V180" s="1" t="s">
        <v>78</v>
      </c>
      <c r="W180" s="1" t="s">
        <v>78</v>
      </c>
      <c r="X180" s="1" t="s">
        <v>78</v>
      </c>
      <c r="Y180" s="1" t="s">
        <v>78</v>
      </c>
      <c r="Z180" s="1" t="s">
        <v>78</v>
      </c>
      <c r="AA180" s="1" t="s">
        <v>78</v>
      </c>
      <c r="AB180" s="1" t="s">
        <v>78</v>
      </c>
      <c r="AC180" s="1" t="s">
        <v>78</v>
      </c>
      <c r="AD180" s="1" t="s">
        <v>78</v>
      </c>
    </row>
    <row r="183" spans="1:30">
      <c r="A183" t="s">
        <v>4</v>
      </c>
      <c r="B183" t="s">
        <v>6</v>
      </c>
      <c r="C183" t="s">
        <v>7</v>
      </c>
      <c r="D183" t="s">
        <v>8</v>
      </c>
      <c r="E183" t="s">
        <v>9</v>
      </c>
      <c r="F183" t="s">
        <v>10</v>
      </c>
      <c r="G183" t="s">
        <v>11</v>
      </c>
      <c r="H183" t="s">
        <v>12</v>
      </c>
      <c r="I183" t="s">
        <v>13</v>
      </c>
      <c r="J183" t="s">
        <v>14</v>
      </c>
      <c r="K183" t="s">
        <v>15</v>
      </c>
      <c r="L183" t="s">
        <v>79</v>
      </c>
      <c r="M183" t="s">
        <v>16</v>
      </c>
      <c r="N183" t="s">
        <v>17</v>
      </c>
      <c r="O183" t="s">
        <v>18</v>
      </c>
      <c r="P183" t="s">
        <v>19</v>
      </c>
      <c r="Q183" t="s">
        <v>20</v>
      </c>
      <c r="R183" t="s">
        <v>21</v>
      </c>
      <c r="S183" t="s">
        <v>22</v>
      </c>
      <c r="T183" t="s">
        <v>23</v>
      </c>
      <c r="U183" t="s">
        <v>24</v>
      </c>
      <c r="V183" t="s">
        <v>25</v>
      </c>
      <c r="W183" t="s">
        <v>26</v>
      </c>
      <c r="X183" t="s">
        <v>27</v>
      </c>
      <c r="Y183" t="s">
        <v>28</v>
      </c>
      <c r="Z183" t="s">
        <v>29</v>
      </c>
      <c r="AA183" t="s">
        <v>30</v>
      </c>
      <c r="AB183" t="s">
        <v>31</v>
      </c>
      <c r="AC183" t="s">
        <v>32</v>
      </c>
      <c r="AD183" t="s">
        <v>33</v>
      </c>
    </row>
    <row r="184" spans="1:30">
      <c r="A184">
        <v>52298492</v>
      </c>
      <c r="B184" t="s">
        <v>707</v>
      </c>
      <c r="C184" t="s">
        <v>519</v>
      </c>
      <c r="D184" t="s">
        <v>34</v>
      </c>
      <c r="E184" t="s">
        <v>35</v>
      </c>
      <c r="F184">
        <v>5803</v>
      </c>
      <c r="G184" t="s">
        <v>490</v>
      </c>
      <c r="H184" t="s">
        <v>36</v>
      </c>
      <c r="I184" t="s">
        <v>37</v>
      </c>
      <c r="J184" t="s">
        <v>685</v>
      </c>
      <c r="K184" t="s">
        <v>686</v>
      </c>
      <c r="L184" t="s">
        <v>708</v>
      </c>
      <c r="M184" t="s">
        <v>674</v>
      </c>
      <c r="N184" t="s">
        <v>521</v>
      </c>
      <c r="O184" t="s">
        <v>214</v>
      </c>
      <c r="P184">
        <v>20260908</v>
      </c>
      <c r="Q184">
        <v>100</v>
      </c>
      <c r="R184">
        <v>100</v>
      </c>
      <c r="S184" t="s">
        <v>216</v>
      </c>
      <c r="T184" t="s">
        <v>39</v>
      </c>
      <c r="U184" t="s">
        <v>34</v>
      </c>
      <c r="V184" t="s">
        <v>34</v>
      </c>
      <c r="W184" t="s">
        <v>34</v>
      </c>
      <c r="X184" t="s">
        <v>35</v>
      </c>
      <c r="Y184" t="s">
        <v>34</v>
      </c>
      <c r="Z184" t="s">
        <v>35</v>
      </c>
      <c r="AA184" t="s">
        <v>40</v>
      </c>
      <c r="AB184" t="s">
        <v>35</v>
      </c>
      <c r="AC184" t="s">
        <v>708</v>
      </c>
      <c r="AD184" t="s">
        <v>710</v>
      </c>
    </row>
    <row r="186" spans="1:30">
      <c r="A186" t="s">
        <v>4</v>
      </c>
      <c r="B186" t="s">
        <v>6</v>
      </c>
      <c r="C186" t="s">
        <v>7</v>
      </c>
      <c r="D186" t="s">
        <v>8</v>
      </c>
      <c r="E186" t="s">
        <v>9</v>
      </c>
      <c r="F186" t="s">
        <v>10</v>
      </c>
      <c r="G186" t="s">
        <v>11</v>
      </c>
      <c r="H186" t="s">
        <v>12</v>
      </c>
      <c r="I186" t="s">
        <v>13</v>
      </c>
      <c r="J186" t="s">
        <v>14</v>
      </c>
      <c r="K186" t="s">
        <v>15</v>
      </c>
      <c r="L186" t="s">
        <v>79</v>
      </c>
      <c r="M186" t="s">
        <v>16</v>
      </c>
      <c r="N186" t="s">
        <v>17</v>
      </c>
      <c r="O186" t="s">
        <v>18</v>
      </c>
      <c r="P186" t="s">
        <v>19</v>
      </c>
      <c r="Q186" t="s">
        <v>20</v>
      </c>
      <c r="R186" t="s">
        <v>21</v>
      </c>
      <c r="S186" t="s">
        <v>22</v>
      </c>
      <c r="T186" t="s">
        <v>23</v>
      </c>
      <c r="U186" t="s">
        <v>24</v>
      </c>
      <c r="V186" t="s">
        <v>25</v>
      </c>
      <c r="W186" t="s">
        <v>26</v>
      </c>
      <c r="X186" t="s">
        <v>27</v>
      </c>
      <c r="Y186" t="s">
        <v>28</v>
      </c>
      <c r="Z186" t="s">
        <v>29</v>
      </c>
      <c r="AA186" t="s">
        <v>30</v>
      </c>
      <c r="AB186" t="s">
        <v>31</v>
      </c>
      <c r="AC186" t="s">
        <v>32</v>
      </c>
      <c r="AD186" t="s">
        <v>33</v>
      </c>
    </row>
    <row r="187" spans="1:30">
      <c r="A187" s="1">
        <v>53059757</v>
      </c>
      <c r="B187" s="1" t="s">
        <v>722</v>
      </c>
      <c r="C187" s="1" t="s">
        <v>723</v>
      </c>
      <c r="D187" s="1" t="s">
        <v>690</v>
      </c>
      <c r="E187" s="1" t="s">
        <v>35</v>
      </c>
      <c r="F187" s="1">
        <v>5803</v>
      </c>
      <c r="G187" s="1" t="s">
        <v>698</v>
      </c>
      <c r="H187" s="1" t="s">
        <v>691</v>
      </c>
      <c r="I187" s="1" t="s">
        <v>692</v>
      </c>
      <c r="J187" s="1" t="s">
        <v>702</v>
      </c>
      <c r="K187" s="1" t="s">
        <v>703</v>
      </c>
      <c r="L187" s="1" t="s">
        <v>725</v>
      </c>
      <c r="M187" s="1" t="s">
        <v>699</v>
      </c>
      <c r="N187" s="1" t="s">
        <v>700</v>
      </c>
      <c r="O187" s="1" t="s">
        <v>693</v>
      </c>
      <c r="P187" s="1">
        <v>20260909</v>
      </c>
      <c r="Q187" s="1">
        <v>100</v>
      </c>
      <c r="R187" s="1">
        <v>0</v>
      </c>
      <c r="S187" s="1" t="s">
        <v>694</v>
      </c>
      <c r="T187" s="1" t="s">
        <v>695</v>
      </c>
      <c r="U187" s="1" t="s">
        <v>690</v>
      </c>
      <c r="V187" s="1" t="s">
        <v>690</v>
      </c>
      <c r="W187" s="1" t="s">
        <v>690</v>
      </c>
      <c r="X187" s="1" t="s">
        <v>701</v>
      </c>
      <c r="Y187" s="1" t="s">
        <v>690</v>
      </c>
      <c r="Z187" s="1" t="s">
        <v>35</v>
      </c>
      <c r="AA187" s="1" t="s">
        <v>696</v>
      </c>
      <c r="AB187" s="1" t="s">
        <v>35</v>
      </c>
      <c r="AC187" s="1" t="s">
        <v>725</v>
      </c>
      <c r="AD187" s="1" t="s">
        <v>697</v>
      </c>
    </row>
    <row r="189" spans="1:30">
      <c r="A189" s="1">
        <v>53059757</v>
      </c>
      <c r="B189" s="1" t="s">
        <v>721</v>
      </c>
      <c r="C189" s="1" t="s">
        <v>44</v>
      </c>
      <c r="D189" s="1" t="s">
        <v>34</v>
      </c>
      <c r="E189" s="1" t="s">
        <v>35</v>
      </c>
      <c r="F189" s="1">
        <v>5803</v>
      </c>
      <c r="G189" s="1" t="s">
        <v>490</v>
      </c>
      <c r="H189" s="1" t="s">
        <v>36</v>
      </c>
      <c r="I189" s="1" t="s">
        <v>37</v>
      </c>
      <c r="J189" s="1" t="s">
        <v>685</v>
      </c>
      <c r="K189" s="1" t="s">
        <v>686</v>
      </c>
      <c r="L189" s="1" t="s">
        <v>724</v>
      </c>
      <c r="M189" s="1" t="s">
        <v>679</v>
      </c>
      <c r="N189" s="1" t="s">
        <v>523</v>
      </c>
      <c r="O189" s="1" t="s">
        <v>214</v>
      </c>
      <c r="P189" s="1">
        <v>20260909</v>
      </c>
      <c r="Q189" s="1">
        <v>100</v>
      </c>
      <c r="R189" s="1">
        <v>0</v>
      </c>
      <c r="S189" s="1" t="s">
        <v>216</v>
      </c>
      <c r="T189" s="1" t="s">
        <v>39</v>
      </c>
      <c r="U189" s="1" t="s">
        <v>34</v>
      </c>
      <c r="V189" s="1" t="s">
        <v>34</v>
      </c>
      <c r="W189" s="1" t="s">
        <v>34</v>
      </c>
      <c r="X189" s="1" t="s">
        <v>687</v>
      </c>
      <c r="Y189" s="1" t="s">
        <v>34</v>
      </c>
      <c r="Z189" s="1" t="s">
        <v>35</v>
      </c>
      <c r="AA189" s="1" t="s">
        <v>40</v>
      </c>
      <c r="AB189" s="1" t="s">
        <v>35</v>
      </c>
      <c r="AC189" s="1" t="s">
        <v>724</v>
      </c>
      <c r="AD189" s="1" t="s">
        <v>77</v>
      </c>
    </row>
  </sheetData>
  <phoneticPr fontId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0DB2A-BE34-4799-822F-AC668FAE9BCC}">
  <dimension ref="A1:AD150"/>
  <sheetViews>
    <sheetView topLeftCell="A133" workbookViewId="0">
      <selection activeCell="A137" sqref="A137:XFD150"/>
    </sheetView>
  </sheetViews>
  <sheetFormatPr defaultRowHeight="18.75"/>
  <cols>
    <col min="1" max="1" width="19" customWidth="1"/>
    <col min="11" max="11" width="11" customWidth="1"/>
    <col min="12" max="12" width="18.6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53059757</v>
      </c>
      <c r="B3" s="1" t="s">
        <v>722</v>
      </c>
      <c r="C3" s="1" t="s">
        <v>290</v>
      </c>
      <c r="D3" s="1" t="s">
        <v>47</v>
      </c>
      <c r="E3" s="1" t="s">
        <v>35</v>
      </c>
      <c r="F3" s="1">
        <v>5803</v>
      </c>
      <c r="G3" s="1" t="s">
        <v>176</v>
      </c>
      <c r="H3" s="1" t="s">
        <v>45</v>
      </c>
      <c r="I3" s="1" t="s">
        <v>48</v>
      </c>
      <c r="J3" s="1" t="s">
        <v>223</v>
      </c>
      <c r="K3" s="1" t="s">
        <v>224</v>
      </c>
      <c r="L3" s="1" t="s">
        <v>725</v>
      </c>
      <c r="M3" s="1" t="s">
        <v>124</v>
      </c>
      <c r="N3" s="1" t="s">
        <v>123</v>
      </c>
      <c r="O3" s="1" t="s">
        <v>215</v>
      </c>
      <c r="P3" s="1">
        <v>20260909</v>
      </c>
      <c r="Q3" s="1">
        <v>100</v>
      </c>
      <c r="R3" s="1">
        <v>0</v>
      </c>
      <c r="S3" s="1" t="s">
        <v>217</v>
      </c>
      <c r="T3" s="1" t="s">
        <v>49</v>
      </c>
      <c r="U3" s="1" t="s">
        <v>47</v>
      </c>
      <c r="V3" s="1" t="s">
        <v>47</v>
      </c>
      <c r="W3" s="1" t="s">
        <v>47</v>
      </c>
      <c r="X3" s="1" t="s">
        <v>125</v>
      </c>
      <c r="Y3" s="1" t="s">
        <v>47</v>
      </c>
      <c r="Z3" s="1" t="s">
        <v>35</v>
      </c>
      <c r="AA3" s="1" t="s">
        <v>50</v>
      </c>
      <c r="AB3" s="1" t="s">
        <v>35</v>
      </c>
      <c r="AC3" s="1" t="s">
        <v>725</v>
      </c>
      <c r="AD3" s="1" t="s">
        <v>74</v>
      </c>
    </row>
    <row r="4" spans="1:30">
      <c r="A4">
        <v>53088171</v>
      </c>
      <c r="B4" t="s">
        <v>886</v>
      </c>
      <c r="C4" t="s">
        <v>212</v>
      </c>
      <c r="D4" t="s">
        <v>47</v>
      </c>
      <c r="E4" t="s">
        <v>35</v>
      </c>
      <c r="F4">
        <v>6613</v>
      </c>
      <c r="G4" t="s">
        <v>165</v>
      </c>
      <c r="H4" t="s">
        <v>45</v>
      </c>
      <c r="I4" t="s">
        <v>48</v>
      </c>
      <c r="J4" t="s">
        <v>46</v>
      </c>
      <c r="K4" t="s">
        <v>116</v>
      </c>
      <c r="L4" t="s">
        <v>744</v>
      </c>
      <c r="M4" t="s">
        <v>118</v>
      </c>
      <c r="N4" t="s">
        <v>117</v>
      </c>
      <c r="O4" t="s">
        <v>215</v>
      </c>
      <c r="P4">
        <v>20260909</v>
      </c>
      <c r="Q4">
        <v>100</v>
      </c>
      <c r="R4">
        <v>100</v>
      </c>
      <c r="S4" t="s">
        <v>217</v>
      </c>
      <c r="T4" t="s">
        <v>49</v>
      </c>
      <c r="U4" t="s">
        <v>47</v>
      </c>
      <c r="V4" t="s">
        <v>47</v>
      </c>
      <c r="W4" t="s">
        <v>47</v>
      </c>
      <c r="X4" t="s">
        <v>35</v>
      </c>
      <c r="Y4" t="s">
        <v>47</v>
      </c>
      <c r="Z4" t="s">
        <v>35</v>
      </c>
      <c r="AA4" t="s">
        <v>50</v>
      </c>
      <c r="AB4" t="s">
        <v>35</v>
      </c>
      <c r="AC4" t="s">
        <v>744</v>
      </c>
      <c r="AD4" t="s">
        <v>887</v>
      </c>
    </row>
    <row r="5" spans="1:30">
      <c r="A5">
        <v>53092235</v>
      </c>
      <c r="B5" t="s">
        <v>888</v>
      </c>
      <c r="C5" t="s">
        <v>212</v>
      </c>
      <c r="D5" t="s">
        <v>47</v>
      </c>
      <c r="E5" t="s">
        <v>35</v>
      </c>
      <c r="F5">
        <v>6613</v>
      </c>
      <c r="G5" t="s">
        <v>165</v>
      </c>
      <c r="H5" t="s">
        <v>45</v>
      </c>
      <c r="I5" t="s">
        <v>48</v>
      </c>
      <c r="J5" t="s">
        <v>46</v>
      </c>
      <c r="K5" t="s">
        <v>116</v>
      </c>
      <c r="L5" t="s">
        <v>745</v>
      </c>
      <c r="M5" t="s">
        <v>124</v>
      </c>
      <c r="N5" t="s">
        <v>123</v>
      </c>
      <c r="O5" t="s">
        <v>215</v>
      </c>
      <c r="P5">
        <v>20260909</v>
      </c>
      <c r="Q5">
        <v>100</v>
      </c>
      <c r="R5">
        <v>100</v>
      </c>
      <c r="S5" t="s">
        <v>217</v>
      </c>
      <c r="T5" t="s">
        <v>49</v>
      </c>
      <c r="U5" t="s">
        <v>47</v>
      </c>
      <c r="V5" t="s">
        <v>47</v>
      </c>
      <c r="W5" t="s">
        <v>47</v>
      </c>
      <c r="X5" t="s">
        <v>125</v>
      </c>
      <c r="Y5" t="s">
        <v>47</v>
      </c>
      <c r="Z5" t="s">
        <v>35</v>
      </c>
      <c r="AA5" t="s">
        <v>50</v>
      </c>
      <c r="AB5" t="s">
        <v>35</v>
      </c>
      <c r="AC5" t="s">
        <v>745</v>
      </c>
      <c r="AD5" t="s">
        <v>889</v>
      </c>
    </row>
    <row r="6" spans="1:30">
      <c r="A6">
        <v>53093643</v>
      </c>
      <c r="B6" t="s">
        <v>890</v>
      </c>
      <c r="C6" t="s">
        <v>212</v>
      </c>
      <c r="D6" t="s">
        <v>47</v>
      </c>
      <c r="E6" t="s">
        <v>35</v>
      </c>
      <c r="F6">
        <v>6613</v>
      </c>
      <c r="G6" t="s">
        <v>165</v>
      </c>
      <c r="H6" t="s">
        <v>45</v>
      </c>
      <c r="I6" t="s">
        <v>48</v>
      </c>
      <c r="J6" t="s">
        <v>46</v>
      </c>
      <c r="K6" t="s">
        <v>116</v>
      </c>
      <c r="L6" t="s">
        <v>746</v>
      </c>
      <c r="M6" t="s">
        <v>118</v>
      </c>
      <c r="N6" t="s">
        <v>117</v>
      </c>
      <c r="O6" t="s">
        <v>215</v>
      </c>
      <c r="P6">
        <v>20260909</v>
      </c>
      <c r="Q6">
        <v>100</v>
      </c>
      <c r="R6">
        <v>100</v>
      </c>
      <c r="S6" t="s">
        <v>217</v>
      </c>
      <c r="T6" t="s">
        <v>49</v>
      </c>
      <c r="U6" t="s">
        <v>47</v>
      </c>
      <c r="V6" t="s">
        <v>47</v>
      </c>
      <c r="W6" t="s">
        <v>47</v>
      </c>
      <c r="X6" t="s">
        <v>35</v>
      </c>
      <c r="Y6" t="s">
        <v>47</v>
      </c>
      <c r="Z6" t="s">
        <v>35</v>
      </c>
      <c r="AA6" t="s">
        <v>50</v>
      </c>
      <c r="AB6" t="s">
        <v>35</v>
      </c>
      <c r="AC6" t="s">
        <v>746</v>
      </c>
      <c r="AD6" t="s">
        <v>891</v>
      </c>
    </row>
    <row r="7" spans="1:30">
      <c r="A7">
        <v>53100069</v>
      </c>
      <c r="B7" t="s">
        <v>892</v>
      </c>
      <c r="C7" t="s">
        <v>212</v>
      </c>
      <c r="D7" t="s">
        <v>47</v>
      </c>
      <c r="E7" t="s">
        <v>35</v>
      </c>
      <c r="F7">
        <v>5803</v>
      </c>
      <c r="G7" t="s">
        <v>176</v>
      </c>
      <c r="H7" t="s">
        <v>45</v>
      </c>
      <c r="I7" t="s">
        <v>48</v>
      </c>
      <c r="J7" t="s">
        <v>223</v>
      </c>
      <c r="K7" t="s">
        <v>224</v>
      </c>
      <c r="L7" t="s">
        <v>747</v>
      </c>
      <c r="M7" t="s">
        <v>124</v>
      </c>
      <c r="N7" t="s">
        <v>123</v>
      </c>
      <c r="O7" t="s">
        <v>215</v>
      </c>
      <c r="P7">
        <v>20260909</v>
      </c>
      <c r="Q7">
        <v>100</v>
      </c>
      <c r="R7">
        <v>100</v>
      </c>
      <c r="S7" t="s">
        <v>217</v>
      </c>
      <c r="T7" t="s">
        <v>49</v>
      </c>
      <c r="U7" t="s">
        <v>47</v>
      </c>
      <c r="V7" t="s">
        <v>47</v>
      </c>
      <c r="W7" t="s">
        <v>47</v>
      </c>
      <c r="X7" t="s">
        <v>125</v>
      </c>
      <c r="Y7" t="s">
        <v>47</v>
      </c>
      <c r="Z7" t="s">
        <v>35</v>
      </c>
      <c r="AA7" t="s">
        <v>50</v>
      </c>
      <c r="AB7" t="s">
        <v>35</v>
      </c>
      <c r="AC7" t="s">
        <v>747</v>
      </c>
      <c r="AD7" t="s">
        <v>893</v>
      </c>
    </row>
    <row r="8" spans="1:30">
      <c r="A8">
        <v>53103431</v>
      </c>
      <c r="B8" t="s">
        <v>894</v>
      </c>
      <c r="C8" t="s">
        <v>212</v>
      </c>
      <c r="D8" t="s">
        <v>47</v>
      </c>
      <c r="E8" t="s">
        <v>35</v>
      </c>
      <c r="F8">
        <v>3436</v>
      </c>
      <c r="G8" t="s">
        <v>152</v>
      </c>
      <c r="H8" t="s">
        <v>45</v>
      </c>
      <c r="I8" t="s">
        <v>48</v>
      </c>
      <c r="J8" t="s">
        <v>46</v>
      </c>
      <c r="K8" t="s">
        <v>116</v>
      </c>
      <c r="L8" t="s">
        <v>748</v>
      </c>
      <c r="M8" t="s">
        <v>118</v>
      </c>
      <c r="N8" t="s">
        <v>117</v>
      </c>
      <c r="O8" t="s">
        <v>215</v>
      </c>
      <c r="P8">
        <v>20260909</v>
      </c>
      <c r="Q8">
        <v>100</v>
      </c>
      <c r="R8">
        <v>100</v>
      </c>
      <c r="S8" t="s">
        <v>217</v>
      </c>
      <c r="T8" t="s">
        <v>49</v>
      </c>
      <c r="U8" t="s">
        <v>47</v>
      </c>
      <c r="V8" t="s">
        <v>47</v>
      </c>
      <c r="W8" t="s">
        <v>47</v>
      </c>
      <c r="X8" t="s">
        <v>35</v>
      </c>
      <c r="Y8" t="s">
        <v>47</v>
      </c>
      <c r="Z8" t="s">
        <v>35</v>
      </c>
      <c r="AA8" t="s">
        <v>50</v>
      </c>
      <c r="AB8" t="s">
        <v>35</v>
      </c>
      <c r="AC8" t="s">
        <v>748</v>
      </c>
      <c r="AD8" t="s">
        <v>895</v>
      </c>
    </row>
    <row r="9" spans="1:30">
      <c r="A9">
        <v>53104368</v>
      </c>
      <c r="B9" t="s">
        <v>896</v>
      </c>
      <c r="C9" t="s">
        <v>212</v>
      </c>
      <c r="D9" t="s">
        <v>47</v>
      </c>
      <c r="E9" t="s">
        <v>35</v>
      </c>
      <c r="F9">
        <v>6613</v>
      </c>
      <c r="G9" t="s">
        <v>165</v>
      </c>
      <c r="H9" t="s">
        <v>45</v>
      </c>
      <c r="I9" t="s">
        <v>48</v>
      </c>
      <c r="J9" t="s">
        <v>46</v>
      </c>
      <c r="K9" t="s">
        <v>116</v>
      </c>
      <c r="L9" t="s">
        <v>897</v>
      </c>
      <c r="M9" t="s">
        <v>124</v>
      </c>
      <c r="N9" t="s">
        <v>123</v>
      </c>
      <c r="O9" t="s">
        <v>215</v>
      </c>
      <c r="P9">
        <v>20260909</v>
      </c>
      <c r="Q9">
        <v>100</v>
      </c>
      <c r="R9">
        <v>100</v>
      </c>
      <c r="S9" t="s">
        <v>217</v>
      </c>
      <c r="T9" t="s">
        <v>49</v>
      </c>
      <c r="U9" t="s">
        <v>47</v>
      </c>
      <c r="V9" t="s">
        <v>47</v>
      </c>
      <c r="W9" t="s">
        <v>47</v>
      </c>
      <c r="X9" t="s">
        <v>125</v>
      </c>
      <c r="Y9" t="s">
        <v>47</v>
      </c>
      <c r="Z9" t="s">
        <v>35</v>
      </c>
      <c r="AA9" t="s">
        <v>50</v>
      </c>
      <c r="AB9" t="s">
        <v>35</v>
      </c>
      <c r="AC9" t="s">
        <v>749</v>
      </c>
      <c r="AD9" t="s">
        <v>898</v>
      </c>
    </row>
    <row r="10" spans="1:30">
      <c r="A10">
        <v>53104732</v>
      </c>
      <c r="B10" t="s">
        <v>899</v>
      </c>
      <c r="C10" t="s">
        <v>212</v>
      </c>
      <c r="D10" t="s">
        <v>47</v>
      </c>
      <c r="E10" t="s">
        <v>35</v>
      </c>
      <c r="F10">
        <v>6613</v>
      </c>
      <c r="G10" t="s">
        <v>165</v>
      </c>
      <c r="H10" t="s">
        <v>45</v>
      </c>
      <c r="I10" t="s">
        <v>48</v>
      </c>
      <c r="J10" t="s">
        <v>46</v>
      </c>
      <c r="K10" t="s">
        <v>116</v>
      </c>
      <c r="L10" t="s">
        <v>750</v>
      </c>
      <c r="M10" t="s">
        <v>118</v>
      </c>
      <c r="N10" t="s">
        <v>117</v>
      </c>
      <c r="O10" t="s">
        <v>215</v>
      </c>
      <c r="P10">
        <v>20260909</v>
      </c>
      <c r="Q10">
        <v>100</v>
      </c>
      <c r="R10">
        <v>100</v>
      </c>
      <c r="S10" t="s">
        <v>217</v>
      </c>
      <c r="T10" t="s">
        <v>49</v>
      </c>
      <c r="U10" t="s">
        <v>47</v>
      </c>
      <c r="V10" t="s">
        <v>47</v>
      </c>
      <c r="W10" t="s">
        <v>47</v>
      </c>
      <c r="X10" t="s">
        <v>35</v>
      </c>
      <c r="Y10" t="s">
        <v>47</v>
      </c>
      <c r="Z10" t="s">
        <v>35</v>
      </c>
      <c r="AA10" t="s">
        <v>50</v>
      </c>
      <c r="AB10" t="s">
        <v>35</v>
      </c>
      <c r="AC10" t="s">
        <v>750</v>
      </c>
      <c r="AD10" t="s">
        <v>900</v>
      </c>
    </row>
    <row r="11" spans="1:30">
      <c r="A11">
        <v>53105273</v>
      </c>
      <c r="B11" t="s">
        <v>901</v>
      </c>
      <c r="C11" t="s">
        <v>212</v>
      </c>
      <c r="D11" t="s">
        <v>47</v>
      </c>
      <c r="E11" t="s">
        <v>35</v>
      </c>
      <c r="F11">
        <v>5801</v>
      </c>
      <c r="G11" t="s">
        <v>752</v>
      </c>
      <c r="H11" t="s">
        <v>45</v>
      </c>
      <c r="I11" t="s">
        <v>48</v>
      </c>
      <c r="J11" t="s">
        <v>46</v>
      </c>
      <c r="K11" t="s">
        <v>116</v>
      </c>
      <c r="L11" t="s">
        <v>751</v>
      </c>
      <c r="M11" t="s">
        <v>118</v>
      </c>
      <c r="N11" t="s">
        <v>117</v>
      </c>
      <c r="O11" t="s">
        <v>215</v>
      </c>
      <c r="P11">
        <v>20260909</v>
      </c>
      <c r="Q11">
        <v>100</v>
      </c>
      <c r="R11">
        <v>100</v>
      </c>
      <c r="S11" t="s">
        <v>217</v>
      </c>
      <c r="T11" t="s">
        <v>49</v>
      </c>
      <c r="U11" t="s">
        <v>47</v>
      </c>
      <c r="V11" t="s">
        <v>47</v>
      </c>
      <c r="W11" t="s">
        <v>47</v>
      </c>
      <c r="X11" t="s">
        <v>35</v>
      </c>
      <c r="Y11" t="s">
        <v>47</v>
      </c>
      <c r="Z11" t="s">
        <v>35</v>
      </c>
      <c r="AA11" t="s">
        <v>50</v>
      </c>
      <c r="AB11" t="s">
        <v>35</v>
      </c>
      <c r="AC11" t="s">
        <v>751</v>
      </c>
      <c r="AD11" t="s">
        <v>902</v>
      </c>
    </row>
    <row r="12" spans="1:30">
      <c r="A12">
        <v>53108998</v>
      </c>
      <c r="B12" t="s">
        <v>903</v>
      </c>
      <c r="C12" t="s">
        <v>212</v>
      </c>
      <c r="D12" t="s">
        <v>47</v>
      </c>
      <c r="E12" t="s">
        <v>35</v>
      </c>
      <c r="F12">
        <v>5801</v>
      </c>
      <c r="G12" t="s">
        <v>752</v>
      </c>
      <c r="H12" t="s">
        <v>45</v>
      </c>
      <c r="I12" t="s">
        <v>48</v>
      </c>
      <c r="J12" t="s">
        <v>46</v>
      </c>
      <c r="K12" t="s">
        <v>116</v>
      </c>
      <c r="L12" t="s">
        <v>753</v>
      </c>
      <c r="M12" t="s">
        <v>124</v>
      </c>
      <c r="N12" t="s">
        <v>123</v>
      </c>
      <c r="O12" t="s">
        <v>215</v>
      </c>
      <c r="P12">
        <v>20260909</v>
      </c>
      <c r="Q12">
        <v>100</v>
      </c>
      <c r="R12">
        <v>100</v>
      </c>
      <c r="S12" t="s">
        <v>217</v>
      </c>
      <c r="T12" t="s">
        <v>49</v>
      </c>
      <c r="U12" t="s">
        <v>47</v>
      </c>
      <c r="V12" t="s">
        <v>47</v>
      </c>
      <c r="W12" t="s">
        <v>47</v>
      </c>
      <c r="X12" t="s">
        <v>125</v>
      </c>
      <c r="Y12" t="s">
        <v>47</v>
      </c>
      <c r="Z12" t="s">
        <v>35</v>
      </c>
      <c r="AA12" t="s">
        <v>50</v>
      </c>
      <c r="AB12" t="s">
        <v>35</v>
      </c>
      <c r="AC12" t="s">
        <v>753</v>
      </c>
      <c r="AD12" t="s">
        <v>904</v>
      </c>
    </row>
    <row r="13" spans="1:30">
      <c r="A13">
        <v>53110945</v>
      </c>
      <c r="B13" t="s">
        <v>905</v>
      </c>
      <c r="C13" t="s">
        <v>212</v>
      </c>
      <c r="D13" t="s">
        <v>47</v>
      </c>
      <c r="E13" t="s">
        <v>35</v>
      </c>
      <c r="F13">
        <v>3436</v>
      </c>
      <c r="G13" t="s">
        <v>152</v>
      </c>
      <c r="H13" t="s">
        <v>45</v>
      </c>
      <c r="I13" t="s">
        <v>48</v>
      </c>
      <c r="J13" t="s">
        <v>46</v>
      </c>
      <c r="K13" t="s">
        <v>116</v>
      </c>
      <c r="L13" t="s">
        <v>754</v>
      </c>
      <c r="M13" t="s">
        <v>118</v>
      </c>
      <c r="N13" t="s">
        <v>117</v>
      </c>
      <c r="O13" t="s">
        <v>215</v>
      </c>
      <c r="P13">
        <v>20260909</v>
      </c>
      <c r="Q13">
        <v>100</v>
      </c>
      <c r="R13">
        <v>100</v>
      </c>
      <c r="S13" t="s">
        <v>217</v>
      </c>
      <c r="T13" t="s">
        <v>49</v>
      </c>
      <c r="U13" t="s">
        <v>47</v>
      </c>
      <c r="V13" t="s">
        <v>47</v>
      </c>
      <c r="W13" t="s">
        <v>47</v>
      </c>
      <c r="X13" t="s">
        <v>35</v>
      </c>
      <c r="Y13" t="s">
        <v>47</v>
      </c>
      <c r="Z13" t="s">
        <v>35</v>
      </c>
      <c r="AA13" t="s">
        <v>50</v>
      </c>
      <c r="AB13" t="s">
        <v>35</v>
      </c>
      <c r="AC13" t="s">
        <v>754</v>
      </c>
      <c r="AD13" t="s">
        <v>906</v>
      </c>
    </row>
    <row r="14" spans="1:30">
      <c r="A14">
        <v>53118564</v>
      </c>
      <c r="B14" t="s">
        <v>907</v>
      </c>
      <c r="C14" t="s">
        <v>212</v>
      </c>
      <c r="D14" t="s">
        <v>47</v>
      </c>
      <c r="E14" t="s">
        <v>35</v>
      </c>
      <c r="F14">
        <v>6613</v>
      </c>
      <c r="G14" t="s">
        <v>165</v>
      </c>
      <c r="H14" t="s">
        <v>45</v>
      </c>
      <c r="I14" t="s">
        <v>48</v>
      </c>
      <c r="J14" t="s">
        <v>46</v>
      </c>
      <c r="K14" t="s">
        <v>116</v>
      </c>
      <c r="L14" t="s">
        <v>755</v>
      </c>
      <c r="M14" t="s">
        <v>118</v>
      </c>
      <c r="N14" t="s">
        <v>117</v>
      </c>
      <c r="O14" t="s">
        <v>215</v>
      </c>
      <c r="P14">
        <v>20260909</v>
      </c>
      <c r="Q14">
        <v>100</v>
      </c>
      <c r="R14">
        <v>100</v>
      </c>
      <c r="S14" t="s">
        <v>217</v>
      </c>
      <c r="T14" t="s">
        <v>49</v>
      </c>
      <c r="U14" t="s">
        <v>47</v>
      </c>
      <c r="V14" t="s">
        <v>47</v>
      </c>
      <c r="W14" t="s">
        <v>47</v>
      </c>
      <c r="X14" t="s">
        <v>35</v>
      </c>
      <c r="Y14" t="s">
        <v>47</v>
      </c>
      <c r="Z14" t="s">
        <v>35</v>
      </c>
      <c r="AA14" t="s">
        <v>50</v>
      </c>
      <c r="AB14" t="s">
        <v>35</v>
      </c>
      <c r="AC14" t="s">
        <v>755</v>
      </c>
      <c r="AD14" t="s">
        <v>908</v>
      </c>
    </row>
    <row r="15" spans="1:30">
      <c r="A15">
        <v>53119538</v>
      </c>
      <c r="B15" t="s">
        <v>909</v>
      </c>
      <c r="C15" t="s">
        <v>212</v>
      </c>
      <c r="D15" t="s">
        <v>47</v>
      </c>
      <c r="E15" t="s">
        <v>35</v>
      </c>
      <c r="F15">
        <v>3436</v>
      </c>
      <c r="G15" t="s">
        <v>152</v>
      </c>
      <c r="H15" t="s">
        <v>45</v>
      </c>
      <c r="I15" t="s">
        <v>48</v>
      </c>
      <c r="J15" t="s">
        <v>46</v>
      </c>
      <c r="K15" t="s">
        <v>116</v>
      </c>
      <c r="L15" t="s">
        <v>756</v>
      </c>
      <c r="M15" t="s">
        <v>124</v>
      </c>
      <c r="N15" t="s">
        <v>123</v>
      </c>
      <c r="O15" t="s">
        <v>215</v>
      </c>
      <c r="P15">
        <v>20260909</v>
      </c>
      <c r="Q15">
        <v>100</v>
      </c>
      <c r="R15">
        <v>100</v>
      </c>
      <c r="S15" t="s">
        <v>217</v>
      </c>
      <c r="T15" t="s">
        <v>49</v>
      </c>
      <c r="U15" t="s">
        <v>47</v>
      </c>
      <c r="V15" t="s">
        <v>47</v>
      </c>
      <c r="W15" t="s">
        <v>47</v>
      </c>
      <c r="X15" t="s">
        <v>125</v>
      </c>
      <c r="Y15" t="s">
        <v>47</v>
      </c>
      <c r="Z15" t="s">
        <v>35</v>
      </c>
      <c r="AA15" t="s">
        <v>50</v>
      </c>
      <c r="AB15" t="s">
        <v>35</v>
      </c>
      <c r="AC15" t="s">
        <v>756</v>
      </c>
      <c r="AD15" t="s">
        <v>910</v>
      </c>
    </row>
    <row r="16" spans="1:30">
      <c r="A16">
        <v>53120569</v>
      </c>
      <c r="B16" t="s">
        <v>911</v>
      </c>
      <c r="C16" t="s">
        <v>212</v>
      </c>
      <c r="D16" t="s">
        <v>47</v>
      </c>
      <c r="E16" t="s">
        <v>35</v>
      </c>
      <c r="F16">
        <v>6613</v>
      </c>
      <c r="G16" t="s">
        <v>165</v>
      </c>
      <c r="H16" t="s">
        <v>45</v>
      </c>
      <c r="I16" t="s">
        <v>48</v>
      </c>
      <c r="J16" t="s">
        <v>46</v>
      </c>
      <c r="K16" t="s">
        <v>116</v>
      </c>
      <c r="L16" t="s">
        <v>757</v>
      </c>
      <c r="M16" t="s">
        <v>118</v>
      </c>
      <c r="N16" t="s">
        <v>117</v>
      </c>
      <c r="O16" t="s">
        <v>215</v>
      </c>
      <c r="P16">
        <v>20260909</v>
      </c>
      <c r="Q16">
        <v>100</v>
      </c>
      <c r="R16">
        <v>100</v>
      </c>
      <c r="S16" t="s">
        <v>217</v>
      </c>
      <c r="T16" t="s">
        <v>49</v>
      </c>
      <c r="U16" t="s">
        <v>47</v>
      </c>
      <c r="V16" t="s">
        <v>47</v>
      </c>
      <c r="W16" t="s">
        <v>47</v>
      </c>
      <c r="X16" t="s">
        <v>35</v>
      </c>
      <c r="Y16" t="s">
        <v>47</v>
      </c>
      <c r="Z16" t="s">
        <v>35</v>
      </c>
      <c r="AA16" t="s">
        <v>50</v>
      </c>
      <c r="AB16" t="s">
        <v>35</v>
      </c>
      <c r="AC16" t="s">
        <v>757</v>
      </c>
      <c r="AD16" t="s">
        <v>912</v>
      </c>
    </row>
    <row r="17" spans="1:30">
      <c r="A17">
        <v>53122064</v>
      </c>
      <c r="B17" t="s">
        <v>913</v>
      </c>
      <c r="C17" t="s">
        <v>212</v>
      </c>
      <c r="D17" t="s">
        <v>232</v>
      </c>
      <c r="E17" t="s">
        <v>35</v>
      </c>
      <c r="F17">
        <v>3436</v>
      </c>
      <c r="G17" t="s">
        <v>152</v>
      </c>
      <c r="H17" t="s">
        <v>45</v>
      </c>
      <c r="I17" t="s">
        <v>48</v>
      </c>
      <c r="J17" t="s">
        <v>46</v>
      </c>
      <c r="K17" t="s">
        <v>116</v>
      </c>
      <c r="L17" t="s">
        <v>758</v>
      </c>
      <c r="M17" t="s">
        <v>124</v>
      </c>
      <c r="N17" t="s">
        <v>123</v>
      </c>
      <c r="O17" t="s">
        <v>215</v>
      </c>
      <c r="P17">
        <v>20260909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125</v>
      </c>
      <c r="Y17" t="s">
        <v>47</v>
      </c>
      <c r="Z17" t="s">
        <v>35</v>
      </c>
      <c r="AA17" t="s">
        <v>50</v>
      </c>
      <c r="AB17" t="s">
        <v>35</v>
      </c>
      <c r="AC17" t="s">
        <v>758</v>
      </c>
      <c r="AD17" t="s">
        <v>914</v>
      </c>
    </row>
    <row r="18" spans="1:30">
      <c r="A18">
        <v>53122735</v>
      </c>
      <c r="B18" t="s">
        <v>915</v>
      </c>
      <c r="C18" t="s">
        <v>212</v>
      </c>
      <c r="D18" t="s">
        <v>47</v>
      </c>
      <c r="E18" t="s">
        <v>35</v>
      </c>
      <c r="F18">
        <v>6613</v>
      </c>
      <c r="G18" t="s">
        <v>165</v>
      </c>
      <c r="H18" t="s">
        <v>45</v>
      </c>
      <c r="I18" t="s">
        <v>48</v>
      </c>
      <c r="J18" t="s">
        <v>46</v>
      </c>
      <c r="K18" t="s">
        <v>116</v>
      </c>
      <c r="L18" t="s">
        <v>759</v>
      </c>
      <c r="M18" t="s">
        <v>124</v>
      </c>
      <c r="N18" t="s">
        <v>123</v>
      </c>
      <c r="O18" t="s">
        <v>215</v>
      </c>
      <c r="P18">
        <v>20260909</v>
      </c>
      <c r="Q18">
        <v>300</v>
      </c>
      <c r="R18">
        <v>300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759</v>
      </c>
      <c r="AD18" t="s">
        <v>916</v>
      </c>
    </row>
    <row r="19" spans="1:30">
      <c r="A19">
        <v>53126418</v>
      </c>
      <c r="B19" t="s">
        <v>917</v>
      </c>
      <c r="C19" t="s">
        <v>212</v>
      </c>
      <c r="D19" t="s">
        <v>47</v>
      </c>
      <c r="E19" t="s">
        <v>35</v>
      </c>
      <c r="F19">
        <v>6613</v>
      </c>
      <c r="G19" t="s">
        <v>165</v>
      </c>
      <c r="H19" t="s">
        <v>45</v>
      </c>
      <c r="I19" t="s">
        <v>48</v>
      </c>
      <c r="J19" t="s">
        <v>46</v>
      </c>
      <c r="K19" t="s">
        <v>116</v>
      </c>
      <c r="L19" t="s">
        <v>918</v>
      </c>
      <c r="M19" t="s">
        <v>118</v>
      </c>
      <c r="N19" t="s">
        <v>117</v>
      </c>
      <c r="O19" t="s">
        <v>215</v>
      </c>
      <c r="P19">
        <v>20260909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760</v>
      </c>
      <c r="AD19" t="s">
        <v>919</v>
      </c>
    </row>
    <row r="20" spans="1:30">
      <c r="A20">
        <v>53128514</v>
      </c>
      <c r="B20" t="s">
        <v>920</v>
      </c>
      <c r="C20" t="s">
        <v>212</v>
      </c>
      <c r="D20" t="s">
        <v>232</v>
      </c>
      <c r="E20" t="s">
        <v>35</v>
      </c>
      <c r="F20">
        <v>6613</v>
      </c>
      <c r="G20" t="s">
        <v>165</v>
      </c>
      <c r="H20" t="s">
        <v>45</v>
      </c>
      <c r="I20" t="s">
        <v>48</v>
      </c>
      <c r="J20" t="s">
        <v>46</v>
      </c>
      <c r="K20" t="s">
        <v>116</v>
      </c>
      <c r="L20" t="s">
        <v>761</v>
      </c>
      <c r="M20" t="s">
        <v>124</v>
      </c>
      <c r="N20" t="s">
        <v>123</v>
      </c>
      <c r="O20" t="s">
        <v>215</v>
      </c>
      <c r="P20">
        <v>20260909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761</v>
      </c>
      <c r="AD20" t="s">
        <v>921</v>
      </c>
    </row>
    <row r="21" spans="1:30">
      <c r="A21">
        <v>53130346</v>
      </c>
      <c r="B21" t="s">
        <v>922</v>
      </c>
      <c r="C21" t="s">
        <v>212</v>
      </c>
      <c r="D21" t="s">
        <v>47</v>
      </c>
      <c r="E21" t="s">
        <v>35</v>
      </c>
      <c r="F21">
        <v>3853</v>
      </c>
      <c r="G21" t="s">
        <v>718</v>
      </c>
      <c r="H21" t="s">
        <v>45</v>
      </c>
      <c r="I21" t="s">
        <v>48</v>
      </c>
      <c r="J21" t="s">
        <v>46</v>
      </c>
      <c r="K21" t="s">
        <v>116</v>
      </c>
      <c r="L21" t="s">
        <v>923</v>
      </c>
      <c r="M21" t="s">
        <v>118</v>
      </c>
      <c r="N21" t="s">
        <v>117</v>
      </c>
      <c r="O21" t="s">
        <v>215</v>
      </c>
      <c r="P21">
        <v>20260909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762</v>
      </c>
      <c r="AD21" t="s">
        <v>924</v>
      </c>
    </row>
    <row r="22" spans="1:30">
      <c r="A22">
        <v>53131852</v>
      </c>
      <c r="B22" t="s">
        <v>925</v>
      </c>
      <c r="C22" t="s">
        <v>212</v>
      </c>
      <c r="D22" t="s">
        <v>47</v>
      </c>
      <c r="E22" t="s">
        <v>35</v>
      </c>
      <c r="F22">
        <v>3436</v>
      </c>
      <c r="G22" t="s">
        <v>152</v>
      </c>
      <c r="H22" t="s">
        <v>45</v>
      </c>
      <c r="I22" t="s">
        <v>48</v>
      </c>
      <c r="J22" t="s">
        <v>46</v>
      </c>
      <c r="K22" t="s">
        <v>116</v>
      </c>
      <c r="L22" t="s">
        <v>763</v>
      </c>
      <c r="M22" t="s">
        <v>118</v>
      </c>
      <c r="N22" t="s">
        <v>117</v>
      </c>
      <c r="O22" t="s">
        <v>215</v>
      </c>
      <c r="P22">
        <v>20260909</v>
      </c>
      <c r="Q22">
        <v>100</v>
      </c>
      <c r="R22">
        <v>100</v>
      </c>
      <c r="S22">
        <v>3158</v>
      </c>
      <c r="T22" t="s">
        <v>49</v>
      </c>
      <c r="U22" t="s">
        <v>47</v>
      </c>
      <c r="V22" t="s">
        <v>47</v>
      </c>
      <c r="W22" t="s">
        <v>47</v>
      </c>
      <c r="X22" t="s">
        <v>35</v>
      </c>
      <c r="Y22" t="s">
        <v>47</v>
      </c>
      <c r="Z22" t="s">
        <v>35</v>
      </c>
      <c r="AA22" t="s">
        <v>50</v>
      </c>
      <c r="AB22" t="s">
        <v>35</v>
      </c>
      <c r="AC22" t="s">
        <v>763</v>
      </c>
      <c r="AD22" t="s">
        <v>926</v>
      </c>
    </row>
    <row r="23" spans="1:30">
      <c r="A23">
        <v>53133132</v>
      </c>
      <c r="B23" t="s">
        <v>927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764</v>
      </c>
      <c r="M23" t="s">
        <v>124</v>
      </c>
      <c r="N23" t="s">
        <v>123</v>
      </c>
      <c r="O23" t="s">
        <v>215</v>
      </c>
      <c r="P23">
        <v>20260909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125</v>
      </c>
      <c r="Y23" t="s">
        <v>47</v>
      </c>
      <c r="Z23" t="s">
        <v>35</v>
      </c>
      <c r="AA23" t="s">
        <v>50</v>
      </c>
      <c r="AB23" t="s">
        <v>35</v>
      </c>
      <c r="AC23" t="s">
        <v>764</v>
      </c>
      <c r="AD23" t="s">
        <v>928</v>
      </c>
    </row>
    <row r="24" spans="1:30">
      <c r="A24">
        <v>53134093</v>
      </c>
      <c r="B24" t="s">
        <v>929</v>
      </c>
      <c r="C24" t="s">
        <v>212</v>
      </c>
      <c r="D24" t="s">
        <v>47</v>
      </c>
      <c r="E24" t="s">
        <v>35</v>
      </c>
      <c r="F24">
        <v>7974</v>
      </c>
      <c r="G24" t="s">
        <v>766</v>
      </c>
      <c r="H24" t="s">
        <v>45</v>
      </c>
      <c r="I24" t="s">
        <v>48</v>
      </c>
      <c r="J24" t="s">
        <v>46</v>
      </c>
      <c r="K24" t="s">
        <v>116</v>
      </c>
      <c r="L24" t="s">
        <v>765</v>
      </c>
      <c r="M24" t="s">
        <v>118</v>
      </c>
      <c r="N24" t="s">
        <v>117</v>
      </c>
      <c r="O24" t="s">
        <v>215</v>
      </c>
      <c r="P24">
        <v>20260909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35</v>
      </c>
      <c r="Y24" t="s">
        <v>47</v>
      </c>
      <c r="Z24" t="s">
        <v>35</v>
      </c>
      <c r="AA24" t="s">
        <v>50</v>
      </c>
      <c r="AB24" t="s">
        <v>35</v>
      </c>
      <c r="AC24" t="s">
        <v>765</v>
      </c>
      <c r="AD24" t="s">
        <v>930</v>
      </c>
    </row>
    <row r="25" spans="1:30">
      <c r="A25">
        <v>53135938</v>
      </c>
      <c r="B25" t="s">
        <v>931</v>
      </c>
      <c r="C25" t="s">
        <v>212</v>
      </c>
      <c r="D25" t="s">
        <v>47</v>
      </c>
      <c r="E25" t="s">
        <v>35</v>
      </c>
      <c r="F25">
        <v>3853</v>
      </c>
      <c r="G25" t="s">
        <v>718</v>
      </c>
      <c r="H25" t="s">
        <v>45</v>
      </c>
      <c r="I25" t="s">
        <v>48</v>
      </c>
      <c r="J25" t="s">
        <v>46</v>
      </c>
      <c r="K25" t="s">
        <v>116</v>
      </c>
      <c r="L25" t="s">
        <v>932</v>
      </c>
      <c r="M25" t="s">
        <v>124</v>
      </c>
      <c r="N25" t="s">
        <v>123</v>
      </c>
      <c r="O25" t="s">
        <v>215</v>
      </c>
      <c r="P25">
        <v>20260909</v>
      </c>
      <c r="Q25">
        <v>100</v>
      </c>
      <c r="R25">
        <v>100</v>
      </c>
      <c r="S25">
        <v>1108</v>
      </c>
      <c r="T25" t="s">
        <v>49</v>
      </c>
      <c r="U25" t="s">
        <v>47</v>
      </c>
      <c r="V25" t="s">
        <v>47</v>
      </c>
      <c r="W25" t="s">
        <v>47</v>
      </c>
      <c r="X25" t="s">
        <v>125</v>
      </c>
      <c r="Y25" t="s">
        <v>47</v>
      </c>
      <c r="Z25" t="s">
        <v>35</v>
      </c>
      <c r="AA25" t="s">
        <v>50</v>
      </c>
      <c r="AB25" t="s">
        <v>35</v>
      </c>
      <c r="AC25" t="s">
        <v>932</v>
      </c>
      <c r="AD25" t="s">
        <v>933</v>
      </c>
    </row>
    <row r="26" spans="1:30">
      <c r="A26">
        <v>53136932</v>
      </c>
      <c r="B26" t="s">
        <v>934</v>
      </c>
      <c r="C26" t="s">
        <v>212</v>
      </c>
      <c r="D26" t="s">
        <v>47</v>
      </c>
      <c r="E26" t="s">
        <v>35</v>
      </c>
      <c r="F26">
        <v>2767</v>
      </c>
      <c r="G26" t="s">
        <v>704</v>
      </c>
      <c r="H26" t="s">
        <v>45</v>
      </c>
      <c r="I26" t="s">
        <v>48</v>
      </c>
      <c r="J26" t="s">
        <v>46</v>
      </c>
      <c r="K26" t="s">
        <v>116</v>
      </c>
      <c r="L26" t="s">
        <v>935</v>
      </c>
      <c r="M26" t="s">
        <v>118</v>
      </c>
      <c r="N26" t="s">
        <v>117</v>
      </c>
      <c r="O26" t="s">
        <v>215</v>
      </c>
      <c r="P26">
        <v>20260909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35</v>
      </c>
      <c r="Y26" t="s">
        <v>47</v>
      </c>
      <c r="Z26" t="s">
        <v>35</v>
      </c>
      <c r="AA26" t="s">
        <v>50</v>
      </c>
      <c r="AB26" t="s">
        <v>35</v>
      </c>
      <c r="AC26" t="s">
        <v>767</v>
      </c>
      <c r="AD26" t="s">
        <v>936</v>
      </c>
    </row>
    <row r="27" spans="1:30">
      <c r="A27">
        <v>53139006</v>
      </c>
      <c r="B27" t="s">
        <v>937</v>
      </c>
      <c r="C27" t="s">
        <v>212</v>
      </c>
      <c r="D27" t="s">
        <v>232</v>
      </c>
      <c r="E27" t="s">
        <v>35</v>
      </c>
      <c r="F27">
        <v>7974</v>
      </c>
      <c r="G27" t="s">
        <v>766</v>
      </c>
      <c r="H27" t="s">
        <v>45</v>
      </c>
      <c r="I27" t="s">
        <v>48</v>
      </c>
      <c r="J27" t="s">
        <v>46</v>
      </c>
      <c r="K27" t="s">
        <v>116</v>
      </c>
      <c r="L27" t="s">
        <v>769</v>
      </c>
      <c r="M27" t="s">
        <v>124</v>
      </c>
      <c r="N27" t="s">
        <v>123</v>
      </c>
      <c r="O27" t="s">
        <v>215</v>
      </c>
      <c r="P27">
        <v>20260909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125</v>
      </c>
      <c r="Y27" t="s">
        <v>47</v>
      </c>
      <c r="Z27" t="s">
        <v>35</v>
      </c>
      <c r="AA27" t="s">
        <v>50</v>
      </c>
      <c r="AB27" t="s">
        <v>35</v>
      </c>
      <c r="AC27" t="s">
        <v>769</v>
      </c>
      <c r="AD27" t="s">
        <v>938</v>
      </c>
    </row>
    <row r="28" spans="1:30">
      <c r="A28">
        <v>53140825</v>
      </c>
      <c r="B28" t="s">
        <v>939</v>
      </c>
      <c r="C28" t="s">
        <v>212</v>
      </c>
      <c r="D28" t="s">
        <v>47</v>
      </c>
      <c r="E28" t="s">
        <v>35</v>
      </c>
      <c r="F28">
        <v>2767</v>
      </c>
      <c r="G28" t="s">
        <v>704</v>
      </c>
      <c r="H28" t="s">
        <v>45</v>
      </c>
      <c r="I28" t="s">
        <v>48</v>
      </c>
      <c r="J28" t="s">
        <v>46</v>
      </c>
      <c r="K28" t="s">
        <v>116</v>
      </c>
      <c r="L28" t="s">
        <v>770</v>
      </c>
      <c r="M28" t="s">
        <v>124</v>
      </c>
      <c r="N28" t="s">
        <v>123</v>
      </c>
      <c r="O28" t="s">
        <v>215</v>
      </c>
      <c r="P28">
        <v>20260909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770</v>
      </c>
      <c r="AD28" t="s">
        <v>940</v>
      </c>
    </row>
    <row r="29" spans="1:30">
      <c r="A29">
        <v>53142446</v>
      </c>
      <c r="B29" t="s">
        <v>941</v>
      </c>
      <c r="C29" t="s">
        <v>212</v>
      </c>
      <c r="D29" t="s">
        <v>47</v>
      </c>
      <c r="E29" t="s">
        <v>35</v>
      </c>
      <c r="F29">
        <v>3436</v>
      </c>
      <c r="G29" t="s">
        <v>152</v>
      </c>
      <c r="H29" t="s">
        <v>45</v>
      </c>
      <c r="I29" t="s">
        <v>48</v>
      </c>
      <c r="J29" t="s">
        <v>46</v>
      </c>
      <c r="K29" t="s">
        <v>116</v>
      </c>
      <c r="L29" t="s">
        <v>771</v>
      </c>
      <c r="M29" t="s">
        <v>118</v>
      </c>
      <c r="N29" t="s">
        <v>117</v>
      </c>
      <c r="O29" t="s">
        <v>215</v>
      </c>
      <c r="P29">
        <v>20260909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771</v>
      </c>
      <c r="AD29" t="s">
        <v>942</v>
      </c>
    </row>
    <row r="30" spans="1:30">
      <c r="A30">
        <v>53144805</v>
      </c>
      <c r="B30" t="s">
        <v>943</v>
      </c>
      <c r="C30" t="s">
        <v>212</v>
      </c>
      <c r="D30" t="s">
        <v>47</v>
      </c>
      <c r="E30" t="s">
        <v>35</v>
      </c>
      <c r="F30">
        <v>3436</v>
      </c>
      <c r="G30" t="s">
        <v>152</v>
      </c>
      <c r="H30" t="s">
        <v>45</v>
      </c>
      <c r="I30" t="s">
        <v>48</v>
      </c>
      <c r="J30" t="s">
        <v>46</v>
      </c>
      <c r="K30" t="s">
        <v>116</v>
      </c>
      <c r="L30" t="s">
        <v>772</v>
      </c>
      <c r="M30" t="s">
        <v>118</v>
      </c>
      <c r="N30" t="s">
        <v>117</v>
      </c>
      <c r="O30" t="s">
        <v>215</v>
      </c>
      <c r="P30">
        <v>20260909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35</v>
      </c>
      <c r="Y30" t="s">
        <v>47</v>
      </c>
      <c r="Z30" t="s">
        <v>35</v>
      </c>
      <c r="AA30" t="s">
        <v>50</v>
      </c>
      <c r="AB30" t="s">
        <v>35</v>
      </c>
      <c r="AC30" t="s">
        <v>772</v>
      </c>
      <c r="AD30" t="s">
        <v>944</v>
      </c>
    </row>
    <row r="31" spans="1:30">
      <c r="A31">
        <v>53145642</v>
      </c>
      <c r="B31" t="s">
        <v>945</v>
      </c>
      <c r="C31" t="s">
        <v>212</v>
      </c>
      <c r="D31" t="s">
        <v>47</v>
      </c>
      <c r="E31" t="s">
        <v>35</v>
      </c>
      <c r="F31">
        <v>3436</v>
      </c>
      <c r="G31" t="s">
        <v>152</v>
      </c>
      <c r="H31" t="s">
        <v>45</v>
      </c>
      <c r="I31" t="s">
        <v>48</v>
      </c>
      <c r="J31" t="s">
        <v>46</v>
      </c>
      <c r="K31" t="s">
        <v>116</v>
      </c>
      <c r="L31" t="s">
        <v>773</v>
      </c>
      <c r="M31" t="s">
        <v>124</v>
      </c>
      <c r="N31" t="s">
        <v>123</v>
      </c>
      <c r="O31" t="s">
        <v>215</v>
      </c>
      <c r="P31">
        <v>20260909</v>
      </c>
      <c r="Q31">
        <v>200</v>
      </c>
      <c r="R31">
        <v>200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125</v>
      </c>
      <c r="Y31" t="s">
        <v>47</v>
      </c>
      <c r="Z31" t="s">
        <v>35</v>
      </c>
      <c r="AA31" t="s">
        <v>50</v>
      </c>
      <c r="AB31" t="s">
        <v>35</v>
      </c>
      <c r="AC31" t="s">
        <v>773</v>
      </c>
      <c r="AD31" t="s">
        <v>946</v>
      </c>
    </row>
    <row r="32" spans="1:30">
      <c r="A32">
        <v>53146192</v>
      </c>
      <c r="B32" t="s">
        <v>947</v>
      </c>
      <c r="C32" t="s">
        <v>212</v>
      </c>
      <c r="D32" t="s">
        <v>47</v>
      </c>
      <c r="E32" t="s">
        <v>35</v>
      </c>
      <c r="F32">
        <v>3436</v>
      </c>
      <c r="G32" t="s">
        <v>152</v>
      </c>
      <c r="H32" t="s">
        <v>45</v>
      </c>
      <c r="I32" t="s">
        <v>48</v>
      </c>
      <c r="J32" t="s">
        <v>46</v>
      </c>
      <c r="K32" t="s">
        <v>116</v>
      </c>
      <c r="L32" t="s">
        <v>774</v>
      </c>
      <c r="M32" t="s">
        <v>118</v>
      </c>
      <c r="N32" t="s">
        <v>117</v>
      </c>
      <c r="O32" t="s">
        <v>215</v>
      </c>
      <c r="P32">
        <v>20260909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35</v>
      </c>
      <c r="Y32" t="s">
        <v>47</v>
      </c>
      <c r="Z32" t="s">
        <v>35</v>
      </c>
      <c r="AA32" t="s">
        <v>50</v>
      </c>
      <c r="AB32" t="s">
        <v>35</v>
      </c>
      <c r="AC32" t="s">
        <v>774</v>
      </c>
      <c r="AD32" t="s">
        <v>948</v>
      </c>
    </row>
    <row r="33" spans="1:30">
      <c r="A33">
        <v>53148476</v>
      </c>
      <c r="B33" t="s">
        <v>949</v>
      </c>
      <c r="C33" t="s">
        <v>212</v>
      </c>
      <c r="D33" t="s">
        <v>47</v>
      </c>
      <c r="E33" t="s">
        <v>35</v>
      </c>
      <c r="F33">
        <v>4082</v>
      </c>
      <c r="G33" t="s">
        <v>776</v>
      </c>
      <c r="H33" t="s">
        <v>45</v>
      </c>
      <c r="I33" t="s">
        <v>48</v>
      </c>
      <c r="J33" t="s">
        <v>46</v>
      </c>
      <c r="K33" t="s">
        <v>116</v>
      </c>
      <c r="L33" t="s">
        <v>950</v>
      </c>
      <c r="M33" t="s">
        <v>118</v>
      </c>
      <c r="N33" t="s">
        <v>117</v>
      </c>
      <c r="O33" t="s">
        <v>215</v>
      </c>
      <c r="P33">
        <v>20260909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775</v>
      </c>
      <c r="AD33" t="s">
        <v>951</v>
      </c>
    </row>
    <row r="34" spans="1:30">
      <c r="A34">
        <v>53148819</v>
      </c>
      <c r="B34" t="s">
        <v>952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777</v>
      </c>
      <c r="M34" t="s">
        <v>118</v>
      </c>
      <c r="N34" t="s">
        <v>117</v>
      </c>
      <c r="O34" t="s">
        <v>215</v>
      </c>
      <c r="P34">
        <v>20260909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777</v>
      </c>
      <c r="AD34" t="s">
        <v>953</v>
      </c>
    </row>
    <row r="35" spans="1:30">
      <c r="A35">
        <v>53149832</v>
      </c>
      <c r="B35" t="s">
        <v>954</v>
      </c>
      <c r="C35" t="s">
        <v>212</v>
      </c>
      <c r="D35" t="s">
        <v>47</v>
      </c>
      <c r="E35" t="s">
        <v>35</v>
      </c>
      <c r="F35">
        <v>3436</v>
      </c>
      <c r="G35" t="s">
        <v>152</v>
      </c>
      <c r="H35" t="s">
        <v>45</v>
      </c>
      <c r="I35" t="s">
        <v>48</v>
      </c>
      <c r="J35" t="s">
        <v>46</v>
      </c>
      <c r="K35" t="s">
        <v>116</v>
      </c>
      <c r="L35" t="s">
        <v>778</v>
      </c>
      <c r="M35" t="s">
        <v>124</v>
      </c>
      <c r="N35" t="s">
        <v>123</v>
      </c>
      <c r="O35" t="s">
        <v>215</v>
      </c>
      <c r="P35">
        <v>20260909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778</v>
      </c>
      <c r="AD35" t="s">
        <v>955</v>
      </c>
    </row>
    <row r="36" spans="1:30">
      <c r="A36">
        <v>53150119</v>
      </c>
      <c r="B36" t="s">
        <v>956</v>
      </c>
      <c r="C36" t="s">
        <v>212</v>
      </c>
      <c r="D36" t="s">
        <v>47</v>
      </c>
      <c r="E36" t="s">
        <v>35</v>
      </c>
      <c r="F36">
        <v>3436</v>
      </c>
      <c r="G36" t="s">
        <v>152</v>
      </c>
      <c r="H36" t="s">
        <v>45</v>
      </c>
      <c r="I36" t="s">
        <v>48</v>
      </c>
      <c r="J36" t="s">
        <v>46</v>
      </c>
      <c r="K36" t="s">
        <v>116</v>
      </c>
      <c r="L36" t="s">
        <v>779</v>
      </c>
      <c r="M36" t="s">
        <v>118</v>
      </c>
      <c r="N36" t="s">
        <v>117</v>
      </c>
      <c r="O36" t="s">
        <v>215</v>
      </c>
      <c r="P36">
        <v>20260909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35</v>
      </c>
      <c r="Y36" t="s">
        <v>47</v>
      </c>
      <c r="Z36" t="s">
        <v>35</v>
      </c>
      <c r="AA36" t="s">
        <v>50</v>
      </c>
      <c r="AB36" t="s">
        <v>35</v>
      </c>
      <c r="AC36" t="s">
        <v>779</v>
      </c>
      <c r="AD36" t="s">
        <v>957</v>
      </c>
    </row>
    <row r="37" spans="1:30">
      <c r="A37">
        <v>53150841</v>
      </c>
      <c r="B37" t="s">
        <v>958</v>
      </c>
      <c r="C37" t="s">
        <v>212</v>
      </c>
      <c r="D37" t="s">
        <v>47</v>
      </c>
      <c r="E37" t="s">
        <v>35</v>
      </c>
      <c r="F37">
        <v>4082</v>
      </c>
      <c r="G37" t="s">
        <v>776</v>
      </c>
      <c r="H37" t="s">
        <v>45</v>
      </c>
      <c r="I37" t="s">
        <v>48</v>
      </c>
      <c r="J37" t="s">
        <v>46</v>
      </c>
      <c r="K37" t="s">
        <v>116</v>
      </c>
      <c r="L37" t="s">
        <v>780</v>
      </c>
      <c r="M37" t="s">
        <v>124</v>
      </c>
      <c r="N37" t="s">
        <v>123</v>
      </c>
      <c r="O37" t="s">
        <v>215</v>
      </c>
      <c r="P37">
        <v>20260909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125</v>
      </c>
      <c r="Y37" t="s">
        <v>47</v>
      </c>
      <c r="Z37" t="s">
        <v>35</v>
      </c>
      <c r="AA37" t="s">
        <v>50</v>
      </c>
      <c r="AB37" t="s">
        <v>35</v>
      </c>
      <c r="AC37" t="s">
        <v>780</v>
      </c>
      <c r="AD37" t="s">
        <v>959</v>
      </c>
    </row>
    <row r="38" spans="1:30">
      <c r="A38">
        <v>53151137</v>
      </c>
      <c r="B38" t="s">
        <v>960</v>
      </c>
      <c r="C38" t="s">
        <v>212</v>
      </c>
      <c r="D38" t="s">
        <v>47</v>
      </c>
      <c r="E38" t="s">
        <v>35</v>
      </c>
      <c r="F38">
        <v>6613</v>
      </c>
      <c r="G38" t="s">
        <v>165</v>
      </c>
      <c r="H38" t="s">
        <v>45</v>
      </c>
      <c r="I38" t="s">
        <v>48</v>
      </c>
      <c r="J38" t="s">
        <v>46</v>
      </c>
      <c r="K38" t="s">
        <v>116</v>
      </c>
      <c r="L38" t="s">
        <v>781</v>
      </c>
      <c r="M38" t="s">
        <v>124</v>
      </c>
      <c r="N38" t="s">
        <v>123</v>
      </c>
      <c r="O38" t="s">
        <v>215</v>
      </c>
      <c r="P38">
        <v>20260909</v>
      </c>
      <c r="Q38">
        <v>100</v>
      </c>
      <c r="R38">
        <v>100</v>
      </c>
      <c r="S38" t="s">
        <v>217</v>
      </c>
      <c r="T38" t="s">
        <v>49</v>
      </c>
      <c r="U38" t="s">
        <v>47</v>
      </c>
      <c r="V38" t="s">
        <v>47</v>
      </c>
      <c r="W38" t="s">
        <v>47</v>
      </c>
      <c r="X38" t="s">
        <v>125</v>
      </c>
      <c r="Y38" t="s">
        <v>47</v>
      </c>
      <c r="Z38" t="s">
        <v>35</v>
      </c>
      <c r="AA38" t="s">
        <v>50</v>
      </c>
      <c r="AB38" t="s">
        <v>35</v>
      </c>
      <c r="AC38" t="s">
        <v>781</v>
      </c>
      <c r="AD38" t="s">
        <v>961</v>
      </c>
    </row>
    <row r="39" spans="1:30">
      <c r="A39">
        <v>53151516</v>
      </c>
      <c r="B39" t="s">
        <v>962</v>
      </c>
      <c r="C39" t="s">
        <v>212</v>
      </c>
      <c r="D39" t="s">
        <v>47</v>
      </c>
      <c r="E39" t="s">
        <v>35</v>
      </c>
      <c r="F39">
        <v>6613</v>
      </c>
      <c r="G39" t="s">
        <v>165</v>
      </c>
      <c r="H39" t="s">
        <v>45</v>
      </c>
      <c r="I39" t="s">
        <v>48</v>
      </c>
      <c r="J39" t="s">
        <v>46</v>
      </c>
      <c r="K39" t="s">
        <v>116</v>
      </c>
      <c r="L39" t="s">
        <v>782</v>
      </c>
      <c r="M39" t="s">
        <v>118</v>
      </c>
      <c r="N39" t="s">
        <v>117</v>
      </c>
      <c r="O39" t="s">
        <v>215</v>
      </c>
      <c r="P39">
        <v>20260909</v>
      </c>
      <c r="Q39">
        <v>100</v>
      </c>
      <c r="R39">
        <v>100</v>
      </c>
      <c r="S39" t="s">
        <v>217</v>
      </c>
      <c r="T39" t="s">
        <v>49</v>
      </c>
      <c r="U39" t="s">
        <v>47</v>
      </c>
      <c r="V39" t="s">
        <v>47</v>
      </c>
      <c r="W39" t="s">
        <v>47</v>
      </c>
      <c r="X39" t="s">
        <v>35</v>
      </c>
      <c r="Y39" t="s">
        <v>47</v>
      </c>
      <c r="Z39" t="s">
        <v>35</v>
      </c>
      <c r="AA39" t="s">
        <v>50</v>
      </c>
      <c r="AB39" t="s">
        <v>35</v>
      </c>
      <c r="AC39" t="s">
        <v>782</v>
      </c>
      <c r="AD39" t="s">
        <v>963</v>
      </c>
    </row>
    <row r="40" spans="1:30">
      <c r="A40">
        <v>53152885</v>
      </c>
      <c r="B40" t="s">
        <v>964</v>
      </c>
      <c r="C40" t="s">
        <v>212</v>
      </c>
      <c r="D40" t="s">
        <v>47</v>
      </c>
      <c r="E40" t="s">
        <v>35</v>
      </c>
      <c r="F40">
        <v>3436</v>
      </c>
      <c r="G40" t="s">
        <v>152</v>
      </c>
      <c r="H40" t="s">
        <v>45</v>
      </c>
      <c r="I40" t="s">
        <v>48</v>
      </c>
      <c r="J40" t="s">
        <v>46</v>
      </c>
      <c r="K40" t="s">
        <v>116</v>
      </c>
      <c r="L40" t="s">
        <v>783</v>
      </c>
      <c r="M40" t="s">
        <v>124</v>
      </c>
      <c r="N40" t="s">
        <v>123</v>
      </c>
      <c r="O40" t="s">
        <v>215</v>
      </c>
      <c r="P40">
        <v>20260909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783</v>
      </c>
      <c r="AD40" t="s">
        <v>965</v>
      </c>
    </row>
    <row r="41" spans="1:30">
      <c r="A41">
        <v>53154190</v>
      </c>
      <c r="B41" t="s">
        <v>966</v>
      </c>
      <c r="C41" t="s">
        <v>212</v>
      </c>
      <c r="D41" t="s">
        <v>47</v>
      </c>
      <c r="E41" t="s">
        <v>35</v>
      </c>
      <c r="F41">
        <v>3436</v>
      </c>
      <c r="G41" t="s">
        <v>152</v>
      </c>
      <c r="H41" t="s">
        <v>45</v>
      </c>
      <c r="I41" t="s">
        <v>48</v>
      </c>
      <c r="J41" t="s">
        <v>46</v>
      </c>
      <c r="K41" t="s">
        <v>116</v>
      </c>
      <c r="L41" t="s">
        <v>784</v>
      </c>
      <c r="M41" t="s">
        <v>118</v>
      </c>
      <c r="N41" t="s">
        <v>117</v>
      </c>
      <c r="O41" t="s">
        <v>215</v>
      </c>
      <c r="P41">
        <v>20260909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35</v>
      </c>
      <c r="Y41" t="s">
        <v>47</v>
      </c>
      <c r="Z41" t="s">
        <v>35</v>
      </c>
      <c r="AA41" t="s">
        <v>50</v>
      </c>
      <c r="AB41" t="s">
        <v>35</v>
      </c>
      <c r="AC41" t="s">
        <v>784</v>
      </c>
      <c r="AD41" t="s">
        <v>967</v>
      </c>
    </row>
    <row r="42" spans="1:30">
      <c r="A42">
        <v>53157887</v>
      </c>
      <c r="B42" t="s">
        <v>968</v>
      </c>
      <c r="C42" t="s">
        <v>212</v>
      </c>
      <c r="D42" t="s">
        <v>47</v>
      </c>
      <c r="E42" t="s">
        <v>35</v>
      </c>
      <c r="F42">
        <v>6981</v>
      </c>
      <c r="G42" t="s">
        <v>786</v>
      </c>
      <c r="H42" t="s">
        <v>45</v>
      </c>
      <c r="I42" t="s">
        <v>48</v>
      </c>
      <c r="J42" t="s">
        <v>46</v>
      </c>
      <c r="K42" t="s">
        <v>116</v>
      </c>
      <c r="L42" t="s">
        <v>785</v>
      </c>
      <c r="M42" t="s">
        <v>118</v>
      </c>
      <c r="N42" t="s">
        <v>117</v>
      </c>
      <c r="O42" t="s">
        <v>215</v>
      </c>
      <c r="P42">
        <v>20260909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785</v>
      </c>
      <c r="AD42" t="s">
        <v>969</v>
      </c>
    </row>
    <row r="43" spans="1:30">
      <c r="A43">
        <v>53155828</v>
      </c>
      <c r="B43" t="s">
        <v>970</v>
      </c>
      <c r="C43" t="s">
        <v>212</v>
      </c>
      <c r="D43" t="s">
        <v>232</v>
      </c>
      <c r="E43" t="s">
        <v>35</v>
      </c>
      <c r="F43">
        <v>3436</v>
      </c>
      <c r="G43" t="s">
        <v>152</v>
      </c>
      <c r="H43" t="s">
        <v>45</v>
      </c>
      <c r="I43" t="s">
        <v>48</v>
      </c>
      <c r="J43" t="s">
        <v>46</v>
      </c>
      <c r="K43" t="s">
        <v>116</v>
      </c>
      <c r="L43" t="s">
        <v>787</v>
      </c>
      <c r="M43" t="s">
        <v>124</v>
      </c>
      <c r="N43" t="s">
        <v>123</v>
      </c>
      <c r="O43" t="s">
        <v>215</v>
      </c>
      <c r="P43">
        <v>20260909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787</v>
      </c>
      <c r="AD43" t="s">
        <v>971</v>
      </c>
    </row>
    <row r="44" spans="1:30">
      <c r="A44">
        <v>53161676</v>
      </c>
      <c r="B44" t="s">
        <v>972</v>
      </c>
      <c r="C44" t="s">
        <v>212</v>
      </c>
      <c r="D44" t="s">
        <v>47</v>
      </c>
      <c r="E44" t="s">
        <v>35</v>
      </c>
      <c r="F44">
        <v>3436</v>
      </c>
      <c r="G44" t="s">
        <v>152</v>
      </c>
      <c r="H44" t="s">
        <v>45</v>
      </c>
      <c r="I44" t="s">
        <v>48</v>
      </c>
      <c r="J44" t="s">
        <v>46</v>
      </c>
      <c r="K44" t="s">
        <v>116</v>
      </c>
      <c r="L44" t="s">
        <v>788</v>
      </c>
      <c r="M44" t="s">
        <v>118</v>
      </c>
      <c r="N44" t="s">
        <v>117</v>
      </c>
      <c r="O44" t="s">
        <v>215</v>
      </c>
      <c r="P44">
        <v>20260909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788</v>
      </c>
      <c r="AD44" t="s">
        <v>928</v>
      </c>
    </row>
    <row r="45" spans="1:30">
      <c r="A45">
        <v>53171213</v>
      </c>
      <c r="B45" t="s">
        <v>973</v>
      </c>
      <c r="C45" t="s">
        <v>212</v>
      </c>
      <c r="D45" t="s">
        <v>47</v>
      </c>
      <c r="E45" t="s">
        <v>35</v>
      </c>
      <c r="F45">
        <v>6613</v>
      </c>
      <c r="G45" t="s">
        <v>165</v>
      </c>
      <c r="H45" t="s">
        <v>45</v>
      </c>
      <c r="I45" t="s">
        <v>48</v>
      </c>
      <c r="J45" t="s">
        <v>46</v>
      </c>
      <c r="K45" t="s">
        <v>116</v>
      </c>
      <c r="L45" t="s">
        <v>789</v>
      </c>
      <c r="M45" t="s">
        <v>124</v>
      </c>
      <c r="N45" t="s">
        <v>123</v>
      </c>
      <c r="O45" t="s">
        <v>215</v>
      </c>
      <c r="P45">
        <v>20260909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789</v>
      </c>
      <c r="AD45" t="s">
        <v>974</v>
      </c>
    </row>
    <row r="46" spans="1:30">
      <c r="A46">
        <v>53165992</v>
      </c>
      <c r="B46" t="s">
        <v>975</v>
      </c>
      <c r="C46" t="s">
        <v>212</v>
      </c>
      <c r="D46" t="s">
        <v>232</v>
      </c>
      <c r="E46" t="s">
        <v>35</v>
      </c>
      <c r="F46">
        <v>3436</v>
      </c>
      <c r="G46" t="s">
        <v>152</v>
      </c>
      <c r="H46" t="s">
        <v>45</v>
      </c>
      <c r="I46" t="s">
        <v>48</v>
      </c>
      <c r="J46" t="s">
        <v>46</v>
      </c>
      <c r="K46" t="s">
        <v>116</v>
      </c>
      <c r="L46" t="s">
        <v>790</v>
      </c>
      <c r="M46" t="s">
        <v>124</v>
      </c>
      <c r="N46" t="s">
        <v>123</v>
      </c>
      <c r="O46" t="s">
        <v>215</v>
      </c>
      <c r="P46">
        <v>20260909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125</v>
      </c>
      <c r="Y46" t="s">
        <v>47</v>
      </c>
      <c r="Z46" t="s">
        <v>35</v>
      </c>
      <c r="AA46" t="s">
        <v>50</v>
      </c>
      <c r="AB46" t="s">
        <v>35</v>
      </c>
      <c r="AC46" t="s">
        <v>790</v>
      </c>
      <c r="AD46" t="s">
        <v>976</v>
      </c>
    </row>
    <row r="47" spans="1:30">
      <c r="A47">
        <v>53172851</v>
      </c>
      <c r="B47" t="s">
        <v>977</v>
      </c>
      <c r="C47" t="s">
        <v>212</v>
      </c>
      <c r="D47" t="s">
        <v>47</v>
      </c>
      <c r="E47" t="s">
        <v>35</v>
      </c>
      <c r="F47">
        <v>6613</v>
      </c>
      <c r="G47" t="s">
        <v>165</v>
      </c>
      <c r="H47" t="s">
        <v>45</v>
      </c>
      <c r="I47" t="s">
        <v>48</v>
      </c>
      <c r="J47" t="s">
        <v>46</v>
      </c>
      <c r="K47" t="s">
        <v>116</v>
      </c>
      <c r="L47" t="s">
        <v>791</v>
      </c>
      <c r="M47" t="s">
        <v>118</v>
      </c>
      <c r="N47" t="s">
        <v>117</v>
      </c>
      <c r="O47" t="s">
        <v>215</v>
      </c>
      <c r="P47">
        <v>20260909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35</v>
      </c>
      <c r="Y47" t="s">
        <v>47</v>
      </c>
      <c r="Z47" t="s">
        <v>35</v>
      </c>
      <c r="AA47" t="s">
        <v>50</v>
      </c>
      <c r="AB47" t="s">
        <v>35</v>
      </c>
      <c r="AC47" t="s">
        <v>791</v>
      </c>
      <c r="AD47" t="s">
        <v>978</v>
      </c>
    </row>
    <row r="48" spans="1:30">
      <c r="A48">
        <v>53172932</v>
      </c>
      <c r="B48" t="s">
        <v>979</v>
      </c>
      <c r="C48" t="s">
        <v>212</v>
      </c>
      <c r="D48" t="s">
        <v>47</v>
      </c>
      <c r="E48" t="s">
        <v>35</v>
      </c>
      <c r="F48">
        <v>3436</v>
      </c>
      <c r="G48" t="s">
        <v>152</v>
      </c>
      <c r="H48" t="s">
        <v>45</v>
      </c>
      <c r="I48" t="s">
        <v>48</v>
      </c>
      <c r="J48" t="s">
        <v>46</v>
      </c>
      <c r="K48" t="s">
        <v>116</v>
      </c>
      <c r="L48" t="s">
        <v>980</v>
      </c>
      <c r="M48" t="s">
        <v>118</v>
      </c>
      <c r="N48" t="s">
        <v>117</v>
      </c>
      <c r="O48" t="s">
        <v>215</v>
      </c>
      <c r="P48">
        <v>20260909</v>
      </c>
      <c r="Q48">
        <v>100</v>
      </c>
      <c r="R48">
        <v>100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35</v>
      </c>
      <c r="Y48" t="s">
        <v>47</v>
      </c>
      <c r="Z48" t="s">
        <v>35</v>
      </c>
      <c r="AA48" t="s">
        <v>50</v>
      </c>
      <c r="AB48" t="s">
        <v>35</v>
      </c>
      <c r="AC48" t="s">
        <v>792</v>
      </c>
      <c r="AD48" t="s">
        <v>971</v>
      </c>
    </row>
    <row r="49" spans="1:30">
      <c r="A49">
        <v>53173542</v>
      </c>
      <c r="B49" t="s">
        <v>981</v>
      </c>
      <c r="C49" t="s">
        <v>212</v>
      </c>
      <c r="D49" t="s">
        <v>47</v>
      </c>
      <c r="E49" t="s">
        <v>35</v>
      </c>
      <c r="F49">
        <v>6981</v>
      </c>
      <c r="G49" t="s">
        <v>786</v>
      </c>
      <c r="H49" t="s">
        <v>45</v>
      </c>
      <c r="I49" t="s">
        <v>48</v>
      </c>
      <c r="J49" t="s">
        <v>46</v>
      </c>
      <c r="K49" t="s">
        <v>116</v>
      </c>
      <c r="L49" t="s">
        <v>793</v>
      </c>
      <c r="M49" t="s">
        <v>118</v>
      </c>
      <c r="N49" t="s">
        <v>117</v>
      </c>
      <c r="O49" t="s">
        <v>215</v>
      </c>
      <c r="P49">
        <v>20260909</v>
      </c>
      <c r="Q49">
        <v>100</v>
      </c>
      <c r="R49">
        <v>100</v>
      </c>
      <c r="S49">
        <v>7146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793</v>
      </c>
      <c r="AD49" t="s">
        <v>982</v>
      </c>
    </row>
    <row r="50" spans="1:30">
      <c r="A50">
        <v>53174040</v>
      </c>
      <c r="B50" t="s">
        <v>983</v>
      </c>
      <c r="C50" t="s">
        <v>212</v>
      </c>
      <c r="D50" t="s">
        <v>47</v>
      </c>
      <c r="E50" t="s">
        <v>35</v>
      </c>
      <c r="F50">
        <v>6981</v>
      </c>
      <c r="G50" t="s">
        <v>786</v>
      </c>
      <c r="H50" t="s">
        <v>45</v>
      </c>
      <c r="I50" t="s">
        <v>48</v>
      </c>
      <c r="J50" t="s">
        <v>46</v>
      </c>
      <c r="K50" t="s">
        <v>116</v>
      </c>
      <c r="L50" t="s">
        <v>794</v>
      </c>
      <c r="M50" t="s">
        <v>124</v>
      </c>
      <c r="N50" t="s">
        <v>123</v>
      </c>
      <c r="O50" t="s">
        <v>215</v>
      </c>
      <c r="P50">
        <v>20260909</v>
      </c>
      <c r="Q50">
        <v>200</v>
      </c>
      <c r="R50">
        <v>200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125</v>
      </c>
      <c r="Y50" t="s">
        <v>47</v>
      </c>
      <c r="Z50" t="s">
        <v>35</v>
      </c>
      <c r="AA50" t="s">
        <v>50</v>
      </c>
      <c r="AB50" t="s">
        <v>35</v>
      </c>
      <c r="AC50" t="s">
        <v>794</v>
      </c>
      <c r="AD50" t="s">
        <v>984</v>
      </c>
    </row>
    <row r="51" spans="1:30">
      <c r="A51">
        <v>53174588</v>
      </c>
      <c r="B51" t="s">
        <v>985</v>
      </c>
      <c r="C51" t="s">
        <v>212</v>
      </c>
      <c r="D51" t="s">
        <v>47</v>
      </c>
      <c r="E51" t="s">
        <v>35</v>
      </c>
      <c r="F51">
        <v>6981</v>
      </c>
      <c r="G51" t="s">
        <v>786</v>
      </c>
      <c r="H51" t="s">
        <v>45</v>
      </c>
      <c r="I51" t="s">
        <v>48</v>
      </c>
      <c r="J51" t="s">
        <v>46</v>
      </c>
      <c r="K51" t="s">
        <v>116</v>
      </c>
      <c r="L51" t="s">
        <v>795</v>
      </c>
      <c r="M51" t="s">
        <v>118</v>
      </c>
      <c r="N51" t="s">
        <v>117</v>
      </c>
      <c r="O51" t="s">
        <v>215</v>
      </c>
      <c r="P51">
        <v>20260909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795</v>
      </c>
      <c r="AD51" t="s">
        <v>986</v>
      </c>
    </row>
    <row r="52" spans="1:30">
      <c r="A52">
        <v>53175319</v>
      </c>
      <c r="B52" t="s">
        <v>987</v>
      </c>
      <c r="C52" t="s">
        <v>212</v>
      </c>
      <c r="D52" t="s">
        <v>232</v>
      </c>
      <c r="E52" t="s">
        <v>35</v>
      </c>
      <c r="F52">
        <v>3436</v>
      </c>
      <c r="G52" t="s">
        <v>152</v>
      </c>
      <c r="H52" t="s">
        <v>45</v>
      </c>
      <c r="I52" t="s">
        <v>48</v>
      </c>
      <c r="J52" t="s">
        <v>46</v>
      </c>
      <c r="K52" t="s">
        <v>116</v>
      </c>
      <c r="L52" t="s">
        <v>796</v>
      </c>
      <c r="M52" t="s">
        <v>124</v>
      </c>
      <c r="N52" t="s">
        <v>123</v>
      </c>
      <c r="O52" t="s">
        <v>215</v>
      </c>
      <c r="P52">
        <v>20260909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796</v>
      </c>
      <c r="AD52" t="s">
        <v>988</v>
      </c>
    </row>
    <row r="53" spans="1:30">
      <c r="A53">
        <v>53177676</v>
      </c>
      <c r="B53" t="s">
        <v>989</v>
      </c>
      <c r="C53" t="s">
        <v>212</v>
      </c>
      <c r="D53" t="s">
        <v>47</v>
      </c>
      <c r="E53" t="s">
        <v>35</v>
      </c>
      <c r="F53">
        <v>2269</v>
      </c>
      <c r="G53" t="s">
        <v>798</v>
      </c>
      <c r="H53" t="s">
        <v>45</v>
      </c>
      <c r="I53" t="s">
        <v>48</v>
      </c>
      <c r="J53" t="s">
        <v>46</v>
      </c>
      <c r="K53" t="s">
        <v>116</v>
      </c>
      <c r="L53" t="s">
        <v>797</v>
      </c>
      <c r="M53" t="s">
        <v>118</v>
      </c>
      <c r="N53" t="s">
        <v>117</v>
      </c>
      <c r="O53" t="s">
        <v>215</v>
      </c>
      <c r="P53">
        <v>20260909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797</v>
      </c>
      <c r="AD53" t="s">
        <v>990</v>
      </c>
    </row>
    <row r="54" spans="1:30">
      <c r="A54">
        <v>53177898</v>
      </c>
      <c r="B54" t="s">
        <v>991</v>
      </c>
      <c r="C54" t="s">
        <v>212</v>
      </c>
      <c r="D54" t="s">
        <v>47</v>
      </c>
      <c r="E54" t="s">
        <v>35</v>
      </c>
      <c r="F54">
        <v>3436</v>
      </c>
      <c r="G54" t="s">
        <v>152</v>
      </c>
      <c r="H54" t="s">
        <v>45</v>
      </c>
      <c r="I54" t="s">
        <v>48</v>
      </c>
      <c r="J54" t="s">
        <v>46</v>
      </c>
      <c r="K54" t="s">
        <v>116</v>
      </c>
      <c r="L54" t="s">
        <v>799</v>
      </c>
      <c r="M54" t="s">
        <v>118</v>
      </c>
      <c r="N54" t="s">
        <v>117</v>
      </c>
      <c r="O54" t="s">
        <v>215</v>
      </c>
      <c r="P54">
        <v>20260909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799</v>
      </c>
      <c r="AD54" t="s">
        <v>992</v>
      </c>
    </row>
    <row r="55" spans="1:30">
      <c r="A55">
        <v>53178209</v>
      </c>
      <c r="B55" t="s">
        <v>993</v>
      </c>
      <c r="C55" t="s">
        <v>212</v>
      </c>
      <c r="D55" t="s">
        <v>47</v>
      </c>
      <c r="E55" t="s">
        <v>35</v>
      </c>
      <c r="F55">
        <v>6981</v>
      </c>
      <c r="G55" t="s">
        <v>786</v>
      </c>
      <c r="H55" t="s">
        <v>45</v>
      </c>
      <c r="I55" t="s">
        <v>48</v>
      </c>
      <c r="J55" t="s">
        <v>46</v>
      </c>
      <c r="K55" t="s">
        <v>116</v>
      </c>
      <c r="L55" t="s">
        <v>994</v>
      </c>
      <c r="M55" t="s">
        <v>124</v>
      </c>
      <c r="N55" t="s">
        <v>123</v>
      </c>
      <c r="O55" t="s">
        <v>215</v>
      </c>
      <c r="P55">
        <v>20260909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800</v>
      </c>
      <c r="AD55" t="s">
        <v>995</v>
      </c>
    </row>
    <row r="56" spans="1:30">
      <c r="A56">
        <v>53179130</v>
      </c>
      <c r="B56" t="s">
        <v>996</v>
      </c>
      <c r="C56" t="s">
        <v>212</v>
      </c>
      <c r="D56" t="s">
        <v>47</v>
      </c>
      <c r="E56" t="s">
        <v>35</v>
      </c>
      <c r="F56">
        <v>6981</v>
      </c>
      <c r="G56" t="s">
        <v>786</v>
      </c>
      <c r="H56" t="s">
        <v>45</v>
      </c>
      <c r="I56" t="s">
        <v>48</v>
      </c>
      <c r="J56" t="s">
        <v>46</v>
      </c>
      <c r="K56" t="s">
        <v>116</v>
      </c>
      <c r="L56" t="s">
        <v>997</v>
      </c>
      <c r="M56" t="s">
        <v>118</v>
      </c>
      <c r="N56" t="s">
        <v>117</v>
      </c>
      <c r="O56" t="s">
        <v>215</v>
      </c>
      <c r="P56">
        <v>20260909</v>
      </c>
      <c r="Q56">
        <v>100</v>
      </c>
      <c r="R56">
        <v>100</v>
      </c>
      <c r="S56" t="s">
        <v>217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801</v>
      </c>
      <c r="AD56" t="s">
        <v>998</v>
      </c>
    </row>
    <row r="57" spans="1:30">
      <c r="A57">
        <v>53182472</v>
      </c>
      <c r="B57" t="s">
        <v>999</v>
      </c>
      <c r="C57" t="s">
        <v>212</v>
      </c>
      <c r="D57" t="s">
        <v>47</v>
      </c>
      <c r="E57" t="s">
        <v>35</v>
      </c>
      <c r="F57">
        <v>6981</v>
      </c>
      <c r="G57" t="s">
        <v>786</v>
      </c>
      <c r="H57" t="s">
        <v>45</v>
      </c>
      <c r="I57" t="s">
        <v>48</v>
      </c>
      <c r="J57" t="s">
        <v>46</v>
      </c>
      <c r="K57" t="s">
        <v>116</v>
      </c>
      <c r="L57" t="s">
        <v>802</v>
      </c>
      <c r="M57" t="s">
        <v>124</v>
      </c>
      <c r="N57" t="s">
        <v>123</v>
      </c>
      <c r="O57" t="s">
        <v>215</v>
      </c>
      <c r="P57">
        <v>20260909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802</v>
      </c>
      <c r="AD57" t="s">
        <v>1000</v>
      </c>
    </row>
    <row r="58" spans="1:30">
      <c r="A58">
        <v>53183028</v>
      </c>
      <c r="B58" t="s">
        <v>1001</v>
      </c>
      <c r="C58" t="s">
        <v>212</v>
      </c>
      <c r="D58" t="s">
        <v>47</v>
      </c>
      <c r="E58" t="s">
        <v>35</v>
      </c>
      <c r="F58">
        <v>3436</v>
      </c>
      <c r="G58" t="s">
        <v>152</v>
      </c>
      <c r="H58" t="s">
        <v>45</v>
      </c>
      <c r="I58" t="s">
        <v>48</v>
      </c>
      <c r="J58" t="s">
        <v>46</v>
      </c>
      <c r="K58" t="s">
        <v>116</v>
      </c>
      <c r="L58" t="s">
        <v>803</v>
      </c>
      <c r="M58" t="s">
        <v>124</v>
      </c>
      <c r="N58" t="s">
        <v>123</v>
      </c>
      <c r="O58" t="s">
        <v>215</v>
      </c>
      <c r="P58">
        <v>20260909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125</v>
      </c>
      <c r="Y58" t="s">
        <v>47</v>
      </c>
      <c r="Z58" t="s">
        <v>35</v>
      </c>
      <c r="AA58" t="s">
        <v>50</v>
      </c>
      <c r="AB58" t="s">
        <v>35</v>
      </c>
      <c r="AC58" t="s">
        <v>803</v>
      </c>
      <c r="AD58" t="s">
        <v>1002</v>
      </c>
    </row>
    <row r="59" spans="1:30">
      <c r="A59">
        <v>53183331</v>
      </c>
      <c r="B59" t="s">
        <v>1003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804</v>
      </c>
      <c r="M59" t="s">
        <v>124</v>
      </c>
      <c r="N59" t="s">
        <v>123</v>
      </c>
      <c r="O59" t="s">
        <v>215</v>
      </c>
      <c r="P59">
        <v>20260909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804</v>
      </c>
      <c r="AD59" t="s">
        <v>1004</v>
      </c>
    </row>
    <row r="60" spans="1:30">
      <c r="A60">
        <v>53183724</v>
      </c>
      <c r="B60" t="s">
        <v>1005</v>
      </c>
      <c r="C60" t="s">
        <v>212</v>
      </c>
      <c r="D60" t="s">
        <v>47</v>
      </c>
      <c r="E60" t="s">
        <v>35</v>
      </c>
      <c r="F60">
        <v>3436</v>
      </c>
      <c r="G60" t="s">
        <v>152</v>
      </c>
      <c r="H60" t="s">
        <v>45</v>
      </c>
      <c r="I60" t="s">
        <v>48</v>
      </c>
      <c r="J60" t="s">
        <v>46</v>
      </c>
      <c r="K60" t="s">
        <v>116</v>
      </c>
      <c r="L60" t="s">
        <v>805</v>
      </c>
      <c r="M60" t="s">
        <v>118</v>
      </c>
      <c r="N60" t="s">
        <v>117</v>
      </c>
      <c r="O60" t="s">
        <v>215</v>
      </c>
      <c r="P60">
        <v>20260909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35</v>
      </c>
      <c r="Y60" t="s">
        <v>47</v>
      </c>
      <c r="Z60" t="s">
        <v>35</v>
      </c>
      <c r="AA60" t="s">
        <v>50</v>
      </c>
      <c r="AB60" t="s">
        <v>35</v>
      </c>
      <c r="AC60" t="s">
        <v>805</v>
      </c>
      <c r="AD60" t="s">
        <v>1006</v>
      </c>
    </row>
    <row r="61" spans="1:30">
      <c r="A61">
        <v>53183883</v>
      </c>
      <c r="B61" t="s">
        <v>1007</v>
      </c>
      <c r="C61" t="s">
        <v>212</v>
      </c>
      <c r="D61" t="s">
        <v>47</v>
      </c>
      <c r="E61" t="s">
        <v>35</v>
      </c>
      <c r="F61">
        <v>6981</v>
      </c>
      <c r="G61" t="s">
        <v>786</v>
      </c>
      <c r="H61" t="s">
        <v>45</v>
      </c>
      <c r="I61" t="s">
        <v>48</v>
      </c>
      <c r="J61" t="s">
        <v>46</v>
      </c>
      <c r="K61" t="s">
        <v>116</v>
      </c>
      <c r="L61" t="s">
        <v>806</v>
      </c>
      <c r="M61" t="s">
        <v>118</v>
      </c>
      <c r="N61" t="s">
        <v>117</v>
      </c>
      <c r="O61" t="s">
        <v>215</v>
      </c>
      <c r="P61">
        <v>20260909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806</v>
      </c>
      <c r="AD61" t="s">
        <v>1008</v>
      </c>
    </row>
    <row r="62" spans="1:30">
      <c r="A62">
        <v>53183977</v>
      </c>
      <c r="B62" t="s">
        <v>1009</v>
      </c>
      <c r="C62" t="s">
        <v>212</v>
      </c>
      <c r="D62" t="s">
        <v>47</v>
      </c>
      <c r="E62" t="s">
        <v>35</v>
      </c>
      <c r="F62">
        <v>6613</v>
      </c>
      <c r="G62" t="s">
        <v>165</v>
      </c>
      <c r="H62" t="s">
        <v>45</v>
      </c>
      <c r="I62" t="s">
        <v>48</v>
      </c>
      <c r="J62" t="s">
        <v>46</v>
      </c>
      <c r="K62" t="s">
        <v>116</v>
      </c>
      <c r="L62" t="s">
        <v>807</v>
      </c>
      <c r="M62" t="s">
        <v>118</v>
      </c>
      <c r="N62" t="s">
        <v>117</v>
      </c>
      <c r="O62" t="s">
        <v>215</v>
      </c>
      <c r="P62">
        <v>20260909</v>
      </c>
      <c r="Q62">
        <v>100</v>
      </c>
      <c r="R62">
        <v>100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35</v>
      </c>
      <c r="Y62" t="s">
        <v>47</v>
      </c>
      <c r="Z62" t="s">
        <v>35</v>
      </c>
      <c r="AA62" t="s">
        <v>50</v>
      </c>
      <c r="AB62" t="s">
        <v>35</v>
      </c>
      <c r="AC62" t="s">
        <v>807</v>
      </c>
      <c r="AD62" t="s">
        <v>1010</v>
      </c>
    </row>
    <row r="63" spans="1:30">
      <c r="A63">
        <v>53186874</v>
      </c>
      <c r="B63" t="s">
        <v>1011</v>
      </c>
      <c r="C63" t="s">
        <v>212</v>
      </c>
      <c r="D63" t="s">
        <v>47</v>
      </c>
      <c r="E63" t="s">
        <v>35</v>
      </c>
      <c r="F63">
        <v>2269</v>
      </c>
      <c r="G63" t="s">
        <v>798</v>
      </c>
      <c r="H63" t="s">
        <v>45</v>
      </c>
      <c r="I63" t="s">
        <v>48</v>
      </c>
      <c r="J63" t="s">
        <v>46</v>
      </c>
      <c r="K63" t="s">
        <v>116</v>
      </c>
      <c r="L63" t="s">
        <v>808</v>
      </c>
      <c r="M63" t="s">
        <v>124</v>
      </c>
      <c r="N63" t="s">
        <v>123</v>
      </c>
      <c r="O63" t="s">
        <v>215</v>
      </c>
      <c r="P63">
        <v>20260909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125</v>
      </c>
      <c r="Y63" t="s">
        <v>47</v>
      </c>
      <c r="Z63" t="s">
        <v>35</v>
      </c>
      <c r="AA63" t="s">
        <v>50</v>
      </c>
      <c r="AB63" t="s">
        <v>35</v>
      </c>
      <c r="AC63" t="s">
        <v>808</v>
      </c>
      <c r="AD63" t="s">
        <v>1012</v>
      </c>
    </row>
    <row r="64" spans="1:30">
      <c r="A64">
        <v>53187973</v>
      </c>
      <c r="B64" t="s">
        <v>1013</v>
      </c>
      <c r="C64" t="s">
        <v>212</v>
      </c>
      <c r="D64" t="s">
        <v>47</v>
      </c>
      <c r="E64" t="s">
        <v>35</v>
      </c>
      <c r="F64">
        <v>6981</v>
      </c>
      <c r="G64" t="s">
        <v>786</v>
      </c>
      <c r="H64" t="s">
        <v>45</v>
      </c>
      <c r="I64" t="s">
        <v>48</v>
      </c>
      <c r="J64" t="s">
        <v>46</v>
      </c>
      <c r="K64" t="s">
        <v>116</v>
      </c>
      <c r="L64" t="s">
        <v>809</v>
      </c>
      <c r="M64" t="s">
        <v>124</v>
      </c>
      <c r="N64" t="s">
        <v>123</v>
      </c>
      <c r="O64" t="s">
        <v>215</v>
      </c>
      <c r="P64">
        <v>20260909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125</v>
      </c>
      <c r="Y64" t="s">
        <v>47</v>
      </c>
      <c r="Z64" t="s">
        <v>35</v>
      </c>
      <c r="AA64" t="s">
        <v>50</v>
      </c>
      <c r="AB64" t="s">
        <v>35</v>
      </c>
      <c r="AC64" t="s">
        <v>809</v>
      </c>
      <c r="AD64" t="s">
        <v>1014</v>
      </c>
    </row>
    <row r="65" spans="1:30">
      <c r="A65">
        <v>53188476</v>
      </c>
      <c r="B65" t="s">
        <v>1015</v>
      </c>
      <c r="C65" t="s">
        <v>212</v>
      </c>
      <c r="D65" t="s">
        <v>47</v>
      </c>
      <c r="E65" t="s">
        <v>35</v>
      </c>
      <c r="F65">
        <v>6981</v>
      </c>
      <c r="G65" t="s">
        <v>786</v>
      </c>
      <c r="H65" t="s">
        <v>45</v>
      </c>
      <c r="I65" t="s">
        <v>48</v>
      </c>
      <c r="J65" t="s">
        <v>46</v>
      </c>
      <c r="K65" t="s">
        <v>116</v>
      </c>
      <c r="L65" t="s">
        <v>1016</v>
      </c>
      <c r="M65" t="s">
        <v>118</v>
      </c>
      <c r="N65" t="s">
        <v>117</v>
      </c>
      <c r="O65" t="s">
        <v>215</v>
      </c>
      <c r="P65">
        <v>20260909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35</v>
      </c>
      <c r="Y65" t="s">
        <v>47</v>
      </c>
      <c r="Z65" t="s">
        <v>35</v>
      </c>
      <c r="AA65" t="s">
        <v>50</v>
      </c>
      <c r="AB65" t="s">
        <v>35</v>
      </c>
      <c r="AC65" t="s">
        <v>810</v>
      </c>
      <c r="AD65" t="s">
        <v>1008</v>
      </c>
    </row>
    <row r="66" spans="1:30">
      <c r="A66">
        <v>53189503</v>
      </c>
      <c r="B66" t="s">
        <v>1017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1018</v>
      </c>
      <c r="M66" t="s">
        <v>124</v>
      </c>
      <c r="N66" t="s">
        <v>123</v>
      </c>
      <c r="O66" t="s">
        <v>215</v>
      </c>
      <c r="P66">
        <v>20260909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125</v>
      </c>
      <c r="Y66" t="s">
        <v>47</v>
      </c>
      <c r="Z66" t="s">
        <v>35</v>
      </c>
      <c r="AA66" t="s">
        <v>50</v>
      </c>
      <c r="AB66" t="s">
        <v>35</v>
      </c>
      <c r="AC66" t="s">
        <v>811</v>
      </c>
      <c r="AD66" t="s">
        <v>1019</v>
      </c>
    </row>
    <row r="67" spans="1:30">
      <c r="A67">
        <v>53189666</v>
      </c>
      <c r="B67" t="s">
        <v>1020</v>
      </c>
      <c r="C67" t="s">
        <v>212</v>
      </c>
      <c r="D67" t="s">
        <v>47</v>
      </c>
      <c r="E67" t="s">
        <v>35</v>
      </c>
      <c r="F67">
        <v>6981</v>
      </c>
      <c r="G67" t="s">
        <v>786</v>
      </c>
      <c r="H67" t="s">
        <v>45</v>
      </c>
      <c r="I67" t="s">
        <v>48</v>
      </c>
      <c r="J67" t="s">
        <v>46</v>
      </c>
      <c r="K67" t="s">
        <v>116</v>
      </c>
      <c r="L67" t="s">
        <v>812</v>
      </c>
      <c r="M67" t="s">
        <v>124</v>
      </c>
      <c r="N67" t="s">
        <v>123</v>
      </c>
      <c r="O67" t="s">
        <v>215</v>
      </c>
      <c r="P67">
        <v>20260909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812</v>
      </c>
      <c r="AD67" t="s">
        <v>1021</v>
      </c>
    </row>
    <row r="68" spans="1:30">
      <c r="A68">
        <v>53189808</v>
      </c>
      <c r="B68" t="s">
        <v>1022</v>
      </c>
      <c r="C68" t="s">
        <v>212</v>
      </c>
      <c r="D68" t="s">
        <v>47</v>
      </c>
      <c r="E68" t="s">
        <v>35</v>
      </c>
      <c r="F68">
        <v>6613</v>
      </c>
      <c r="G68" t="s">
        <v>165</v>
      </c>
      <c r="H68" t="s">
        <v>45</v>
      </c>
      <c r="I68" t="s">
        <v>48</v>
      </c>
      <c r="J68" t="s">
        <v>46</v>
      </c>
      <c r="K68" t="s">
        <v>116</v>
      </c>
      <c r="L68" t="s">
        <v>1023</v>
      </c>
      <c r="M68" t="s">
        <v>124</v>
      </c>
      <c r="N68" t="s">
        <v>123</v>
      </c>
      <c r="O68" t="s">
        <v>215</v>
      </c>
      <c r="P68">
        <v>20260909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125</v>
      </c>
      <c r="Y68" t="s">
        <v>47</v>
      </c>
      <c r="Z68" t="s">
        <v>35</v>
      </c>
      <c r="AA68" t="s">
        <v>50</v>
      </c>
      <c r="AB68" t="s">
        <v>35</v>
      </c>
      <c r="AC68" t="s">
        <v>813</v>
      </c>
      <c r="AD68" t="s">
        <v>963</v>
      </c>
    </row>
    <row r="69" spans="1:30">
      <c r="A69">
        <v>53198892</v>
      </c>
      <c r="B69" t="s">
        <v>1024</v>
      </c>
      <c r="C69" t="s">
        <v>212</v>
      </c>
      <c r="D69" t="s">
        <v>47</v>
      </c>
      <c r="E69" t="s">
        <v>35</v>
      </c>
      <c r="F69">
        <v>5803</v>
      </c>
      <c r="G69" t="s">
        <v>176</v>
      </c>
      <c r="H69" t="s">
        <v>45</v>
      </c>
      <c r="I69" t="s">
        <v>48</v>
      </c>
      <c r="J69" t="s">
        <v>46</v>
      </c>
      <c r="K69" t="s">
        <v>116</v>
      </c>
      <c r="L69" t="s">
        <v>814</v>
      </c>
      <c r="M69" t="s">
        <v>118</v>
      </c>
      <c r="N69" t="s">
        <v>117</v>
      </c>
      <c r="O69" t="s">
        <v>215</v>
      </c>
      <c r="P69">
        <v>20260909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35</v>
      </c>
      <c r="Y69" t="s">
        <v>47</v>
      </c>
      <c r="Z69" t="s">
        <v>35</v>
      </c>
      <c r="AA69" t="s">
        <v>50</v>
      </c>
      <c r="AB69" t="s">
        <v>35</v>
      </c>
      <c r="AC69" t="s">
        <v>814</v>
      </c>
      <c r="AD69" t="s">
        <v>1025</v>
      </c>
    </row>
    <row r="70" spans="1:30">
      <c r="A70">
        <v>53199180</v>
      </c>
      <c r="B70" t="s">
        <v>1026</v>
      </c>
      <c r="C70" t="s">
        <v>212</v>
      </c>
      <c r="D70" t="s">
        <v>47</v>
      </c>
      <c r="E70" t="s">
        <v>35</v>
      </c>
      <c r="F70">
        <v>6613</v>
      </c>
      <c r="G70" t="s">
        <v>165</v>
      </c>
      <c r="H70" t="s">
        <v>45</v>
      </c>
      <c r="I70" t="s">
        <v>48</v>
      </c>
      <c r="J70" t="s">
        <v>46</v>
      </c>
      <c r="K70" t="s">
        <v>116</v>
      </c>
      <c r="L70" t="s">
        <v>815</v>
      </c>
      <c r="M70" t="s">
        <v>118</v>
      </c>
      <c r="N70" t="s">
        <v>117</v>
      </c>
      <c r="O70" t="s">
        <v>215</v>
      </c>
      <c r="P70">
        <v>20260909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35</v>
      </c>
      <c r="Y70" t="s">
        <v>47</v>
      </c>
      <c r="Z70" t="s">
        <v>35</v>
      </c>
      <c r="AA70" t="s">
        <v>50</v>
      </c>
      <c r="AB70" t="s">
        <v>35</v>
      </c>
      <c r="AC70" t="s">
        <v>815</v>
      </c>
      <c r="AD70" t="s">
        <v>1027</v>
      </c>
    </row>
    <row r="71" spans="1:30">
      <c r="A71">
        <v>53199902</v>
      </c>
      <c r="B71" t="s">
        <v>1028</v>
      </c>
      <c r="C71" t="s">
        <v>212</v>
      </c>
      <c r="D71" t="s">
        <v>47</v>
      </c>
      <c r="E71" t="s">
        <v>35</v>
      </c>
      <c r="F71">
        <v>6613</v>
      </c>
      <c r="G71" t="s">
        <v>165</v>
      </c>
      <c r="H71" t="s">
        <v>45</v>
      </c>
      <c r="I71" t="s">
        <v>48</v>
      </c>
      <c r="J71" t="s">
        <v>46</v>
      </c>
      <c r="K71" t="s">
        <v>116</v>
      </c>
      <c r="L71" t="s">
        <v>816</v>
      </c>
      <c r="M71" t="s">
        <v>118</v>
      </c>
      <c r="N71" t="s">
        <v>117</v>
      </c>
      <c r="O71" t="s">
        <v>215</v>
      </c>
      <c r="P71">
        <v>20260909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816</v>
      </c>
      <c r="AD71" t="s">
        <v>1029</v>
      </c>
    </row>
    <row r="72" spans="1:30">
      <c r="A72">
        <v>53202192</v>
      </c>
      <c r="B72" t="s">
        <v>1030</v>
      </c>
      <c r="C72" t="s">
        <v>212</v>
      </c>
      <c r="D72" t="s">
        <v>47</v>
      </c>
      <c r="E72" t="s">
        <v>35</v>
      </c>
      <c r="F72">
        <v>6613</v>
      </c>
      <c r="G72" t="s">
        <v>165</v>
      </c>
      <c r="H72" t="s">
        <v>45</v>
      </c>
      <c r="I72" t="s">
        <v>48</v>
      </c>
      <c r="J72" t="s">
        <v>46</v>
      </c>
      <c r="K72" t="s">
        <v>116</v>
      </c>
      <c r="L72" t="s">
        <v>1031</v>
      </c>
      <c r="M72" t="s">
        <v>118</v>
      </c>
      <c r="N72" t="s">
        <v>117</v>
      </c>
      <c r="O72" t="s">
        <v>215</v>
      </c>
      <c r="P72">
        <v>20260909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817</v>
      </c>
      <c r="AD72" t="s">
        <v>1032</v>
      </c>
    </row>
    <row r="73" spans="1:30">
      <c r="A73">
        <v>53201839</v>
      </c>
      <c r="B73" t="s">
        <v>1033</v>
      </c>
      <c r="C73" t="s">
        <v>212</v>
      </c>
      <c r="D73" t="s">
        <v>232</v>
      </c>
      <c r="E73" t="s">
        <v>35</v>
      </c>
      <c r="F73">
        <v>5803</v>
      </c>
      <c r="G73" t="s">
        <v>176</v>
      </c>
      <c r="H73" t="s">
        <v>45</v>
      </c>
      <c r="I73" t="s">
        <v>48</v>
      </c>
      <c r="J73" t="s">
        <v>46</v>
      </c>
      <c r="K73" t="s">
        <v>116</v>
      </c>
      <c r="L73" t="s">
        <v>818</v>
      </c>
      <c r="M73" t="s">
        <v>124</v>
      </c>
      <c r="N73" t="s">
        <v>123</v>
      </c>
      <c r="O73" t="s">
        <v>215</v>
      </c>
      <c r="P73">
        <v>20260909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818</v>
      </c>
      <c r="AD73" t="s">
        <v>1034</v>
      </c>
    </row>
    <row r="74" spans="1:30">
      <c r="A74">
        <v>53203244</v>
      </c>
      <c r="B74" t="s">
        <v>1035</v>
      </c>
      <c r="C74" t="s">
        <v>212</v>
      </c>
      <c r="D74" t="s">
        <v>47</v>
      </c>
      <c r="E74" t="s">
        <v>35</v>
      </c>
      <c r="F74">
        <v>6613</v>
      </c>
      <c r="G74" t="s">
        <v>165</v>
      </c>
      <c r="H74" t="s">
        <v>45</v>
      </c>
      <c r="I74" t="s">
        <v>48</v>
      </c>
      <c r="J74" t="s">
        <v>46</v>
      </c>
      <c r="K74" t="s">
        <v>116</v>
      </c>
      <c r="L74" t="s">
        <v>819</v>
      </c>
      <c r="M74" t="s">
        <v>118</v>
      </c>
      <c r="N74" t="s">
        <v>117</v>
      </c>
      <c r="O74" t="s">
        <v>215</v>
      </c>
      <c r="P74">
        <v>20260909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35</v>
      </c>
      <c r="Y74" t="s">
        <v>47</v>
      </c>
      <c r="Z74" t="s">
        <v>35</v>
      </c>
      <c r="AA74" t="s">
        <v>50</v>
      </c>
      <c r="AB74" t="s">
        <v>35</v>
      </c>
      <c r="AC74" t="s">
        <v>819</v>
      </c>
      <c r="AD74" t="s">
        <v>1036</v>
      </c>
    </row>
    <row r="75" spans="1:30">
      <c r="A75">
        <v>53205686</v>
      </c>
      <c r="B75" t="s">
        <v>1037</v>
      </c>
      <c r="C75" t="s">
        <v>212</v>
      </c>
      <c r="D75" t="s">
        <v>47</v>
      </c>
      <c r="E75" t="s">
        <v>35</v>
      </c>
      <c r="F75">
        <v>3436</v>
      </c>
      <c r="G75" t="s">
        <v>152</v>
      </c>
      <c r="H75" t="s">
        <v>45</v>
      </c>
      <c r="I75" t="s">
        <v>48</v>
      </c>
      <c r="J75" t="s">
        <v>46</v>
      </c>
      <c r="K75" t="s">
        <v>116</v>
      </c>
      <c r="L75" t="s">
        <v>1038</v>
      </c>
      <c r="M75" t="s">
        <v>118</v>
      </c>
      <c r="N75" t="s">
        <v>117</v>
      </c>
      <c r="O75" t="s">
        <v>215</v>
      </c>
      <c r="P75">
        <v>20260909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820</v>
      </c>
      <c r="AD75" t="s">
        <v>1039</v>
      </c>
    </row>
    <row r="76" spans="1:30">
      <c r="A76">
        <v>53207004</v>
      </c>
      <c r="B76" t="s">
        <v>1040</v>
      </c>
      <c r="C76" t="s">
        <v>212</v>
      </c>
      <c r="D76" t="s">
        <v>47</v>
      </c>
      <c r="E76" t="s">
        <v>35</v>
      </c>
      <c r="F76">
        <v>6613</v>
      </c>
      <c r="G76" t="s">
        <v>165</v>
      </c>
      <c r="H76" t="s">
        <v>45</v>
      </c>
      <c r="I76" t="s">
        <v>48</v>
      </c>
      <c r="J76" t="s">
        <v>46</v>
      </c>
      <c r="K76" t="s">
        <v>116</v>
      </c>
      <c r="L76" t="s">
        <v>821</v>
      </c>
      <c r="M76" t="s">
        <v>124</v>
      </c>
      <c r="N76" t="s">
        <v>123</v>
      </c>
      <c r="O76" t="s">
        <v>215</v>
      </c>
      <c r="P76">
        <v>20260909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821</v>
      </c>
      <c r="AD76" t="s">
        <v>1041</v>
      </c>
    </row>
    <row r="77" spans="1:30">
      <c r="A77">
        <v>53207775</v>
      </c>
      <c r="B77" t="s">
        <v>1042</v>
      </c>
      <c r="C77" t="s">
        <v>212</v>
      </c>
      <c r="D77" t="s">
        <v>47</v>
      </c>
      <c r="E77" t="s">
        <v>35</v>
      </c>
      <c r="F77">
        <v>5803</v>
      </c>
      <c r="G77" t="s">
        <v>176</v>
      </c>
      <c r="H77" t="s">
        <v>45</v>
      </c>
      <c r="I77" t="s">
        <v>48</v>
      </c>
      <c r="J77" t="s">
        <v>46</v>
      </c>
      <c r="K77" t="s">
        <v>116</v>
      </c>
      <c r="L77" t="s">
        <v>1043</v>
      </c>
      <c r="M77" t="s">
        <v>118</v>
      </c>
      <c r="N77" t="s">
        <v>117</v>
      </c>
      <c r="O77" t="s">
        <v>215</v>
      </c>
      <c r="P77">
        <v>20260909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822</v>
      </c>
      <c r="AD77" t="s">
        <v>1044</v>
      </c>
    </row>
    <row r="78" spans="1:30">
      <c r="A78">
        <v>53208864</v>
      </c>
      <c r="B78" t="s">
        <v>1045</v>
      </c>
      <c r="C78" t="s">
        <v>212</v>
      </c>
      <c r="D78" t="s">
        <v>47</v>
      </c>
      <c r="E78" t="s">
        <v>35</v>
      </c>
      <c r="F78">
        <v>3436</v>
      </c>
      <c r="G78" t="s">
        <v>152</v>
      </c>
      <c r="H78" t="s">
        <v>45</v>
      </c>
      <c r="I78" t="s">
        <v>48</v>
      </c>
      <c r="J78" t="s">
        <v>46</v>
      </c>
      <c r="K78" t="s">
        <v>116</v>
      </c>
      <c r="L78" t="s">
        <v>823</v>
      </c>
      <c r="M78" t="s">
        <v>124</v>
      </c>
      <c r="N78" t="s">
        <v>123</v>
      </c>
      <c r="O78" t="s">
        <v>215</v>
      </c>
      <c r="P78">
        <v>20260909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125</v>
      </c>
      <c r="Y78" t="s">
        <v>47</v>
      </c>
      <c r="Z78" t="s">
        <v>35</v>
      </c>
      <c r="AA78" t="s">
        <v>50</v>
      </c>
      <c r="AB78" t="s">
        <v>35</v>
      </c>
      <c r="AC78" t="s">
        <v>823</v>
      </c>
      <c r="AD78" t="s">
        <v>1046</v>
      </c>
    </row>
    <row r="79" spans="1:30">
      <c r="A79">
        <v>53209902</v>
      </c>
      <c r="B79" t="s">
        <v>1047</v>
      </c>
      <c r="C79" t="s">
        <v>212</v>
      </c>
      <c r="D79" t="s">
        <v>47</v>
      </c>
      <c r="E79" t="s">
        <v>35</v>
      </c>
      <c r="F79">
        <v>6613</v>
      </c>
      <c r="G79" t="s">
        <v>165</v>
      </c>
      <c r="H79" t="s">
        <v>45</v>
      </c>
      <c r="I79" t="s">
        <v>48</v>
      </c>
      <c r="J79" t="s">
        <v>46</v>
      </c>
      <c r="K79" t="s">
        <v>116</v>
      </c>
      <c r="L79" t="s">
        <v>824</v>
      </c>
      <c r="M79" t="s">
        <v>124</v>
      </c>
      <c r="N79" t="s">
        <v>123</v>
      </c>
      <c r="O79" t="s">
        <v>215</v>
      </c>
      <c r="P79">
        <v>20260909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824</v>
      </c>
      <c r="AD79" t="s">
        <v>1048</v>
      </c>
    </row>
    <row r="80" spans="1:30">
      <c r="A80">
        <v>53209226</v>
      </c>
      <c r="B80" t="s">
        <v>1049</v>
      </c>
      <c r="C80" t="s">
        <v>212</v>
      </c>
      <c r="D80" t="s">
        <v>232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825</v>
      </c>
      <c r="M80" t="s">
        <v>124</v>
      </c>
      <c r="N80" t="s">
        <v>123</v>
      </c>
      <c r="O80" t="s">
        <v>215</v>
      </c>
      <c r="P80">
        <v>20260909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125</v>
      </c>
      <c r="Y80" t="s">
        <v>47</v>
      </c>
      <c r="Z80" t="s">
        <v>35</v>
      </c>
      <c r="AA80" t="s">
        <v>50</v>
      </c>
      <c r="AB80" t="s">
        <v>35</v>
      </c>
      <c r="AC80" t="s">
        <v>825</v>
      </c>
      <c r="AD80" t="s">
        <v>1050</v>
      </c>
    </row>
    <row r="81" spans="1:30">
      <c r="A81">
        <v>53217148</v>
      </c>
      <c r="B81" t="s">
        <v>1051</v>
      </c>
      <c r="C81" t="s">
        <v>212</v>
      </c>
      <c r="D81" t="s">
        <v>47</v>
      </c>
      <c r="E81" t="s">
        <v>35</v>
      </c>
      <c r="F81">
        <v>6613</v>
      </c>
      <c r="G81" t="s">
        <v>165</v>
      </c>
      <c r="H81" t="s">
        <v>45</v>
      </c>
      <c r="I81" t="s">
        <v>48</v>
      </c>
      <c r="J81" t="s">
        <v>46</v>
      </c>
      <c r="K81" t="s">
        <v>116</v>
      </c>
      <c r="L81" t="s">
        <v>826</v>
      </c>
      <c r="M81" t="s">
        <v>124</v>
      </c>
      <c r="N81" t="s">
        <v>123</v>
      </c>
      <c r="O81" t="s">
        <v>215</v>
      </c>
      <c r="P81">
        <v>20260909</v>
      </c>
      <c r="Q81">
        <v>200</v>
      </c>
      <c r="R81">
        <v>200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826</v>
      </c>
      <c r="AD81" t="s">
        <v>919</v>
      </c>
    </row>
    <row r="82" spans="1:30">
      <c r="A82">
        <v>53218572</v>
      </c>
      <c r="B82" t="s">
        <v>1052</v>
      </c>
      <c r="C82" t="s">
        <v>212</v>
      </c>
      <c r="D82" t="s">
        <v>47</v>
      </c>
      <c r="E82" t="s">
        <v>35</v>
      </c>
      <c r="F82" t="s">
        <v>829</v>
      </c>
      <c r="G82" t="s">
        <v>830</v>
      </c>
      <c r="H82" t="s">
        <v>45</v>
      </c>
      <c r="I82" t="s">
        <v>48</v>
      </c>
      <c r="J82" t="s">
        <v>46</v>
      </c>
      <c r="K82" t="s">
        <v>116</v>
      </c>
      <c r="L82" t="s">
        <v>1053</v>
      </c>
      <c r="M82" t="s">
        <v>118</v>
      </c>
      <c r="N82" t="s">
        <v>117</v>
      </c>
      <c r="O82" t="s">
        <v>215</v>
      </c>
      <c r="P82">
        <v>20260909</v>
      </c>
      <c r="Q82">
        <v>100</v>
      </c>
      <c r="R82">
        <v>100</v>
      </c>
      <c r="S82">
        <v>4180</v>
      </c>
      <c r="T82" t="s">
        <v>49</v>
      </c>
      <c r="U82" t="s">
        <v>47</v>
      </c>
      <c r="V82" t="s">
        <v>47</v>
      </c>
      <c r="W82" t="s">
        <v>47</v>
      </c>
      <c r="X82" t="s">
        <v>35</v>
      </c>
      <c r="Y82" t="s">
        <v>47</v>
      </c>
      <c r="Z82" t="s">
        <v>35</v>
      </c>
      <c r="AA82" t="s">
        <v>50</v>
      </c>
      <c r="AB82" t="s">
        <v>35</v>
      </c>
      <c r="AC82" t="s">
        <v>1053</v>
      </c>
      <c r="AD82" t="s">
        <v>1054</v>
      </c>
    </row>
    <row r="83" spans="1:30">
      <c r="A83">
        <v>53228924</v>
      </c>
      <c r="B83" t="s">
        <v>1055</v>
      </c>
      <c r="C83" t="s">
        <v>212</v>
      </c>
      <c r="D83" t="s">
        <v>232</v>
      </c>
      <c r="E83" t="s">
        <v>35</v>
      </c>
      <c r="F83" t="s">
        <v>829</v>
      </c>
      <c r="G83" t="s">
        <v>830</v>
      </c>
      <c r="H83" t="s">
        <v>45</v>
      </c>
      <c r="I83" t="s">
        <v>48</v>
      </c>
      <c r="J83" t="s">
        <v>46</v>
      </c>
      <c r="K83" t="s">
        <v>116</v>
      </c>
      <c r="L83" t="s">
        <v>831</v>
      </c>
      <c r="M83" t="s">
        <v>124</v>
      </c>
      <c r="N83" t="s">
        <v>123</v>
      </c>
      <c r="O83" t="s">
        <v>215</v>
      </c>
      <c r="P83">
        <v>20260909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831</v>
      </c>
      <c r="AD83" t="s">
        <v>1056</v>
      </c>
    </row>
    <row r="84" spans="1:30">
      <c r="A84">
        <v>53240219</v>
      </c>
      <c r="B84" t="s">
        <v>1057</v>
      </c>
      <c r="C84" t="s">
        <v>212</v>
      </c>
      <c r="D84" t="s">
        <v>47</v>
      </c>
      <c r="E84" t="s">
        <v>35</v>
      </c>
      <c r="F84">
        <v>6613</v>
      </c>
      <c r="G84" t="s">
        <v>165</v>
      </c>
      <c r="H84" t="s">
        <v>45</v>
      </c>
      <c r="I84" t="s">
        <v>48</v>
      </c>
      <c r="J84" t="s">
        <v>46</v>
      </c>
      <c r="K84" t="s">
        <v>116</v>
      </c>
      <c r="L84" t="s">
        <v>832</v>
      </c>
      <c r="M84" t="s">
        <v>118</v>
      </c>
      <c r="N84" t="s">
        <v>117</v>
      </c>
      <c r="O84" t="s">
        <v>215</v>
      </c>
      <c r="P84">
        <v>20260909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832</v>
      </c>
      <c r="AD84" t="s">
        <v>1058</v>
      </c>
    </row>
    <row r="85" spans="1:30">
      <c r="A85">
        <v>53241436</v>
      </c>
      <c r="B85" t="s">
        <v>1059</v>
      </c>
      <c r="C85" t="s">
        <v>290</v>
      </c>
      <c r="D85" t="s">
        <v>47</v>
      </c>
      <c r="E85" t="s">
        <v>35</v>
      </c>
      <c r="F85">
        <v>6613</v>
      </c>
      <c r="G85" t="s">
        <v>165</v>
      </c>
      <c r="H85" t="s">
        <v>45</v>
      </c>
      <c r="I85" t="s">
        <v>48</v>
      </c>
      <c r="J85" t="s">
        <v>46</v>
      </c>
      <c r="K85" t="s">
        <v>116</v>
      </c>
      <c r="L85" t="s">
        <v>1060</v>
      </c>
      <c r="M85" t="s">
        <v>118</v>
      </c>
      <c r="N85" t="s">
        <v>117</v>
      </c>
      <c r="O85" t="s">
        <v>215</v>
      </c>
      <c r="P85">
        <v>20260909</v>
      </c>
      <c r="Q85">
        <v>100</v>
      </c>
      <c r="R85">
        <v>0</v>
      </c>
      <c r="S85">
        <v>1940</v>
      </c>
      <c r="T85" t="s">
        <v>49</v>
      </c>
      <c r="U85" t="s">
        <v>47</v>
      </c>
      <c r="V85" t="s">
        <v>47</v>
      </c>
      <c r="W85" t="s">
        <v>47</v>
      </c>
      <c r="X85" t="s">
        <v>35</v>
      </c>
      <c r="Y85" t="s">
        <v>47</v>
      </c>
      <c r="Z85" t="s">
        <v>35</v>
      </c>
      <c r="AA85" t="s">
        <v>50</v>
      </c>
      <c r="AB85" t="s">
        <v>35</v>
      </c>
      <c r="AC85" t="s">
        <v>1060</v>
      </c>
      <c r="AD85" t="s">
        <v>1032</v>
      </c>
    </row>
    <row r="86" spans="1:30">
      <c r="A86">
        <v>53242204</v>
      </c>
      <c r="B86" t="s">
        <v>1061</v>
      </c>
      <c r="C86" t="s">
        <v>212</v>
      </c>
      <c r="D86" t="s">
        <v>47</v>
      </c>
      <c r="E86" t="s">
        <v>35</v>
      </c>
      <c r="F86">
        <v>6613</v>
      </c>
      <c r="G86" t="s">
        <v>165</v>
      </c>
      <c r="H86" t="s">
        <v>45</v>
      </c>
      <c r="I86" t="s">
        <v>48</v>
      </c>
      <c r="J86" t="s">
        <v>46</v>
      </c>
      <c r="K86" t="s">
        <v>116</v>
      </c>
      <c r="L86" t="s">
        <v>833</v>
      </c>
      <c r="M86" t="s">
        <v>118</v>
      </c>
      <c r="N86" t="s">
        <v>117</v>
      </c>
      <c r="O86" t="s">
        <v>215</v>
      </c>
      <c r="P86">
        <v>20260909</v>
      </c>
      <c r="Q86">
        <v>100</v>
      </c>
      <c r="R86">
        <v>100</v>
      </c>
      <c r="S86">
        <v>1944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833</v>
      </c>
      <c r="AD86" t="s">
        <v>1062</v>
      </c>
    </row>
    <row r="87" spans="1:30">
      <c r="A87">
        <v>53244476</v>
      </c>
      <c r="B87" t="s">
        <v>1063</v>
      </c>
      <c r="C87" t="s">
        <v>290</v>
      </c>
      <c r="D87" t="s">
        <v>47</v>
      </c>
      <c r="E87" t="s">
        <v>35</v>
      </c>
      <c r="F87">
        <v>6613</v>
      </c>
      <c r="G87" t="s">
        <v>165</v>
      </c>
      <c r="H87" t="s">
        <v>45</v>
      </c>
      <c r="I87" t="s">
        <v>48</v>
      </c>
      <c r="J87" t="s">
        <v>46</v>
      </c>
      <c r="K87" t="s">
        <v>116</v>
      </c>
      <c r="L87" t="s">
        <v>1064</v>
      </c>
      <c r="M87" t="s">
        <v>124</v>
      </c>
      <c r="N87" t="s">
        <v>123</v>
      </c>
      <c r="O87" t="s">
        <v>215</v>
      </c>
      <c r="P87">
        <v>20260909</v>
      </c>
      <c r="Q87">
        <v>100</v>
      </c>
      <c r="R87">
        <v>0</v>
      </c>
      <c r="S87">
        <v>1930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1064</v>
      </c>
      <c r="AD87" t="s">
        <v>1065</v>
      </c>
    </row>
    <row r="88" spans="1:30">
      <c r="A88">
        <v>53248846</v>
      </c>
      <c r="B88" t="s">
        <v>1066</v>
      </c>
      <c r="C88" t="s">
        <v>212</v>
      </c>
      <c r="D88" t="s">
        <v>47</v>
      </c>
      <c r="E88" t="s">
        <v>35</v>
      </c>
      <c r="F88">
        <v>6613</v>
      </c>
      <c r="G88" t="s">
        <v>165</v>
      </c>
      <c r="H88" t="s">
        <v>45</v>
      </c>
      <c r="I88" t="s">
        <v>48</v>
      </c>
      <c r="J88" t="s">
        <v>46</v>
      </c>
      <c r="K88" t="s">
        <v>116</v>
      </c>
      <c r="L88" t="s">
        <v>1067</v>
      </c>
      <c r="M88" t="s">
        <v>124</v>
      </c>
      <c r="N88" t="s">
        <v>123</v>
      </c>
      <c r="O88" t="s">
        <v>215</v>
      </c>
      <c r="P88">
        <v>20260909</v>
      </c>
      <c r="Q88">
        <v>100</v>
      </c>
      <c r="R88">
        <v>100</v>
      </c>
      <c r="S88">
        <v>1927</v>
      </c>
      <c r="T88" t="s">
        <v>49</v>
      </c>
      <c r="U88" t="s">
        <v>47</v>
      </c>
      <c r="V88" t="s">
        <v>47</v>
      </c>
      <c r="W88" t="s">
        <v>47</v>
      </c>
      <c r="X88" t="s">
        <v>125</v>
      </c>
      <c r="Y88" t="s">
        <v>47</v>
      </c>
      <c r="Z88" t="s">
        <v>35</v>
      </c>
      <c r="AA88" t="s">
        <v>50</v>
      </c>
      <c r="AB88" t="s">
        <v>35</v>
      </c>
      <c r="AC88" t="s">
        <v>1067</v>
      </c>
      <c r="AD88" t="s">
        <v>1068</v>
      </c>
    </row>
    <row r="89" spans="1:30">
      <c r="A89">
        <v>53249258</v>
      </c>
      <c r="B89" t="s">
        <v>1069</v>
      </c>
      <c r="C89" t="s">
        <v>212</v>
      </c>
      <c r="D89" t="s">
        <v>47</v>
      </c>
      <c r="E89" t="s">
        <v>35</v>
      </c>
      <c r="F89">
        <v>6613</v>
      </c>
      <c r="G89" t="s">
        <v>165</v>
      </c>
      <c r="H89" t="s">
        <v>45</v>
      </c>
      <c r="I89" t="s">
        <v>48</v>
      </c>
      <c r="J89" t="s">
        <v>46</v>
      </c>
      <c r="K89" t="s">
        <v>116</v>
      </c>
      <c r="L89" t="s">
        <v>835</v>
      </c>
      <c r="M89" t="s">
        <v>124</v>
      </c>
      <c r="N89" t="s">
        <v>123</v>
      </c>
      <c r="O89" t="s">
        <v>215</v>
      </c>
      <c r="P89">
        <v>20260909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835</v>
      </c>
      <c r="AD89" t="s">
        <v>1070</v>
      </c>
    </row>
    <row r="90" spans="1:30">
      <c r="A90">
        <v>53249778</v>
      </c>
      <c r="B90" t="s">
        <v>1071</v>
      </c>
      <c r="C90" t="s">
        <v>212</v>
      </c>
      <c r="D90" t="s">
        <v>47</v>
      </c>
      <c r="E90" t="s">
        <v>35</v>
      </c>
      <c r="F90">
        <v>6613</v>
      </c>
      <c r="G90" t="s">
        <v>165</v>
      </c>
      <c r="H90" t="s">
        <v>45</v>
      </c>
      <c r="I90" t="s">
        <v>48</v>
      </c>
      <c r="J90" t="s">
        <v>46</v>
      </c>
      <c r="K90" t="s">
        <v>116</v>
      </c>
      <c r="L90" t="s">
        <v>1072</v>
      </c>
      <c r="M90" t="s">
        <v>118</v>
      </c>
      <c r="N90" t="s">
        <v>117</v>
      </c>
      <c r="O90" t="s">
        <v>215</v>
      </c>
      <c r="P90">
        <v>20260909</v>
      </c>
      <c r="Q90">
        <v>100</v>
      </c>
      <c r="R90">
        <v>100</v>
      </c>
      <c r="S90">
        <v>1924</v>
      </c>
      <c r="T90" t="s">
        <v>49</v>
      </c>
      <c r="U90" t="s">
        <v>47</v>
      </c>
      <c r="V90" t="s">
        <v>47</v>
      </c>
      <c r="W90" t="s">
        <v>47</v>
      </c>
      <c r="X90" t="s">
        <v>35</v>
      </c>
      <c r="Y90" t="s">
        <v>47</v>
      </c>
      <c r="Z90" t="s">
        <v>35</v>
      </c>
      <c r="AA90" t="s">
        <v>50</v>
      </c>
      <c r="AB90" t="s">
        <v>35</v>
      </c>
      <c r="AC90" t="s">
        <v>1072</v>
      </c>
      <c r="AD90" t="s">
        <v>1070</v>
      </c>
    </row>
    <row r="91" spans="1:30">
      <c r="A91">
        <v>53251565</v>
      </c>
      <c r="B91" t="s">
        <v>1073</v>
      </c>
      <c r="C91" t="s">
        <v>212</v>
      </c>
      <c r="D91" t="s">
        <v>47</v>
      </c>
      <c r="E91" t="s">
        <v>35</v>
      </c>
      <c r="F91">
        <v>6613</v>
      </c>
      <c r="G91" t="s">
        <v>165</v>
      </c>
      <c r="H91" t="s">
        <v>45</v>
      </c>
      <c r="I91" t="s">
        <v>48</v>
      </c>
      <c r="J91" t="s">
        <v>46</v>
      </c>
      <c r="K91" t="s">
        <v>116</v>
      </c>
      <c r="L91" t="s">
        <v>837</v>
      </c>
      <c r="M91" t="s">
        <v>124</v>
      </c>
      <c r="N91" t="s">
        <v>123</v>
      </c>
      <c r="O91" t="s">
        <v>215</v>
      </c>
      <c r="P91">
        <v>20260909</v>
      </c>
      <c r="Q91">
        <v>100</v>
      </c>
      <c r="R91">
        <v>100</v>
      </c>
      <c r="S91">
        <v>1924</v>
      </c>
      <c r="T91" t="s">
        <v>49</v>
      </c>
      <c r="U91" t="s">
        <v>47</v>
      </c>
      <c r="V91" t="s">
        <v>47</v>
      </c>
      <c r="W91" t="s">
        <v>47</v>
      </c>
      <c r="X91" t="s">
        <v>125</v>
      </c>
      <c r="Y91" t="s">
        <v>47</v>
      </c>
      <c r="Z91" t="s">
        <v>35</v>
      </c>
      <c r="AA91" t="s">
        <v>50</v>
      </c>
      <c r="AB91" t="s">
        <v>35</v>
      </c>
      <c r="AC91" t="s">
        <v>837</v>
      </c>
      <c r="AD91" t="s">
        <v>1074</v>
      </c>
    </row>
    <row r="92" spans="1:30">
      <c r="A92">
        <v>53252900</v>
      </c>
      <c r="B92" t="s">
        <v>1075</v>
      </c>
      <c r="C92" t="s">
        <v>212</v>
      </c>
      <c r="D92" t="s">
        <v>47</v>
      </c>
      <c r="E92" t="s">
        <v>35</v>
      </c>
      <c r="F92">
        <v>4063</v>
      </c>
      <c r="G92" t="s">
        <v>181</v>
      </c>
      <c r="H92" t="s">
        <v>45</v>
      </c>
      <c r="I92" t="s">
        <v>48</v>
      </c>
      <c r="J92" t="s">
        <v>46</v>
      </c>
      <c r="K92" t="s">
        <v>116</v>
      </c>
      <c r="L92" t="s">
        <v>838</v>
      </c>
      <c r="M92" t="s">
        <v>118</v>
      </c>
      <c r="N92" t="s">
        <v>117</v>
      </c>
      <c r="O92" t="s">
        <v>215</v>
      </c>
      <c r="P92">
        <v>20260909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838</v>
      </c>
      <c r="AD92" t="s">
        <v>264</v>
      </c>
    </row>
    <row r="93" spans="1:30">
      <c r="A93">
        <v>53254673</v>
      </c>
      <c r="B93" t="s">
        <v>1076</v>
      </c>
      <c r="C93" t="s">
        <v>212</v>
      </c>
      <c r="D93" t="s">
        <v>47</v>
      </c>
      <c r="E93" t="s">
        <v>35</v>
      </c>
      <c r="F93">
        <v>4063</v>
      </c>
      <c r="G93" t="s">
        <v>181</v>
      </c>
      <c r="H93" t="s">
        <v>45</v>
      </c>
      <c r="I93" t="s">
        <v>48</v>
      </c>
      <c r="J93" t="s">
        <v>46</v>
      </c>
      <c r="K93" t="s">
        <v>116</v>
      </c>
      <c r="L93" t="s">
        <v>1077</v>
      </c>
      <c r="M93" t="s">
        <v>124</v>
      </c>
      <c r="N93" t="s">
        <v>123</v>
      </c>
      <c r="O93" t="s">
        <v>215</v>
      </c>
      <c r="P93">
        <v>20260909</v>
      </c>
      <c r="Q93">
        <v>100</v>
      </c>
      <c r="R93">
        <v>100</v>
      </c>
      <c r="S93">
        <v>5714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1077</v>
      </c>
      <c r="AD93" t="s">
        <v>295</v>
      </c>
    </row>
    <row r="94" spans="1:30">
      <c r="A94">
        <v>53254832</v>
      </c>
      <c r="B94" t="s">
        <v>1078</v>
      </c>
      <c r="C94" t="s">
        <v>212</v>
      </c>
      <c r="D94" t="s">
        <v>47</v>
      </c>
      <c r="E94" t="s">
        <v>35</v>
      </c>
      <c r="F94">
        <v>6613</v>
      </c>
      <c r="G94" t="s">
        <v>165</v>
      </c>
      <c r="H94" t="s">
        <v>45</v>
      </c>
      <c r="I94" t="s">
        <v>48</v>
      </c>
      <c r="J94" t="s">
        <v>46</v>
      </c>
      <c r="K94" t="s">
        <v>116</v>
      </c>
      <c r="L94" t="s">
        <v>839</v>
      </c>
      <c r="M94" t="s">
        <v>118</v>
      </c>
      <c r="N94" t="s">
        <v>117</v>
      </c>
      <c r="O94" t="s">
        <v>215</v>
      </c>
      <c r="P94">
        <v>20260909</v>
      </c>
      <c r="Q94">
        <v>100</v>
      </c>
      <c r="R94">
        <v>100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839</v>
      </c>
      <c r="AD94" t="s">
        <v>1079</v>
      </c>
    </row>
    <row r="95" spans="1:30">
      <c r="A95">
        <v>53256233</v>
      </c>
      <c r="B95" t="s">
        <v>1080</v>
      </c>
      <c r="C95" t="s">
        <v>212</v>
      </c>
      <c r="D95" t="s">
        <v>47</v>
      </c>
      <c r="E95" t="s">
        <v>35</v>
      </c>
      <c r="F95">
        <v>4063</v>
      </c>
      <c r="G95" t="s">
        <v>181</v>
      </c>
      <c r="H95" t="s">
        <v>45</v>
      </c>
      <c r="I95" t="s">
        <v>48</v>
      </c>
      <c r="J95" t="s">
        <v>46</v>
      </c>
      <c r="K95" t="s">
        <v>116</v>
      </c>
      <c r="L95" t="s">
        <v>841</v>
      </c>
      <c r="M95" t="s">
        <v>118</v>
      </c>
      <c r="N95" t="s">
        <v>117</v>
      </c>
      <c r="O95" t="s">
        <v>215</v>
      </c>
      <c r="P95">
        <v>20260909</v>
      </c>
      <c r="Q95">
        <v>100</v>
      </c>
      <c r="R95">
        <v>100</v>
      </c>
      <c r="S95" t="s">
        <v>217</v>
      </c>
      <c r="T95" t="s">
        <v>49</v>
      </c>
      <c r="U95" t="s">
        <v>47</v>
      </c>
      <c r="V95" t="s">
        <v>47</v>
      </c>
      <c r="W95" t="s">
        <v>47</v>
      </c>
      <c r="X95" t="s">
        <v>35</v>
      </c>
      <c r="Y95" t="s">
        <v>47</v>
      </c>
      <c r="Z95" t="s">
        <v>35</v>
      </c>
      <c r="AA95" t="s">
        <v>50</v>
      </c>
      <c r="AB95" t="s">
        <v>35</v>
      </c>
      <c r="AC95" t="s">
        <v>841</v>
      </c>
      <c r="AD95" t="s">
        <v>1081</v>
      </c>
    </row>
    <row r="96" spans="1:30">
      <c r="A96">
        <v>53256877</v>
      </c>
      <c r="B96" t="s">
        <v>1082</v>
      </c>
      <c r="C96" t="s">
        <v>212</v>
      </c>
      <c r="D96" t="s">
        <v>47</v>
      </c>
      <c r="E96" t="s">
        <v>35</v>
      </c>
      <c r="F96">
        <v>6613</v>
      </c>
      <c r="G96" t="s">
        <v>165</v>
      </c>
      <c r="H96" t="s">
        <v>45</v>
      </c>
      <c r="I96" t="s">
        <v>48</v>
      </c>
      <c r="J96" t="s">
        <v>46</v>
      </c>
      <c r="K96" t="s">
        <v>116</v>
      </c>
      <c r="L96" t="s">
        <v>842</v>
      </c>
      <c r="M96" t="s">
        <v>118</v>
      </c>
      <c r="N96" t="s">
        <v>117</v>
      </c>
      <c r="O96" t="s">
        <v>215</v>
      </c>
      <c r="P96">
        <v>20260909</v>
      </c>
      <c r="Q96">
        <v>100</v>
      </c>
      <c r="R96">
        <v>100</v>
      </c>
      <c r="S96" t="s">
        <v>217</v>
      </c>
      <c r="T96" t="s">
        <v>49</v>
      </c>
      <c r="U96" t="s">
        <v>47</v>
      </c>
      <c r="V96" t="s">
        <v>47</v>
      </c>
      <c r="W96" t="s">
        <v>47</v>
      </c>
      <c r="X96" t="s">
        <v>35</v>
      </c>
      <c r="Y96" t="s">
        <v>47</v>
      </c>
      <c r="Z96" t="s">
        <v>35</v>
      </c>
      <c r="AA96" t="s">
        <v>50</v>
      </c>
      <c r="AB96" t="s">
        <v>35</v>
      </c>
      <c r="AC96" t="s">
        <v>842</v>
      </c>
      <c r="AD96" t="s">
        <v>1083</v>
      </c>
    </row>
    <row r="97" spans="1:30">
      <c r="A97">
        <v>53258639</v>
      </c>
      <c r="B97" t="s">
        <v>1084</v>
      </c>
      <c r="C97" t="s">
        <v>212</v>
      </c>
      <c r="D97" t="s">
        <v>47</v>
      </c>
      <c r="E97" t="s">
        <v>35</v>
      </c>
      <c r="F97">
        <v>1605</v>
      </c>
      <c r="G97" t="s">
        <v>844</v>
      </c>
      <c r="H97" t="s">
        <v>45</v>
      </c>
      <c r="I97" t="s">
        <v>48</v>
      </c>
      <c r="J97" t="s">
        <v>46</v>
      </c>
      <c r="K97" t="s">
        <v>116</v>
      </c>
      <c r="L97" t="s">
        <v>843</v>
      </c>
      <c r="M97" t="s">
        <v>118</v>
      </c>
      <c r="N97" t="s">
        <v>117</v>
      </c>
      <c r="O97" t="s">
        <v>215</v>
      </c>
      <c r="P97">
        <v>20260909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843</v>
      </c>
      <c r="AD97" t="s">
        <v>1085</v>
      </c>
    </row>
    <row r="98" spans="1:30">
      <c r="A98">
        <v>53258893</v>
      </c>
      <c r="B98" t="s">
        <v>1086</v>
      </c>
      <c r="C98" t="s">
        <v>212</v>
      </c>
      <c r="D98" t="s">
        <v>47</v>
      </c>
      <c r="E98" t="s">
        <v>35</v>
      </c>
      <c r="F98">
        <v>6613</v>
      </c>
      <c r="G98" t="s">
        <v>165</v>
      </c>
      <c r="H98" t="s">
        <v>45</v>
      </c>
      <c r="I98" t="s">
        <v>48</v>
      </c>
      <c r="J98" t="s">
        <v>46</v>
      </c>
      <c r="K98" t="s">
        <v>116</v>
      </c>
      <c r="L98" t="s">
        <v>845</v>
      </c>
      <c r="M98" t="s">
        <v>124</v>
      </c>
      <c r="N98" t="s">
        <v>123</v>
      </c>
      <c r="O98" t="s">
        <v>215</v>
      </c>
      <c r="P98">
        <v>20260909</v>
      </c>
      <c r="Q98">
        <v>200</v>
      </c>
      <c r="R98">
        <v>200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845</v>
      </c>
      <c r="AD98" t="s">
        <v>1087</v>
      </c>
    </row>
    <row r="99" spans="1:30">
      <c r="A99">
        <v>53259504</v>
      </c>
      <c r="B99" t="s">
        <v>1088</v>
      </c>
      <c r="C99" t="s">
        <v>212</v>
      </c>
      <c r="D99" t="s">
        <v>47</v>
      </c>
      <c r="E99" t="s">
        <v>35</v>
      </c>
      <c r="F99">
        <v>6981</v>
      </c>
      <c r="G99" t="s">
        <v>786</v>
      </c>
      <c r="H99" t="s">
        <v>45</v>
      </c>
      <c r="I99" t="s">
        <v>48</v>
      </c>
      <c r="J99" t="s">
        <v>46</v>
      </c>
      <c r="K99" t="s">
        <v>116</v>
      </c>
      <c r="L99" t="s">
        <v>846</v>
      </c>
      <c r="M99" t="s">
        <v>118</v>
      </c>
      <c r="N99" t="s">
        <v>117</v>
      </c>
      <c r="O99" t="s">
        <v>215</v>
      </c>
      <c r="P99">
        <v>20260909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846</v>
      </c>
      <c r="AD99" t="s">
        <v>1089</v>
      </c>
    </row>
    <row r="100" spans="1:30">
      <c r="A100">
        <v>53269227</v>
      </c>
      <c r="B100" t="s">
        <v>1090</v>
      </c>
      <c r="C100" t="s">
        <v>212</v>
      </c>
      <c r="D100" t="s">
        <v>47</v>
      </c>
      <c r="E100" t="s">
        <v>35</v>
      </c>
      <c r="F100">
        <v>6981</v>
      </c>
      <c r="G100" t="s">
        <v>786</v>
      </c>
      <c r="H100" t="s">
        <v>45</v>
      </c>
      <c r="I100" t="s">
        <v>48</v>
      </c>
      <c r="J100" t="s">
        <v>46</v>
      </c>
      <c r="K100" t="s">
        <v>116</v>
      </c>
      <c r="L100" t="s">
        <v>847</v>
      </c>
      <c r="M100" t="s">
        <v>124</v>
      </c>
      <c r="N100" t="s">
        <v>123</v>
      </c>
      <c r="O100" t="s">
        <v>215</v>
      </c>
      <c r="P100">
        <v>20260909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847</v>
      </c>
      <c r="AD100" t="s">
        <v>1091</v>
      </c>
    </row>
    <row r="101" spans="1:30">
      <c r="A101">
        <v>53269564</v>
      </c>
      <c r="B101" t="s">
        <v>1092</v>
      </c>
      <c r="C101" t="s">
        <v>212</v>
      </c>
      <c r="D101" t="s">
        <v>47</v>
      </c>
      <c r="E101" t="s">
        <v>35</v>
      </c>
      <c r="F101">
        <v>4063</v>
      </c>
      <c r="G101" t="s">
        <v>181</v>
      </c>
      <c r="H101" t="s">
        <v>45</v>
      </c>
      <c r="I101" t="s">
        <v>48</v>
      </c>
      <c r="J101" t="s">
        <v>46</v>
      </c>
      <c r="K101" t="s">
        <v>116</v>
      </c>
      <c r="L101" t="s">
        <v>848</v>
      </c>
      <c r="M101" t="s">
        <v>124</v>
      </c>
      <c r="N101" t="s">
        <v>123</v>
      </c>
      <c r="O101" t="s">
        <v>215</v>
      </c>
      <c r="P101">
        <v>20260909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125</v>
      </c>
      <c r="Y101" t="s">
        <v>47</v>
      </c>
      <c r="Z101" t="s">
        <v>35</v>
      </c>
      <c r="AA101" t="s">
        <v>50</v>
      </c>
      <c r="AB101" t="s">
        <v>35</v>
      </c>
      <c r="AC101" t="s">
        <v>848</v>
      </c>
      <c r="AD101" t="s">
        <v>1093</v>
      </c>
    </row>
    <row r="102" spans="1:30">
      <c r="A102">
        <v>53269787</v>
      </c>
      <c r="B102" t="s">
        <v>1094</v>
      </c>
      <c r="C102" t="s">
        <v>212</v>
      </c>
      <c r="D102" t="s">
        <v>47</v>
      </c>
      <c r="E102" t="s">
        <v>35</v>
      </c>
      <c r="F102">
        <v>6981</v>
      </c>
      <c r="G102" t="s">
        <v>786</v>
      </c>
      <c r="H102" t="s">
        <v>45</v>
      </c>
      <c r="I102" t="s">
        <v>48</v>
      </c>
      <c r="J102" t="s">
        <v>46</v>
      </c>
      <c r="K102" t="s">
        <v>116</v>
      </c>
      <c r="L102" t="s">
        <v>849</v>
      </c>
      <c r="M102" t="s">
        <v>118</v>
      </c>
      <c r="N102" t="s">
        <v>117</v>
      </c>
      <c r="O102" t="s">
        <v>215</v>
      </c>
      <c r="P102">
        <v>20260909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35</v>
      </c>
      <c r="Y102" t="s">
        <v>47</v>
      </c>
      <c r="Z102" t="s">
        <v>35</v>
      </c>
      <c r="AA102" t="s">
        <v>50</v>
      </c>
      <c r="AB102" t="s">
        <v>35</v>
      </c>
      <c r="AC102" t="s">
        <v>849</v>
      </c>
      <c r="AD102" t="s">
        <v>1095</v>
      </c>
    </row>
    <row r="103" spans="1:30">
      <c r="A103">
        <v>53270850</v>
      </c>
      <c r="B103" t="s">
        <v>1096</v>
      </c>
      <c r="C103" t="s">
        <v>212</v>
      </c>
      <c r="D103" t="s">
        <v>47</v>
      </c>
      <c r="E103" t="s">
        <v>35</v>
      </c>
      <c r="F103">
        <v>4063</v>
      </c>
      <c r="G103" t="s">
        <v>181</v>
      </c>
      <c r="H103" t="s">
        <v>45</v>
      </c>
      <c r="I103" t="s">
        <v>48</v>
      </c>
      <c r="J103" t="s">
        <v>46</v>
      </c>
      <c r="K103" t="s">
        <v>116</v>
      </c>
      <c r="L103" t="s">
        <v>850</v>
      </c>
      <c r="M103" t="s">
        <v>118</v>
      </c>
      <c r="N103" t="s">
        <v>117</v>
      </c>
      <c r="O103" t="s">
        <v>215</v>
      </c>
      <c r="P103">
        <v>20260909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850</v>
      </c>
      <c r="AD103" t="s">
        <v>1097</v>
      </c>
    </row>
    <row r="104" spans="1:30">
      <c r="A104">
        <v>53271247</v>
      </c>
      <c r="B104" t="s">
        <v>1098</v>
      </c>
      <c r="C104" t="s">
        <v>212</v>
      </c>
      <c r="D104" t="s">
        <v>47</v>
      </c>
      <c r="E104" t="s">
        <v>35</v>
      </c>
      <c r="F104">
        <v>6981</v>
      </c>
      <c r="G104" t="s">
        <v>786</v>
      </c>
      <c r="H104" t="s">
        <v>45</v>
      </c>
      <c r="I104" t="s">
        <v>48</v>
      </c>
      <c r="J104" t="s">
        <v>46</v>
      </c>
      <c r="K104" t="s">
        <v>116</v>
      </c>
      <c r="L104" t="s">
        <v>851</v>
      </c>
      <c r="M104" t="s">
        <v>124</v>
      </c>
      <c r="N104" t="s">
        <v>123</v>
      </c>
      <c r="O104" t="s">
        <v>215</v>
      </c>
      <c r="P104">
        <v>20260909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851</v>
      </c>
      <c r="AD104" t="s">
        <v>1014</v>
      </c>
    </row>
    <row r="105" spans="1:30">
      <c r="A105">
        <v>53271405</v>
      </c>
      <c r="B105" t="s">
        <v>1099</v>
      </c>
      <c r="C105" t="s">
        <v>212</v>
      </c>
      <c r="D105" t="s">
        <v>47</v>
      </c>
      <c r="E105" t="s">
        <v>35</v>
      </c>
      <c r="F105">
        <v>6981</v>
      </c>
      <c r="G105" t="s">
        <v>786</v>
      </c>
      <c r="H105" t="s">
        <v>45</v>
      </c>
      <c r="I105" t="s">
        <v>48</v>
      </c>
      <c r="J105" t="s">
        <v>46</v>
      </c>
      <c r="K105" t="s">
        <v>116</v>
      </c>
      <c r="L105" t="s">
        <v>852</v>
      </c>
      <c r="M105" t="s">
        <v>118</v>
      </c>
      <c r="N105" t="s">
        <v>117</v>
      </c>
      <c r="O105" t="s">
        <v>215</v>
      </c>
      <c r="P105">
        <v>20260909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852</v>
      </c>
      <c r="AD105" t="s">
        <v>1100</v>
      </c>
    </row>
    <row r="106" spans="1:30">
      <c r="A106">
        <v>53274543</v>
      </c>
      <c r="B106" t="s">
        <v>1101</v>
      </c>
      <c r="C106" t="s">
        <v>212</v>
      </c>
      <c r="D106" t="s">
        <v>47</v>
      </c>
      <c r="E106" t="s">
        <v>35</v>
      </c>
      <c r="F106">
        <v>4063</v>
      </c>
      <c r="G106" t="s">
        <v>181</v>
      </c>
      <c r="H106" t="s">
        <v>45</v>
      </c>
      <c r="I106" t="s">
        <v>48</v>
      </c>
      <c r="J106" t="s">
        <v>46</v>
      </c>
      <c r="K106" t="s">
        <v>116</v>
      </c>
      <c r="L106" t="s">
        <v>853</v>
      </c>
      <c r="M106" t="s">
        <v>124</v>
      </c>
      <c r="N106" t="s">
        <v>123</v>
      </c>
      <c r="O106" t="s">
        <v>215</v>
      </c>
      <c r="P106">
        <v>20260909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853</v>
      </c>
      <c r="AD106" t="s">
        <v>331</v>
      </c>
    </row>
    <row r="107" spans="1:30">
      <c r="A107">
        <v>53275111</v>
      </c>
      <c r="B107" t="s">
        <v>1102</v>
      </c>
      <c r="C107" t="s">
        <v>212</v>
      </c>
      <c r="D107" t="s">
        <v>47</v>
      </c>
      <c r="E107" t="s">
        <v>35</v>
      </c>
      <c r="F107">
        <v>6981</v>
      </c>
      <c r="G107" t="s">
        <v>786</v>
      </c>
      <c r="H107" t="s">
        <v>45</v>
      </c>
      <c r="I107" t="s">
        <v>48</v>
      </c>
      <c r="J107" t="s">
        <v>46</v>
      </c>
      <c r="K107" t="s">
        <v>116</v>
      </c>
      <c r="L107" t="s">
        <v>854</v>
      </c>
      <c r="M107" t="s">
        <v>124</v>
      </c>
      <c r="N107" t="s">
        <v>123</v>
      </c>
      <c r="O107" t="s">
        <v>215</v>
      </c>
      <c r="P107">
        <v>20260909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125</v>
      </c>
      <c r="Y107" t="s">
        <v>47</v>
      </c>
      <c r="Z107" t="s">
        <v>35</v>
      </c>
      <c r="AA107" t="s">
        <v>50</v>
      </c>
      <c r="AB107" t="s">
        <v>35</v>
      </c>
      <c r="AC107" t="s">
        <v>854</v>
      </c>
      <c r="AD107" t="s">
        <v>1103</v>
      </c>
    </row>
    <row r="108" spans="1:30">
      <c r="A108">
        <v>53275439</v>
      </c>
      <c r="B108" t="s">
        <v>1104</v>
      </c>
      <c r="C108" t="s">
        <v>212</v>
      </c>
      <c r="D108" t="s">
        <v>47</v>
      </c>
      <c r="E108" t="s">
        <v>35</v>
      </c>
      <c r="F108">
        <v>1605</v>
      </c>
      <c r="G108" t="s">
        <v>844</v>
      </c>
      <c r="H108" t="s">
        <v>45</v>
      </c>
      <c r="I108" t="s">
        <v>48</v>
      </c>
      <c r="J108" t="s">
        <v>46</v>
      </c>
      <c r="K108" t="s">
        <v>116</v>
      </c>
      <c r="L108" t="s">
        <v>855</v>
      </c>
      <c r="M108" t="s">
        <v>124</v>
      </c>
      <c r="N108" t="s">
        <v>123</v>
      </c>
      <c r="O108" t="s">
        <v>215</v>
      </c>
      <c r="P108">
        <v>20260909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855</v>
      </c>
      <c r="AD108" t="s">
        <v>1105</v>
      </c>
    </row>
    <row r="109" spans="1:30">
      <c r="A109">
        <v>53276157</v>
      </c>
      <c r="B109" t="s">
        <v>1106</v>
      </c>
      <c r="C109" t="s">
        <v>212</v>
      </c>
      <c r="D109" t="s">
        <v>47</v>
      </c>
      <c r="E109" t="s">
        <v>35</v>
      </c>
      <c r="F109">
        <v>6981</v>
      </c>
      <c r="G109" t="s">
        <v>786</v>
      </c>
      <c r="H109" t="s">
        <v>45</v>
      </c>
      <c r="I109" t="s">
        <v>48</v>
      </c>
      <c r="J109" t="s">
        <v>46</v>
      </c>
      <c r="K109" t="s">
        <v>116</v>
      </c>
      <c r="L109" t="s">
        <v>856</v>
      </c>
      <c r="M109" t="s">
        <v>118</v>
      </c>
      <c r="N109" t="s">
        <v>117</v>
      </c>
      <c r="O109" t="s">
        <v>215</v>
      </c>
      <c r="P109">
        <v>20260909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856</v>
      </c>
      <c r="AD109" t="s">
        <v>1107</v>
      </c>
    </row>
    <row r="110" spans="1:30">
      <c r="A110">
        <v>53277339</v>
      </c>
      <c r="B110" t="s">
        <v>1108</v>
      </c>
      <c r="C110" t="s">
        <v>212</v>
      </c>
      <c r="D110" t="s">
        <v>47</v>
      </c>
      <c r="E110" t="s">
        <v>35</v>
      </c>
      <c r="F110">
        <v>4063</v>
      </c>
      <c r="G110" t="s">
        <v>181</v>
      </c>
      <c r="H110" t="s">
        <v>45</v>
      </c>
      <c r="I110" t="s">
        <v>48</v>
      </c>
      <c r="J110" t="s">
        <v>46</v>
      </c>
      <c r="K110" t="s">
        <v>116</v>
      </c>
      <c r="L110" t="s">
        <v>857</v>
      </c>
      <c r="M110" t="s">
        <v>118</v>
      </c>
      <c r="N110" t="s">
        <v>117</v>
      </c>
      <c r="O110" t="s">
        <v>215</v>
      </c>
      <c r="P110">
        <v>20260909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35</v>
      </c>
      <c r="Y110" t="s">
        <v>47</v>
      </c>
      <c r="Z110" t="s">
        <v>35</v>
      </c>
      <c r="AA110" t="s">
        <v>50</v>
      </c>
      <c r="AB110" t="s">
        <v>35</v>
      </c>
      <c r="AC110" t="s">
        <v>857</v>
      </c>
      <c r="AD110" t="s">
        <v>1093</v>
      </c>
    </row>
    <row r="111" spans="1:30">
      <c r="A111">
        <v>53278733</v>
      </c>
      <c r="B111" t="s">
        <v>1109</v>
      </c>
      <c r="C111" t="s">
        <v>212</v>
      </c>
      <c r="D111" t="s">
        <v>47</v>
      </c>
      <c r="E111" t="s">
        <v>35</v>
      </c>
      <c r="F111">
        <v>6981</v>
      </c>
      <c r="G111" t="s">
        <v>786</v>
      </c>
      <c r="H111" t="s">
        <v>45</v>
      </c>
      <c r="I111" t="s">
        <v>48</v>
      </c>
      <c r="J111" t="s">
        <v>46</v>
      </c>
      <c r="K111" t="s">
        <v>116</v>
      </c>
      <c r="L111" t="s">
        <v>858</v>
      </c>
      <c r="M111" t="s">
        <v>124</v>
      </c>
      <c r="N111" t="s">
        <v>123</v>
      </c>
      <c r="O111" t="s">
        <v>215</v>
      </c>
      <c r="P111">
        <v>20260909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125</v>
      </c>
      <c r="Y111" t="s">
        <v>47</v>
      </c>
      <c r="Z111" t="s">
        <v>35</v>
      </c>
      <c r="AA111" t="s">
        <v>50</v>
      </c>
      <c r="AB111" t="s">
        <v>35</v>
      </c>
      <c r="AC111" t="s">
        <v>858</v>
      </c>
      <c r="AD111" t="s">
        <v>1091</v>
      </c>
    </row>
    <row r="112" spans="1:30">
      <c r="A112">
        <v>53278824</v>
      </c>
      <c r="B112" t="s">
        <v>1110</v>
      </c>
      <c r="C112" t="s">
        <v>212</v>
      </c>
      <c r="D112" t="s">
        <v>47</v>
      </c>
      <c r="E112" t="s">
        <v>35</v>
      </c>
      <c r="F112">
        <v>4063</v>
      </c>
      <c r="G112" t="s">
        <v>181</v>
      </c>
      <c r="H112" t="s">
        <v>45</v>
      </c>
      <c r="I112" t="s">
        <v>48</v>
      </c>
      <c r="J112" t="s">
        <v>46</v>
      </c>
      <c r="K112" t="s">
        <v>116</v>
      </c>
      <c r="L112" t="s">
        <v>859</v>
      </c>
      <c r="M112" t="s">
        <v>124</v>
      </c>
      <c r="N112" t="s">
        <v>123</v>
      </c>
      <c r="O112" t="s">
        <v>215</v>
      </c>
      <c r="P112">
        <v>20260909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125</v>
      </c>
      <c r="Y112" t="s">
        <v>47</v>
      </c>
      <c r="Z112" t="s">
        <v>35</v>
      </c>
      <c r="AA112" t="s">
        <v>50</v>
      </c>
      <c r="AB112" t="s">
        <v>35</v>
      </c>
      <c r="AC112" t="s">
        <v>859</v>
      </c>
      <c r="AD112" t="s">
        <v>1111</v>
      </c>
    </row>
    <row r="113" spans="1:30">
      <c r="A113">
        <v>53279027</v>
      </c>
      <c r="B113" t="s">
        <v>1112</v>
      </c>
      <c r="C113" t="s">
        <v>212</v>
      </c>
      <c r="D113" t="s">
        <v>47</v>
      </c>
      <c r="E113" t="s">
        <v>35</v>
      </c>
      <c r="F113">
        <v>6981</v>
      </c>
      <c r="G113" t="s">
        <v>786</v>
      </c>
      <c r="H113" t="s">
        <v>45</v>
      </c>
      <c r="I113" t="s">
        <v>48</v>
      </c>
      <c r="J113" t="s">
        <v>46</v>
      </c>
      <c r="K113" t="s">
        <v>116</v>
      </c>
      <c r="L113" t="s">
        <v>860</v>
      </c>
      <c r="M113" t="s">
        <v>118</v>
      </c>
      <c r="N113" t="s">
        <v>117</v>
      </c>
      <c r="O113" t="s">
        <v>215</v>
      </c>
      <c r="P113">
        <v>20260909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35</v>
      </c>
      <c r="Y113" t="s">
        <v>47</v>
      </c>
      <c r="Z113" t="s">
        <v>35</v>
      </c>
      <c r="AA113" t="s">
        <v>50</v>
      </c>
      <c r="AB113" t="s">
        <v>35</v>
      </c>
      <c r="AC113" t="s">
        <v>860</v>
      </c>
      <c r="AD113" t="s">
        <v>1113</v>
      </c>
    </row>
    <row r="114" spans="1:30">
      <c r="A114">
        <v>53279647</v>
      </c>
      <c r="B114" t="s">
        <v>1114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861</v>
      </c>
      <c r="M114" t="s">
        <v>118</v>
      </c>
      <c r="N114" t="s">
        <v>117</v>
      </c>
      <c r="O114" t="s">
        <v>215</v>
      </c>
      <c r="P114">
        <v>20260909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35</v>
      </c>
      <c r="Y114" t="s">
        <v>47</v>
      </c>
      <c r="Z114" t="s">
        <v>35</v>
      </c>
      <c r="AA114" t="s">
        <v>50</v>
      </c>
      <c r="AB114" t="s">
        <v>35</v>
      </c>
      <c r="AC114" t="s">
        <v>861</v>
      </c>
      <c r="AD114" t="s">
        <v>1115</v>
      </c>
    </row>
    <row r="115" spans="1:30">
      <c r="A115">
        <v>53280021</v>
      </c>
      <c r="B115" t="s">
        <v>1116</v>
      </c>
      <c r="C115" t="s">
        <v>212</v>
      </c>
      <c r="D115" t="s">
        <v>47</v>
      </c>
      <c r="E115" t="s">
        <v>35</v>
      </c>
      <c r="F115">
        <v>4063</v>
      </c>
      <c r="G115" t="s">
        <v>181</v>
      </c>
      <c r="H115" t="s">
        <v>45</v>
      </c>
      <c r="I115" t="s">
        <v>48</v>
      </c>
      <c r="J115" t="s">
        <v>46</v>
      </c>
      <c r="K115" t="s">
        <v>116</v>
      </c>
      <c r="L115" t="s">
        <v>862</v>
      </c>
      <c r="M115" t="s">
        <v>118</v>
      </c>
      <c r="N115" t="s">
        <v>117</v>
      </c>
      <c r="O115" t="s">
        <v>215</v>
      </c>
      <c r="P115">
        <v>20260909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862</v>
      </c>
      <c r="AD115" t="s">
        <v>440</v>
      </c>
    </row>
    <row r="116" spans="1:30">
      <c r="A116">
        <v>53282394</v>
      </c>
      <c r="B116" t="s">
        <v>1117</v>
      </c>
      <c r="C116" t="s">
        <v>212</v>
      </c>
      <c r="D116" t="s">
        <v>47</v>
      </c>
      <c r="E116" t="s">
        <v>35</v>
      </c>
      <c r="F116">
        <v>4063</v>
      </c>
      <c r="G116" t="s">
        <v>181</v>
      </c>
      <c r="H116" t="s">
        <v>45</v>
      </c>
      <c r="I116" t="s">
        <v>48</v>
      </c>
      <c r="J116" t="s">
        <v>46</v>
      </c>
      <c r="K116" t="s">
        <v>116</v>
      </c>
      <c r="L116" t="s">
        <v>863</v>
      </c>
      <c r="M116" t="s">
        <v>124</v>
      </c>
      <c r="N116" t="s">
        <v>123</v>
      </c>
      <c r="O116" t="s">
        <v>215</v>
      </c>
      <c r="P116">
        <v>20260909</v>
      </c>
      <c r="Q116">
        <v>100</v>
      </c>
      <c r="R116">
        <v>100</v>
      </c>
      <c r="S116" t="s">
        <v>217</v>
      </c>
      <c r="T116" t="s">
        <v>49</v>
      </c>
      <c r="U116" t="s">
        <v>47</v>
      </c>
      <c r="V116" t="s">
        <v>47</v>
      </c>
      <c r="W116" t="s">
        <v>47</v>
      </c>
      <c r="X116" t="s">
        <v>125</v>
      </c>
      <c r="Y116" t="s">
        <v>47</v>
      </c>
      <c r="Z116" t="s">
        <v>35</v>
      </c>
      <c r="AA116" t="s">
        <v>50</v>
      </c>
      <c r="AB116" t="s">
        <v>35</v>
      </c>
      <c r="AC116" t="s">
        <v>863</v>
      </c>
      <c r="AD116" t="s">
        <v>437</v>
      </c>
    </row>
    <row r="117" spans="1:30">
      <c r="A117">
        <v>53283268</v>
      </c>
      <c r="B117" t="s">
        <v>1118</v>
      </c>
      <c r="C117" t="s">
        <v>212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864</v>
      </c>
      <c r="M117" t="s">
        <v>118</v>
      </c>
      <c r="N117" t="s">
        <v>117</v>
      </c>
      <c r="O117" t="s">
        <v>215</v>
      </c>
      <c r="P117">
        <v>20260909</v>
      </c>
      <c r="Q117">
        <v>100</v>
      </c>
      <c r="R117">
        <v>100</v>
      </c>
      <c r="S117" t="s">
        <v>217</v>
      </c>
      <c r="T117" t="s">
        <v>49</v>
      </c>
      <c r="U117" t="s">
        <v>47</v>
      </c>
      <c r="V117" t="s">
        <v>47</v>
      </c>
      <c r="W117" t="s">
        <v>47</v>
      </c>
      <c r="X117" t="s">
        <v>35</v>
      </c>
      <c r="Y117" t="s">
        <v>47</v>
      </c>
      <c r="Z117" t="s">
        <v>35</v>
      </c>
      <c r="AA117" t="s">
        <v>50</v>
      </c>
      <c r="AB117" t="s">
        <v>35</v>
      </c>
      <c r="AC117" t="s">
        <v>864</v>
      </c>
      <c r="AD117" t="s">
        <v>1119</v>
      </c>
    </row>
    <row r="118" spans="1:30">
      <c r="A118">
        <v>53283659</v>
      </c>
      <c r="B118" t="s">
        <v>1120</v>
      </c>
      <c r="C118" t="s">
        <v>290</v>
      </c>
      <c r="D118" t="s">
        <v>47</v>
      </c>
      <c r="E118" t="s">
        <v>35</v>
      </c>
      <c r="F118">
        <v>6613</v>
      </c>
      <c r="G118" t="s">
        <v>165</v>
      </c>
      <c r="H118" t="s">
        <v>45</v>
      </c>
      <c r="I118" t="s">
        <v>48</v>
      </c>
      <c r="J118" t="s">
        <v>46</v>
      </c>
      <c r="K118" t="s">
        <v>116</v>
      </c>
      <c r="L118" t="s">
        <v>1121</v>
      </c>
      <c r="M118" t="s">
        <v>124</v>
      </c>
      <c r="N118" t="s">
        <v>123</v>
      </c>
      <c r="O118" t="s">
        <v>215</v>
      </c>
      <c r="P118">
        <v>20260909</v>
      </c>
      <c r="Q118">
        <v>100</v>
      </c>
      <c r="R118">
        <v>0</v>
      </c>
      <c r="S118">
        <v>1926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1121</v>
      </c>
      <c r="AD118" t="s">
        <v>1122</v>
      </c>
    </row>
    <row r="119" spans="1:30">
      <c r="A119">
        <v>53285354</v>
      </c>
      <c r="B119" t="s">
        <v>1123</v>
      </c>
      <c r="C119" t="s">
        <v>212</v>
      </c>
      <c r="D119" t="s">
        <v>47</v>
      </c>
      <c r="E119" t="s">
        <v>35</v>
      </c>
      <c r="F119">
        <v>6613</v>
      </c>
      <c r="G119" t="s">
        <v>165</v>
      </c>
      <c r="H119" t="s">
        <v>45</v>
      </c>
      <c r="I119" t="s">
        <v>48</v>
      </c>
      <c r="J119" t="s">
        <v>46</v>
      </c>
      <c r="K119" t="s">
        <v>116</v>
      </c>
      <c r="L119" t="s">
        <v>865</v>
      </c>
      <c r="M119" t="s">
        <v>124</v>
      </c>
      <c r="N119" t="s">
        <v>123</v>
      </c>
      <c r="O119" t="s">
        <v>215</v>
      </c>
      <c r="P119">
        <v>20260909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865</v>
      </c>
      <c r="AD119" t="s">
        <v>1124</v>
      </c>
    </row>
    <row r="120" spans="1:30">
      <c r="A120">
        <v>53286525</v>
      </c>
      <c r="B120" t="s">
        <v>1125</v>
      </c>
      <c r="C120" t="s">
        <v>212</v>
      </c>
      <c r="D120" t="s">
        <v>47</v>
      </c>
      <c r="E120" t="s">
        <v>35</v>
      </c>
      <c r="F120">
        <v>6613</v>
      </c>
      <c r="G120" t="s">
        <v>165</v>
      </c>
      <c r="H120" t="s">
        <v>45</v>
      </c>
      <c r="I120" t="s">
        <v>48</v>
      </c>
      <c r="J120" t="s">
        <v>46</v>
      </c>
      <c r="K120" t="s">
        <v>116</v>
      </c>
      <c r="L120" t="s">
        <v>866</v>
      </c>
      <c r="M120" t="s">
        <v>118</v>
      </c>
      <c r="N120" t="s">
        <v>117</v>
      </c>
      <c r="O120" t="s">
        <v>215</v>
      </c>
      <c r="P120">
        <v>20260909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866</v>
      </c>
      <c r="AD120" t="s">
        <v>1124</v>
      </c>
    </row>
    <row r="121" spans="1:30">
      <c r="A121">
        <v>53287582</v>
      </c>
      <c r="B121" t="s">
        <v>1126</v>
      </c>
      <c r="C121" t="s">
        <v>212</v>
      </c>
      <c r="D121" t="s">
        <v>47</v>
      </c>
      <c r="E121" t="s">
        <v>35</v>
      </c>
      <c r="F121">
        <v>6981</v>
      </c>
      <c r="G121" t="s">
        <v>786</v>
      </c>
      <c r="H121" t="s">
        <v>45</v>
      </c>
      <c r="I121" t="s">
        <v>48</v>
      </c>
      <c r="J121" t="s">
        <v>46</v>
      </c>
      <c r="K121" t="s">
        <v>116</v>
      </c>
      <c r="L121" t="s">
        <v>867</v>
      </c>
      <c r="M121" t="s">
        <v>124</v>
      </c>
      <c r="N121" t="s">
        <v>123</v>
      </c>
      <c r="O121" t="s">
        <v>215</v>
      </c>
      <c r="P121">
        <v>20260909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867</v>
      </c>
      <c r="AD121" t="s">
        <v>1127</v>
      </c>
    </row>
    <row r="122" spans="1:30">
      <c r="A122">
        <v>53287750</v>
      </c>
      <c r="B122" t="s">
        <v>1128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868</v>
      </c>
      <c r="M122" t="s">
        <v>124</v>
      </c>
      <c r="N122" t="s">
        <v>123</v>
      </c>
      <c r="O122" t="s">
        <v>215</v>
      </c>
      <c r="P122">
        <v>20260909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125</v>
      </c>
      <c r="Y122" t="s">
        <v>47</v>
      </c>
      <c r="Z122" t="s">
        <v>35</v>
      </c>
      <c r="AA122" t="s">
        <v>50</v>
      </c>
      <c r="AB122" t="s">
        <v>35</v>
      </c>
      <c r="AC122" t="s">
        <v>868</v>
      </c>
      <c r="AD122" t="s">
        <v>1129</v>
      </c>
    </row>
    <row r="123" spans="1:30">
      <c r="A123">
        <v>53288158</v>
      </c>
      <c r="B123" t="s">
        <v>1130</v>
      </c>
      <c r="C123" t="s">
        <v>212</v>
      </c>
      <c r="D123" t="s">
        <v>47</v>
      </c>
      <c r="E123" t="s">
        <v>35</v>
      </c>
      <c r="F123">
        <v>4063</v>
      </c>
      <c r="G123" t="s">
        <v>181</v>
      </c>
      <c r="H123" t="s">
        <v>45</v>
      </c>
      <c r="I123" t="s">
        <v>48</v>
      </c>
      <c r="J123" t="s">
        <v>46</v>
      </c>
      <c r="K123" t="s">
        <v>116</v>
      </c>
      <c r="L123" t="s">
        <v>869</v>
      </c>
      <c r="M123" t="s">
        <v>118</v>
      </c>
      <c r="N123" t="s">
        <v>117</v>
      </c>
      <c r="O123" t="s">
        <v>215</v>
      </c>
      <c r="P123">
        <v>20260909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35</v>
      </c>
      <c r="Y123" t="s">
        <v>47</v>
      </c>
      <c r="Z123" t="s">
        <v>35</v>
      </c>
      <c r="AA123" t="s">
        <v>50</v>
      </c>
      <c r="AB123" t="s">
        <v>35</v>
      </c>
      <c r="AC123" t="s">
        <v>869</v>
      </c>
      <c r="AD123" t="s">
        <v>1131</v>
      </c>
    </row>
    <row r="124" spans="1:30">
      <c r="A124">
        <v>53289370</v>
      </c>
      <c r="B124" t="s">
        <v>1132</v>
      </c>
      <c r="C124" t="s">
        <v>212</v>
      </c>
      <c r="D124" t="s">
        <v>47</v>
      </c>
      <c r="E124" t="s">
        <v>35</v>
      </c>
      <c r="F124">
        <v>4063</v>
      </c>
      <c r="G124" t="s">
        <v>181</v>
      </c>
      <c r="H124" t="s">
        <v>45</v>
      </c>
      <c r="I124" t="s">
        <v>48</v>
      </c>
      <c r="J124" t="s">
        <v>46</v>
      </c>
      <c r="K124" t="s">
        <v>116</v>
      </c>
      <c r="L124" t="s">
        <v>870</v>
      </c>
      <c r="M124" t="s">
        <v>118</v>
      </c>
      <c r="N124" t="s">
        <v>117</v>
      </c>
      <c r="O124" t="s">
        <v>215</v>
      </c>
      <c r="P124">
        <v>20260909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870</v>
      </c>
      <c r="AD124" t="s">
        <v>1131</v>
      </c>
    </row>
    <row r="125" spans="1:30">
      <c r="A125">
        <v>53290616</v>
      </c>
      <c r="B125" t="s">
        <v>1133</v>
      </c>
      <c r="C125" t="s">
        <v>212</v>
      </c>
      <c r="D125" t="s">
        <v>47</v>
      </c>
      <c r="E125" t="s">
        <v>35</v>
      </c>
      <c r="F125">
        <v>6613</v>
      </c>
      <c r="G125" t="s">
        <v>165</v>
      </c>
      <c r="H125" t="s">
        <v>45</v>
      </c>
      <c r="I125" t="s">
        <v>48</v>
      </c>
      <c r="J125" t="s">
        <v>46</v>
      </c>
      <c r="K125" t="s">
        <v>116</v>
      </c>
      <c r="L125" t="s">
        <v>871</v>
      </c>
      <c r="M125" t="s">
        <v>124</v>
      </c>
      <c r="N125" t="s">
        <v>123</v>
      </c>
      <c r="O125" t="s">
        <v>215</v>
      </c>
      <c r="P125">
        <v>20260909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871</v>
      </c>
      <c r="AD125" t="s">
        <v>1134</v>
      </c>
    </row>
    <row r="126" spans="1:30">
      <c r="A126">
        <v>53290905</v>
      </c>
      <c r="B126" t="s">
        <v>1135</v>
      </c>
      <c r="C126" t="s">
        <v>212</v>
      </c>
      <c r="D126" t="s">
        <v>47</v>
      </c>
      <c r="E126" t="s">
        <v>35</v>
      </c>
      <c r="F126">
        <v>3436</v>
      </c>
      <c r="G126" t="s">
        <v>152</v>
      </c>
      <c r="H126" t="s">
        <v>45</v>
      </c>
      <c r="I126" t="s">
        <v>48</v>
      </c>
      <c r="J126" t="s">
        <v>46</v>
      </c>
      <c r="K126" t="s">
        <v>116</v>
      </c>
      <c r="L126" t="s">
        <v>872</v>
      </c>
      <c r="M126" t="s">
        <v>118</v>
      </c>
      <c r="N126" t="s">
        <v>117</v>
      </c>
      <c r="O126" t="s">
        <v>215</v>
      </c>
      <c r="P126">
        <v>20260909</v>
      </c>
      <c r="Q126">
        <v>100</v>
      </c>
      <c r="R126">
        <v>100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35</v>
      </c>
      <c r="Y126" t="s">
        <v>47</v>
      </c>
      <c r="Z126" t="s">
        <v>35</v>
      </c>
      <c r="AA126" t="s">
        <v>50</v>
      </c>
      <c r="AB126" t="s">
        <v>35</v>
      </c>
      <c r="AC126" t="s">
        <v>872</v>
      </c>
      <c r="AD126" t="s">
        <v>1136</v>
      </c>
    </row>
    <row r="127" spans="1:30">
      <c r="A127">
        <v>53291509</v>
      </c>
      <c r="B127" t="s">
        <v>1137</v>
      </c>
      <c r="C127" t="s">
        <v>212</v>
      </c>
      <c r="D127" t="s">
        <v>47</v>
      </c>
      <c r="E127" t="s">
        <v>35</v>
      </c>
      <c r="F127">
        <v>4063</v>
      </c>
      <c r="G127" t="s">
        <v>181</v>
      </c>
      <c r="H127" t="s">
        <v>45</v>
      </c>
      <c r="I127" t="s">
        <v>48</v>
      </c>
      <c r="J127" t="s">
        <v>46</v>
      </c>
      <c r="K127" t="s">
        <v>116</v>
      </c>
      <c r="L127" t="s">
        <v>873</v>
      </c>
      <c r="M127" t="s">
        <v>124</v>
      </c>
      <c r="N127" t="s">
        <v>123</v>
      </c>
      <c r="O127" t="s">
        <v>215</v>
      </c>
      <c r="P127">
        <v>20260909</v>
      </c>
      <c r="Q127">
        <v>200</v>
      </c>
      <c r="R127">
        <v>200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125</v>
      </c>
      <c r="Y127" t="s">
        <v>47</v>
      </c>
      <c r="Z127" t="s">
        <v>35</v>
      </c>
      <c r="AA127" t="s">
        <v>50</v>
      </c>
      <c r="AB127" t="s">
        <v>35</v>
      </c>
      <c r="AC127" t="s">
        <v>873</v>
      </c>
      <c r="AD127" t="s">
        <v>301</v>
      </c>
    </row>
    <row r="128" spans="1:30">
      <c r="A128">
        <v>53292223</v>
      </c>
      <c r="B128" t="s">
        <v>1138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874</v>
      </c>
      <c r="M128" t="s">
        <v>118</v>
      </c>
      <c r="N128" t="s">
        <v>117</v>
      </c>
      <c r="O128" t="s">
        <v>215</v>
      </c>
      <c r="P128">
        <v>20260909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874</v>
      </c>
      <c r="AD128" t="s">
        <v>1139</v>
      </c>
    </row>
    <row r="129" spans="1:30">
      <c r="A129">
        <v>53293242</v>
      </c>
      <c r="B129" t="s">
        <v>1140</v>
      </c>
      <c r="C129" t="s">
        <v>212</v>
      </c>
      <c r="D129" t="s">
        <v>47</v>
      </c>
      <c r="E129" t="s">
        <v>35</v>
      </c>
      <c r="F129">
        <v>3436</v>
      </c>
      <c r="G129" t="s">
        <v>152</v>
      </c>
      <c r="H129" t="s">
        <v>45</v>
      </c>
      <c r="I129" t="s">
        <v>48</v>
      </c>
      <c r="J129" t="s">
        <v>46</v>
      </c>
      <c r="K129" t="s">
        <v>116</v>
      </c>
      <c r="L129" t="s">
        <v>875</v>
      </c>
      <c r="M129" t="s">
        <v>124</v>
      </c>
      <c r="N129" t="s">
        <v>123</v>
      </c>
      <c r="O129" t="s">
        <v>215</v>
      </c>
      <c r="P129">
        <v>20260909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125</v>
      </c>
      <c r="Y129" t="s">
        <v>47</v>
      </c>
      <c r="Z129" t="s">
        <v>35</v>
      </c>
      <c r="AA129" t="s">
        <v>50</v>
      </c>
      <c r="AB129" t="s">
        <v>35</v>
      </c>
      <c r="AC129" t="s">
        <v>875</v>
      </c>
      <c r="AD129" t="s">
        <v>1141</v>
      </c>
    </row>
    <row r="130" spans="1:30">
      <c r="A130">
        <v>53293752</v>
      </c>
      <c r="B130" t="s">
        <v>1142</v>
      </c>
      <c r="C130" t="s">
        <v>212</v>
      </c>
      <c r="D130" t="s">
        <v>47</v>
      </c>
      <c r="E130" t="s">
        <v>35</v>
      </c>
      <c r="F130">
        <v>5016</v>
      </c>
      <c r="G130" t="s">
        <v>139</v>
      </c>
      <c r="H130" t="s">
        <v>45</v>
      </c>
      <c r="I130" t="s">
        <v>48</v>
      </c>
      <c r="J130" t="s">
        <v>46</v>
      </c>
      <c r="K130" t="s">
        <v>116</v>
      </c>
      <c r="L130" t="s">
        <v>876</v>
      </c>
      <c r="M130" t="s">
        <v>118</v>
      </c>
      <c r="N130" t="s">
        <v>117</v>
      </c>
      <c r="O130" t="s">
        <v>215</v>
      </c>
      <c r="P130">
        <v>20260909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35</v>
      </c>
      <c r="Y130" t="s">
        <v>47</v>
      </c>
      <c r="Z130" t="s">
        <v>35</v>
      </c>
      <c r="AA130" t="s">
        <v>50</v>
      </c>
      <c r="AB130" t="s">
        <v>35</v>
      </c>
      <c r="AC130" t="s">
        <v>876</v>
      </c>
      <c r="AD130" t="s">
        <v>1143</v>
      </c>
    </row>
    <row r="131" spans="1:30">
      <c r="A131">
        <v>53294302</v>
      </c>
      <c r="B131" t="s">
        <v>1144</v>
      </c>
      <c r="C131" t="s">
        <v>212</v>
      </c>
      <c r="D131" t="s">
        <v>47</v>
      </c>
      <c r="E131" t="s">
        <v>35</v>
      </c>
      <c r="F131">
        <v>5803</v>
      </c>
      <c r="G131" t="s">
        <v>176</v>
      </c>
      <c r="H131" t="s">
        <v>45</v>
      </c>
      <c r="I131" t="s">
        <v>130</v>
      </c>
      <c r="J131" t="s">
        <v>46</v>
      </c>
      <c r="K131" t="s">
        <v>116</v>
      </c>
      <c r="L131" t="s">
        <v>1145</v>
      </c>
      <c r="M131" t="s">
        <v>124</v>
      </c>
      <c r="N131" t="s">
        <v>123</v>
      </c>
      <c r="O131" t="s">
        <v>1146</v>
      </c>
      <c r="P131">
        <v>20260909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125</v>
      </c>
      <c r="Y131" t="s">
        <v>47</v>
      </c>
      <c r="Z131" t="s">
        <v>35</v>
      </c>
      <c r="AA131" t="s">
        <v>50</v>
      </c>
      <c r="AB131" t="s">
        <v>35</v>
      </c>
      <c r="AC131" t="s">
        <v>35</v>
      </c>
      <c r="AD131" t="s">
        <v>35</v>
      </c>
    </row>
    <row r="132" spans="1:30">
      <c r="A132">
        <v>53294433</v>
      </c>
      <c r="B132" t="s">
        <v>1147</v>
      </c>
      <c r="C132" t="s">
        <v>212</v>
      </c>
      <c r="D132" t="s">
        <v>47</v>
      </c>
      <c r="E132" t="s">
        <v>35</v>
      </c>
      <c r="F132">
        <v>5016</v>
      </c>
      <c r="G132" t="s">
        <v>139</v>
      </c>
      <c r="H132" t="s">
        <v>45</v>
      </c>
      <c r="I132" t="s">
        <v>130</v>
      </c>
      <c r="J132" t="s">
        <v>46</v>
      </c>
      <c r="K132" t="s">
        <v>116</v>
      </c>
      <c r="L132" t="s">
        <v>1148</v>
      </c>
      <c r="M132" t="s">
        <v>124</v>
      </c>
      <c r="N132" t="s">
        <v>123</v>
      </c>
      <c r="O132" t="s">
        <v>1146</v>
      </c>
      <c r="P132">
        <v>20260909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125</v>
      </c>
      <c r="Y132" t="s">
        <v>47</v>
      </c>
      <c r="Z132" t="s">
        <v>35</v>
      </c>
      <c r="AA132" t="s">
        <v>50</v>
      </c>
      <c r="AB132" t="s">
        <v>35</v>
      </c>
      <c r="AC132" t="s">
        <v>35</v>
      </c>
      <c r="AD132" t="s">
        <v>35</v>
      </c>
    </row>
    <row r="133" spans="1:30">
      <c r="A133">
        <v>53298312</v>
      </c>
      <c r="B133" t="s">
        <v>1149</v>
      </c>
      <c r="C133" t="s">
        <v>212</v>
      </c>
      <c r="D133" t="s">
        <v>47</v>
      </c>
      <c r="E133" t="s">
        <v>35</v>
      </c>
      <c r="F133">
        <v>9984</v>
      </c>
      <c r="G133" t="s">
        <v>191</v>
      </c>
      <c r="H133" t="s">
        <v>45</v>
      </c>
      <c r="I133" t="s">
        <v>48</v>
      </c>
      <c r="J133" t="s">
        <v>223</v>
      </c>
      <c r="K133" t="s">
        <v>224</v>
      </c>
      <c r="L133" t="s">
        <v>877</v>
      </c>
      <c r="M133" t="s">
        <v>118</v>
      </c>
      <c r="N133" t="s">
        <v>117</v>
      </c>
      <c r="O133" t="s">
        <v>215</v>
      </c>
      <c r="P133">
        <v>20260909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35</v>
      </c>
      <c r="Y133" t="s">
        <v>47</v>
      </c>
      <c r="Z133" t="s">
        <v>35</v>
      </c>
      <c r="AA133" t="s">
        <v>50</v>
      </c>
      <c r="AB133" t="s">
        <v>35</v>
      </c>
      <c r="AC133" t="s">
        <v>877</v>
      </c>
      <c r="AD133" t="s">
        <v>1150</v>
      </c>
    </row>
    <row r="134" spans="1:30">
      <c r="A134" s="1" t="s">
        <v>78</v>
      </c>
      <c r="B134" s="1" t="s">
        <v>78</v>
      </c>
      <c r="C134" s="1" t="s">
        <v>78</v>
      </c>
      <c r="D134" s="1" t="s">
        <v>78</v>
      </c>
      <c r="E134" s="1" t="s">
        <v>78</v>
      </c>
      <c r="F134" s="1" t="s">
        <v>78</v>
      </c>
      <c r="G134" s="1" t="s">
        <v>78</v>
      </c>
      <c r="H134" s="1" t="s">
        <v>78</v>
      </c>
      <c r="I134" s="1" t="s">
        <v>78</v>
      </c>
      <c r="J134" s="1" t="s">
        <v>78</v>
      </c>
      <c r="K134" s="1" t="s">
        <v>78</v>
      </c>
      <c r="L134" s="1" t="s">
        <v>78</v>
      </c>
      <c r="M134" s="1" t="s">
        <v>78</v>
      </c>
      <c r="N134" s="1" t="s">
        <v>78</v>
      </c>
      <c r="O134" s="1" t="s">
        <v>78</v>
      </c>
      <c r="P134" s="1" t="s">
        <v>78</v>
      </c>
      <c r="Q134" s="1" t="s">
        <v>78</v>
      </c>
      <c r="R134" s="1" t="s">
        <v>78</v>
      </c>
      <c r="S134" s="1" t="s">
        <v>78</v>
      </c>
      <c r="T134" s="1" t="s">
        <v>78</v>
      </c>
      <c r="U134" s="1" t="s">
        <v>78</v>
      </c>
      <c r="V134" s="1" t="s">
        <v>78</v>
      </c>
      <c r="W134" s="1" t="s">
        <v>78</v>
      </c>
      <c r="X134" s="1" t="s">
        <v>78</v>
      </c>
      <c r="Y134" s="1" t="s">
        <v>78</v>
      </c>
      <c r="Z134" s="1" t="s">
        <v>78</v>
      </c>
      <c r="AA134" s="1" t="s">
        <v>78</v>
      </c>
      <c r="AB134" s="1" t="s">
        <v>78</v>
      </c>
      <c r="AC134" s="1" t="s">
        <v>78</v>
      </c>
      <c r="AD134" s="1" t="s">
        <v>78</v>
      </c>
    </row>
    <row r="135" spans="1:30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>
      <c r="A137" s="1" t="s">
        <v>1152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>
      <c r="A138" s="1" t="s">
        <v>1153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>
      <c r="A139" t="s">
        <v>4</v>
      </c>
      <c r="B139" t="s">
        <v>6</v>
      </c>
      <c r="C139" t="s">
        <v>7</v>
      </c>
      <c r="D139" t="s">
        <v>8</v>
      </c>
      <c r="E139" t="s">
        <v>9</v>
      </c>
      <c r="F139" t="s">
        <v>10</v>
      </c>
      <c r="G139" t="s">
        <v>11</v>
      </c>
      <c r="H139" t="s">
        <v>12</v>
      </c>
      <c r="I139" t="s">
        <v>13</v>
      </c>
      <c r="J139" t="s">
        <v>14</v>
      </c>
      <c r="K139" t="s">
        <v>15</v>
      </c>
      <c r="L139" t="s">
        <v>79</v>
      </c>
      <c r="M139" t="s">
        <v>16</v>
      </c>
      <c r="N139" t="s">
        <v>17</v>
      </c>
      <c r="O139" t="s">
        <v>18</v>
      </c>
      <c r="P139" t="s">
        <v>19</v>
      </c>
      <c r="Q139" t="s">
        <v>20</v>
      </c>
      <c r="R139" t="s">
        <v>21</v>
      </c>
      <c r="S139" t="s">
        <v>22</v>
      </c>
      <c r="T139" t="s">
        <v>23</v>
      </c>
      <c r="U139" t="s">
        <v>24</v>
      </c>
      <c r="V139" t="s">
        <v>25</v>
      </c>
      <c r="W139" t="s">
        <v>26</v>
      </c>
      <c r="X139" t="s">
        <v>27</v>
      </c>
      <c r="Y139" t="s">
        <v>28</v>
      </c>
      <c r="Z139" t="s">
        <v>29</v>
      </c>
      <c r="AA139" t="s">
        <v>30</v>
      </c>
      <c r="AB139" t="s">
        <v>31</v>
      </c>
      <c r="AC139" t="s">
        <v>32</v>
      </c>
      <c r="AD139" t="s">
        <v>33</v>
      </c>
    </row>
    <row r="140" spans="1:30">
      <c r="A140">
        <v>53294302</v>
      </c>
      <c r="B140" t="s">
        <v>1144</v>
      </c>
      <c r="C140" t="s">
        <v>212</v>
      </c>
      <c r="D140" t="s">
        <v>47</v>
      </c>
      <c r="E140" t="s">
        <v>35</v>
      </c>
      <c r="F140">
        <v>5803</v>
      </c>
      <c r="G140" t="s">
        <v>176</v>
      </c>
      <c r="H140" t="s">
        <v>45</v>
      </c>
      <c r="I140" t="s">
        <v>130</v>
      </c>
      <c r="J140" t="s">
        <v>46</v>
      </c>
      <c r="K140" t="s">
        <v>116</v>
      </c>
      <c r="L140" s="8" t="s">
        <v>1145</v>
      </c>
      <c r="M140" t="s">
        <v>124</v>
      </c>
      <c r="N140" t="s">
        <v>123</v>
      </c>
      <c r="O140" t="s">
        <v>1146</v>
      </c>
      <c r="P140">
        <v>20260909</v>
      </c>
      <c r="Q140">
        <v>100</v>
      </c>
      <c r="R140">
        <v>100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35</v>
      </c>
      <c r="AD140" t="s">
        <v>35</v>
      </c>
    </row>
    <row r="141" spans="1:30">
      <c r="A141">
        <v>53298312</v>
      </c>
      <c r="B141" t="s">
        <v>1149</v>
      </c>
      <c r="C141" t="s">
        <v>212</v>
      </c>
      <c r="D141" t="s">
        <v>47</v>
      </c>
      <c r="E141" t="s">
        <v>35</v>
      </c>
      <c r="F141">
        <v>9984</v>
      </c>
      <c r="G141" t="s">
        <v>191</v>
      </c>
      <c r="H141" t="s">
        <v>45</v>
      </c>
      <c r="I141" t="s">
        <v>48</v>
      </c>
      <c r="J141" t="s">
        <v>223</v>
      </c>
      <c r="K141" t="s">
        <v>224</v>
      </c>
      <c r="L141" s="9" t="s">
        <v>877</v>
      </c>
      <c r="M141" t="s">
        <v>118</v>
      </c>
      <c r="N141" t="s">
        <v>117</v>
      </c>
      <c r="O141" t="s">
        <v>215</v>
      </c>
      <c r="P141">
        <v>20260909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877</v>
      </c>
      <c r="AD141" t="s">
        <v>1150</v>
      </c>
    </row>
    <row r="143" spans="1:30">
      <c r="A143" t="s">
        <v>1151</v>
      </c>
    </row>
    <row r="144" spans="1:30">
      <c r="A144" t="s">
        <v>1155</v>
      </c>
      <c r="B144" t="s">
        <v>109</v>
      </c>
      <c r="C144" t="s">
        <v>10</v>
      </c>
      <c r="D144" t="s">
        <v>11</v>
      </c>
      <c r="E144" t="s">
        <v>12</v>
      </c>
      <c r="F144" t="s">
        <v>1154</v>
      </c>
      <c r="G144" t="s">
        <v>14</v>
      </c>
      <c r="H144" t="s">
        <v>15</v>
      </c>
      <c r="I144" t="s">
        <v>17</v>
      </c>
      <c r="J144" t="s">
        <v>662</v>
      </c>
      <c r="K144" t="s">
        <v>21</v>
      </c>
      <c r="L144" t="s">
        <v>665</v>
      </c>
      <c r="M144" t="s">
        <v>111</v>
      </c>
      <c r="N144" t="s">
        <v>27</v>
      </c>
      <c r="O144" t="s">
        <v>112</v>
      </c>
    </row>
    <row r="145" spans="1:20">
      <c r="A145" s="7" t="s">
        <v>878</v>
      </c>
      <c r="B145" s="1">
        <v>20260911</v>
      </c>
      <c r="C145" s="1">
        <v>5803</v>
      </c>
      <c r="D145" s="1" t="s">
        <v>176</v>
      </c>
      <c r="E145" s="1" t="s">
        <v>45</v>
      </c>
      <c r="F145" s="1" t="s">
        <v>130</v>
      </c>
      <c r="G145" s="1" t="s">
        <v>46</v>
      </c>
      <c r="H145" s="1" t="s">
        <v>116</v>
      </c>
      <c r="I145" s="1" t="s">
        <v>123</v>
      </c>
      <c r="J145" s="1" t="s">
        <v>124</v>
      </c>
      <c r="K145" s="1">
        <v>100</v>
      </c>
      <c r="L145" s="1">
        <v>5493</v>
      </c>
      <c r="M145" s="1">
        <v>549300</v>
      </c>
      <c r="N145" s="1" t="s">
        <v>125</v>
      </c>
      <c r="O145" s="1">
        <v>0</v>
      </c>
    </row>
    <row r="146" spans="1:20">
      <c r="A146" s="10" t="s">
        <v>877</v>
      </c>
      <c r="B146" s="1">
        <v>20260911</v>
      </c>
      <c r="C146" s="1">
        <v>9984</v>
      </c>
      <c r="D146" s="1" t="s">
        <v>191</v>
      </c>
      <c r="E146" s="1" t="s">
        <v>45</v>
      </c>
      <c r="F146" s="13" t="s">
        <v>115</v>
      </c>
      <c r="G146" s="1" t="s">
        <v>223</v>
      </c>
      <c r="H146" s="1" t="s">
        <v>224</v>
      </c>
      <c r="I146" s="1" t="s">
        <v>117</v>
      </c>
      <c r="J146" s="1" t="s">
        <v>118</v>
      </c>
      <c r="K146" s="1">
        <v>100</v>
      </c>
      <c r="L146" s="12">
        <v>6782.4</v>
      </c>
      <c r="M146" s="1">
        <v>678240</v>
      </c>
      <c r="N146" s="1" t="s">
        <v>35</v>
      </c>
      <c r="O146" s="1">
        <v>0</v>
      </c>
    </row>
    <row r="148" spans="1:20">
      <c r="A148" t="s">
        <v>1156</v>
      </c>
    </row>
    <row r="149" spans="1:20">
      <c r="A149" t="s">
        <v>82</v>
      </c>
      <c r="B149" t="s">
        <v>720</v>
      </c>
      <c r="C149" t="s">
        <v>726</v>
      </c>
      <c r="D149" s="11" t="s">
        <v>727</v>
      </c>
      <c r="E149" t="s">
        <v>728</v>
      </c>
      <c r="F149" t="s">
        <v>729</v>
      </c>
      <c r="G149" t="s">
        <v>662</v>
      </c>
      <c r="H149" t="s">
        <v>730</v>
      </c>
      <c r="I149" t="s">
        <v>731</v>
      </c>
      <c r="J149" s="11" t="s">
        <v>732</v>
      </c>
      <c r="K149" s="11" t="s">
        <v>733</v>
      </c>
      <c r="L149" t="s">
        <v>734</v>
      </c>
      <c r="M149" t="s">
        <v>735</v>
      </c>
      <c r="N149" t="s">
        <v>507</v>
      </c>
      <c r="O149" t="s">
        <v>508</v>
      </c>
      <c r="P149" t="s">
        <v>736</v>
      </c>
      <c r="Q149" t="s">
        <v>737</v>
      </c>
      <c r="R149" t="s">
        <v>738</v>
      </c>
      <c r="S149" t="s">
        <v>739</v>
      </c>
      <c r="T149" t="s">
        <v>740</v>
      </c>
    </row>
    <row r="150" spans="1:20">
      <c r="A150" s="1">
        <v>9984</v>
      </c>
      <c r="B150" s="1" t="s">
        <v>684</v>
      </c>
      <c r="C150" s="1" t="s">
        <v>36</v>
      </c>
      <c r="D150" s="13" t="s">
        <v>706</v>
      </c>
      <c r="E150" s="1" t="s">
        <v>685</v>
      </c>
      <c r="F150" s="1" t="s">
        <v>686</v>
      </c>
      <c r="G150" s="1" t="s">
        <v>674</v>
      </c>
      <c r="H150" s="1">
        <v>100</v>
      </c>
      <c r="I150" s="1">
        <v>0</v>
      </c>
      <c r="J150" s="12">
        <v>6782.4</v>
      </c>
      <c r="K150" s="12">
        <v>20260909</v>
      </c>
      <c r="L150" s="1">
        <v>20270308</v>
      </c>
      <c r="M150" s="1">
        <v>6810</v>
      </c>
      <c r="N150" s="1">
        <v>254</v>
      </c>
      <c r="O150" s="1">
        <v>3.87</v>
      </c>
      <c r="P150" s="1">
        <v>681000</v>
      </c>
      <c r="Q150" s="1">
        <v>2707</v>
      </c>
      <c r="R150" s="1">
        <v>0.399121</v>
      </c>
      <c r="S150" s="1">
        <v>30</v>
      </c>
      <c r="T150" s="1">
        <v>0</v>
      </c>
    </row>
  </sheetData>
  <phoneticPr fontId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B15A-499A-4F9F-93CF-814D299E598C}">
  <dimension ref="A1:E12"/>
  <sheetViews>
    <sheetView workbookViewId="0">
      <selection activeCell="C13" sqref="C13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1" spans="1:5">
      <c r="C1" t="s">
        <v>515</v>
      </c>
      <c r="D1" t="s">
        <v>516</v>
      </c>
      <c r="E1" t="s">
        <v>517</v>
      </c>
    </row>
    <row r="2" spans="1:5">
      <c r="A2" t="s">
        <v>881</v>
      </c>
      <c r="B2">
        <v>7203</v>
      </c>
      <c r="C2">
        <v>100</v>
      </c>
      <c r="D2">
        <v>2468.5</v>
      </c>
      <c r="E2">
        <v>3469</v>
      </c>
    </row>
    <row r="3" spans="1:5">
      <c r="B3" s="1"/>
      <c r="C3" s="1" t="s">
        <v>64</v>
      </c>
      <c r="D3" s="1" t="s">
        <v>64</v>
      </c>
      <c r="E3" s="1" t="s">
        <v>64</v>
      </c>
    </row>
    <row r="4" spans="1:5">
      <c r="B4" s="1"/>
      <c r="C4" t="s">
        <v>515</v>
      </c>
      <c r="D4" t="s">
        <v>516</v>
      </c>
      <c r="E4" t="s">
        <v>517</v>
      </c>
    </row>
    <row r="5" spans="1:5">
      <c r="A5" t="s">
        <v>882</v>
      </c>
      <c r="B5" s="1">
        <v>3436</v>
      </c>
      <c r="C5" s="1">
        <v>100</v>
      </c>
      <c r="D5" s="1">
        <v>2383</v>
      </c>
      <c r="E5" s="1">
        <v>3783</v>
      </c>
    </row>
    <row r="6" spans="1:5">
      <c r="B6" s="1"/>
      <c r="C6" s="1" t="s">
        <v>64</v>
      </c>
      <c r="D6" s="1" t="s">
        <v>64</v>
      </c>
      <c r="E6" s="1" t="s">
        <v>64</v>
      </c>
    </row>
    <row r="7" spans="1:5">
      <c r="C7" t="s">
        <v>515</v>
      </c>
      <c r="D7" t="s">
        <v>518</v>
      </c>
      <c r="E7" t="s">
        <v>517</v>
      </c>
    </row>
    <row r="8" spans="1:5">
      <c r="A8" t="s">
        <v>883</v>
      </c>
      <c r="B8">
        <v>9432</v>
      </c>
      <c r="C8">
        <v>100</v>
      </c>
      <c r="D8">
        <v>122</v>
      </c>
      <c r="E8">
        <v>222</v>
      </c>
    </row>
    <row r="9" spans="1:5">
      <c r="C9" s="1" t="s">
        <v>64</v>
      </c>
      <c r="D9" s="1" t="s">
        <v>64</v>
      </c>
      <c r="E9" s="1" t="s">
        <v>64</v>
      </c>
    </row>
    <row r="10" spans="1:5">
      <c r="C10" t="s">
        <v>515</v>
      </c>
      <c r="D10" t="s">
        <v>516</v>
      </c>
      <c r="E10" t="s">
        <v>517</v>
      </c>
    </row>
    <row r="11" spans="1:5">
      <c r="A11" t="s">
        <v>884</v>
      </c>
      <c r="B11">
        <v>6758</v>
      </c>
      <c r="C11">
        <v>100</v>
      </c>
      <c r="D11">
        <v>2954</v>
      </c>
      <c r="E11">
        <v>4354</v>
      </c>
    </row>
    <row r="12" spans="1:5">
      <c r="C12" s="1" t="s">
        <v>64</v>
      </c>
      <c r="D12" s="1" t="s">
        <v>64</v>
      </c>
      <c r="E12" s="1" t="s">
        <v>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BDCB-CB63-4A03-915F-6C60A9D44428}">
  <dimension ref="A1:O134"/>
  <sheetViews>
    <sheetView topLeftCell="A109" workbookViewId="0">
      <selection activeCell="L125" sqref="L125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 t="s">
        <v>744</v>
      </c>
      <c r="B3" s="1">
        <v>20260911</v>
      </c>
      <c r="C3" s="1">
        <v>6613</v>
      </c>
      <c r="D3" s="1" t="s">
        <v>165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1968</v>
      </c>
      <c r="M3" s="1">
        <v>196800</v>
      </c>
      <c r="N3" s="1" t="s">
        <v>35</v>
      </c>
      <c r="O3" s="1">
        <v>0</v>
      </c>
    </row>
    <row r="4" spans="1:15">
      <c r="A4" s="6" t="s">
        <v>745</v>
      </c>
      <c r="B4" s="1">
        <v>20260911</v>
      </c>
      <c r="C4" s="1">
        <v>6613</v>
      </c>
      <c r="D4" s="1" t="s">
        <v>165</v>
      </c>
      <c r="E4" s="1" t="s">
        <v>45</v>
      </c>
      <c r="F4" s="1" t="s">
        <v>115</v>
      </c>
      <c r="G4" s="1" t="s">
        <v>46</v>
      </c>
      <c r="H4" s="1" t="s">
        <v>116</v>
      </c>
      <c r="I4" s="1" t="s">
        <v>123</v>
      </c>
      <c r="J4" s="1" t="s">
        <v>124</v>
      </c>
      <c r="K4" s="1">
        <v>100</v>
      </c>
      <c r="L4" s="1">
        <v>1973</v>
      </c>
      <c r="M4" s="1">
        <v>197300</v>
      </c>
      <c r="N4" s="1" t="s">
        <v>125</v>
      </c>
      <c r="O4" s="1">
        <v>0</v>
      </c>
    </row>
    <row r="5" spans="1:15">
      <c r="A5" s="6" t="s">
        <v>746</v>
      </c>
      <c r="B5" s="1">
        <v>20260911</v>
      </c>
      <c r="C5" s="1">
        <v>6613</v>
      </c>
      <c r="D5" s="1" t="s">
        <v>165</v>
      </c>
      <c r="E5" s="1" t="s">
        <v>45</v>
      </c>
      <c r="F5" s="1" t="s">
        <v>130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1988</v>
      </c>
      <c r="M5" s="1">
        <v>198800</v>
      </c>
      <c r="N5" s="1" t="s">
        <v>35</v>
      </c>
      <c r="O5" s="1">
        <v>0</v>
      </c>
    </row>
    <row r="6" spans="1:15">
      <c r="A6" s="6" t="s">
        <v>747</v>
      </c>
      <c r="B6" s="1">
        <v>20260911</v>
      </c>
      <c r="C6" s="1">
        <v>5803</v>
      </c>
      <c r="D6" s="1" t="s">
        <v>176</v>
      </c>
      <c r="E6" s="1" t="s">
        <v>45</v>
      </c>
      <c r="F6" s="1" t="s">
        <v>130</v>
      </c>
      <c r="G6" s="1" t="s">
        <v>223</v>
      </c>
      <c r="H6" s="1" t="s">
        <v>224</v>
      </c>
      <c r="I6" s="1" t="s">
        <v>123</v>
      </c>
      <c r="J6" s="1" t="s">
        <v>124</v>
      </c>
      <c r="K6" s="1">
        <v>100</v>
      </c>
      <c r="L6" s="1">
        <v>5436</v>
      </c>
      <c r="M6" s="1">
        <v>543600</v>
      </c>
      <c r="N6" s="1" t="s">
        <v>125</v>
      </c>
      <c r="O6" s="1">
        <v>0</v>
      </c>
    </row>
    <row r="7" spans="1:15">
      <c r="A7" s="6" t="s">
        <v>748</v>
      </c>
      <c r="B7" s="1">
        <v>20260911</v>
      </c>
      <c r="C7" s="1">
        <v>3436</v>
      </c>
      <c r="D7" s="1" t="s">
        <v>152</v>
      </c>
      <c r="E7" s="1" t="s">
        <v>45</v>
      </c>
      <c r="F7" s="1" t="s">
        <v>115</v>
      </c>
      <c r="G7" s="1" t="s">
        <v>46</v>
      </c>
      <c r="H7" s="1" t="s">
        <v>116</v>
      </c>
      <c r="I7" s="1" t="s">
        <v>117</v>
      </c>
      <c r="J7" s="1" t="s">
        <v>118</v>
      </c>
      <c r="K7" s="1">
        <v>100</v>
      </c>
      <c r="L7" s="1">
        <v>3158</v>
      </c>
      <c r="M7" s="1">
        <v>315800</v>
      </c>
      <c r="N7" s="1" t="s">
        <v>35</v>
      </c>
      <c r="O7" s="1">
        <v>0</v>
      </c>
    </row>
    <row r="8" spans="1:15">
      <c r="A8" s="6" t="s">
        <v>749</v>
      </c>
      <c r="B8" s="1">
        <v>20260911</v>
      </c>
      <c r="C8" s="1">
        <v>6613</v>
      </c>
      <c r="D8" s="1" t="s">
        <v>165</v>
      </c>
      <c r="E8" s="1" t="s">
        <v>45</v>
      </c>
      <c r="F8" s="1" t="s">
        <v>115</v>
      </c>
      <c r="G8" s="1" t="s">
        <v>46</v>
      </c>
      <c r="H8" s="1" t="s">
        <v>116</v>
      </c>
      <c r="I8" s="1" t="s">
        <v>123</v>
      </c>
      <c r="J8" s="1" t="s">
        <v>124</v>
      </c>
      <c r="K8" s="1">
        <v>100</v>
      </c>
      <c r="L8" s="1">
        <v>1947.4</v>
      </c>
      <c r="M8" s="1">
        <v>194740</v>
      </c>
      <c r="N8" s="1" t="s">
        <v>125</v>
      </c>
      <c r="O8" s="1">
        <v>0</v>
      </c>
    </row>
    <row r="9" spans="1:15">
      <c r="A9" s="1" t="s">
        <v>750</v>
      </c>
      <c r="B9" s="1">
        <v>20260911</v>
      </c>
      <c r="C9" s="1">
        <v>6613</v>
      </c>
      <c r="D9" s="1" t="s">
        <v>165</v>
      </c>
      <c r="E9" s="1" t="s">
        <v>45</v>
      </c>
      <c r="F9" s="1" t="s">
        <v>115</v>
      </c>
      <c r="G9" s="1" t="s">
        <v>46</v>
      </c>
      <c r="H9" s="1" t="s">
        <v>116</v>
      </c>
      <c r="I9" s="1" t="s">
        <v>117</v>
      </c>
      <c r="J9" s="1" t="s">
        <v>118</v>
      </c>
      <c r="K9" s="1">
        <v>100</v>
      </c>
      <c r="L9" s="1">
        <v>1949.8</v>
      </c>
      <c r="M9" s="1">
        <v>194980</v>
      </c>
      <c r="N9" s="1" t="s">
        <v>35</v>
      </c>
      <c r="O9" s="1">
        <v>0</v>
      </c>
    </row>
    <row r="10" spans="1:15">
      <c r="A10" t="s">
        <v>751</v>
      </c>
      <c r="B10">
        <v>20260911</v>
      </c>
      <c r="C10">
        <v>5801</v>
      </c>
      <c r="D10" t="s">
        <v>752</v>
      </c>
      <c r="E10" t="s">
        <v>45</v>
      </c>
      <c r="F10" t="s">
        <v>115</v>
      </c>
      <c r="G10" t="s">
        <v>46</v>
      </c>
      <c r="H10" t="s">
        <v>116</v>
      </c>
      <c r="I10" t="s">
        <v>117</v>
      </c>
      <c r="J10" t="s">
        <v>118</v>
      </c>
      <c r="K10">
        <v>100</v>
      </c>
      <c r="L10">
        <v>3980</v>
      </c>
      <c r="M10">
        <v>398000</v>
      </c>
      <c r="N10" t="s">
        <v>35</v>
      </c>
      <c r="O10">
        <v>0</v>
      </c>
    </row>
    <row r="11" spans="1:15">
      <c r="A11" t="s">
        <v>753</v>
      </c>
      <c r="B11">
        <v>20260911</v>
      </c>
      <c r="C11">
        <v>5801</v>
      </c>
      <c r="D11" t="s">
        <v>752</v>
      </c>
      <c r="E11" t="s">
        <v>45</v>
      </c>
      <c r="F11" t="s">
        <v>115</v>
      </c>
      <c r="G11" t="s">
        <v>46</v>
      </c>
      <c r="H11" t="s">
        <v>116</v>
      </c>
      <c r="I11" t="s">
        <v>123</v>
      </c>
      <c r="J11" t="s">
        <v>124</v>
      </c>
      <c r="K11">
        <v>100</v>
      </c>
      <c r="L11">
        <v>4016.1</v>
      </c>
      <c r="M11">
        <v>401610</v>
      </c>
      <c r="N11" t="s">
        <v>125</v>
      </c>
      <c r="O11">
        <v>0</v>
      </c>
    </row>
    <row r="12" spans="1:15">
      <c r="A12" t="s">
        <v>754</v>
      </c>
      <c r="B12">
        <v>20260911</v>
      </c>
      <c r="C12">
        <v>3436</v>
      </c>
      <c r="D12" t="s">
        <v>152</v>
      </c>
      <c r="E12" t="s">
        <v>45</v>
      </c>
      <c r="F12" t="s">
        <v>115</v>
      </c>
      <c r="G12" t="s">
        <v>46</v>
      </c>
      <c r="H12" t="s">
        <v>116</v>
      </c>
      <c r="I12" t="s">
        <v>117</v>
      </c>
      <c r="J12" t="s">
        <v>118</v>
      </c>
      <c r="K12">
        <v>100</v>
      </c>
      <c r="L12">
        <v>3144.5</v>
      </c>
      <c r="M12">
        <v>314450</v>
      </c>
      <c r="N12" t="s">
        <v>35</v>
      </c>
      <c r="O12">
        <v>0</v>
      </c>
    </row>
    <row r="13" spans="1:15">
      <c r="A13" t="s">
        <v>755</v>
      </c>
      <c r="B13">
        <v>20260911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1903.9</v>
      </c>
      <c r="M13">
        <v>190390</v>
      </c>
      <c r="N13" t="s">
        <v>35</v>
      </c>
      <c r="O13">
        <v>0</v>
      </c>
    </row>
    <row r="14" spans="1:15">
      <c r="A14" t="s">
        <v>756</v>
      </c>
      <c r="B14">
        <v>20260911</v>
      </c>
      <c r="C14">
        <v>3436</v>
      </c>
      <c r="D14" t="s">
        <v>152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3159</v>
      </c>
      <c r="M14">
        <v>315900</v>
      </c>
      <c r="N14" t="s">
        <v>125</v>
      </c>
      <c r="O14">
        <v>0</v>
      </c>
    </row>
    <row r="15" spans="1:15">
      <c r="A15" t="s">
        <v>757</v>
      </c>
      <c r="B15">
        <v>20260911</v>
      </c>
      <c r="C15">
        <v>6613</v>
      </c>
      <c r="D15" t="s">
        <v>165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1929</v>
      </c>
      <c r="M15">
        <v>192900</v>
      </c>
      <c r="N15" t="s">
        <v>35</v>
      </c>
      <c r="O15">
        <v>0</v>
      </c>
    </row>
    <row r="16" spans="1:15">
      <c r="A16" t="s">
        <v>758</v>
      </c>
      <c r="B16">
        <v>20260911</v>
      </c>
      <c r="C16">
        <v>3436</v>
      </c>
      <c r="D16" t="s">
        <v>152</v>
      </c>
      <c r="E16" t="s">
        <v>45</v>
      </c>
      <c r="F16" t="s">
        <v>115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3170.8</v>
      </c>
      <c r="M16">
        <v>317080</v>
      </c>
      <c r="N16" t="s">
        <v>125</v>
      </c>
      <c r="O16">
        <v>0</v>
      </c>
    </row>
    <row r="17" spans="1:15">
      <c r="A17" t="s">
        <v>759</v>
      </c>
      <c r="B17">
        <v>20260911</v>
      </c>
      <c r="C17">
        <v>6613</v>
      </c>
      <c r="D17" t="s">
        <v>165</v>
      </c>
      <c r="E17" t="s">
        <v>45</v>
      </c>
      <c r="F17" t="s">
        <v>115</v>
      </c>
      <c r="G17" t="s">
        <v>46</v>
      </c>
      <c r="H17" t="s">
        <v>116</v>
      </c>
      <c r="I17" t="s">
        <v>123</v>
      </c>
      <c r="J17" t="s">
        <v>124</v>
      </c>
      <c r="K17">
        <v>100</v>
      </c>
      <c r="L17">
        <v>1935</v>
      </c>
      <c r="M17">
        <v>193500</v>
      </c>
      <c r="N17" t="s">
        <v>125</v>
      </c>
      <c r="O17">
        <v>0</v>
      </c>
    </row>
    <row r="18" spans="1:15">
      <c r="A18" t="s">
        <v>759</v>
      </c>
      <c r="B18">
        <v>20260911</v>
      </c>
      <c r="C18">
        <v>6613</v>
      </c>
      <c r="D18" t="s">
        <v>165</v>
      </c>
      <c r="E18" t="s">
        <v>45</v>
      </c>
      <c r="F18" t="s">
        <v>130</v>
      </c>
      <c r="G18" t="s">
        <v>46</v>
      </c>
      <c r="H18" t="s">
        <v>116</v>
      </c>
      <c r="I18" t="s">
        <v>123</v>
      </c>
      <c r="J18" t="s">
        <v>124</v>
      </c>
      <c r="K18">
        <v>200</v>
      </c>
      <c r="L18">
        <v>1935</v>
      </c>
      <c r="M18">
        <v>387000</v>
      </c>
      <c r="N18" t="s">
        <v>125</v>
      </c>
      <c r="O18">
        <v>0</v>
      </c>
    </row>
    <row r="19" spans="1:15">
      <c r="A19" t="s">
        <v>760</v>
      </c>
      <c r="B19">
        <v>20260911</v>
      </c>
      <c r="C19">
        <v>6613</v>
      </c>
      <c r="D19" t="s">
        <v>165</v>
      </c>
      <c r="E19" t="s">
        <v>45</v>
      </c>
      <c r="F19" t="s">
        <v>115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1943</v>
      </c>
      <c r="M19">
        <v>194300</v>
      </c>
      <c r="N19" t="s">
        <v>35</v>
      </c>
      <c r="O19">
        <v>0</v>
      </c>
    </row>
    <row r="20" spans="1:15">
      <c r="A20" t="s">
        <v>761</v>
      </c>
      <c r="B20">
        <v>20260911</v>
      </c>
      <c r="C20">
        <v>6613</v>
      </c>
      <c r="D20" t="s">
        <v>165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1945</v>
      </c>
      <c r="M20">
        <v>194500</v>
      </c>
      <c r="N20" t="s">
        <v>125</v>
      </c>
      <c r="O20">
        <v>0</v>
      </c>
    </row>
    <row r="21" spans="1:15">
      <c r="A21" t="s">
        <v>762</v>
      </c>
      <c r="B21">
        <v>20260911</v>
      </c>
      <c r="C21">
        <v>3853</v>
      </c>
      <c r="D21" t="s">
        <v>718</v>
      </c>
      <c r="E21" t="s">
        <v>45</v>
      </c>
      <c r="F21" t="s">
        <v>130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1107</v>
      </c>
      <c r="M21">
        <v>110700</v>
      </c>
      <c r="N21" t="s">
        <v>35</v>
      </c>
      <c r="O21">
        <v>0</v>
      </c>
    </row>
    <row r="22" spans="1:15">
      <c r="A22" t="s">
        <v>763</v>
      </c>
      <c r="B22">
        <v>20260911</v>
      </c>
      <c r="C22">
        <v>3436</v>
      </c>
      <c r="D22" t="s">
        <v>152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3155.1</v>
      </c>
      <c r="M22">
        <v>315510</v>
      </c>
      <c r="N22" t="s">
        <v>35</v>
      </c>
      <c r="O22">
        <v>0</v>
      </c>
    </row>
    <row r="23" spans="1:15">
      <c r="A23" t="s">
        <v>764</v>
      </c>
      <c r="B23">
        <v>20260911</v>
      </c>
      <c r="C23">
        <v>3436</v>
      </c>
      <c r="D23" t="s">
        <v>152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3144.1</v>
      </c>
      <c r="M23">
        <v>314410</v>
      </c>
      <c r="N23" t="s">
        <v>125</v>
      </c>
      <c r="O23">
        <v>0</v>
      </c>
    </row>
    <row r="24" spans="1:15">
      <c r="A24" t="s">
        <v>765</v>
      </c>
      <c r="B24">
        <v>20260911</v>
      </c>
      <c r="C24">
        <v>7974</v>
      </c>
      <c r="D24" t="s">
        <v>766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8607.7000000000007</v>
      </c>
      <c r="M24">
        <v>860770</v>
      </c>
      <c r="N24" t="s">
        <v>35</v>
      </c>
      <c r="O24">
        <v>0</v>
      </c>
    </row>
    <row r="25" spans="1:15">
      <c r="A25" t="s">
        <v>767</v>
      </c>
      <c r="B25">
        <v>20260911</v>
      </c>
      <c r="C25">
        <v>2767</v>
      </c>
      <c r="D25" t="s">
        <v>704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2511.8000000000002</v>
      </c>
      <c r="M25">
        <v>251180</v>
      </c>
      <c r="N25" t="s">
        <v>35</v>
      </c>
      <c r="O25">
        <v>0</v>
      </c>
    </row>
    <row r="26" spans="1:15">
      <c r="A26" t="s">
        <v>768</v>
      </c>
      <c r="B26">
        <v>20260911</v>
      </c>
      <c r="C26">
        <v>3853</v>
      </c>
      <c r="D26" t="s">
        <v>718</v>
      </c>
      <c r="E26" t="s">
        <v>45</v>
      </c>
      <c r="F26" t="s">
        <v>130</v>
      </c>
      <c r="G26" t="s">
        <v>46</v>
      </c>
      <c r="H26" t="s">
        <v>116</v>
      </c>
      <c r="I26" t="s">
        <v>123</v>
      </c>
      <c r="J26" t="s">
        <v>124</v>
      </c>
      <c r="K26">
        <v>100</v>
      </c>
      <c r="L26">
        <v>1108</v>
      </c>
      <c r="M26">
        <v>110800</v>
      </c>
      <c r="N26" t="s">
        <v>125</v>
      </c>
      <c r="O26">
        <v>0</v>
      </c>
    </row>
    <row r="27" spans="1:15">
      <c r="A27" t="s">
        <v>769</v>
      </c>
      <c r="B27">
        <v>20260911</v>
      </c>
      <c r="C27">
        <v>7974</v>
      </c>
      <c r="D27" t="s">
        <v>766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8632.4</v>
      </c>
      <c r="M27">
        <v>863240</v>
      </c>
      <c r="N27" t="s">
        <v>125</v>
      </c>
      <c r="O27">
        <v>0</v>
      </c>
    </row>
    <row r="28" spans="1:15">
      <c r="A28" t="s">
        <v>770</v>
      </c>
      <c r="B28">
        <v>20260911</v>
      </c>
      <c r="C28">
        <v>2767</v>
      </c>
      <c r="D28" t="s">
        <v>704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2511.9</v>
      </c>
      <c r="M28">
        <v>251190</v>
      </c>
      <c r="N28" t="s">
        <v>125</v>
      </c>
      <c r="O28">
        <v>0</v>
      </c>
    </row>
    <row r="29" spans="1:15">
      <c r="A29" t="s">
        <v>771</v>
      </c>
      <c r="B29">
        <v>20260911</v>
      </c>
      <c r="C29">
        <v>3436</v>
      </c>
      <c r="D29" t="s">
        <v>152</v>
      </c>
      <c r="E29" t="s">
        <v>45</v>
      </c>
      <c r="F29" t="s">
        <v>115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3113.3</v>
      </c>
      <c r="M29">
        <v>311330</v>
      </c>
      <c r="N29" t="s">
        <v>35</v>
      </c>
      <c r="O29">
        <v>0</v>
      </c>
    </row>
    <row r="30" spans="1:15">
      <c r="A30" t="s">
        <v>772</v>
      </c>
      <c r="B30">
        <v>20260911</v>
      </c>
      <c r="C30">
        <v>3436</v>
      </c>
      <c r="D30" t="s">
        <v>152</v>
      </c>
      <c r="E30" t="s">
        <v>45</v>
      </c>
      <c r="F30" t="s">
        <v>115</v>
      </c>
      <c r="G30" t="s">
        <v>46</v>
      </c>
      <c r="H30" t="s">
        <v>116</v>
      </c>
      <c r="I30" t="s">
        <v>117</v>
      </c>
      <c r="J30" t="s">
        <v>118</v>
      </c>
      <c r="K30">
        <v>100</v>
      </c>
      <c r="L30">
        <v>3124</v>
      </c>
      <c r="M30">
        <v>312400</v>
      </c>
      <c r="N30" t="s">
        <v>35</v>
      </c>
      <c r="O30">
        <v>0</v>
      </c>
    </row>
    <row r="31" spans="1:15">
      <c r="A31" t="s">
        <v>773</v>
      </c>
      <c r="B31">
        <v>20260911</v>
      </c>
      <c r="C31">
        <v>3436</v>
      </c>
      <c r="D31" t="s">
        <v>152</v>
      </c>
      <c r="E31" t="s">
        <v>45</v>
      </c>
      <c r="F31" t="s">
        <v>115</v>
      </c>
      <c r="G31" t="s">
        <v>46</v>
      </c>
      <c r="H31" t="s">
        <v>116</v>
      </c>
      <c r="I31" t="s">
        <v>123</v>
      </c>
      <c r="J31" t="s">
        <v>124</v>
      </c>
      <c r="K31">
        <v>100</v>
      </c>
      <c r="L31">
        <v>3114.6</v>
      </c>
      <c r="M31">
        <v>311460</v>
      </c>
      <c r="N31" t="s">
        <v>125</v>
      </c>
      <c r="O31">
        <v>0</v>
      </c>
    </row>
    <row r="32" spans="1:15">
      <c r="A32" t="s">
        <v>773</v>
      </c>
      <c r="B32">
        <v>20260911</v>
      </c>
      <c r="C32">
        <v>3436</v>
      </c>
      <c r="D32" t="s">
        <v>152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3114.5</v>
      </c>
      <c r="M32">
        <v>311450</v>
      </c>
      <c r="N32" t="s">
        <v>125</v>
      </c>
      <c r="O32">
        <v>0</v>
      </c>
    </row>
    <row r="33" spans="1:15">
      <c r="A33" t="s">
        <v>774</v>
      </c>
      <c r="B33">
        <v>20260911</v>
      </c>
      <c r="C33">
        <v>3436</v>
      </c>
      <c r="D33" t="s">
        <v>152</v>
      </c>
      <c r="E33" t="s">
        <v>45</v>
      </c>
      <c r="F33" t="s">
        <v>130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3131</v>
      </c>
      <c r="M33">
        <v>313100</v>
      </c>
      <c r="N33" t="s">
        <v>35</v>
      </c>
      <c r="O33">
        <v>0</v>
      </c>
    </row>
    <row r="34" spans="1:15">
      <c r="A34" t="s">
        <v>775</v>
      </c>
      <c r="B34">
        <v>20260911</v>
      </c>
      <c r="C34">
        <v>4082</v>
      </c>
      <c r="D34" t="s">
        <v>776</v>
      </c>
      <c r="E34" t="s">
        <v>45</v>
      </c>
      <c r="F34" t="s">
        <v>115</v>
      </c>
      <c r="G34" t="s">
        <v>46</v>
      </c>
      <c r="H34" t="s">
        <v>116</v>
      </c>
      <c r="I34" t="s">
        <v>117</v>
      </c>
      <c r="J34" t="s">
        <v>118</v>
      </c>
      <c r="K34">
        <v>100</v>
      </c>
      <c r="L34">
        <v>2550.3000000000002</v>
      </c>
      <c r="M34">
        <v>255030</v>
      </c>
      <c r="N34" t="s">
        <v>35</v>
      </c>
      <c r="O34">
        <v>0</v>
      </c>
    </row>
    <row r="35" spans="1:15">
      <c r="A35" t="s">
        <v>777</v>
      </c>
      <c r="B35">
        <v>20260911</v>
      </c>
      <c r="C35">
        <v>6613</v>
      </c>
      <c r="D35" t="s">
        <v>165</v>
      </c>
      <c r="E35" t="s">
        <v>45</v>
      </c>
      <c r="F35" t="s">
        <v>130</v>
      </c>
      <c r="G35" t="s">
        <v>46</v>
      </c>
      <c r="H35" t="s">
        <v>116</v>
      </c>
      <c r="I35" t="s">
        <v>117</v>
      </c>
      <c r="J35" t="s">
        <v>118</v>
      </c>
      <c r="K35">
        <v>100</v>
      </c>
      <c r="L35">
        <v>1952</v>
      </c>
      <c r="M35">
        <v>195200</v>
      </c>
      <c r="N35" t="s">
        <v>35</v>
      </c>
      <c r="O35">
        <v>0</v>
      </c>
    </row>
    <row r="36" spans="1:15">
      <c r="A36" t="s">
        <v>778</v>
      </c>
      <c r="B36">
        <v>20260911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123</v>
      </c>
      <c r="J36" t="s">
        <v>124</v>
      </c>
      <c r="K36">
        <v>100</v>
      </c>
      <c r="L36">
        <v>3137.7</v>
      </c>
      <c r="M36">
        <v>313770</v>
      </c>
      <c r="N36" t="s">
        <v>125</v>
      </c>
      <c r="O36">
        <v>0</v>
      </c>
    </row>
    <row r="37" spans="1:15">
      <c r="A37" t="s">
        <v>779</v>
      </c>
      <c r="B37">
        <v>20260911</v>
      </c>
      <c r="C37">
        <v>3436</v>
      </c>
      <c r="D37" t="s">
        <v>152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3145.4</v>
      </c>
      <c r="M37">
        <v>314540</v>
      </c>
      <c r="N37" t="s">
        <v>35</v>
      </c>
      <c r="O37">
        <v>0</v>
      </c>
    </row>
    <row r="38" spans="1:15">
      <c r="A38" t="s">
        <v>780</v>
      </c>
      <c r="B38">
        <v>20260911</v>
      </c>
      <c r="C38">
        <v>4082</v>
      </c>
      <c r="D38" t="s">
        <v>776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2560.5</v>
      </c>
      <c r="M38">
        <v>256050</v>
      </c>
      <c r="N38" t="s">
        <v>125</v>
      </c>
      <c r="O38">
        <v>0</v>
      </c>
    </row>
    <row r="39" spans="1:15">
      <c r="A39" t="s">
        <v>781</v>
      </c>
      <c r="B39">
        <v>20260911</v>
      </c>
      <c r="C39">
        <v>6613</v>
      </c>
      <c r="D39" t="s">
        <v>165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1957.1</v>
      </c>
      <c r="M39">
        <v>195710</v>
      </c>
      <c r="N39" t="s">
        <v>125</v>
      </c>
      <c r="O39">
        <v>0</v>
      </c>
    </row>
    <row r="40" spans="1:15">
      <c r="A40" t="s">
        <v>782</v>
      </c>
      <c r="B40">
        <v>20260911</v>
      </c>
      <c r="C40">
        <v>6613</v>
      </c>
      <c r="D40" t="s">
        <v>165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1962.9</v>
      </c>
      <c r="M40">
        <v>196290</v>
      </c>
      <c r="N40" t="s">
        <v>35</v>
      </c>
      <c r="O40">
        <v>0</v>
      </c>
    </row>
    <row r="41" spans="1:15">
      <c r="A41" t="s">
        <v>783</v>
      </c>
      <c r="B41">
        <v>20260911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3132.3</v>
      </c>
      <c r="M41">
        <v>313230</v>
      </c>
      <c r="N41" t="s">
        <v>125</v>
      </c>
      <c r="O41">
        <v>0</v>
      </c>
    </row>
    <row r="42" spans="1:15">
      <c r="A42" t="s">
        <v>784</v>
      </c>
      <c r="B42">
        <v>20260911</v>
      </c>
      <c r="C42">
        <v>3436</v>
      </c>
      <c r="D42" t="s">
        <v>152</v>
      </c>
      <c r="E42" t="s">
        <v>45</v>
      </c>
      <c r="F42" t="s">
        <v>115</v>
      </c>
      <c r="G42" t="s">
        <v>46</v>
      </c>
      <c r="H42" t="s">
        <v>116</v>
      </c>
      <c r="I42" t="s">
        <v>117</v>
      </c>
      <c r="J42" t="s">
        <v>118</v>
      </c>
      <c r="K42">
        <v>100</v>
      </c>
      <c r="L42">
        <v>3148.4</v>
      </c>
      <c r="M42">
        <v>314840</v>
      </c>
      <c r="N42" t="s">
        <v>35</v>
      </c>
      <c r="O42">
        <v>0</v>
      </c>
    </row>
    <row r="43" spans="1:15">
      <c r="A43" t="s">
        <v>785</v>
      </c>
      <c r="B43">
        <v>20260911</v>
      </c>
      <c r="C43">
        <v>6981</v>
      </c>
      <c r="D43" t="s">
        <v>786</v>
      </c>
      <c r="E43" t="s">
        <v>45</v>
      </c>
      <c r="F43" t="s">
        <v>130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7154</v>
      </c>
      <c r="M43">
        <v>715400</v>
      </c>
      <c r="N43" t="s">
        <v>35</v>
      </c>
      <c r="O43">
        <v>0</v>
      </c>
    </row>
    <row r="44" spans="1:15">
      <c r="A44" t="s">
        <v>787</v>
      </c>
      <c r="B44">
        <v>20260911</v>
      </c>
      <c r="C44">
        <v>3436</v>
      </c>
      <c r="D44" t="s">
        <v>152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3149</v>
      </c>
      <c r="M44">
        <v>314900</v>
      </c>
      <c r="N44" t="s">
        <v>125</v>
      </c>
      <c r="O44">
        <v>0</v>
      </c>
    </row>
    <row r="45" spans="1:15">
      <c r="A45" t="s">
        <v>788</v>
      </c>
      <c r="B45">
        <v>20260911</v>
      </c>
      <c r="C45">
        <v>3436</v>
      </c>
      <c r="D45" t="s">
        <v>152</v>
      </c>
      <c r="E45" t="s">
        <v>45</v>
      </c>
      <c r="F45" t="s">
        <v>115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3144.8</v>
      </c>
      <c r="M45">
        <v>314480</v>
      </c>
      <c r="N45" t="s">
        <v>35</v>
      </c>
      <c r="O45">
        <v>0</v>
      </c>
    </row>
    <row r="46" spans="1:15">
      <c r="A46" t="s">
        <v>789</v>
      </c>
      <c r="B46">
        <v>20260911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1969.4</v>
      </c>
      <c r="M46">
        <v>196940</v>
      </c>
      <c r="N46" t="s">
        <v>125</v>
      </c>
      <c r="O46">
        <v>0</v>
      </c>
    </row>
    <row r="47" spans="1:15">
      <c r="A47" t="s">
        <v>790</v>
      </c>
      <c r="B47">
        <v>20260911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3149.9</v>
      </c>
      <c r="M47">
        <v>314990</v>
      </c>
      <c r="N47" t="s">
        <v>125</v>
      </c>
      <c r="O47">
        <v>0</v>
      </c>
    </row>
    <row r="48" spans="1:15">
      <c r="A48" t="s">
        <v>791</v>
      </c>
      <c r="B48">
        <v>20260911</v>
      </c>
      <c r="C48">
        <v>6613</v>
      </c>
      <c r="D48" t="s">
        <v>165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1978</v>
      </c>
      <c r="M48">
        <v>197800</v>
      </c>
      <c r="N48" t="s">
        <v>35</v>
      </c>
      <c r="O48">
        <v>0</v>
      </c>
    </row>
    <row r="49" spans="1:15">
      <c r="A49" t="s">
        <v>792</v>
      </c>
      <c r="B49">
        <v>20260911</v>
      </c>
      <c r="C49">
        <v>3436</v>
      </c>
      <c r="D49" t="s">
        <v>152</v>
      </c>
      <c r="E49" t="s">
        <v>45</v>
      </c>
      <c r="F49" t="s">
        <v>115</v>
      </c>
      <c r="G49" t="s">
        <v>46</v>
      </c>
      <c r="H49" t="s">
        <v>116</v>
      </c>
      <c r="I49" t="s">
        <v>117</v>
      </c>
      <c r="J49" t="s">
        <v>118</v>
      </c>
      <c r="K49">
        <v>100</v>
      </c>
      <c r="L49">
        <v>3149.8</v>
      </c>
      <c r="M49">
        <v>314980</v>
      </c>
      <c r="N49" t="s">
        <v>35</v>
      </c>
      <c r="O49">
        <v>0</v>
      </c>
    </row>
    <row r="50" spans="1:15">
      <c r="A50" t="s">
        <v>793</v>
      </c>
      <c r="B50">
        <v>20260911</v>
      </c>
      <c r="C50">
        <v>6981</v>
      </c>
      <c r="D50" t="s">
        <v>786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7145.6</v>
      </c>
      <c r="M50">
        <v>714560</v>
      </c>
      <c r="N50" t="s">
        <v>35</v>
      </c>
      <c r="O50">
        <v>0</v>
      </c>
    </row>
    <row r="51" spans="1:15">
      <c r="A51" t="s">
        <v>794</v>
      </c>
      <c r="B51">
        <v>20260911</v>
      </c>
      <c r="C51">
        <v>6981</v>
      </c>
      <c r="D51" t="s">
        <v>786</v>
      </c>
      <c r="E51" t="s">
        <v>45</v>
      </c>
      <c r="F51" t="s">
        <v>115</v>
      </c>
      <c r="G51" t="s">
        <v>46</v>
      </c>
      <c r="H51" t="s">
        <v>116</v>
      </c>
      <c r="I51" t="s">
        <v>123</v>
      </c>
      <c r="J51" t="s">
        <v>124</v>
      </c>
      <c r="K51">
        <v>100</v>
      </c>
      <c r="L51">
        <v>7125.5</v>
      </c>
      <c r="M51">
        <v>712550</v>
      </c>
      <c r="N51" t="s">
        <v>125</v>
      </c>
      <c r="O51">
        <v>0</v>
      </c>
    </row>
    <row r="52" spans="1:15">
      <c r="A52" t="s">
        <v>794</v>
      </c>
      <c r="B52">
        <v>20260911</v>
      </c>
      <c r="C52">
        <v>6981</v>
      </c>
      <c r="D52" t="s">
        <v>786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7125.1</v>
      </c>
      <c r="M52">
        <v>712510</v>
      </c>
      <c r="N52" t="s">
        <v>125</v>
      </c>
      <c r="O52">
        <v>0</v>
      </c>
    </row>
    <row r="53" spans="1:15">
      <c r="A53" t="s">
        <v>795</v>
      </c>
      <c r="B53">
        <v>20260911</v>
      </c>
      <c r="C53">
        <v>6981</v>
      </c>
      <c r="D53" t="s">
        <v>786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7123.8</v>
      </c>
      <c r="M53">
        <v>712380</v>
      </c>
      <c r="N53" t="s">
        <v>35</v>
      </c>
      <c r="O53">
        <v>0</v>
      </c>
    </row>
    <row r="54" spans="1:15">
      <c r="A54" t="s">
        <v>796</v>
      </c>
      <c r="B54">
        <v>20260911</v>
      </c>
      <c r="C54">
        <v>3436</v>
      </c>
      <c r="D54" t="s">
        <v>152</v>
      </c>
      <c r="E54" t="s">
        <v>45</v>
      </c>
      <c r="F54" t="s">
        <v>130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3140</v>
      </c>
      <c r="M54">
        <v>314000</v>
      </c>
      <c r="N54" t="s">
        <v>125</v>
      </c>
      <c r="O54">
        <v>0</v>
      </c>
    </row>
    <row r="55" spans="1:15">
      <c r="A55" t="s">
        <v>797</v>
      </c>
      <c r="B55">
        <v>20260911</v>
      </c>
      <c r="C55">
        <v>2269</v>
      </c>
      <c r="D55" t="s">
        <v>798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4353.7</v>
      </c>
      <c r="M55">
        <v>435370</v>
      </c>
      <c r="N55" t="s">
        <v>35</v>
      </c>
      <c r="O55">
        <v>0</v>
      </c>
    </row>
    <row r="56" spans="1:15">
      <c r="A56" t="s">
        <v>799</v>
      </c>
      <c r="B56">
        <v>20260911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117</v>
      </c>
      <c r="J56" t="s">
        <v>118</v>
      </c>
      <c r="K56">
        <v>100</v>
      </c>
      <c r="L56">
        <v>3145.9</v>
      </c>
      <c r="M56">
        <v>314590</v>
      </c>
      <c r="N56" t="s">
        <v>35</v>
      </c>
      <c r="O56">
        <v>0</v>
      </c>
    </row>
    <row r="57" spans="1:15">
      <c r="A57" t="s">
        <v>800</v>
      </c>
      <c r="B57">
        <v>20260911</v>
      </c>
      <c r="C57">
        <v>6981</v>
      </c>
      <c r="D57" t="s">
        <v>786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7131.6</v>
      </c>
      <c r="M57">
        <v>713160</v>
      </c>
      <c r="N57" t="s">
        <v>125</v>
      </c>
      <c r="O57">
        <v>0</v>
      </c>
    </row>
    <row r="58" spans="1:15">
      <c r="A58" t="s">
        <v>801</v>
      </c>
      <c r="B58">
        <v>20260911</v>
      </c>
      <c r="C58">
        <v>6981</v>
      </c>
      <c r="D58" t="s">
        <v>786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7141.7</v>
      </c>
      <c r="M58">
        <v>714170</v>
      </c>
      <c r="N58" t="s">
        <v>35</v>
      </c>
      <c r="O58">
        <v>0</v>
      </c>
    </row>
    <row r="59" spans="1:15">
      <c r="A59" t="s">
        <v>802</v>
      </c>
      <c r="B59">
        <v>20260911</v>
      </c>
      <c r="C59">
        <v>6981</v>
      </c>
      <c r="D59" t="s">
        <v>786</v>
      </c>
      <c r="E59" t="s">
        <v>45</v>
      </c>
      <c r="F59" t="s">
        <v>115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7128.2</v>
      </c>
      <c r="M59">
        <v>712820</v>
      </c>
      <c r="N59" t="s">
        <v>125</v>
      </c>
      <c r="O59">
        <v>0</v>
      </c>
    </row>
    <row r="60" spans="1:15">
      <c r="A60" t="s">
        <v>803</v>
      </c>
      <c r="B60">
        <v>20260911</v>
      </c>
      <c r="C60">
        <v>3436</v>
      </c>
      <c r="D60" t="s">
        <v>152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3136.3</v>
      </c>
      <c r="M60">
        <v>313630</v>
      </c>
      <c r="N60" t="s">
        <v>125</v>
      </c>
      <c r="O60">
        <v>0</v>
      </c>
    </row>
    <row r="61" spans="1:15">
      <c r="A61" t="s">
        <v>804</v>
      </c>
      <c r="B61">
        <v>20260911</v>
      </c>
      <c r="C61">
        <v>6613</v>
      </c>
      <c r="D61" t="s">
        <v>165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1972.4</v>
      </c>
      <c r="M61">
        <v>197240</v>
      </c>
      <c r="N61" t="s">
        <v>125</v>
      </c>
      <c r="O61">
        <v>0</v>
      </c>
    </row>
    <row r="62" spans="1:15">
      <c r="A62" t="s">
        <v>805</v>
      </c>
      <c r="B62">
        <v>20260911</v>
      </c>
      <c r="C62">
        <v>3436</v>
      </c>
      <c r="D62" t="s">
        <v>152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3156.8</v>
      </c>
      <c r="M62">
        <v>315680</v>
      </c>
      <c r="N62" t="s">
        <v>35</v>
      </c>
      <c r="O62">
        <v>0</v>
      </c>
    </row>
    <row r="63" spans="1:15">
      <c r="A63" t="s">
        <v>806</v>
      </c>
      <c r="B63">
        <v>20260911</v>
      </c>
      <c r="C63">
        <v>6981</v>
      </c>
      <c r="D63" t="s">
        <v>786</v>
      </c>
      <c r="E63" t="s">
        <v>45</v>
      </c>
      <c r="F63" t="s">
        <v>115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7137.2</v>
      </c>
      <c r="M63">
        <v>713720</v>
      </c>
      <c r="N63" t="s">
        <v>35</v>
      </c>
      <c r="O63">
        <v>0</v>
      </c>
    </row>
    <row r="64" spans="1:15">
      <c r="A64" t="s">
        <v>807</v>
      </c>
      <c r="B64">
        <v>20260911</v>
      </c>
      <c r="C64">
        <v>6613</v>
      </c>
      <c r="D64" t="s">
        <v>165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1981.7</v>
      </c>
      <c r="M64">
        <v>198170</v>
      </c>
      <c r="N64" t="s">
        <v>35</v>
      </c>
      <c r="O64">
        <v>0</v>
      </c>
    </row>
    <row r="65" spans="1:15">
      <c r="A65" t="s">
        <v>808</v>
      </c>
      <c r="B65">
        <v>20260911</v>
      </c>
      <c r="C65">
        <v>2269</v>
      </c>
      <c r="D65" t="s">
        <v>798</v>
      </c>
      <c r="E65" t="s">
        <v>45</v>
      </c>
      <c r="F65" t="s">
        <v>115</v>
      </c>
      <c r="G65" t="s">
        <v>46</v>
      </c>
      <c r="H65" t="s">
        <v>116</v>
      </c>
      <c r="I65" t="s">
        <v>123</v>
      </c>
      <c r="J65" t="s">
        <v>124</v>
      </c>
      <c r="K65">
        <v>100</v>
      </c>
      <c r="L65">
        <v>4339.3999999999996</v>
      </c>
      <c r="M65">
        <v>433940</v>
      </c>
      <c r="N65" t="s">
        <v>125</v>
      </c>
      <c r="O65">
        <v>0</v>
      </c>
    </row>
    <row r="66" spans="1:15">
      <c r="A66" t="s">
        <v>809</v>
      </c>
      <c r="B66">
        <v>20260911</v>
      </c>
      <c r="C66">
        <v>6981</v>
      </c>
      <c r="D66" t="s">
        <v>786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7135</v>
      </c>
      <c r="M66">
        <v>713500</v>
      </c>
      <c r="N66" t="s">
        <v>125</v>
      </c>
      <c r="O66">
        <v>0</v>
      </c>
    </row>
    <row r="67" spans="1:15">
      <c r="A67" t="s">
        <v>810</v>
      </c>
      <c r="B67">
        <v>20260911</v>
      </c>
      <c r="C67">
        <v>6981</v>
      </c>
      <c r="D67" t="s">
        <v>786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7137.5</v>
      </c>
      <c r="M67">
        <v>713750</v>
      </c>
      <c r="N67" t="s">
        <v>35</v>
      </c>
      <c r="O67">
        <v>0</v>
      </c>
    </row>
    <row r="68" spans="1:15">
      <c r="A68" t="s">
        <v>811</v>
      </c>
      <c r="B68">
        <v>20260911</v>
      </c>
      <c r="C68">
        <v>3436</v>
      </c>
      <c r="D68" t="s">
        <v>152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3141.7</v>
      </c>
      <c r="M68">
        <v>314170</v>
      </c>
      <c r="N68" t="s">
        <v>125</v>
      </c>
      <c r="O68">
        <v>0</v>
      </c>
    </row>
    <row r="69" spans="1:15">
      <c r="A69" t="s">
        <v>812</v>
      </c>
      <c r="B69">
        <v>20260911</v>
      </c>
      <c r="C69">
        <v>6981</v>
      </c>
      <c r="D69" t="s">
        <v>786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7118.8</v>
      </c>
      <c r="M69">
        <v>711880</v>
      </c>
      <c r="N69" t="s">
        <v>125</v>
      </c>
      <c r="O69">
        <v>0</v>
      </c>
    </row>
    <row r="70" spans="1:15">
      <c r="A70" t="s">
        <v>813</v>
      </c>
      <c r="B70">
        <v>20260911</v>
      </c>
      <c r="C70">
        <v>6613</v>
      </c>
      <c r="D70" t="s">
        <v>165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1962</v>
      </c>
      <c r="M70">
        <v>196200</v>
      </c>
      <c r="N70" t="s">
        <v>125</v>
      </c>
      <c r="O70">
        <v>0</v>
      </c>
    </row>
    <row r="71" spans="1:15">
      <c r="A71" t="s">
        <v>814</v>
      </c>
      <c r="B71">
        <v>20260911</v>
      </c>
      <c r="C71">
        <v>5803</v>
      </c>
      <c r="D71" t="s">
        <v>176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5494.8</v>
      </c>
      <c r="M71">
        <v>549480</v>
      </c>
      <c r="N71" t="s">
        <v>35</v>
      </c>
      <c r="O71">
        <v>0</v>
      </c>
    </row>
    <row r="72" spans="1:15">
      <c r="A72" t="s">
        <v>815</v>
      </c>
      <c r="B72">
        <v>20260911</v>
      </c>
      <c r="C72">
        <v>6613</v>
      </c>
      <c r="D72" t="s">
        <v>165</v>
      </c>
      <c r="E72" t="s">
        <v>45</v>
      </c>
      <c r="F72" t="s">
        <v>115</v>
      </c>
      <c r="G72" t="s">
        <v>46</v>
      </c>
      <c r="H72" t="s">
        <v>116</v>
      </c>
      <c r="I72" t="s">
        <v>117</v>
      </c>
      <c r="J72" t="s">
        <v>118</v>
      </c>
      <c r="K72">
        <v>100</v>
      </c>
      <c r="L72">
        <v>1952.5</v>
      </c>
      <c r="M72">
        <v>195250</v>
      </c>
      <c r="N72" t="s">
        <v>35</v>
      </c>
      <c r="O72">
        <v>0</v>
      </c>
    </row>
    <row r="73" spans="1:15">
      <c r="A73" t="s">
        <v>816</v>
      </c>
      <c r="B73">
        <v>20260911</v>
      </c>
      <c r="C73">
        <v>6613</v>
      </c>
      <c r="D73" t="s">
        <v>165</v>
      </c>
      <c r="E73" t="s">
        <v>45</v>
      </c>
      <c r="F73" t="s">
        <v>130</v>
      </c>
      <c r="G73" t="s">
        <v>46</v>
      </c>
      <c r="H73" t="s">
        <v>116</v>
      </c>
      <c r="I73" t="s">
        <v>117</v>
      </c>
      <c r="J73" t="s">
        <v>118</v>
      </c>
      <c r="K73">
        <v>100</v>
      </c>
      <c r="L73">
        <v>1958</v>
      </c>
      <c r="M73">
        <v>195800</v>
      </c>
      <c r="N73" t="s">
        <v>35</v>
      </c>
      <c r="O73">
        <v>0</v>
      </c>
    </row>
    <row r="74" spans="1:15">
      <c r="A74" t="s">
        <v>817</v>
      </c>
      <c r="B74">
        <v>20260911</v>
      </c>
      <c r="C74">
        <v>6613</v>
      </c>
      <c r="D74" t="s">
        <v>165</v>
      </c>
      <c r="E74" t="s">
        <v>45</v>
      </c>
      <c r="F74" t="s">
        <v>115</v>
      </c>
      <c r="G74" t="s">
        <v>46</v>
      </c>
      <c r="H74" t="s">
        <v>116</v>
      </c>
      <c r="I74" t="s">
        <v>117</v>
      </c>
      <c r="J74" t="s">
        <v>118</v>
      </c>
      <c r="K74">
        <v>100</v>
      </c>
      <c r="L74">
        <v>1942</v>
      </c>
      <c r="M74">
        <v>194200</v>
      </c>
      <c r="N74" t="s">
        <v>35</v>
      </c>
      <c r="O74">
        <v>0</v>
      </c>
    </row>
    <row r="75" spans="1:15">
      <c r="A75" t="s">
        <v>818</v>
      </c>
      <c r="B75">
        <v>20260911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123</v>
      </c>
      <c r="J75" t="s">
        <v>124</v>
      </c>
      <c r="K75">
        <v>100</v>
      </c>
      <c r="L75">
        <v>5520</v>
      </c>
      <c r="M75">
        <v>552000</v>
      </c>
      <c r="N75" t="s">
        <v>125</v>
      </c>
      <c r="O75">
        <v>0</v>
      </c>
    </row>
    <row r="76" spans="1:15">
      <c r="A76" t="s">
        <v>819</v>
      </c>
      <c r="B76">
        <v>20260911</v>
      </c>
      <c r="C76">
        <v>6613</v>
      </c>
      <c r="D76" t="s">
        <v>165</v>
      </c>
      <c r="E76" t="s">
        <v>45</v>
      </c>
      <c r="F76" t="s">
        <v>115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1937.2</v>
      </c>
      <c r="M76">
        <v>193720</v>
      </c>
      <c r="N76" t="s">
        <v>35</v>
      </c>
      <c r="O76">
        <v>0</v>
      </c>
    </row>
    <row r="77" spans="1:15">
      <c r="A77" t="s">
        <v>820</v>
      </c>
      <c r="B77">
        <v>20260911</v>
      </c>
      <c r="C77">
        <v>3436</v>
      </c>
      <c r="D77" t="s">
        <v>152</v>
      </c>
      <c r="E77" t="s">
        <v>45</v>
      </c>
      <c r="F77" t="s">
        <v>115</v>
      </c>
      <c r="G77" t="s">
        <v>46</v>
      </c>
      <c r="H77" t="s">
        <v>116</v>
      </c>
      <c r="I77" t="s">
        <v>117</v>
      </c>
      <c r="J77" t="s">
        <v>118</v>
      </c>
      <c r="K77">
        <v>100</v>
      </c>
      <c r="L77">
        <v>3141.7</v>
      </c>
      <c r="M77">
        <v>314170</v>
      </c>
      <c r="N77" t="s">
        <v>35</v>
      </c>
      <c r="O77">
        <v>0</v>
      </c>
    </row>
    <row r="78" spans="1:15">
      <c r="A78" t="s">
        <v>821</v>
      </c>
      <c r="B78">
        <v>20260911</v>
      </c>
      <c r="C78">
        <v>6613</v>
      </c>
      <c r="D78" t="s">
        <v>165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1940.2</v>
      </c>
      <c r="M78">
        <v>194020</v>
      </c>
      <c r="N78" t="s">
        <v>125</v>
      </c>
      <c r="O78">
        <v>0</v>
      </c>
    </row>
    <row r="79" spans="1:15">
      <c r="A79" t="s">
        <v>822</v>
      </c>
      <c r="B79">
        <v>20260911</v>
      </c>
      <c r="C79">
        <v>5803</v>
      </c>
      <c r="D79" t="s">
        <v>176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5471</v>
      </c>
      <c r="M79">
        <v>547100</v>
      </c>
      <c r="N79" t="s">
        <v>35</v>
      </c>
      <c r="O79">
        <v>0</v>
      </c>
    </row>
    <row r="80" spans="1:15">
      <c r="A80" t="s">
        <v>823</v>
      </c>
      <c r="B80">
        <v>20260911</v>
      </c>
      <c r="C80">
        <v>3436</v>
      </c>
      <c r="D80" t="s">
        <v>152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3145.6</v>
      </c>
      <c r="M80">
        <v>314560</v>
      </c>
      <c r="N80" t="s">
        <v>125</v>
      </c>
      <c r="O80">
        <v>0</v>
      </c>
    </row>
    <row r="81" spans="1:15">
      <c r="A81" t="s">
        <v>824</v>
      </c>
      <c r="B81">
        <v>20260911</v>
      </c>
      <c r="C81">
        <v>6613</v>
      </c>
      <c r="D81" t="s">
        <v>165</v>
      </c>
      <c r="E81" t="s">
        <v>45</v>
      </c>
      <c r="F81" t="s">
        <v>115</v>
      </c>
      <c r="G81" t="s">
        <v>46</v>
      </c>
      <c r="H81" t="s">
        <v>116</v>
      </c>
      <c r="I81" t="s">
        <v>123</v>
      </c>
      <c r="J81" t="s">
        <v>124</v>
      </c>
      <c r="K81">
        <v>100</v>
      </c>
      <c r="L81">
        <v>1950</v>
      </c>
      <c r="M81">
        <v>195000</v>
      </c>
      <c r="N81" t="s">
        <v>125</v>
      </c>
      <c r="O81">
        <v>0</v>
      </c>
    </row>
    <row r="82" spans="1:15">
      <c r="A82" t="s">
        <v>825</v>
      </c>
      <c r="B82">
        <v>20260911</v>
      </c>
      <c r="C82">
        <v>5803</v>
      </c>
      <c r="D82" t="s">
        <v>176</v>
      </c>
      <c r="E82" t="s">
        <v>45</v>
      </c>
      <c r="F82" t="s">
        <v>115</v>
      </c>
      <c r="G82" t="s">
        <v>46</v>
      </c>
      <c r="H82" t="s">
        <v>116</v>
      </c>
      <c r="I82" t="s">
        <v>123</v>
      </c>
      <c r="J82" t="s">
        <v>124</v>
      </c>
      <c r="K82">
        <v>100</v>
      </c>
      <c r="L82">
        <v>5485.2</v>
      </c>
      <c r="M82">
        <v>548520</v>
      </c>
      <c r="N82" t="s">
        <v>125</v>
      </c>
      <c r="O82">
        <v>0</v>
      </c>
    </row>
    <row r="83" spans="1:15">
      <c r="A83" s="1" t="s">
        <v>826</v>
      </c>
      <c r="B83" s="1">
        <v>20260911</v>
      </c>
      <c r="C83" s="1">
        <v>6613</v>
      </c>
      <c r="D83" s="1" t="s">
        <v>165</v>
      </c>
      <c r="E83" s="1" t="s">
        <v>45</v>
      </c>
      <c r="F83" s="1" t="s">
        <v>115</v>
      </c>
      <c r="G83" s="1" t="s">
        <v>46</v>
      </c>
      <c r="H83" s="1" t="s">
        <v>116</v>
      </c>
      <c r="I83" s="1" t="s">
        <v>123</v>
      </c>
      <c r="J83" s="1" t="s">
        <v>124</v>
      </c>
      <c r="K83" s="1">
        <v>200</v>
      </c>
      <c r="L83" s="1">
        <v>1942.5</v>
      </c>
      <c r="M83" s="1">
        <v>388500</v>
      </c>
      <c r="N83" s="1" t="s">
        <v>125</v>
      </c>
      <c r="O83" s="1">
        <v>0</v>
      </c>
    </row>
    <row r="84" spans="1:15">
      <c r="A84" s="1" t="s">
        <v>828</v>
      </c>
      <c r="B84" s="1">
        <v>20260911</v>
      </c>
      <c r="C84" s="1" t="s">
        <v>829</v>
      </c>
      <c r="D84" s="1" t="s">
        <v>830</v>
      </c>
      <c r="E84" s="1" t="s">
        <v>45</v>
      </c>
      <c r="F84" s="1" t="s">
        <v>130</v>
      </c>
      <c r="G84" s="1" t="s">
        <v>46</v>
      </c>
      <c r="H84" s="1" t="s">
        <v>116</v>
      </c>
      <c r="I84" s="1" t="s">
        <v>117</v>
      </c>
      <c r="J84" s="1" t="s">
        <v>118</v>
      </c>
      <c r="K84" s="1">
        <v>100</v>
      </c>
      <c r="L84" s="1">
        <v>4180</v>
      </c>
      <c r="M84" s="1">
        <v>418000</v>
      </c>
      <c r="N84" s="1" t="s">
        <v>35</v>
      </c>
      <c r="O84" s="1">
        <v>0</v>
      </c>
    </row>
    <row r="85" spans="1:15">
      <c r="A85" s="1" t="s">
        <v>831</v>
      </c>
      <c r="B85" s="1">
        <v>20260911</v>
      </c>
      <c r="C85" s="1" t="s">
        <v>829</v>
      </c>
      <c r="D85" s="1" t="s">
        <v>830</v>
      </c>
      <c r="E85" s="1" t="s">
        <v>45</v>
      </c>
      <c r="F85" s="1" t="s">
        <v>115</v>
      </c>
      <c r="G85" s="1" t="s">
        <v>46</v>
      </c>
      <c r="H85" s="1" t="s">
        <v>116</v>
      </c>
      <c r="I85" s="1" t="s">
        <v>123</v>
      </c>
      <c r="J85" s="1" t="s">
        <v>124</v>
      </c>
      <c r="K85" s="1">
        <v>100</v>
      </c>
      <c r="L85" s="1">
        <v>4162</v>
      </c>
      <c r="M85" s="1">
        <v>416200</v>
      </c>
      <c r="N85" s="1" t="s">
        <v>125</v>
      </c>
      <c r="O85" s="1">
        <v>0</v>
      </c>
    </row>
    <row r="86" spans="1:15">
      <c r="A86" s="1" t="s">
        <v>832</v>
      </c>
      <c r="B86" s="1">
        <v>20260911</v>
      </c>
      <c r="C86" s="1">
        <v>6613</v>
      </c>
      <c r="D86" s="1" t="s">
        <v>165</v>
      </c>
      <c r="E86" s="1" t="s">
        <v>45</v>
      </c>
      <c r="F86" s="1" t="s">
        <v>115</v>
      </c>
      <c r="G86" s="1" t="s">
        <v>46</v>
      </c>
      <c r="H86" s="1" t="s">
        <v>116</v>
      </c>
      <c r="I86" s="1" t="s">
        <v>117</v>
      </c>
      <c r="J86" s="1" t="s">
        <v>118</v>
      </c>
      <c r="K86" s="1">
        <v>100</v>
      </c>
      <c r="L86" s="1">
        <v>1939.9</v>
      </c>
      <c r="M86" s="1">
        <v>193990</v>
      </c>
      <c r="N86" s="1" t="s">
        <v>35</v>
      </c>
      <c r="O86" s="1">
        <v>0</v>
      </c>
    </row>
    <row r="87" spans="1:15">
      <c r="A87" s="1" t="s">
        <v>833</v>
      </c>
      <c r="B87" s="1">
        <v>20260911</v>
      </c>
      <c r="C87" s="1">
        <v>6613</v>
      </c>
      <c r="D87" s="1" t="s">
        <v>165</v>
      </c>
      <c r="E87" s="1" t="s">
        <v>45</v>
      </c>
      <c r="F87" s="1" t="s">
        <v>130</v>
      </c>
      <c r="G87" s="1" t="s">
        <v>46</v>
      </c>
      <c r="H87" s="1" t="s">
        <v>116</v>
      </c>
      <c r="I87" s="1" t="s">
        <v>117</v>
      </c>
      <c r="J87" s="1" t="s">
        <v>118</v>
      </c>
      <c r="K87" s="1">
        <v>100</v>
      </c>
      <c r="L87" s="1">
        <v>1944</v>
      </c>
      <c r="M87" s="1">
        <v>194400</v>
      </c>
      <c r="N87" s="1" t="s">
        <v>35</v>
      </c>
      <c r="O87" s="1">
        <v>0</v>
      </c>
    </row>
    <row r="88" spans="1:15">
      <c r="A88" s="1" t="s">
        <v>834</v>
      </c>
      <c r="B88" s="1">
        <v>20260911</v>
      </c>
      <c r="C88" s="1">
        <v>6613</v>
      </c>
      <c r="D88" s="1" t="s">
        <v>165</v>
      </c>
      <c r="E88" s="1" t="s">
        <v>45</v>
      </c>
      <c r="F88" s="1" t="s">
        <v>130</v>
      </c>
      <c r="G88" s="1" t="s">
        <v>46</v>
      </c>
      <c r="H88" s="1" t="s">
        <v>116</v>
      </c>
      <c r="I88" s="1" t="s">
        <v>123</v>
      </c>
      <c r="J88" s="1" t="s">
        <v>124</v>
      </c>
      <c r="K88" s="1">
        <v>100</v>
      </c>
      <c r="L88" s="1">
        <v>1927</v>
      </c>
      <c r="M88" s="1">
        <v>192700</v>
      </c>
      <c r="N88" s="1" t="s">
        <v>125</v>
      </c>
      <c r="O88" s="1">
        <v>0</v>
      </c>
    </row>
    <row r="89" spans="1:15">
      <c r="A89" s="1" t="s">
        <v>835</v>
      </c>
      <c r="B89" s="1">
        <v>20260911</v>
      </c>
      <c r="C89" s="1">
        <v>6613</v>
      </c>
      <c r="D89" s="1" t="s">
        <v>165</v>
      </c>
      <c r="E89" s="1" t="s">
        <v>45</v>
      </c>
      <c r="F89" s="1" t="s">
        <v>115</v>
      </c>
      <c r="G89" s="1" t="s">
        <v>46</v>
      </c>
      <c r="H89" s="1" t="s">
        <v>116</v>
      </c>
      <c r="I89" s="1" t="s">
        <v>123</v>
      </c>
      <c r="J89" s="1" t="s">
        <v>124</v>
      </c>
      <c r="K89" s="1">
        <v>100</v>
      </c>
      <c r="L89" s="1">
        <v>1925.4</v>
      </c>
      <c r="M89" s="1">
        <v>192540</v>
      </c>
      <c r="N89" s="1" t="s">
        <v>125</v>
      </c>
      <c r="O89" s="1">
        <v>0</v>
      </c>
    </row>
    <row r="90" spans="1:15">
      <c r="A90" s="1" t="s">
        <v>836</v>
      </c>
      <c r="B90" s="1">
        <v>20260911</v>
      </c>
      <c r="C90" s="1">
        <v>6613</v>
      </c>
      <c r="D90" s="1" t="s">
        <v>165</v>
      </c>
      <c r="E90" s="1" t="s">
        <v>45</v>
      </c>
      <c r="F90" s="1" t="s">
        <v>130</v>
      </c>
      <c r="G90" s="1" t="s">
        <v>46</v>
      </c>
      <c r="H90" s="1" t="s">
        <v>116</v>
      </c>
      <c r="I90" s="1" t="s">
        <v>117</v>
      </c>
      <c r="J90" s="1" t="s">
        <v>118</v>
      </c>
      <c r="K90" s="1">
        <v>100</v>
      </c>
      <c r="L90" s="1">
        <v>1924</v>
      </c>
      <c r="M90" s="1">
        <v>192400</v>
      </c>
      <c r="N90" s="1" t="s">
        <v>35</v>
      </c>
      <c r="O90" s="1">
        <v>0</v>
      </c>
    </row>
    <row r="91" spans="1:15">
      <c r="A91" s="1" t="s">
        <v>837</v>
      </c>
      <c r="B91" s="1">
        <v>20260911</v>
      </c>
      <c r="C91" s="1">
        <v>6613</v>
      </c>
      <c r="D91" s="1" t="s">
        <v>165</v>
      </c>
      <c r="E91" s="1" t="s">
        <v>45</v>
      </c>
      <c r="F91" s="1" t="s">
        <v>115</v>
      </c>
      <c r="G91" s="1" t="s">
        <v>46</v>
      </c>
      <c r="H91" s="1" t="s">
        <v>116</v>
      </c>
      <c r="I91" s="1" t="s">
        <v>123</v>
      </c>
      <c r="J91" s="1" t="s">
        <v>124</v>
      </c>
      <c r="K91" s="1">
        <v>100</v>
      </c>
      <c r="L91" s="1">
        <v>1924</v>
      </c>
      <c r="M91" s="1">
        <v>192400</v>
      </c>
      <c r="N91" s="1" t="s">
        <v>125</v>
      </c>
      <c r="O91" s="1">
        <v>0</v>
      </c>
    </row>
    <row r="92" spans="1:15">
      <c r="A92" s="1" t="s">
        <v>838</v>
      </c>
      <c r="B92" s="1">
        <v>20260911</v>
      </c>
      <c r="C92" s="1">
        <v>4063</v>
      </c>
      <c r="D92" s="1" t="s">
        <v>181</v>
      </c>
      <c r="E92" s="1" t="s">
        <v>45</v>
      </c>
      <c r="F92" s="1" t="s">
        <v>115</v>
      </c>
      <c r="G92" s="1" t="s">
        <v>46</v>
      </c>
      <c r="H92" s="1" t="s">
        <v>116</v>
      </c>
      <c r="I92" s="1" t="s">
        <v>117</v>
      </c>
      <c r="J92" s="1" t="s">
        <v>118</v>
      </c>
      <c r="K92" s="1">
        <v>100</v>
      </c>
      <c r="L92" s="1">
        <v>5713</v>
      </c>
      <c r="M92" s="1">
        <v>571300</v>
      </c>
      <c r="N92" s="1" t="s">
        <v>35</v>
      </c>
      <c r="O92" s="1">
        <v>0</v>
      </c>
    </row>
    <row r="93" spans="1:15">
      <c r="A93" s="1" t="s">
        <v>839</v>
      </c>
      <c r="B93" s="1">
        <v>20260911</v>
      </c>
      <c r="C93" s="1">
        <v>6613</v>
      </c>
      <c r="D93" s="1" t="s">
        <v>165</v>
      </c>
      <c r="E93" s="1" t="s">
        <v>45</v>
      </c>
      <c r="F93" s="1" t="s">
        <v>130</v>
      </c>
      <c r="G93" s="1" t="s">
        <v>46</v>
      </c>
      <c r="H93" s="1" t="s">
        <v>116</v>
      </c>
      <c r="I93" s="1" t="s">
        <v>117</v>
      </c>
      <c r="J93" s="1" t="s">
        <v>118</v>
      </c>
      <c r="K93" s="1">
        <v>100</v>
      </c>
      <c r="L93" s="1">
        <v>1932</v>
      </c>
      <c r="M93" s="1">
        <v>193200</v>
      </c>
      <c r="N93" s="1" t="s">
        <v>35</v>
      </c>
      <c r="O93" s="1">
        <v>0</v>
      </c>
    </row>
    <row r="94" spans="1:15">
      <c r="A94" s="1" t="s">
        <v>840</v>
      </c>
      <c r="B94" s="1">
        <v>20260911</v>
      </c>
      <c r="C94" s="1">
        <v>4063</v>
      </c>
      <c r="D94" s="1" t="s">
        <v>181</v>
      </c>
      <c r="E94" s="1" t="s">
        <v>45</v>
      </c>
      <c r="F94" s="1" t="s">
        <v>130</v>
      </c>
      <c r="G94" s="1" t="s">
        <v>46</v>
      </c>
      <c r="H94" s="1" t="s">
        <v>116</v>
      </c>
      <c r="I94" s="1" t="s">
        <v>123</v>
      </c>
      <c r="J94" s="1" t="s">
        <v>124</v>
      </c>
      <c r="K94" s="1">
        <v>100</v>
      </c>
      <c r="L94" s="1">
        <v>5714</v>
      </c>
      <c r="M94" s="1">
        <v>571400</v>
      </c>
      <c r="N94" s="1" t="s">
        <v>125</v>
      </c>
      <c r="O94" s="1">
        <v>0</v>
      </c>
    </row>
    <row r="95" spans="1:15">
      <c r="A95" s="1" t="s">
        <v>841</v>
      </c>
      <c r="B95" s="1">
        <v>20260911</v>
      </c>
      <c r="C95" s="1">
        <v>4063</v>
      </c>
      <c r="D95" s="1" t="s">
        <v>181</v>
      </c>
      <c r="E95" s="1" t="s">
        <v>45</v>
      </c>
      <c r="F95" s="1" t="s">
        <v>115</v>
      </c>
      <c r="G95" s="1" t="s">
        <v>46</v>
      </c>
      <c r="H95" s="1" t="s">
        <v>116</v>
      </c>
      <c r="I95" s="1" t="s">
        <v>117</v>
      </c>
      <c r="J95" s="1" t="s">
        <v>118</v>
      </c>
      <c r="K95" s="1">
        <v>100</v>
      </c>
      <c r="L95" s="1">
        <v>5715.4</v>
      </c>
      <c r="M95" s="1">
        <v>571540</v>
      </c>
      <c r="N95" s="1" t="s">
        <v>35</v>
      </c>
      <c r="O95" s="1">
        <v>0</v>
      </c>
    </row>
    <row r="96" spans="1:15">
      <c r="A96" s="1" t="s">
        <v>842</v>
      </c>
      <c r="B96" s="1">
        <v>20260911</v>
      </c>
      <c r="C96" s="1">
        <v>6613</v>
      </c>
      <c r="D96" s="1" t="s">
        <v>165</v>
      </c>
      <c r="E96" s="1" t="s">
        <v>45</v>
      </c>
      <c r="F96" s="1" t="s">
        <v>115</v>
      </c>
      <c r="G96" s="1" t="s">
        <v>46</v>
      </c>
      <c r="H96" s="1" t="s">
        <v>116</v>
      </c>
      <c r="I96" s="1" t="s">
        <v>117</v>
      </c>
      <c r="J96" s="1" t="s">
        <v>118</v>
      </c>
      <c r="K96" s="1">
        <v>100</v>
      </c>
      <c r="L96" s="1">
        <v>1939</v>
      </c>
      <c r="M96" s="1">
        <v>193900</v>
      </c>
      <c r="N96" s="1" t="s">
        <v>35</v>
      </c>
      <c r="O96" s="1">
        <v>0</v>
      </c>
    </row>
    <row r="97" spans="1:15">
      <c r="A97" s="1" t="s">
        <v>843</v>
      </c>
      <c r="B97" s="1">
        <v>20260911</v>
      </c>
      <c r="C97" s="1">
        <v>1605</v>
      </c>
      <c r="D97" s="1" t="s">
        <v>844</v>
      </c>
      <c r="E97" s="1" t="s">
        <v>45</v>
      </c>
      <c r="F97" s="1" t="s">
        <v>115</v>
      </c>
      <c r="G97" s="1" t="s">
        <v>46</v>
      </c>
      <c r="H97" s="1" t="s">
        <v>116</v>
      </c>
      <c r="I97" s="1" t="s">
        <v>117</v>
      </c>
      <c r="J97" s="1" t="s">
        <v>118</v>
      </c>
      <c r="K97" s="1">
        <v>100</v>
      </c>
      <c r="L97" s="1">
        <v>3924.7</v>
      </c>
      <c r="M97" s="1">
        <v>392470</v>
      </c>
      <c r="N97" s="1" t="s">
        <v>35</v>
      </c>
      <c r="O97" s="1">
        <v>0</v>
      </c>
    </row>
    <row r="98" spans="1:15">
      <c r="A98" s="1" t="s">
        <v>845</v>
      </c>
      <c r="B98" s="1">
        <v>20260911</v>
      </c>
      <c r="C98" s="1">
        <v>6613</v>
      </c>
      <c r="D98" s="1" t="s">
        <v>165</v>
      </c>
      <c r="E98" s="1" t="s">
        <v>45</v>
      </c>
      <c r="F98" s="1" t="s">
        <v>115</v>
      </c>
      <c r="G98" s="1" t="s">
        <v>46</v>
      </c>
      <c r="H98" s="1" t="s">
        <v>116</v>
      </c>
      <c r="I98" s="1" t="s">
        <v>123</v>
      </c>
      <c r="J98" s="1" t="s">
        <v>124</v>
      </c>
      <c r="K98" s="1">
        <v>100</v>
      </c>
      <c r="L98" s="1">
        <v>1939.4</v>
      </c>
      <c r="M98" s="1">
        <v>193940</v>
      </c>
      <c r="N98" s="1" t="s">
        <v>125</v>
      </c>
      <c r="O98" s="1">
        <v>0</v>
      </c>
    </row>
    <row r="99" spans="1:15">
      <c r="A99" t="s">
        <v>845</v>
      </c>
      <c r="B99">
        <v>20260911</v>
      </c>
      <c r="C99">
        <v>6613</v>
      </c>
      <c r="D99" t="s">
        <v>165</v>
      </c>
      <c r="E99" t="s">
        <v>45</v>
      </c>
      <c r="F99" t="s">
        <v>115</v>
      </c>
      <c r="G99" t="s">
        <v>46</v>
      </c>
      <c r="H99" t="s">
        <v>116</v>
      </c>
      <c r="I99" t="s">
        <v>123</v>
      </c>
      <c r="J99" t="s">
        <v>124</v>
      </c>
      <c r="K99">
        <v>100</v>
      </c>
      <c r="L99">
        <v>1939.4</v>
      </c>
      <c r="M99">
        <v>193940</v>
      </c>
      <c r="N99" t="s">
        <v>125</v>
      </c>
      <c r="O99">
        <v>0</v>
      </c>
    </row>
    <row r="100" spans="1:15">
      <c r="A100" s="1" t="s">
        <v>846</v>
      </c>
      <c r="B100" s="1">
        <v>20260911</v>
      </c>
      <c r="C100" s="1">
        <v>6981</v>
      </c>
      <c r="D100" s="1" t="s">
        <v>786</v>
      </c>
      <c r="E100" s="1" t="s">
        <v>45</v>
      </c>
      <c r="F100" s="1" t="s">
        <v>115</v>
      </c>
      <c r="G100" s="1" t="s">
        <v>46</v>
      </c>
      <c r="H100" s="1" t="s">
        <v>116</v>
      </c>
      <c r="I100" s="1" t="s">
        <v>117</v>
      </c>
      <c r="J100" s="1" t="s">
        <v>118</v>
      </c>
      <c r="K100" s="1">
        <v>100</v>
      </c>
      <c r="L100" s="1">
        <v>7163.6</v>
      </c>
      <c r="M100" s="1">
        <v>716360</v>
      </c>
      <c r="N100" s="1" t="s">
        <v>35</v>
      </c>
      <c r="O100" s="1">
        <v>0</v>
      </c>
    </row>
    <row r="101" spans="1:15">
      <c r="A101" s="1" t="s">
        <v>847</v>
      </c>
      <c r="B101" s="1">
        <v>20260911</v>
      </c>
      <c r="C101" s="1">
        <v>6981</v>
      </c>
      <c r="D101" s="1" t="s">
        <v>786</v>
      </c>
      <c r="E101" s="1" t="s">
        <v>45</v>
      </c>
      <c r="F101" s="1" t="s">
        <v>115</v>
      </c>
      <c r="G101" s="1" t="s">
        <v>46</v>
      </c>
      <c r="H101" s="1" t="s">
        <v>116</v>
      </c>
      <c r="I101" s="1" t="s">
        <v>123</v>
      </c>
      <c r="J101" s="1" t="s">
        <v>124</v>
      </c>
      <c r="K101" s="1">
        <v>100</v>
      </c>
      <c r="L101" s="1">
        <v>7127.2</v>
      </c>
      <c r="M101" s="1">
        <v>712720</v>
      </c>
      <c r="N101" s="1" t="s">
        <v>125</v>
      </c>
      <c r="O101" s="1">
        <v>0</v>
      </c>
    </row>
    <row r="102" spans="1:15">
      <c r="A102" s="1" t="s">
        <v>848</v>
      </c>
      <c r="B102" s="1">
        <v>20260911</v>
      </c>
      <c r="C102" s="1">
        <v>4063</v>
      </c>
      <c r="D102" s="1" t="s">
        <v>181</v>
      </c>
      <c r="E102" s="1" t="s">
        <v>45</v>
      </c>
      <c r="F102" s="1" t="s">
        <v>115</v>
      </c>
      <c r="G102" s="1" t="s">
        <v>46</v>
      </c>
      <c r="H102" s="1" t="s">
        <v>116</v>
      </c>
      <c r="I102" s="1" t="s">
        <v>123</v>
      </c>
      <c r="J102" s="1" t="s">
        <v>124</v>
      </c>
      <c r="K102" s="1">
        <v>100</v>
      </c>
      <c r="L102" s="1">
        <v>5716.2</v>
      </c>
      <c r="M102" s="1">
        <v>571620</v>
      </c>
      <c r="N102" s="1" t="s">
        <v>125</v>
      </c>
      <c r="O102" s="1">
        <v>0</v>
      </c>
    </row>
    <row r="103" spans="1:15">
      <c r="A103" s="1" t="s">
        <v>849</v>
      </c>
      <c r="B103" s="1">
        <v>20260911</v>
      </c>
      <c r="C103" s="1">
        <v>6981</v>
      </c>
      <c r="D103" s="1" t="s">
        <v>786</v>
      </c>
      <c r="E103" s="1" t="s">
        <v>45</v>
      </c>
      <c r="F103" s="1" t="s">
        <v>115</v>
      </c>
      <c r="G103" s="1" t="s">
        <v>46</v>
      </c>
      <c r="H103" s="1" t="s">
        <v>116</v>
      </c>
      <c r="I103" s="1" t="s">
        <v>117</v>
      </c>
      <c r="J103" s="1" t="s">
        <v>118</v>
      </c>
      <c r="K103" s="1">
        <v>100</v>
      </c>
      <c r="L103" s="1">
        <v>7130</v>
      </c>
      <c r="M103" s="1">
        <v>713000</v>
      </c>
      <c r="N103" s="1" t="s">
        <v>35</v>
      </c>
      <c r="O103" s="1">
        <v>0</v>
      </c>
    </row>
    <row r="104" spans="1:15">
      <c r="A104" s="1" t="s">
        <v>850</v>
      </c>
      <c r="B104" s="1">
        <v>20260911</v>
      </c>
      <c r="C104" s="1">
        <v>4063</v>
      </c>
      <c r="D104" s="1" t="s">
        <v>181</v>
      </c>
      <c r="E104" s="1" t="s">
        <v>45</v>
      </c>
      <c r="F104" s="1" t="s">
        <v>115</v>
      </c>
      <c r="G104" s="1" t="s">
        <v>46</v>
      </c>
      <c r="H104" s="1" t="s">
        <v>116</v>
      </c>
      <c r="I104" s="1" t="s">
        <v>117</v>
      </c>
      <c r="J104" s="1" t="s">
        <v>118</v>
      </c>
      <c r="K104" s="1">
        <v>100</v>
      </c>
      <c r="L104" s="1">
        <v>5720</v>
      </c>
      <c r="M104" s="1">
        <v>572000</v>
      </c>
      <c r="N104" s="1" t="s">
        <v>35</v>
      </c>
      <c r="O104" s="1">
        <v>0</v>
      </c>
    </row>
    <row r="105" spans="1:15">
      <c r="A105" s="1" t="s">
        <v>851</v>
      </c>
      <c r="B105" s="1">
        <v>20260911</v>
      </c>
      <c r="C105" s="1">
        <v>6981</v>
      </c>
      <c r="D105" s="1" t="s">
        <v>786</v>
      </c>
      <c r="E105" s="1" t="s">
        <v>45</v>
      </c>
      <c r="F105" s="1" t="s">
        <v>115</v>
      </c>
      <c r="G105" s="1" t="s">
        <v>46</v>
      </c>
      <c r="H105" s="1" t="s">
        <v>116</v>
      </c>
      <c r="I105" s="1" t="s">
        <v>123</v>
      </c>
      <c r="J105" s="1" t="s">
        <v>124</v>
      </c>
      <c r="K105" s="1">
        <v>100</v>
      </c>
      <c r="L105" s="1">
        <v>7135</v>
      </c>
      <c r="M105" s="1">
        <v>713500</v>
      </c>
      <c r="N105" s="1" t="s">
        <v>125</v>
      </c>
      <c r="O105" s="1">
        <v>0</v>
      </c>
    </row>
    <row r="106" spans="1:15">
      <c r="A106" s="1" t="s">
        <v>852</v>
      </c>
      <c r="B106" s="1">
        <v>20260911</v>
      </c>
      <c r="C106" s="1">
        <v>6981</v>
      </c>
      <c r="D106" s="1" t="s">
        <v>786</v>
      </c>
      <c r="E106" s="1" t="s">
        <v>45</v>
      </c>
      <c r="F106" s="1" t="s">
        <v>115</v>
      </c>
      <c r="G106" s="1" t="s">
        <v>46</v>
      </c>
      <c r="H106" s="1" t="s">
        <v>116</v>
      </c>
      <c r="I106" s="1" t="s">
        <v>117</v>
      </c>
      <c r="J106" s="1" t="s">
        <v>118</v>
      </c>
      <c r="K106" s="1">
        <v>100</v>
      </c>
      <c r="L106" s="1">
        <v>7137.8</v>
      </c>
      <c r="M106" s="1">
        <v>713780</v>
      </c>
      <c r="N106" s="1" t="s">
        <v>35</v>
      </c>
      <c r="O106" s="1">
        <v>0</v>
      </c>
    </row>
    <row r="107" spans="1:15">
      <c r="A107" s="1" t="s">
        <v>853</v>
      </c>
      <c r="B107" s="1">
        <v>20260911</v>
      </c>
      <c r="C107" s="1">
        <v>4063</v>
      </c>
      <c r="D107" s="1" t="s">
        <v>181</v>
      </c>
      <c r="E107" s="1" t="s">
        <v>45</v>
      </c>
      <c r="F107" s="1" t="s">
        <v>115</v>
      </c>
      <c r="G107" s="1" t="s">
        <v>46</v>
      </c>
      <c r="H107" s="1" t="s">
        <v>116</v>
      </c>
      <c r="I107" s="1" t="s">
        <v>123</v>
      </c>
      <c r="J107" s="1" t="s">
        <v>124</v>
      </c>
      <c r="K107" s="1">
        <v>100</v>
      </c>
      <c r="L107" s="1">
        <v>5721.9</v>
      </c>
      <c r="M107" s="1">
        <v>572190</v>
      </c>
      <c r="N107" s="1" t="s">
        <v>125</v>
      </c>
      <c r="O107" s="1">
        <v>0</v>
      </c>
    </row>
    <row r="108" spans="1:15">
      <c r="A108" s="1" t="s">
        <v>854</v>
      </c>
      <c r="B108" s="1">
        <v>20260911</v>
      </c>
      <c r="C108" s="1">
        <v>6981</v>
      </c>
      <c r="D108" s="1" t="s">
        <v>786</v>
      </c>
      <c r="E108" s="1" t="s">
        <v>45</v>
      </c>
      <c r="F108" s="1" t="s">
        <v>115</v>
      </c>
      <c r="G108" s="1" t="s">
        <v>46</v>
      </c>
      <c r="H108" s="1" t="s">
        <v>116</v>
      </c>
      <c r="I108" s="1" t="s">
        <v>123</v>
      </c>
      <c r="J108" s="1" t="s">
        <v>124</v>
      </c>
      <c r="K108" s="1">
        <v>100</v>
      </c>
      <c r="L108" s="1">
        <v>7122.4</v>
      </c>
      <c r="M108" s="1">
        <v>712240</v>
      </c>
      <c r="N108" s="1" t="s">
        <v>125</v>
      </c>
      <c r="O108" s="1">
        <v>0</v>
      </c>
    </row>
    <row r="109" spans="1:15">
      <c r="A109" s="1" t="s">
        <v>855</v>
      </c>
      <c r="B109" s="1">
        <v>20260911</v>
      </c>
      <c r="C109" s="1">
        <v>1605</v>
      </c>
      <c r="D109" s="1" t="s">
        <v>844</v>
      </c>
      <c r="E109" s="1" t="s">
        <v>45</v>
      </c>
      <c r="F109" s="1" t="s">
        <v>115</v>
      </c>
      <c r="G109" s="1" t="s">
        <v>46</v>
      </c>
      <c r="H109" s="1" t="s">
        <v>116</v>
      </c>
      <c r="I109" s="1" t="s">
        <v>123</v>
      </c>
      <c r="J109" s="1" t="s">
        <v>124</v>
      </c>
      <c r="K109" s="1">
        <v>100</v>
      </c>
      <c r="L109" s="1">
        <v>3919.7</v>
      </c>
      <c r="M109" s="1">
        <v>391970</v>
      </c>
      <c r="N109" s="1" t="s">
        <v>125</v>
      </c>
      <c r="O109" s="1">
        <v>0</v>
      </c>
    </row>
    <row r="110" spans="1:15">
      <c r="A110" s="1" t="s">
        <v>856</v>
      </c>
      <c r="B110" s="1">
        <v>20260911</v>
      </c>
      <c r="C110" s="1">
        <v>6981</v>
      </c>
      <c r="D110" s="1" t="s">
        <v>786</v>
      </c>
      <c r="E110" s="1" t="s">
        <v>45</v>
      </c>
      <c r="F110" s="1" t="s">
        <v>115</v>
      </c>
      <c r="G110" s="1" t="s">
        <v>46</v>
      </c>
      <c r="H110" s="1" t="s">
        <v>116</v>
      </c>
      <c r="I110" s="1" t="s">
        <v>117</v>
      </c>
      <c r="J110" s="1" t="s">
        <v>118</v>
      </c>
      <c r="K110" s="1">
        <v>100</v>
      </c>
      <c r="L110" s="1">
        <v>7120.7</v>
      </c>
      <c r="M110" s="1">
        <v>712070</v>
      </c>
      <c r="N110" s="1" t="s">
        <v>35</v>
      </c>
      <c r="O110" s="1">
        <v>0</v>
      </c>
    </row>
    <row r="111" spans="1:15">
      <c r="A111" s="1" t="s">
        <v>857</v>
      </c>
      <c r="B111" s="1">
        <v>20260911</v>
      </c>
      <c r="C111" s="1">
        <v>4063</v>
      </c>
      <c r="D111" s="1" t="s">
        <v>181</v>
      </c>
      <c r="E111" s="1" t="s">
        <v>45</v>
      </c>
      <c r="F111" s="1" t="s">
        <v>115</v>
      </c>
      <c r="G111" s="1" t="s">
        <v>46</v>
      </c>
      <c r="H111" s="1" t="s">
        <v>116</v>
      </c>
      <c r="I111" s="1" t="s">
        <v>117</v>
      </c>
      <c r="J111" s="1" t="s">
        <v>118</v>
      </c>
      <c r="K111" s="1">
        <v>100</v>
      </c>
      <c r="L111" s="1">
        <v>5716.8</v>
      </c>
      <c r="M111" s="1">
        <v>571680</v>
      </c>
      <c r="N111" s="1" t="s">
        <v>35</v>
      </c>
      <c r="O111" s="1">
        <v>0</v>
      </c>
    </row>
    <row r="112" spans="1:15">
      <c r="A112" s="1" t="s">
        <v>858</v>
      </c>
      <c r="B112" s="1">
        <v>20260911</v>
      </c>
      <c r="C112" s="1">
        <v>6981</v>
      </c>
      <c r="D112" s="1" t="s">
        <v>786</v>
      </c>
      <c r="E112" s="1" t="s">
        <v>45</v>
      </c>
      <c r="F112" s="1" t="s">
        <v>115</v>
      </c>
      <c r="G112" s="1" t="s">
        <v>46</v>
      </c>
      <c r="H112" s="1" t="s">
        <v>116</v>
      </c>
      <c r="I112" s="1" t="s">
        <v>123</v>
      </c>
      <c r="J112" s="1" t="s">
        <v>124</v>
      </c>
      <c r="K112" s="1">
        <v>100</v>
      </c>
      <c r="L112" s="1">
        <v>7127.1</v>
      </c>
      <c r="M112" s="1">
        <v>712710</v>
      </c>
      <c r="N112" s="1" t="s">
        <v>125</v>
      </c>
      <c r="O112" s="1">
        <v>0</v>
      </c>
    </row>
    <row r="113" spans="1:15">
      <c r="A113" s="1" t="s">
        <v>859</v>
      </c>
      <c r="B113" s="1">
        <v>20260911</v>
      </c>
      <c r="C113" s="1">
        <v>4063</v>
      </c>
      <c r="D113" s="1" t="s">
        <v>181</v>
      </c>
      <c r="E113" s="1" t="s">
        <v>45</v>
      </c>
      <c r="F113" s="1" t="s">
        <v>115</v>
      </c>
      <c r="G113" s="1" t="s">
        <v>46</v>
      </c>
      <c r="H113" s="1" t="s">
        <v>116</v>
      </c>
      <c r="I113" s="1" t="s">
        <v>123</v>
      </c>
      <c r="J113" s="1" t="s">
        <v>124</v>
      </c>
      <c r="K113" s="1">
        <v>100</v>
      </c>
      <c r="L113" s="1">
        <v>5718.7</v>
      </c>
      <c r="M113" s="1">
        <v>571870</v>
      </c>
      <c r="N113" s="1" t="s">
        <v>125</v>
      </c>
      <c r="O113" s="1">
        <v>0</v>
      </c>
    </row>
    <row r="114" spans="1:15">
      <c r="A114" s="1" t="s">
        <v>860</v>
      </c>
      <c r="B114" s="1">
        <v>20260911</v>
      </c>
      <c r="C114" s="1">
        <v>6981</v>
      </c>
      <c r="D114" s="1" t="s">
        <v>786</v>
      </c>
      <c r="E114" s="1" t="s">
        <v>45</v>
      </c>
      <c r="F114" s="1" t="s">
        <v>115</v>
      </c>
      <c r="G114" s="1" t="s">
        <v>46</v>
      </c>
      <c r="H114" s="1" t="s">
        <v>116</v>
      </c>
      <c r="I114" s="1" t="s">
        <v>117</v>
      </c>
      <c r="J114" s="1" t="s">
        <v>118</v>
      </c>
      <c r="K114" s="1">
        <v>100</v>
      </c>
      <c r="L114" s="1">
        <v>7139.6</v>
      </c>
      <c r="M114" s="1">
        <v>713960</v>
      </c>
      <c r="N114" s="1" t="s">
        <v>35</v>
      </c>
      <c r="O114" s="1">
        <v>0</v>
      </c>
    </row>
    <row r="115" spans="1:15">
      <c r="A115" s="6" t="s">
        <v>861</v>
      </c>
      <c r="B115" s="1">
        <v>20260911</v>
      </c>
      <c r="C115" s="1">
        <v>6613</v>
      </c>
      <c r="D115" s="1" t="s">
        <v>165</v>
      </c>
      <c r="E115" s="1" t="s">
        <v>45</v>
      </c>
      <c r="F115" s="1" t="s">
        <v>115</v>
      </c>
      <c r="G115" s="1" t="s">
        <v>46</v>
      </c>
      <c r="H115" s="1" t="s">
        <v>116</v>
      </c>
      <c r="I115" s="1" t="s">
        <v>117</v>
      </c>
      <c r="J115" s="1" t="s">
        <v>118</v>
      </c>
      <c r="K115" s="1">
        <v>100</v>
      </c>
      <c r="L115" s="1">
        <v>1925.6</v>
      </c>
      <c r="M115" s="1">
        <v>192560</v>
      </c>
      <c r="N115" s="1" t="s">
        <v>35</v>
      </c>
      <c r="O115" s="1">
        <v>0</v>
      </c>
    </row>
    <row r="116" spans="1:15">
      <c r="A116" s="6" t="s">
        <v>862</v>
      </c>
      <c r="B116" s="1">
        <v>20260911</v>
      </c>
      <c r="C116" s="1">
        <v>4063</v>
      </c>
      <c r="D116" s="1" t="s">
        <v>181</v>
      </c>
      <c r="E116" s="1" t="s">
        <v>45</v>
      </c>
      <c r="F116" s="1" t="s">
        <v>115</v>
      </c>
      <c r="G116" s="1" t="s">
        <v>46</v>
      </c>
      <c r="H116" s="1" t="s">
        <v>116</v>
      </c>
      <c r="I116" s="1" t="s">
        <v>117</v>
      </c>
      <c r="J116" s="1" t="s">
        <v>118</v>
      </c>
      <c r="K116" s="1">
        <v>100</v>
      </c>
      <c r="L116" s="1">
        <v>5722.4</v>
      </c>
      <c r="M116" s="1">
        <v>572240</v>
      </c>
      <c r="N116" s="1" t="s">
        <v>35</v>
      </c>
      <c r="O116" s="1">
        <v>0</v>
      </c>
    </row>
    <row r="117" spans="1:15">
      <c r="A117" s="6" t="s">
        <v>863</v>
      </c>
      <c r="B117" s="1">
        <v>20260911</v>
      </c>
      <c r="C117" s="1">
        <v>4063</v>
      </c>
      <c r="D117" s="1" t="s">
        <v>181</v>
      </c>
      <c r="E117" s="1" t="s">
        <v>45</v>
      </c>
      <c r="F117" s="1" t="s">
        <v>115</v>
      </c>
      <c r="G117" s="1" t="s">
        <v>46</v>
      </c>
      <c r="H117" s="1" t="s">
        <v>116</v>
      </c>
      <c r="I117" s="1" t="s">
        <v>123</v>
      </c>
      <c r="J117" s="1" t="s">
        <v>124</v>
      </c>
      <c r="K117" s="1">
        <v>100</v>
      </c>
      <c r="L117" s="1">
        <v>5721.7</v>
      </c>
      <c r="M117" s="1">
        <v>572170</v>
      </c>
      <c r="N117" s="1" t="s">
        <v>125</v>
      </c>
      <c r="O117" s="1">
        <v>0</v>
      </c>
    </row>
    <row r="118" spans="1:15">
      <c r="A118" s="6" t="s">
        <v>864</v>
      </c>
      <c r="B118" s="1">
        <v>20260911</v>
      </c>
      <c r="C118" s="1">
        <v>5803</v>
      </c>
      <c r="D118" s="1" t="s">
        <v>176</v>
      </c>
      <c r="E118" s="1" t="s">
        <v>45</v>
      </c>
      <c r="F118" s="1" t="s">
        <v>115</v>
      </c>
      <c r="G118" s="1" t="s">
        <v>46</v>
      </c>
      <c r="H118" s="1" t="s">
        <v>116</v>
      </c>
      <c r="I118" s="1" t="s">
        <v>117</v>
      </c>
      <c r="J118" s="1" t="s">
        <v>118</v>
      </c>
      <c r="K118" s="1">
        <v>100</v>
      </c>
      <c r="L118" s="1">
        <v>5481.8</v>
      </c>
      <c r="M118" s="1">
        <v>548180</v>
      </c>
      <c r="N118" s="1" t="s">
        <v>35</v>
      </c>
      <c r="O118" s="1">
        <v>0</v>
      </c>
    </row>
    <row r="119" spans="1:15">
      <c r="A119" s="6" t="s">
        <v>865</v>
      </c>
      <c r="B119" s="1">
        <v>20260911</v>
      </c>
      <c r="C119" s="1">
        <v>6613</v>
      </c>
      <c r="D119" s="1" t="s">
        <v>165</v>
      </c>
      <c r="E119" s="1" t="s">
        <v>45</v>
      </c>
      <c r="F119" s="1" t="s">
        <v>115</v>
      </c>
      <c r="G119" s="1" t="s">
        <v>46</v>
      </c>
      <c r="H119" s="1" t="s">
        <v>116</v>
      </c>
      <c r="I119" s="1" t="s">
        <v>123</v>
      </c>
      <c r="J119" s="1" t="s">
        <v>124</v>
      </c>
      <c r="K119" s="1">
        <v>100</v>
      </c>
      <c r="L119" s="1">
        <v>1918.1</v>
      </c>
      <c r="M119" s="1">
        <v>191810</v>
      </c>
      <c r="N119" s="1" t="s">
        <v>125</v>
      </c>
      <c r="O119" s="1">
        <v>0</v>
      </c>
    </row>
    <row r="120" spans="1:15">
      <c r="A120" s="6" t="s">
        <v>866</v>
      </c>
      <c r="B120" s="1">
        <v>20260911</v>
      </c>
      <c r="C120" s="1">
        <v>6613</v>
      </c>
      <c r="D120" s="1" t="s">
        <v>165</v>
      </c>
      <c r="E120" s="1" t="s">
        <v>45</v>
      </c>
      <c r="F120" s="1" t="s">
        <v>115</v>
      </c>
      <c r="G120" s="1" t="s">
        <v>46</v>
      </c>
      <c r="H120" s="1" t="s">
        <v>116</v>
      </c>
      <c r="I120" s="1" t="s">
        <v>117</v>
      </c>
      <c r="J120" s="1" t="s">
        <v>118</v>
      </c>
      <c r="K120" s="1">
        <v>100</v>
      </c>
      <c r="L120" s="1">
        <v>1918.4</v>
      </c>
      <c r="M120" s="1">
        <v>191840</v>
      </c>
      <c r="N120" s="1" t="s">
        <v>35</v>
      </c>
      <c r="O120" s="1">
        <v>0</v>
      </c>
    </row>
    <row r="121" spans="1:15">
      <c r="A121" s="6" t="s">
        <v>867</v>
      </c>
      <c r="B121" s="1">
        <v>20260911</v>
      </c>
      <c r="C121" s="1">
        <v>6981</v>
      </c>
      <c r="D121" s="1" t="s">
        <v>786</v>
      </c>
      <c r="E121" s="1" t="s">
        <v>45</v>
      </c>
      <c r="F121" s="1" t="s">
        <v>115</v>
      </c>
      <c r="G121" s="1" t="s">
        <v>46</v>
      </c>
      <c r="H121" s="1" t="s">
        <v>116</v>
      </c>
      <c r="I121" s="1" t="s">
        <v>123</v>
      </c>
      <c r="J121" s="1" t="s">
        <v>124</v>
      </c>
      <c r="K121" s="1">
        <v>100</v>
      </c>
      <c r="L121" s="1">
        <v>7142.2</v>
      </c>
      <c r="M121" s="1">
        <v>714220</v>
      </c>
      <c r="N121" s="1" t="s">
        <v>125</v>
      </c>
      <c r="O121" s="1">
        <v>0</v>
      </c>
    </row>
    <row r="122" spans="1:15">
      <c r="A122" s="1" t="s">
        <v>868</v>
      </c>
      <c r="B122" s="1">
        <v>20260911</v>
      </c>
      <c r="C122" s="1">
        <v>5803</v>
      </c>
      <c r="D122" s="1" t="s">
        <v>176</v>
      </c>
      <c r="E122" s="1" t="s">
        <v>45</v>
      </c>
      <c r="F122" s="1" t="s">
        <v>115</v>
      </c>
      <c r="G122" s="1" t="s">
        <v>46</v>
      </c>
      <c r="H122" s="1" t="s">
        <v>116</v>
      </c>
      <c r="I122" s="1" t="s">
        <v>123</v>
      </c>
      <c r="J122" s="1" t="s">
        <v>124</v>
      </c>
      <c r="K122" s="1">
        <v>100</v>
      </c>
      <c r="L122" s="1">
        <v>5490.2</v>
      </c>
      <c r="M122" s="1">
        <v>549020</v>
      </c>
      <c r="N122" s="1" t="s">
        <v>125</v>
      </c>
      <c r="O122" s="1">
        <v>0</v>
      </c>
    </row>
    <row r="123" spans="1:15">
      <c r="A123" s="1" t="s">
        <v>869</v>
      </c>
      <c r="B123" s="1">
        <v>20260911</v>
      </c>
      <c r="C123" s="1">
        <v>4063</v>
      </c>
      <c r="D123" s="1" t="s">
        <v>181</v>
      </c>
      <c r="E123" s="1" t="s">
        <v>45</v>
      </c>
      <c r="F123" s="1" t="s">
        <v>115</v>
      </c>
      <c r="G123" s="1" t="s">
        <v>46</v>
      </c>
      <c r="H123" s="1" t="s">
        <v>116</v>
      </c>
      <c r="I123" s="1" t="s">
        <v>117</v>
      </c>
      <c r="J123" s="1" t="s">
        <v>118</v>
      </c>
      <c r="K123" s="1">
        <v>100</v>
      </c>
      <c r="L123" s="1">
        <v>5720.8</v>
      </c>
      <c r="M123" s="1">
        <v>572080</v>
      </c>
      <c r="N123" s="1" t="s">
        <v>35</v>
      </c>
      <c r="O123" s="1">
        <v>0</v>
      </c>
    </row>
    <row r="124" spans="1:15">
      <c r="A124" s="1" t="s">
        <v>870</v>
      </c>
      <c r="B124" s="1">
        <v>20260911</v>
      </c>
      <c r="C124" s="1">
        <v>4063</v>
      </c>
      <c r="D124" s="1" t="s">
        <v>181</v>
      </c>
      <c r="E124" s="1" t="s">
        <v>45</v>
      </c>
      <c r="F124" s="1" t="s">
        <v>115</v>
      </c>
      <c r="G124" s="1" t="s">
        <v>46</v>
      </c>
      <c r="H124" s="1" t="s">
        <v>116</v>
      </c>
      <c r="I124" s="1" t="s">
        <v>117</v>
      </c>
      <c r="J124" s="1" t="s">
        <v>118</v>
      </c>
      <c r="K124" s="1">
        <v>100</v>
      </c>
      <c r="L124" s="1">
        <v>5720.2</v>
      </c>
      <c r="M124" s="1">
        <v>572020</v>
      </c>
      <c r="N124" s="1" t="s">
        <v>35</v>
      </c>
      <c r="O124" s="1">
        <v>0</v>
      </c>
    </row>
    <row r="125" spans="1:15">
      <c r="A125" s="1" t="s">
        <v>871</v>
      </c>
      <c r="B125" s="1">
        <v>20260911</v>
      </c>
      <c r="C125" s="1">
        <v>6613</v>
      </c>
      <c r="D125" s="1" t="s">
        <v>165</v>
      </c>
      <c r="E125" s="1" t="s">
        <v>45</v>
      </c>
      <c r="F125" s="1" t="s">
        <v>115</v>
      </c>
      <c r="G125" s="1" t="s">
        <v>46</v>
      </c>
      <c r="H125" s="1" t="s">
        <v>116</v>
      </c>
      <c r="I125" s="1" t="s">
        <v>123</v>
      </c>
      <c r="J125" s="1" t="s">
        <v>124</v>
      </c>
      <c r="K125" s="1">
        <v>100</v>
      </c>
      <c r="L125" s="1">
        <v>1908</v>
      </c>
      <c r="M125" s="1">
        <v>190800</v>
      </c>
      <c r="N125" s="1" t="s">
        <v>125</v>
      </c>
      <c r="O125" s="1">
        <v>0</v>
      </c>
    </row>
    <row r="126" spans="1:15">
      <c r="A126" s="1" t="s">
        <v>872</v>
      </c>
      <c r="B126" s="1">
        <v>20260911</v>
      </c>
      <c r="C126" s="1">
        <v>3436</v>
      </c>
      <c r="D126" s="1" t="s">
        <v>152</v>
      </c>
      <c r="E126" s="1" t="s">
        <v>45</v>
      </c>
      <c r="F126" s="1" t="s">
        <v>115</v>
      </c>
      <c r="G126" s="1" t="s">
        <v>46</v>
      </c>
      <c r="H126" s="1" t="s">
        <v>116</v>
      </c>
      <c r="I126" s="1" t="s">
        <v>117</v>
      </c>
      <c r="J126" s="1" t="s">
        <v>118</v>
      </c>
      <c r="K126" s="1">
        <v>100</v>
      </c>
      <c r="L126" s="1">
        <v>3132.3</v>
      </c>
      <c r="M126" s="1">
        <v>313230</v>
      </c>
      <c r="N126" s="1" t="s">
        <v>35</v>
      </c>
      <c r="O126" s="1">
        <v>0</v>
      </c>
    </row>
    <row r="127" spans="1:15">
      <c r="A127" s="1" t="s">
        <v>873</v>
      </c>
      <c r="B127" s="1">
        <v>20260911</v>
      </c>
      <c r="C127" s="1">
        <v>4063</v>
      </c>
      <c r="D127" s="1" t="s">
        <v>181</v>
      </c>
      <c r="E127" s="1" t="s">
        <v>45</v>
      </c>
      <c r="F127" s="1" t="s">
        <v>115</v>
      </c>
      <c r="G127" s="1" t="s">
        <v>46</v>
      </c>
      <c r="H127" s="1" t="s">
        <v>116</v>
      </c>
      <c r="I127" s="1" t="s">
        <v>123</v>
      </c>
      <c r="J127" s="1" t="s">
        <v>124</v>
      </c>
      <c r="K127" s="1">
        <v>200</v>
      </c>
      <c r="L127" s="1">
        <v>5720.9</v>
      </c>
      <c r="M127" s="1">
        <v>1144180</v>
      </c>
      <c r="N127" s="1" t="s">
        <v>125</v>
      </c>
      <c r="O127" s="1">
        <v>0</v>
      </c>
    </row>
    <row r="128" spans="1:15">
      <c r="A128" s="1" t="s">
        <v>874</v>
      </c>
      <c r="B128" s="1">
        <v>20260911</v>
      </c>
      <c r="C128" s="1">
        <v>5803</v>
      </c>
      <c r="D128" s="1" t="s">
        <v>176</v>
      </c>
      <c r="E128" s="1" t="s">
        <v>45</v>
      </c>
      <c r="F128" s="1" t="s">
        <v>115</v>
      </c>
      <c r="G128" s="1" t="s">
        <v>46</v>
      </c>
      <c r="H128" s="1" t="s">
        <v>116</v>
      </c>
      <c r="I128" s="1" t="s">
        <v>117</v>
      </c>
      <c r="J128" s="1" t="s">
        <v>118</v>
      </c>
      <c r="K128" s="1">
        <v>100</v>
      </c>
      <c r="L128" s="1">
        <v>5512.2</v>
      </c>
      <c r="M128" s="1">
        <v>551220</v>
      </c>
      <c r="N128" s="1" t="s">
        <v>35</v>
      </c>
      <c r="O128" s="1">
        <v>0</v>
      </c>
    </row>
    <row r="129" spans="1:15">
      <c r="A129" s="1" t="s">
        <v>875</v>
      </c>
      <c r="B129" s="1">
        <v>20260911</v>
      </c>
      <c r="C129" s="1">
        <v>3436</v>
      </c>
      <c r="D129" s="1" t="s">
        <v>152</v>
      </c>
      <c r="E129" s="1" t="s">
        <v>45</v>
      </c>
      <c r="F129" s="1" t="s">
        <v>115</v>
      </c>
      <c r="G129" s="1" t="s">
        <v>46</v>
      </c>
      <c r="H129" s="1" t="s">
        <v>116</v>
      </c>
      <c r="I129" s="1" t="s">
        <v>123</v>
      </c>
      <c r="J129" s="1" t="s">
        <v>124</v>
      </c>
      <c r="K129" s="1">
        <v>100</v>
      </c>
      <c r="L129" s="1">
        <v>3127.3</v>
      </c>
      <c r="M129" s="1">
        <v>312730</v>
      </c>
      <c r="N129" s="1" t="s">
        <v>125</v>
      </c>
      <c r="O129" s="1">
        <v>0</v>
      </c>
    </row>
    <row r="130" spans="1:15">
      <c r="A130" s="1" t="s">
        <v>876</v>
      </c>
      <c r="B130" s="1">
        <v>20260911</v>
      </c>
      <c r="C130" s="1">
        <v>5016</v>
      </c>
      <c r="D130" s="1" t="s">
        <v>139</v>
      </c>
      <c r="E130" s="1" t="s">
        <v>45</v>
      </c>
      <c r="F130" s="1" t="s">
        <v>115</v>
      </c>
      <c r="G130" s="1" t="s">
        <v>46</v>
      </c>
      <c r="H130" s="1" t="s">
        <v>116</v>
      </c>
      <c r="I130" s="1" t="s">
        <v>117</v>
      </c>
      <c r="J130" s="1" t="s">
        <v>118</v>
      </c>
      <c r="K130" s="1">
        <v>100</v>
      </c>
      <c r="L130" s="1">
        <v>3897.3</v>
      </c>
      <c r="M130" s="1">
        <v>389730</v>
      </c>
      <c r="N130" s="1" t="s">
        <v>35</v>
      </c>
      <c r="O130" s="1">
        <v>0</v>
      </c>
    </row>
    <row r="131" spans="1:15">
      <c r="A131" s="1" t="s">
        <v>877</v>
      </c>
      <c r="B131" s="1">
        <v>20260911</v>
      </c>
      <c r="C131" s="1">
        <v>9984</v>
      </c>
      <c r="D131" s="1" t="s">
        <v>191</v>
      </c>
      <c r="E131" s="1" t="s">
        <v>45</v>
      </c>
      <c r="F131" s="1" t="s">
        <v>115</v>
      </c>
      <c r="G131" s="1" t="s">
        <v>223</v>
      </c>
      <c r="H131" s="1" t="s">
        <v>224</v>
      </c>
      <c r="I131" s="1" t="s">
        <v>117</v>
      </c>
      <c r="J131" s="1" t="s">
        <v>118</v>
      </c>
      <c r="K131" s="1">
        <v>100</v>
      </c>
      <c r="L131" s="1">
        <v>6782.4</v>
      </c>
      <c r="M131" s="1">
        <v>678240</v>
      </c>
      <c r="N131" s="1" t="s">
        <v>35</v>
      </c>
      <c r="O131" s="1">
        <v>0</v>
      </c>
    </row>
    <row r="132" spans="1:15">
      <c r="A132" s="1" t="s">
        <v>878</v>
      </c>
      <c r="B132" s="1">
        <v>20260911</v>
      </c>
      <c r="C132" s="1">
        <v>5803</v>
      </c>
      <c r="D132" s="1" t="s">
        <v>176</v>
      </c>
      <c r="E132" s="1" t="s">
        <v>45</v>
      </c>
      <c r="F132" s="1" t="s">
        <v>130</v>
      </c>
      <c r="G132" s="1" t="s">
        <v>46</v>
      </c>
      <c r="H132" s="1" t="s">
        <v>116</v>
      </c>
      <c r="I132" s="1" t="s">
        <v>123</v>
      </c>
      <c r="J132" s="1" t="s">
        <v>124</v>
      </c>
      <c r="K132" s="1">
        <v>100</v>
      </c>
      <c r="L132" s="1">
        <v>5493</v>
      </c>
      <c r="M132" s="1">
        <v>549300</v>
      </c>
      <c r="N132" s="1" t="s">
        <v>125</v>
      </c>
      <c r="O132" s="1">
        <v>0</v>
      </c>
    </row>
    <row r="133" spans="1:15">
      <c r="A133" s="1" t="s">
        <v>878</v>
      </c>
      <c r="B133" s="1">
        <v>20260911</v>
      </c>
      <c r="C133" s="1">
        <v>5016</v>
      </c>
      <c r="D133" s="1" t="s">
        <v>139</v>
      </c>
      <c r="E133" s="1" t="s">
        <v>45</v>
      </c>
      <c r="F133" s="1" t="s">
        <v>130</v>
      </c>
      <c r="G133" s="1" t="s">
        <v>46</v>
      </c>
      <c r="H133" s="1" t="s">
        <v>116</v>
      </c>
      <c r="I133" s="1" t="s">
        <v>123</v>
      </c>
      <c r="J133" s="1" t="s">
        <v>124</v>
      </c>
      <c r="K133" s="1">
        <v>100</v>
      </c>
      <c r="L133" s="1">
        <v>3909</v>
      </c>
      <c r="M133" s="1">
        <v>390900</v>
      </c>
      <c r="N133" s="1" t="s">
        <v>125</v>
      </c>
      <c r="O133" s="1">
        <v>0</v>
      </c>
    </row>
    <row r="134" spans="1:15">
      <c r="A134" s="1" t="s">
        <v>64</v>
      </c>
      <c r="B134" s="1" t="s">
        <v>64</v>
      </c>
      <c r="C134" s="1" t="s">
        <v>64</v>
      </c>
      <c r="D134" s="1" t="s">
        <v>64</v>
      </c>
      <c r="E134" s="1" t="s">
        <v>64</v>
      </c>
      <c r="F134" s="1" t="s">
        <v>64</v>
      </c>
      <c r="G134" s="1" t="s">
        <v>64</v>
      </c>
      <c r="H134" s="1" t="s">
        <v>64</v>
      </c>
      <c r="I134" s="1" t="s">
        <v>64</v>
      </c>
      <c r="J134" s="1" t="s">
        <v>64</v>
      </c>
      <c r="K134" s="1" t="s">
        <v>64</v>
      </c>
      <c r="L134" s="1" t="s">
        <v>64</v>
      </c>
      <c r="M134" s="1" t="s">
        <v>64</v>
      </c>
      <c r="N134" s="1" t="s">
        <v>64</v>
      </c>
      <c r="O134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E640-A069-4A3B-953E-F3069CE538CE}">
  <dimension ref="A1:O70"/>
  <sheetViews>
    <sheetView workbookViewId="0">
      <selection activeCell="C72" sqref="C72"/>
    </sheetView>
  </sheetViews>
  <sheetFormatPr defaultRowHeight="18.75"/>
  <cols>
    <col min="1" max="1" width="22.875" customWidth="1"/>
    <col min="2" max="2" width="15.5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663</v>
      </c>
      <c r="J2" t="s">
        <v>662</v>
      </c>
      <c r="K2" t="s">
        <v>664</v>
      </c>
      <c r="L2" t="s">
        <v>665</v>
      </c>
      <c r="M2" t="s">
        <v>111</v>
      </c>
      <c r="N2" t="s">
        <v>27</v>
      </c>
      <c r="O2" t="s">
        <v>112</v>
      </c>
    </row>
    <row r="3" spans="1:15">
      <c r="A3" s="1" t="s">
        <v>113</v>
      </c>
      <c r="B3" s="1">
        <v>20260814</v>
      </c>
      <c r="C3" s="1">
        <v>7011</v>
      </c>
      <c r="D3" s="1" t="s">
        <v>114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4061</v>
      </c>
      <c r="M3" s="1">
        <v>406100</v>
      </c>
      <c r="N3" s="1" t="s">
        <v>35</v>
      </c>
      <c r="O3" s="1">
        <v>0</v>
      </c>
    </row>
    <row r="4" spans="1:15">
      <c r="A4" t="s">
        <v>119</v>
      </c>
      <c r="B4">
        <v>20260814</v>
      </c>
      <c r="C4">
        <v>7012</v>
      </c>
      <c r="D4" t="s">
        <v>120</v>
      </c>
      <c r="E4" t="s">
        <v>45</v>
      </c>
      <c r="F4" t="s">
        <v>115</v>
      </c>
      <c r="G4" t="s">
        <v>46</v>
      </c>
      <c r="H4" t="s">
        <v>116</v>
      </c>
      <c r="I4" t="s">
        <v>117</v>
      </c>
      <c r="J4" t="s">
        <v>118</v>
      </c>
      <c r="K4">
        <v>100</v>
      </c>
      <c r="L4">
        <v>2724.5</v>
      </c>
      <c r="M4">
        <v>272450</v>
      </c>
      <c r="N4" t="s">
        <v>35</v>
      </c>
      <c r="O4">
        <v>0</v>
      </c>
    </row>
    <row r="5" spans="1:15">
      <c r="A5" s="1" t="s">
        <v>121</v>
      </c>
      <c r="B5" s="1">
        <v>20260814</v>
      </c>
      <c r="C5" s="1">
        <v>7011</v>
      </c>
      <c r="D5" s="1" t="s">
        <v>114</v>
      </c>
      <c r="E5" s="1" t="s">
        <v>45</v>
      </c>
      <c r="F5" s="1" t="s">
        <v>115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4054.8</v>
      </c>
      <c r="M5" s="1">
        <v>405480</v>
      </c>
      <c r="N5" s="1" t="s">
        <v>35</v>
      </c>
      <c r="O5" s="1">
        <v>0</v>
      </c>
    </row>
    <row r="6" spans="1:15">
      <c r="A6" t="s">
        <v>122</v>
      </c>
      <c r="B6">
        <v>20260814</v>
      </c>
      <c r="C6">
        <v>7011</v>
      </c>
      <c r="D6" t="s">
        <v>114</v>
      </c>
      <c r="E6" t="s">
        <v>45</v>
      </c>
      <c r="F6" t="s">
        <v>115</v>
      </c>
      <c r="G6" t="s">
        <v>46</v>
      </c>
      <c r="H6" t="s">
        <v>116</v>
      </c>
      <c r="I6" t="s">
        <v>123</v>
      </c>
      <c r="J6" t="s">
        <v>124</v>
      </c>
      <c r="K6">
        <v>200</v>
      </c>
      <c r="L6">
        <v>4062.2</v>
      </c>
      <c r="M6">
        <v>812440</v>
      </c>
      <c r="N6" t="s">
        <v>125</v>
      </c>
      <c r="O6">
        <v>0</v>
      </c>
    </row>
    <row r="7" spans="1:15">
      <c r="A7" t="s">
        <v>126</v>
      </c>
      <c r="B7">
        <v>20260814</v>
      </c>
      <c r="C7">
        <v>7011</v>
      </c>
      <c r="D7" t="s">
        <v>114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4036.9</v>
      </c>
      <c r="M7">
        <v>403690</v>
      </c>
      <c r="N7" t="s">
        <v>35</v>
      </c>
      <c r="O7">
        <v>0</v>
      </c>
    </row>
    <row r="8" spans="1:15">
      <c r="A8" t="s">
        <v>127</v>
      </c>
      <c r="B8">
        <v>20260814</v>
      </c>
      <c r="C8">
        <v>7011</v>
      </c>
      <c r="D8" t="s">
        <v>114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4018</v>
      </c>
      <c r="M8">
        <v>401800</v>
      </c>
      <c r="N8" t="s">
        <v>125</v>
      </c>
      <c r="O8">
        <v>0</v>
      </c>
    </row>
    <row r="9" spans="1:15">
      <c r="A9" t="s">
        <v>128</v>
      </c>
      <c r="B9">
        <v>20260814</v>
      </c>
      <c r="C9">
        <v>7011</v>
      </c>
      <c r="D9" t="s">
        <v>114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4021</v>
      </c>
      <c r="M9">
        <v>402100</v>
      </c>
      <c r="N9" t="s">
        <v>35</v>
      </c>
      <c r="O9">
        <v>0</v>
      </c>
    </row>
    <row r="10" spans="1:15">
      <c r="A10" s="1" t="s">
        <v>129</v>
      </c>
      <c r="B10" s="1">
        <v>20260814</v>
      </c>
      <c r="C10" s="1">
        <v>7011</v>
      </c>
      <c r="D10" s="1" t="s">
        <v>114</v>
      </c>
      <c r="E10" s="1" t="s">
        <v>45</v>
      </c>
      <c r="F10" s="1" t="s">
        <v>130</v>
      </c>
      <c r="G10" s="1" t="s">
        <v>46</v>
      </c>
      <c r="H10" s="1" t="s">
        <v>116</v>
      </c>
      <c r="I10" s="1" t="s">
        <v>117</v>
      </c>
      <c r="J10" s="1" t="s">
        <v>118</v>
      </c>
      <c r="K10" s="1">
        <v>100</v>
      </c>
      <c r="L10" s="1">
        <v>4029</v>
      </c>
      <c r="M10" s="1">
        <v>402900</v>
      </c>
      <c r="N10" s="1" t="s">
        <v>35</v>
      </c>
      <c r="O10" s="1">
        <v>0</v>
      </c>
    </row>
    <row r="11" spans="1:15">
      <c r="A11" s="1" t="s">
        <v>131</v>
      </c>
      <c r="B11" s="1">
        <v>20260814</v>
      </c>
      <c r="C11" s="1">
        <v>7012</v>
      </c>
      <c r="D11" s="1" t="s">
        <v>120</v>
      </c>
      <c r="E11" s="1" t="s">
        <v>45</v>
      </c>
      <c r="F11" s="1" t="s">
        <v>115</v>
      </c>
      <c r="G11" s="1" t="s">
        <v>46</v>
      </c>
      <c r="H11" s="1" t="s">
        <v>116</v>
      </c>
      <c r="I11" s="1" t="s">
        <v>123</v>
      </c>
      <c r="J11" s="1" t="s">
        <v>124</v>
      </c>
      <c r="K11" s="1">
        <v>100</v>
      </c>
      <c r="L11" s="1">
        <v>2730.5</v>
      </c>
      <c r="M11" s="1">
        <v>273050</v>
      </c>
      <c r="N11" s="1" t="s">
        <v>125</v>
      </c>
      <c r="O11" s="1">
        <v>0</v>
      </c>
    </row>
    <row r="12" spans="1:15">
      <c r="A12" s="1" t="s">
        <v>132</v>
      </c>
      <c r="B12" s="1">
        <v>20260814</v>
      </c>
      <c r="C12" s="1">
        <v>7012</v>
      </c>
      <c r="D12" s="1" t="s">
        <v>120</v>
      </c>
      <c r="E12" s="1" t="s">
        <v>45</v>
      </c>
      <c r="F12" s="1" t="s">
        <v>115</v>
      </c>
      <c r="G12" s="1" t="s">
        <v>46</v>
      </c>
      <c r="H12" s="1" t="s">
        <v>116</v>
      </c>
      <c r="I12" s="1" t="s">
        <v>117</v>
      </c>
      <c r="J12" s="1" t="s">
        <v>118</v>
      </c>
      <c r="K12" s="1">
        <v>100</v>
      </c>
      <c r="L12" s="1">
        <v>2733</v>
      </c>
      <c r="M12" s="1">
        <v>273300</v>
      </c>
      <c r="N12" s="1" t="s">
        <v>35</v>
      </c>
      <c r="O12" s="1">
        <v>0</v>
      </c>
    </row>
    <row r="13" spans="1:15">
      <c r="A13" s="1" t="s">
        <v>133</v>
      </c>
      <c r="B13" s="1">
        <v>20260814</v>
      </c>
      <c r="C13" s="1">
        <v>7011</v>
      </c>
      <c r="D13" s="1" t="s">
        <v>114</v>
      </c>
      <c r="E13" s="1" t="s">
        <v>45</v>
      </c>
      <c r="F13" s="1" t="s">
        <v>115</v>
      </c>
      <c r="G13" s="1" t="s">
        <v>46</v>
      </c>
      <c r="H13" s="1" t="s">
        <v>116</v>
      </c>
      <c r="I13" s="1" t="s">
        <v>123</v>
      </c>
      <c r="J13" s="1" t="s">
        <v>124</v>
      </c>
      <c r="K13" s="1">
        <v>100</v>
      </c>
      <c r="L13" s="1">
        <v>4038.1</v>
      </c>
      <c r="M13" s="1">
        <v>403810</v>
      </c>
      <c r="N13" s="1" t="s">
        <v>125</v>
      </c>
      <c r="O13" s="1">
        <v>0</v>
      </c>
    </row>
    <row r="14" spans="1:15">
      <c r="A14" s="1" t="s">
        <v>134</v>
      </c>
      <c r="B14" s="1">
        <v>20260814</v>
      </c>
      <c r="C14" s="1">
        <v>7011</v>
      </c>
      <c r="D14" s="1" t="s">
        <v>114</v>
      </c>
      <c r="E14" s="1" t="s">
        <v>45</v>
      </c>
      <c r="F14" s="1" t="s">
        <v>115</v>
      </c>
      <c r="G14" s="1" t="s">
        <v>46</v>
      </c>
      <c r="H14" s="1" t="s">
        <v>116</v>
      </c>
      <c r="I14" s="1" t="s">
        <v>117</v>
      </c>
      <c r="J14" s="1" t="s">
        <v>118</v>
      </c>
      <c r="K14" s="1">
        <v>100</v>
      </c>
      <c r="L14" s="1">
        <v>4032.9</v>
      </c>
      <c r="M14" s="1">
        <v>403290</v>
      </c>
      <c r="N14" s="1" t="s">
        <v>35</v>
      </c>
      <c r="O14" s="1">
        <v>0</v>
      </c>
    </row>
    <row r="15" spans="1:15">
      <c r="A15" s="1" t="s">
        <v>135</v>
      </c>
      <c r="B15" s="1">
        <v>20260814</v>
      </c>
      <c r="C15" s="1">
        <v>7011</v>
      </c>
      <c r="D15" s="1" t="s">
        <v>114</v>
      </c>
      <c r="E15" s="1" t="s">
        <v>45</v>
      </c>
      <c r="F15" s="1" t="s">
        <v>115</v>
      </c>
      <c r="G15" s="1" t="s">
        <v>46</v>
      </c>
      <c r="H15" s="1" t="s">
        <v>116</v>
      </c>
      <c r="I15" s="1" t="s">
        <v>123</v>
      </c>
      <c r="J15" s="1" t="s">
        <v>124</v>
      </c>
      <c r="K15" s="1">
        <v>100</v>
      </c>
      <c r="L15" s="1">
        <v>4051.8</v>
      </c>
      <c r="M15" s="1">
        <v>405180</v>
      </c>
      <c r="N15" s="1" t="s">
        <v>125</v>
      </c>
      <c r="O15" s="1">
        <v>0</v>
      </c>
    </row>
    <row r="16" spans="1:15">
      <c r="A16" t="s">
        <v>136</v>
      </c>
      <c r="B16">
        <v>20260814</v>
      </c>
      <c r="C16">
        <v>7012</v>
      </c>
      <c r="D16" t="s">
        <v>120</v>
      </c>
      <c r="E16" t="s">
        <v>45</v>
      </c>
      <c r="F16" t="s">
        <v>115</v>
      </c>
      <c r="G16" t="s">
        <v>46</v>
      </c>
      <c r="H16" t="s">
        <v>116</v>
      </c>
      <c r="I16" t="s">
        <v>117</v>
      </c>
      <c r="J16" t="s">
        <v>118</v>
      </c>
      <c r="K16">
        <v>100</v>
      </c>
      <c r="L16">
        <v>2746.8</v>
      </c>
      <c r="M16">
        <v>274680</v>
      </c>
      <c r="N16" t="s">
        <v>35</v>
      </c>
      <c r="O16">
        <v>0</v>
      </c>
    </row>
    <row r="17" spans="1:15">
      <c r="A17" s="1" t="s">
        <v>137</v>
      </c>
      <c r="B17" s="1">
        <v>20260814</v>
      </c>
      <c r="C17" s="1">
        <v>7011</v>
      </c>
      <c r="D17" s="1" t="s">
        <v>114</v>
      </c>
      <c r="E17" s="1" t="s">
        <v>45</v>
      </c>
      <c r="F17" s="1" t="s">
        <v>115</v>
      </c>
      <c r="G17" s="1" t="s">
        <v>46</v>
      </c>
      <c r="H17" s="1" t="s">
        <v>116</v>
      </c>
      <c r="I17" s="1" t="s">
        <v>123</v>
      </c>
      <c r="J17" s="1" t="s">
        <v>124</v>
      </c>
      <c r="K17" s="1">
        <v>100</v>
      </c>
      <c r="L17" s="1">
        <v>4058</v>
      </c>
      <c r="M17" s="1">
        <v>405800</v>
      </c>
      <c r="N17" s="1" t="s">
        <v>125</v>
      </c>
      <c r="O17" s="1">
        <v>0</v>
      </c>
    </row>
    <row r="18" spans="1:15">
      <c r="A18" t="s">
        <v>138</v>
      </c>
      <c r="B18">
        <v>20260814</v>
      </c>
      <c r="C18">
        <v>5016</v>
      </c>
      <c r="D18" t="s">
        <v>139</v>
      </c>
      <c r="E18" t="s">
        <v>45</v>
      </c>
      <c r="F18" t="s">
        <v>115</v>
      </c>
      <c r="G18" t="s">
        <v>46</v>
      </c>
      <c r="H18" t="s">
        <v>116</v>
      </c>
      <c r="I18" t="s">
        <v>117</v>
      </c>
      <c r="J18" t="s">
        <v>118</v>
      </c>
      <c r="K18">
        <v>100</v>
      </c>
      <c r="L18">
        <v>3783.9</v>
      </c>
      <c r="M18">
        <v>378390</v>
      </c>
      <c r="N18" t="s">
        <v>35</v>
      </c>
      <c r="O18">
        <v>0</v>
      </c>
    </row>
    <row r="19" spans="1:15">
      <c r="A19" t="s">
        <v>140</v>
      </c>
      <c r="B19">
        <v>20260814</v>
      </c>
      <c r="C19">
        <v>7012</v>
      </c>
      <c r="D19" t="s">
        <v>120</v>
      </c>
      <c r="E19" t="s">
        <v>45</v>
      </c>
      <c r="F19" t="s">
        <v>115</v>
      </c>
      <c r="G19" t="s">
        <v>46</v>
      </c>
      <c r="H19" t="s">
        <v>116</v>
      </c>
      <c r="I19" t="s">
        <v>123</v>
      </c>
      <c r="J19" t="s">
        <v>124</v>
      </c>
      <c r="K19">
        <v>100</v>
      </c>
      <c r="L19">
        <v>2749</v>
      </c>
      <c r="M19">
        <v>274900</v>
      </c>
      <c r="N19" t="s">
        <v>125</v>
      </c>
      <c r="O19">
        <v>0</v>
      </c>
    </row>
    <row r="20" spans="1:15">
      <c r="A20" t="s">
        <v>141</v>
      </c>
      <c r="B20">
        <v>20260814</v>
      </c>
      <c r="C20">
        <v>7011</v>
      </c>
      <c r="D20" t="s">
        <v>114</v>
      </c>
      <c r="E20" t="s">
        <v>45</v>
      </c>
      <c r="F20" t="s">
        <v>115</v>
      </c>
      <c r="G20" t="s">
        <v>46</v>
      </c>
      <c r="H20" t="s">
        <v>116</v>
      </c>
      <c r="I20" t="s">
        <v>117</v>
      </c>
      <c r="J20" t="s">
        <v>118</v>
      </c>
      <c r="K20">
        <v>100</v>
      </c>
      <c r="L20">
        <v>4065.9</v>
      </c>
      <c r="M20">
        <v>406590</v>
      </c>
      <c r="N20" t="s">
        <v>35</v>
      </c>
      <c r="O20">
        <v>0</v>
      </c>
    </row>
    <row r="21" spans="1:15">
      <c r="A21" t="s">
        <v>142</v>
      </c>
      <c r="B21">
        <v>20260814</v>
      </c>
      <c r="C21">
        <v>7011</v>
      </c>
      <c r="D21" t="s">
        <v>114</v>
      </c>
      <c r="E21" t="s">
        <v>45</v>
      </c>
      <c r="F21" t="s">
        <v>115</v>
      </c>
      <c r="G21" t="s">
        <v>46</v>
      </c>
      <c r="H21" t="s">
        <v>116</v>
      </c>
      <c r="I21" t="s">
        <v>123</v>
      </c>
      <c r="J21" t="s">
        <v>124</v>
      </c>
      <c r="K21">
        <v>100</v>
      </c>
      <c r="L21">
        <v>4066</v>
      </c>
      <c r="M21">
        <v>406600</v>
      </c>
      <c r="N21" t="s">
        <v>125</v>
      </c>
      <c r="O21">
        <v>0</v>
      </c>
    </row>
    <row r="22" spans="1:15">
      <c r="A22" t="s">
        <v>143</v>
      </c>
      <c r="B22">
        <v>20260814</v>
      </c>
      <c r="C22">
        <v>7011</v>
      </c>
      <c r="D22" t="s">
        <v>114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4065.9</v>
      </c>
      <c r="M22">
        <v>406590</v>
      </c>
      <c r="N22" t="s">
        <v>35</v>
      </c>
      <c r="O22">
        <v>0</v>
      </c>
    </row>
    <row r="23" spans="1:15">
      <c r="A23" t="s">
        <v>144</v>
      </c>
      <c r="B23">
        <v>20260814</v>
      </c>
      <c r="C23">
        <v>7011</v>
      </c>
      <c r="D23" t="s">
        <v>114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4073.1</v>
      </c>
      <c r="M23">
        <v>407310</v>
      </c>
      <c r="N23" t="s">
        <v>125</v>
      </c>
      <c r="O23">
        <v>0</v>
      </c>
    </row>
    <row r="24" spans="1:15">
      <c r="A24" t="s">
        <v>145</v>
      </c>
      <c r="B24">
        <v>20260814</v>
      </c>
      <c r="C24">
        <v>7011</v>
      </c>
      <c r="D24" t="s">
        <v>114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4076</v>
      </c>
      <c r="M24">
        <v>407600</v>
      </c>
      <c r="N24" t="s">
        <v>35</v>
      </c>
      <c r="O24">
        <v>0</v>
      </c>
    </row>
    <row r="25" spans="1:15">
      <c r="A25" s="1" t="s">
        <v>146</v>
      </c>
      <c r="B25" s="1">
        <v>20260814</v>
      </c>
      <c r="C25" s="1">
        <v>7011</v>
      </c>
      <c r="D25" s="1" t="s">
        <v>114</v>
      </c>
      <c r="E25" s="1" t="s">
        <v>45</v>
      </c>
      <c r="F25" s="1" t="s">
        <v>130</v>
      </c>
      <c r="G25" s="1" t="s">
        <v>46</v>
      </c>
      <c r="H25" s="1" t="s">
        <v>116</v>
      </c>
      <c r="I25" s="1" t="s">
        <v>123</v>
      </c>
      <c r="J25" s="1" t="s">
        <v>124</v>
      </c>
      <c r="K25" s="1">
        <v>100</v>
      </c>
      <c r="L25" s="1">
        <v>4066</v>
      </c>
      <c r="M25" s="1">
        <v>406600</v>
      </c>
      <c r="N25" s="1" t="s">
        <v>125</v>
      </c>
      <c r="O25" s="1">
        <v>0</v>
      </c>
    </row>
    <row r="26" spans="1:15">
      <c r="A26" s="1" t="s">
        <v>147</v>
      </c>
      <c r="B26" s="1">
        <v>20260814</v>
      </c>
      <c r="C26" s="1">
        <v>7011</v>
      </c>
      <c r="D26" s="1" t="s">
        <v>114</v>
      </c>
      <c r="E26" s="1" t="s">
        <v>45</v>
      </c>
      <c r="F26" s="1" t="s">
        <v>115</v>
      </c>
      <c r="G26" s="1" t="s">
        <v>46</v>
      </c>
      <c r="H26" s="1" t="s">
        <v>116</v>
      </c>
      <c r="I26" s="1" t="s">
        <v>117</v>
      </c>
      <c r="J26" s="1" t="s">
        <v>118</v>
      </c>
      <c r="K26" s="1">
        <v>100</v>
      </c>
      <c r="L26" s="1">
        <v>4067.3</v>
      </c>
      <c r="M26" s="1">
        <v>406730</v>
      </c>
      <c r="N26" s="1" t="s">
        <v>35</v>
      </c>
      <c r="O26" s="1">
        <v>0</v>
      </c>
    </row>
    <row r="27" spans="1:15">
      <c r="A27" s="1" t="s">
        <v>148</v>
      </c>
      <c r="B27" s="1">
        <v>20260814</v>
      </c>
      <c r="C27" s="1">
        <v>7012</v>
      </c>
      <c r="D27" s="1" t="s">
        <v>120</v>
      </c>
      <c r="E27" s="1" t="s">
        <v>45</v>
      </c>
      <c r="F27" s="1" t="s">
        <v>115</v>
      </c>
      <c r="G27" s="1" t="s">
        <v>46</v>
      </c>
      <c r="H27" s="1" t="s">
        <v>116</v>
      </c>
      <c r="I27" s="1" t="s">
        <v>123</v>
      </c>
      <c r="J27" s="1" t="s">
        <v>124</v>
      </c>
      <c r="K27" s="1">
        <v>100</v>
      </c>
      <c r="L27" s="1">
        <v>2744.3</v>
      </c>
      <c r="M27" s="1">
        <v>274430</v>
      </c>
      <c r="N27" s="1" t="s">
        <v>125</v>
      </c>
      <c r="O27" s="1">
        <v>0</v>
      </c>
    </row>
    <row r="28" spans="1:15">
      <c r="A28" s="1" t="s">
        <v>149</v>
      </c>
      <c r="B28" s="1">
        <v>20260814</v>
      </c>
      <c r="C28" s="1">
        <v>7011</v>
      </c>
      <c r="D28" s="1" t="s">
        <v>114</v>
      </c>
      <c r="E28" s="1" t="s">
        <v>45</v>
      </c>
      <c r="F28" s="1" t="s">
        <v>115</v>
      </c>
      <c r="G28" s="1" t="s">
        <v>46</v>
      </c>
      <c r="H28" s="1" t="s">
        <v>116</v>
      </c>
      <c r="I28" s="1" t="s">
        <v>123</v>
      </c>
      <c r="J28" s="1" t="s">
        <v>124</v>
      </c>
      <c r="K28" s="1">
        <v>100</v>
      </c>
      <c r="L28" s="1">
        <v>4072.8</v>
      </c>
      <c r="M28" s="1">
        <v>407280</v>
      </c>
      <c r="N28" s="1" t="s">
        <v>125</v>
      </c>
      <c r="O28" s="1">
        <v>0</v>
      </c>
    </row>
    <row r="29" spans="1:15">
      <c r="A29" s="1" t="s">
        <v>150</v>
      </c>
      <c r="B29" s="1">
        <v>20260814</v>
      </c>
      <c r="C29" s="1">
        <v>7012</v>
      </c>
      <c r="D29" s="1" t="s">
        <v>120</v>
      </c>
      <c r="E29" s="1" t="s">
        <v>45</v>
      </c>
      <c r="F29" s="1" t="s">
        <v>115</v>
      </c>
      <c r="G29" s="1" t="s">
        <v>46</v>
      </c>
      <c r="H29" s="1" t="s">
        <v>116</v>
      </c>
      <c r="I29" s="1" t="s">
        <v>117</v>
      </c>
      <c r="J29" s="1" t="s">
        <v>118</v>
      </c>
      <c r="K29" s="1">
        <v>100</v>
      </c>
      <c r="L29" s="1">
        <v>2745.9</v>
      </c>
      <c r="M29" s="1">
        <v>274590</v>
      </c>
      <c r="N29" s="1" t="s">
        <v>35</v>
      </c>
      <c r="O29" s="1">
        <v>0</v>
      </c>
    </row>
    <row r="30" spans="1:15">
      <c r="A30" s="1" t="s">
        <v>151</v>
      </c>
      <c r="B30" s="1">
        <v>20260814</v>
      </c>
      <c r="C30" s="1">
        <v>3436</v>
      </c>
      <c r="D30" s="1" t="s">
        <v>152</v>
      </c>
      <c r="E30" s="1" t="s">
        <v>45</v>
      </c>
      <c r="F30" s="1" t="s">
        <v>115</v>
      </c>
      <c r="G30" s="1" t="s">
        <v>46</v>
      </c>
      <c r="H30" s="1" t="s">
        <v>116</v>
      </c>
      <c r="I30" s="1" t="s">
        <v>117</v>
      </c>
      <c r="J30" s="1" t="s">
        <v>118</v>
      </c>
      <c r="K30" s="1">
        <v>100</v>
      </c>
      <c r="L30" s="1">
        <v>3601</v>
      </c>
      <c r="M30" s="1">
        <v>360100</v>
      </c>
      <c r="N30" s="1" t="s">
        <v>35</v>
      </c>
      <c r="O30" s="1">
        <v>0</v>
      </c>
    </row>
    <row r="31" spans="1:15">
      <c r="A31" s="1" t="s">
        <v>153</v>
      </c>
      <c r="B31" s="1">
        <v>20260814</v>
      </c>
      <c r="C31" s="1">
        <v>7012</v>
      </c>
      <c r="D31" s="1" t="s">
        <v>120</v>
      </c>
      <c r="E31" s="1" t="s">
        <v>45</v>
      </c>
      <c r="F31" s="1" t="s">
        <v>130</v>
      </c>
      <c r="G31" s="1" t="s">
        <v>46</v>
      </c>
      <c r="H31" s="1" t="s">
        <v>116</v>
      </c>
      <c r="I31" s="1" t="s">
        <v>123</v>
      </c>
      <c r="J31" s="1" t="s">
        <v>124</v>
      </c>
      <c r="K31" s="1">
        <v>100</v>
      </c>
      <c r="L31" s="1">
        <v>2744</v>
      </c>
      <c r="M31" s="1">
        <v>274400</v>
      </c>
      <c r="N31" s="1" t="s">
        <v>125</v>
      </c>
      <c r="O31" s="1">
        <v>0</v>
      </c>
    </row>
    <row r="32" spans="1:15">
      <c r="A32" s="1" t="s">
        <v>154</v>
      </c>
      <c r="B32" s="1">
        <v>20260814</v>
      </c>
      <c r="C32" s="1">
        <v>3436</v>
      </c>
      <c r="D32" s="1" t="s">
        <v>152</v>
      </c>
      <c r="E32" s="1" t="s">
        <v>45</v>
      </c>
      <c r="F32" s="1" t="s">
        <v>115</v>
      </c>
      <c r="G32" s="1" t="s">
        <v>46</v>
      </c>
      <c r="H32" s="1" t="s">
        <v>116</v>
      </c>
      <c r="I32" s="1" t="s">
        <v>123</v>
      </c>
      <c r="J32" s="1" t="s">
        <v>124</v>
      </c>
      <c r="K32" s="1">
        <v>100</v>
      </c>
      <c r="L32" s="1">
        <v>3609</v>
      </c>
      <c r="M32" s="1">
        <v>360900</v>
      </c>
      <c r="N32" s="1" t="s">
        <v>125</v>
      </c>
      <c r="O32" s="1">
        <v>0</v>
      </c>
    </row>
    <row r="33" spans="1:15">
      <c r="A33" s="1" t="s">
        <v>155</v>
      </c>
      <c r="B33" s="1">
        <v>20260814</v>
      </c>
      <c r="C33" s="1">
        <v>3436</v>
      </c>
      <c r="D33" s="1" t="s">
        <v>152</v>
      </c>
      <c r="E33" s="1" t="s">
        <v>45</v>
      </c>
      <c r="F33" s="1" t="s">
        <v>115</v>
      </c>
      <c r="G33" s="1" t="s">
        <v>46</v>
      </c>
      <c r="H33" s="1" t="s">
        <v>116</v>
      </c>
      <c r="I33" s="1" t="s">
        <v>117</v>
      </c>
      <c r="J33" s="1" t="s">
        <v>118</v>
      </c>
      <c r="K33" s="1">
        <v>100</v>
      </c>
      <c r="L33" s="1">
        <v>3607.8</v>
      </c>
      <c r="M33" s="1">
        <v>360780</v>
      </c>
      <c r="N33" s="1" t="s">
        <v>35</v>
      </c>
      <c r="O33" s="1">
        <v>0</v>
      </c>
    </row>
    <row r="34" spans="1:15">
      <c r="A34" s="1" t="s">
        <v>156</v>
      </c>
      <c r="B34" s="1">
        <v>20260814</v>
      </c>
      <c r="C34" s="1">
        <v>7012</v>
      </c>
      <c r="D34" s="1" t="s">
        <v>120</v>
      </c>
      <c r="E34" s="1" t="s">
        <v>45</v>
      </c>
      <c r="F34" s="1" t="s">
        <v>115</v>
      </c>
      <c r="G34" s="1" t="s">
        <v>46</v>
      </c>
      <c r="H34" s="1" t="s">
        <v>116</v>
      </c>
      <c r="I34" s="1" t="s">
        <v>117</v>
      </c>
      <c r="J34" s="1" t="s">
        <v>118</v>
      </c>
      <c r="K34" s="1">
        <v>100</v>
      </c>
      <c r="L34" s="1">
        <v>2745.5</v>
      </c>
      <c r="M34" s="1">
        <v>274550</v>
      </c>
      <c r="N34" s="1" t="s">
        <v>35</v>
      </c>
      <c r="O34" s="1">
        <v>0</v>
      </c>
    </row>
    <row r="35" spans="1:15">
      <c r="A35" s="1" t="s">
        <v>157</v>
      </c>
      <c r="B35" s="1">
        <v>20260814</v>
      </c>
      <c r="C35" s="1">
        <v>7012</v>
      </c>
      <c r="D35" s="1" t="s">
        <v>120</v>
      </c>
      <c r="E35" s="1" t="s">
        <v>45</v>
      </c>
      <c r="F35" s="1" t="s">
        <v>115</v>
      </c>
      <c r="G35" s="1" t="s">
        <v>46</v>
      </c>
      <c r="H35" s="1" t="s">
        <v>116</v>
      </c>
      <c r="I35" s="1" t="s">
        <v>123</v>
      </c>
      <c r="J35" s="1" t="s">
        <v>124</v>
      </c>
      <c r="K35" s="1">
        <v>100</v>
      </c>
      <c r="L35" s="1">
        <v>2742.6</v>
      </c>
      <c r="M35" s="1">
        <v>274260</v>
      </c>
      <c r="N35" s="1" t="s">
        <v>125</v>
      </c>
      <c r="O35" s="1">
        <v>0</v>
      </c>
    </row>
    <row r="36" spans="1:15">
      <c r="A36" t="s">
        <v>158</v>
      </c>
      <c r="B36">
        <v>20260814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3654.4</v>
      </c>
      <c r="M36">
        <v>365440</v>
      </c>
      <c r="N36" t="s">
        <v>35</v>
      </c>
      <c r="O36">
        <v>0</v>
      </c>
    </row>
    <row r="37" spans="1:15">
      <c r="A37" t="s">
        <v>159</v>
      </c>
      <c r="B37">
        <v>20260814</v>
      </c>
      <c r="C37">
        <v>5016</v>
      </c>
      <c r="D37" t="s">
        <v>139</v>
      </c>
      <c r="E37" t="s">
        <v>45</v>
      </c>
      <c r="F37" t="s">
        <v>115</v>
      </c>
      <c r="G37" t="s">
        <v>46</v>
      </c>
      <c r="H37" t="s">
        <v>116</v>
      </c>
      <c r="I37" t="s">
        <v>123</v>
      </c>
      <c r="J37" t="s">
        <v>124</v>
      </c>
      <c r="K37">
        <v>100</v>
      </c>
      <c r="L37">
        <v>3784.9</v>
      </c>
      <c r="M37">
        <v>378490</v>
      </c>
      <c r="N37" t="s">
        <v>125</v>
      </c>
      <c r="O37">
        <v>0</v>
      </c>
    </row>
    <row r="38" spans="1:15">
      <c r="A38" t="s">
        <v>160</v>
      </c>
      <c r="B38">
        <v>20260814</v>
      </c>
      <c r="C38">
        <v>3436</v>
      </c>
      <c r="D38" t="s">
        <v>152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3653.4</v>
      </c>
      <c r="M38">
        <v>365340</v>
      </c>
      <c r="N38" t="s">
        <v>125</v>
      </c>
      <c r="O38">
        <v>0</v>
      </c>
    </row>
    <row r="39" spans="1:15">
      <c r="A39" t="s">
        <v>161</v>
      </c>
      <c r="B39">
        <v>20260814</v>
      </c>
      <c r="C39">
        <v>3436</v>
      </c>
      <c r="D39" t="s">
        <v>152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3640.2</v>
      </c>
      <c r="M39">
        <v>364020</v>
      </c>
      <c r="N39" t="s">
        <v>125</v>
      </c>
      <c r="O39">
        <v>0</v>
      </c>
    </row>
    <row r="40" spans="1:15">
      <c r="A40" t="s">
        <v>162</v>
      </c>
      <c r="B40">
        <v>20260814</v>
      </c>
      <c r="C40">
        <v>3436</v>
      </c>
      <c r="D40" t="s">
        <v>152</v>
      </c>
      <c r="E40" t="s">
        <v>45</v>
      </c>
      <c r="F40" t="s">
        <v>130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3642</v>
      </c>
      <c r="M40">
        <v>364200</v>
      </c>
      <c r="N40" t="s">
        <v>35</v>
      </c>
      <c r="O40">
        <v>0</v>
      </c>
    </row>
    <row r="41" spans="1:15">
      <c r="A41" t="s">
        <v>163</v>
      </c>
      <c r="B41">
        <v>20260814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3646.7</v>
      </c>
      <c r="M41">
        <v>364670</v>
      </c>
      <c r="N41" t="s">
        <v>125</v>
      </c>
      <c r="O41">
        <v>0</v>
      </c>
    </row>
    <row r="42" spans="1:15">
      <c r="A42" t="s">
        <v>164</v>
      </c>
      <c r="B42">
        <v>20260814</v>
      </c>
      <c r="C42">
        <v>6613</v>
      </c>
      <c r="D42" t="s">
        <v>165</v>
      </c>
      <c r="E42" t="s">
        <v>45</v>
      </c>
      <c r="F42" t="s">
        <v>130</v>
      </c>
      <c r="G42" t="s">
        <v>46</v>
      </c>
      <c r="H42" t="s">
        <v>116</v>
      </c>
      <c r="I42" t="s">
        <v>117</v>
      </c>
      <c r="J42" t="s">
        <v>118</v>
      </c>
      <c r="K42">
        <v>200</v>
      </c>
      <c r="L42">
        <v>1724</v>
      </c>
      <c r="M42">
        <v>344800</v>
      </c>
      <c r="N42" t="s">
        <v>35</v>
      </c>
      <c r="O42">
        <v>0</v>
      </c>
    </row>
    <row r="43" spans="1:15">
      <c r="A43" t="s">
        <v>166</v>
      </c>
      <c r="B43">
        <v>20260814</v>
      </c>
      <c r="C43">
        <v>5016</v>
      </c>
      <c r="D43" t="s">
        <v>139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3796.8</v>
      </c>
      <c r="M43">
        <v>379680</v>
      </c>
      <c r="N43" t="s">
        <v>35</v>
      </c>
      <c r="O43">
        <v>0</v>
      </c>
    </row>
    <row r="44" spans="1:15">
      <c r="A44" t="s">
        <v>167</v>
      </c>
      <c r="B44">
        <v>20260814</v>
      </c>
      <c r="C44">
        <v>6613</v>
      </c>
      <c r="D44" t="s">
        <v>165</v>
      </c>
      <c r="E44" t="s">
        <v>45</v>
      </c>
      <c r="F44" t="s">
        <v>130</v>
      </c>
      <c r="G44" t="s">
        <v>46</v>
      </c>
      <c r="H44" t="s">
        <v>116</v>
      </c>
      <c r="I44" t="s">
        <v>117</v>
      </c>
      <c r="J44" t="s">
        <v>118</v>
      </c>
      <c r="K44">
        <v>100</v>
      </c>
      <c r="L44">
        <v>1795</v>
      </c>
      <c r="M44">
        <v>179500</v>
      </c>
      <c r="N44" t="s">
        <v>35</v>
      </c>
      <c r="O44">
        <v>0</v>
      </c>
    </row>
    <row r="45" spans="1:15">
      <c r="A45" t="s">
        <v>168</v>
      </c>
      <c r="B45">
        <v>20260814</v>
      </c>
      <c r="C45">
        <v>6613</v>
      </c>
      <c r="D45" t="s">
        <v>165</v>
      </c>
      <c r="E45" t="s">
        <v>45</v>
      </c>
      <c r="F45" t="s">
        <v>115</v>
      </c>
      <c r="G45" t="s">
        <v>46</v>
      </c>
      <c r="H45" t="s">
        <v>116</v>
      </c>
      <c r="I45" t="s">
        <v>123</v>
      </c>
      <c r="J45" t="s">
        <v>124</v>
      </c>
      <c r="K45">
        <v>300</v>
      </c>
      <c r="L45">
        <v>1760.9</v>
      </c>
      <c r="M45">
        <v>528270</v>
      </c>
      <c r="N45" t="s">
        <v>125</v>
      </c>
      <c r="O45">
        <v>0</v>
      </c>
    </row>
    <row r="46" spans="1:15">
      <c r="A46" t="s">
        <v>169</v>
      </c>
      <c r="B46">
        <v>20260814</v>
      </c>
      <c r="C46">
        <v>3436</v>
      </c>
      <c r="D46" t="s">
        <v>152</v>
      </c>
      <c r="E46" t="s">
        <v>45</v>
      </c>
      <c r="F46" t="s">
        <v>115</v>
      </c>
      <c r="G46" t="s">
        <v>46</v>
      </c>
      <c r="H46" t="s">
        <v>116</v>
      </c>
      <c r="I46" t="s">
        <v>117</v>
      </c>
      <c r="J46" t="s">
        <v>118</v>
      </c>
      <c r="K46">
        <v>100</v>
      </c>
      <c r="L46">
        <v>3629.9</v>
      </c>
      <c r="M46">
        <v>362990</v>
      </c>
      <c r="N46" t="s">
        <v>35</v>
      </c>
      <c r="O46">
        <v>0</v>
      </c>
    </row>
    <row r="47" spans="1:15">
      <c r="A47" t="s">
        <v>170</v>
      </c>
      <c r="B47">
        <v>20260814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3615.1</v>
      </c>
      <c r="M47">
        <v>361510</v>
      </c>
      <c r="N47" t="s">
        <v>125</v>
      </c>
      <c r="O47">
        <v>0</v>
      </c>
    </row>
    <row r="48" spans="1:15">
      <c r="A48" t="s">
        <v>171</v>
      </c>
      <c r="B48">
        <v>20260814</v>
      </c>
      <c r="C48">
        <v>8136</v>
      </c>
      <c r="D48" t="s">
        <v>172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1180.4000000000001</v>
      </c>
      <c r="M48">
        <v>118040</v>
      </c>
      <c r="N48" t="s">
        <v>35</v>
      </c>
      <c r="O48">
        <v>0</v>
      </c>
    </row>
    <row r="49" spans="1:15">
      <c r="A49" t="s">
        <v>173</v>
      </c>
      <c r="B49">
        <v>20260814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100</v>
      </c>
      <c r="L49">
        <v>3820.1</v>
      </c>
      <c r="M49">
        <v>382010</v>
      </c>
      <c r="N49" t="s">
        <v>125</v>
      </c>
      <c r="O49">
        <v>0</v>
      </c>
    </row>
    <row r="50" spans="1:15">
      <c r="A50" s="1" t="s">
        <v>174</v>
      </c>
      <c r="B50" s="1">
        <v>20260814</v>
      </c>
      <c r="C50" s="1">
        <v>6613</v>
      </c>
      <c r="D50" s="1" t="s">
        <v>165</v>
      </c>
      <c r="E50" s="1" t="s">
        <v>45</v>
      </c>
      <c r="F50" s="1" t="s">
        <v>130</v>
      </c>
      <c r="G50" s="1" t="s">
        <v>46</v>
      </c>
      <c r="H50" s="1" t="s">
        <v>116</v>
      </c>
      <c r="I50" s="1" t="s">
        <v>117</v>
      </c>
      <c r="J50" s="1" t="s">
        <v>118</v>
      </c>
      <c r="K50" s="1">
        <v>100</v>
      </c>
      <c r="L50" s="1">
        <v>1785</v>
      </c>
      <c r="M50" s="1">
        <v>178500</v>
      </c>
      <c r="N50" s="1" t="s">
        <v>35</v>
      </c>
      <c r="O50" s="1">
        <v>0</v>
      </c>
    </row>
    <row r="51" spans="1:15">
      <c r="A51" t="s">
        <v>175</v>
      </c>
      <c r="B51">
        <v>20260814</v>
      </c>
      <c r="C51">
        <v>5803</v>
      </c>
      <c r="D51" t="s">
        <v>176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5741.9</v>
      </c>
      <c r="M51">
        <v>574190</v>
      </c>
      <c r="N51" t="s">
        <v>35</v>
      </c>
      <c r="O51">
        <v>0</v>
      </c>
    </row>
    <row r="52" spans="1:15">
      <c r="A52" s="1" t="s">
        <v>177</v>
      </c>
      <c r="B52" s="1">
        <v>20260814</v>
      </c>
      <c r="C52" s="1">
        <v>5016</v>
      </c>
      <c r="D52" s="1" t="s">
        <v>139</v>
      </c>
      <c r="E52" s="1" t="s">
        <v>45</v>
      </c>
      <c r="F52" s="1" t="s">
        <v>115</v>
      </c>
      <c r="G52" s="1" t="s">
        <v>46</v>
      </c>
      <c r="H52" s="1" t="s">
        <v>116</v>
      </c>
      <c r="I52" s="1" t="s">
        <v>117</v>
      </c>
      <c r="J52" s="1" t="s">
        <v>118</v>
      </c>
      <c r="K52" s="1">
        <v>100</v>
      </c>
      <c r="L52" s="1">
        <v>3876</v>
      </c>
      <c r="M52" s="1">
        <v>387600</v>
      </c>
      <c r="N52" s="1" t="s">
        <v>35</v>
      </c>
      <c r="O52" s="1">
        <v>0</v>
      </c>
    </row>
    <row r="53" spans="1:15">
      <c r="A53" t="s">
        <v>178</v>
      </c>
      <c r="B53">
        <v>20260814</v>
      </c>
      <c r="C53">
        <v>5803</v>
      </c>
      <c r="D53" t="s">
        <v>176</v>
      </c>
      <c r="E53" t="s">
        <v>45</v>
      </c>
      <c r="F53" t="s">
        <v>115</v>
      </c>
      <c r="G53" t="s">
        <v>46</v>
      </c>
      <c r="H53" t="s">
        <v>116</v>
      </c>
      <c r="I53" t="s">
        <v>123</v>
      </c>
      <c r="J53" t="s">
        <v>124</v>
      </c>
      <c r="K53">
        <v>100</v>
      </c>
      <c r="L53">
        <v>5749.1</v>
      </c>
      <c r="M53">
        <v>574910</v>
      </c>
      <c r="N53" t="s">
        <v>125</v>
      </c>
      <c r="O53">
        <v>0</v>
      </c>
    </row>
    <row r="54" spans="1:15">
      <c r="A54" t="s">
        <v>179</v>
      </c>
      <c r="B54">
        <v>20260814</v>
      </c>
      <c r="C54">
        <v>8136</v>
      </c>
      <c r="D54" t="s">
        <v>172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1188.0999999999999</v>
      </c>
      <c r="M54">
        <v>118810</v>
      </c>
      <c r="N54" t="s">
        <v>125</v>
      </c>
      <c r="O54">
        <v>0</v>
      </c>
    </row>
    <row r="55" spans="1:15">
      <c r="A55" t="s">
        <v>180</v>
      </c>
      <c r="B55">
        <v>20260814</v>
      </c>
      <c r="C55">
        <v>4063</v>
      </c>
      <c r="D55" t="s">
        <v>181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6384</v>
      </c>
      <c r="M55">
        <v>638400</v>
      </c>
      <c r="N55" t="s">
        <v>35</v>
      </c>
      <c r="O55">
        <v>0</v>
      </c>
    </row>
    <row r="56" spans="1:15">
      <c r="A56" t="s">
        <v>182</v>
      </c>
      <c r="B56">
        <v>20260814</v>
      </c>
      <c r="C56">
        <v>6613</v>
      </c>
      <c r="D56" t="s">
        <v>165</v>
      </c>
      <c r="E56" t="s">
        <v>45</v>
      </c>
      <c r="F56" t="s">
        <v>130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1767</v>
      </c>
      <c r="M56">
        <v>176700</v>
      </c>
      <c r="N56" t="s">
        <v>125</v>
      </c>
      <c r="O56">
        <v>0</v>
      </c>
    </row>
    <row r="57" spans="1:15">
      <c r="A57" t="s">
        <v>183</v>
      </c>
      <c r="B57">
        <v>20260814</v>
      </c>
      <c r="C57">
        <v>4063</v>
      </c>
      <c r="D57" t="s">
        <v>181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6387.2</v>
      </c>
      <c r="M57">
        <v>638720</v>
      </c>
      <c r="N57" t="s">
        <v>125</v>
      </c>
      <c r="O57">
        <v>0</v>
      </c>
    </row>
    <row r="58" spans="1:15">
      <c r="A58" t="s">
        <v>184</v>
      </c>
      <c r="B58">
        <v>20260814</v>
      </c>
      <c r="C58">
        <v>4063</v>
      </c>
      <c r="D58" t="s">
        <v>181</v>
      </c>
      <c r="E58" t="s">
        <v>45</v>
      </c>
      <c r="F58" t="s">
        <v>130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6396</v>
      </c>
      <c r="M58">
        <v>639600</v>
      </c>
      <c r="N58" t="s">
        <v>35</v>
      </c>
      <c r="O58">
        <v>0</v>
      </c>
    </row>
    <row r="59" spans="1:15">
      <c r="A59" t="s">
        <v>185</v>
      </c>
      <c r="B59">
        <v>20260814</v>
      </c>
      <c r="C59">
        <v>5016</v>
      </c>
      <c r="D59" t="s">
        <v>139</v>
      </c>
      <c r="E59" t="s">
        <v>45</v>
      </c>
      <c r="F59" t="s">
        <v>186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3858.1</v>
      </c>
      <c r="M59">
        <v>385810</v>
      </c>
      <c r="N59" t="s">
        <v>125</v>
      </c>
      <c r="O59">
        <v>0</v>
      </c>
    </row>
    <row r="60" spans="1:15">
      <c r="A60" t="s">
        <v>187</v>
      </c>
      <c r="B60">
        <v>20260814</v>
      </c>
      <c r="C60">
        <v>4063</v>
      </c>
      <c r="D60" t="s">
        <v>181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6378.5</v>
      </c>
      <c r="M60">
        <v>637850</v>
      </c>
      <c r="N60" t="s">
        <v>125</v>
      </c>
      <c r="O60">
        <v>0</v>
      </c>
    </row>
    <row r="61" spans="1:15">
      <c r="A61" t="s">
        <v>188</v>
      </c>
      <c r="B61">
        <v>20260814</v>
      </c>
      <c r="C61">
        <v>4063</v>
      </c>
      <c r="D61" t="s">
        <v>181</v>
      </c>
      <c r="E61" t="s">
        <v>45</v>
      </c>
      <c r="F61" t="s">
        <v>115</v>
      </c>
      <c r="G61" t="s">
        <v>46</v>
      </c>
      <c r="H61" t="s">
        <v>116</v>
      </c>
      <c r="I61" t="s">
        <v>117</v>
      </c>
      <c r="J61" t="s">
        <v>118</v>
      </c>
      <c r="K61">
        <v>100</v>
      </c>
      <c r="L61">
        <v>6386.9</v>
      </c>
      <c r="M61">
        <v>638690</v>
      </c>
      <c r="N61" t="s">
        <v>35</v>
      </c>
      <c r="O61">
        <v>0</v>
      </c>
    </row>
    <row r="62" spans="1:15">
      <c r="A62" t="s">
        <v>189</v>
      </c>
      <c r="B62">
        <v>20260814</v>
      </c>
      <c r="C62">
        <v>4063</v>
      </c>
      <c r="D62" t="s">
        <v>181</v>
      </c>
      <c r="E62" t="s">
        <v>45</v>
      </c>
      <c r="F62" t="s">
        <v>130</v>
      </c>
      <c r="G62" t="s">
        <v>46</v>
      </c>
      <c r="H62" t="s">
        <v>116</v>
      </c>
      <c r="I62" t="s">
        <v>123</v>
      </c>
      <c r="J62" t="s">
        <v>124</v>
      </c>
      <c r="K62">
        <v>100</v>
      </c>
      <c r="L62">
        <v>6392</v>
      </c>
      <c r="M62">
        <v>639200</v>
      </c>
      <c r="N62" t="s">
        <v>125</v>
      </c>
      <c r="O62">
        <v>0</v>
      </c>
    </row>
    <row r="63" spans="1:15">
      <c r="A63" t="s">
        <v>190</v>
      </c>
      <c r="B63">
        <v>20260814</v>
      </c>
      <c r="C63">
        <v>9984</v>
      </c>
      <c r="D63" t="s">
        <v>191</v>
      </c>
      <c r="E63" t="s">
        <v>45</v>
      </c>
      <c r="F63" t="s">
        <v>130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5526</v>
      </c>
      <c r="M63">
        <v>552600</v>
      </c>
      <c r="N63" t="s">
        <v>35</v>
      </c>
      <c r="O63">
        <v>0</v>
      </c>
    </row>
    <row r="64" spans="1:15">
      <c r="A64" t="s">
        <v>192</v>
      </c>
      <c r="B64">
        <v>20260814</v>
      </c>
      <c r="C64">
        <v>9984</v>
      </c>
      <c r="D64" t="s">
        <v>191</v>
      </c>
      <c r="E64" t="s">
        <v>45</v>
      </c>
      <c r="F64" t="s">
        <v>130</v>
      </c>
      <c r="G64" t="s">
        <v>46</v>
      </c>
      <c r="H64" t="s">
        <v>116</v>
      </c>
      <c r="I64" t="s">
        <v>123</v>
      </c>
      <c r="J64" t="s">
        <v>124</v>
      </c>
      <c r="K64">
        <v>100</v>
      </c>
      <c r="L64">
        <v>5530</v>
      </c>
      <c r="M64">
        <v>553000</v>
      </c>
      <c r="N64" t="s">
        <v>125</v>
      </c>
      <c r="O64">
        <v>0</v>
      </c>
    </row>
    <row r="65" spans="1:15">
      <c r="A65" t="s">
        <v>193</v>
      </c>
      <c r="B65">
        <v>20260814</v>
      </c>
      <c r="C65">
        <v>6988</v>
      </c>
      <c r="D65" t="s">
        <v>194</v>
      </c>
      <c r="E65" t="s">
        <v>45</v>
      </c>
      <c r="F65" t="s">
        <v>130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3563</v>
      </c>
      <c r="M65">
        <v>356300</v>
      </c>
      <c r="N65" t="s">
        <v>35</v>
      </c>
      <c r="O65">
        <v>0</v>
      </c>
    </row>
    <row r="66" spans="1:15">
      <c r="A66" t="s">
        <v>195</v>
      </c>
      <c r="B66">
        <v>20260814</v>
      </c>
      <c r="C66">
        <v>6988</v>
      </c>
      <c r="D66" t="s">
        <v>194</v>
      </c>
      <c r="E66" t="s">
        <v>45</v>
      </c>
      <c r="F66" t="s">
        <v>130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3569</v>
      </c>
      <c r="M66">
        <v>356900</v>
      </c>
      <c r="N66" t="s">
        <v>125</v>
      </c>
      <c r="O66">
        <v>0</v>
      </c>
    </row>
    <row r="67" spans="1:15">
      <c r="A67" s="1" t="s">
        <v>78</v>
      </c>
      <c r="B67" s="1" t="s">
        <v>78</v>
      </c>
      <c r="C67" s="1" t="s">
        <v>78</v>
      </c>
      <c r="D67" s="1" t="s">
        <v>78</v>
      </c>
      <c r="E67" s="1" t="s">
        <v>78</v>
      </c>
      <c r="F67" s="1" t="s">
        <v>78</v>
      </c>
      <c r="G67" s="1" t="s">
        <v>78</v>
      </c>
      <c r="H67" s="1" t="s">
        <v>78</v>
      </c>
      <c r="I67" s="1" t="s">
        <v>78</v>
      </c>
      <c r="J67" s="1" t="s">
        <v>78</v>
      </c>
      <c r="K67" s="1" t="s">
        <v>78</v>
      </c>
      <c r="L67" s="1" t="s">
        <v>78</v>
      </c>
      <c r="M67" s="1" t="s">
        <v>78</v>
      </c>
      <c r="N67" s="1" t="s">
        <v>78</v>
      </c>
      <c r="O67" s="1" t="s">
        <v>78</v>
      </c>
    </row>
    <row r="69" spans="1:15">
      <c r="A69" s="1" t="s">
        <v>673</v>
      </c>
      <c r="B69" s="1">
        <v>20260904</v>
      </c>
      <c r="C69" s="1">
        <v>7012</v>
      </c>
      <c r="D69" s="1" t="s">
        <v>120</v>
      </c>
      <c r="E69" s="1" t="s">
        <v>45</v>
      </c>
      <c r="F69" s="1" t="s">
        <v>130</v>
      </c>
      <c r="G69" s="1" t="s">
        <v>46</v>
      </c>
      <c r="H69" s="1" t="s">
        <v>116</v>
      </c>
      <c r="I69" s="1" t="s">
        <v>117</v>
      </c>
      <c r="J69" s="1" t="s">
        <v>118</v>
      </c>
      <c r="K69" s="1">
        <v>100</v>
      </c>
      <c r="L69" s="1">
        <v>2446.5</v>
      </c>
      <c r="M69" s="1">
        <v>244650</v>
      </c>
      <c r="N69" s="1" t="s">
        <v>35</v>
      </c>
      <c r="O69" s="1">
        <v>0</v>
      </c>
    </row>
    <row r="70" spans="1:15">
      <c r="A70" t="s">
        <v>671</v>
      </c>
      <c r="B70">
        <v>20260904</v>
      </c>
      <c r="C70">
        <v>7012</v>
      </c>
      <c r="D70" t="s">
        <v>120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2458.9</v>
      </c>
      <c r="M70">
        <v>245890</v>
      </c>
      <c r="N70" t="s">
        <v>125</v>
      </c>
      <c r="O70">
        <v>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0713-3839-4EF2-AC3A-4AFF405FA6D8}">
  <dimension ref="A1:O86"/>
  <sheetViews>
    <sheetView workbookViewId="0">
      <selection activeCell="C87" sqref="C87"/>
    </sheetView>
  </sheetViews>
  <sheetFormatPr defaultRowHeight="18.75"/>
  <cols>
    <col min="1" max="1" width="19.25" customWidth="1"/>
    <col min="2" max="2" width="13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>
        <v>46268.489386574074</v>
      </c>
      <c r="B3" s="1">
        <v>20260907</v>
      </c>
      <c r="C3" s="1">
        <v>7203</v>
      </c>
      <c r="D3" s="1" t="s">
        <v>520</v>
      </c>
      <c r="E3" s="1" t="s">
        <v>36</v>
      </c>
      <c r="F3" s="1" t="s">
        <v>524</v>
      </c>
      <c r="G3" s="1" t="s">
        <v>38</v>
      </c>
      <c r="H3" s="1" t="s">
        <v>522</v>
      </c>
      <c r="I3" s="1" t="s">
        <v>521</v>
      </c>
      <c r="J3" s="1" t="s">
        <v>674</v>
      </c>
      <c r="K3" s="1">
        <v>100</v>
      </c>
      <c r="L3" s="1">
        <v>2997</v>
      </c>
      <c r="M3" s="1">
        <v>299700</v>
      </c>
      <c r="N3" s="1" t="s">
        <v>675</v>
      </c>
      <c r="O3" s="1">
        <v>0</v>
      </c>
    </row>
    <row r="4" spans="1:15">
      <c r="A4" s="6">
        <v>46268.494513888887</v>
      </c>
      <c r="B4" s="1">
        <v>20260907</v>
      </c>
      <c r="C4" s="1">
        <v>7203</v>
      </c>
      <c r="D4" s="1" t="s">
        <v>520</v>
      </c>
      <c r="E4" s="1" t="s">
        <v>36</v>
      </c>
      <c r="F4" s="1" t="s">
        <v>524</v>
      </c>
      <c r="G4" s="1" t="s">
        <v>38</v>
      </c>
      <c r="H4" s="1" t="s">
        <v>522</v>
      </c>
      <c r="I4" s="1" t="s">
        <v>521</v>
      </c>
      <c r="J4" s="1" t="s">
        <v>674</v>
      </c>
      <c r="K4" s="1">
        <v>100</v>
      </c>
      <c r="L4" s="1">
        <v>2997</v>
      </c>
      <c r="M4" s="1">
        <v>299700</v>
      </c>
      <c r="N4" s="1" t="s">
        <v>675</v>
      </c>
      <c r="O4" s="1">
        <v>0</v>
      </c>
    </row>
    <row r="5" spans="1:15">
      <c r="A5" s="6">
        <v>46268.564282407409</v>
      </c>
      <c r="B5" s="1">
        <v>20260907</v>
      </c>
      <c r="C5" s="1">
        <v>7203</v>
      </c>
      <c r="D5" s="1" t="s">
        <v>520</v>
      </c>
      <c r="E5" s="1" t="s">
        <v>36</v>
      </c>
      <c r="F5" s="1" t="s">
        <v>524</v>
      </c>
      <c r="G5" s="1" t="s">
        <v>38</v>
      </c>
      <c r="H5" s="1" t="s">
        <v>522</v>
      </c>
      <c r="I5" s="1" t="s">
        <v>521</v>
      </c>
      <c r="J5" s="1" t="s">
        <v>674</v>
      </c>
      <c r="K5" s="1">
        <v>100</v>
      </c>
      <c r="L5" s="1">
        <v>2997</v>
      </c>
      <c r="M5" s="1">
        <v>299700</v>
      </c>
      <c r="N5" s="1" t="s">
        <v>675</v>
      </c>
      <c r="O5" s="1">
        <v>0</v>
      </c>
    </row>
    <row r="6" spans="1:15">
      <c r="A6" s="1" t="s">
        <v>64</v>
      </c>
      <c r="B6" s="1" t="s">
        <v>64</v>
      </c>
      <c r="C6" s="1" t="s">
        <v>64</v>
      </c>
      <c r="D6" s="1" t="s">
        <v>64</v>
      </c>
      <c r="E6" s="1" t="s">
        <v>64</v>
      </c>
      <c r="F6" s="1" t="s">
        <v>64</v>
      </c>
      <c r="G6" s="1" t="s">
        <v>64</v>
      </c>
      <c r="H6" s="1" t="s">
        <v>64</v>
      </c>
      <c r="I6" s="1" t="s">
        <v>64</v>
      </c>
      <c r="J6" s="1" t="s">
        <v>64</v>
      </c>
      <c r="K6" s="1" t="s">
        <v>64</v>
      </c>
      <c r="L6" s="1" t="s">
        <v>64</v>
      </c>
      <c r="M6" s="1" t="s">
        <v>64</v>
      </c>
      <c r="N6" s="1" t="s">
        <v>64</v>
      </c>
      <c r="O6" s="1" t="s">
        <v>64</v>
      </c>
    </row>
    <row r="7" spans="1:15">
      <c r="A7" t="s">
        <v>229</v>
      </c>
      <c r="B7">
        <v>20260818</v>
      </c>
      <c r="C7">
        <v>9984</v>
      </c>
      <c r="D7" t="s">
        <v>191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5895</v>
      </c>
      <c r="M7">
        <v>589500</v>
      </c>
      <c r="N7" t="s">
        <v>35</v>
      </c>
      <c r="O7">
        <v>0</v>
      </c>
    </row>
    <row r="8" spans="1:15">
      <c r="A8" t="s">
        <v>233</v>
      </c>
      <c r="B8">
        <v>20260818</v>
      </c>
      <c r="C8">
        <v>9984</v>
      </c>
      <c r="D8" t="s">
        <v>191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5905</v>
      </c>
      <c r="M8">
        <v>590500</v>
      </c>
      <c r="N8" t="s">
        <v>125</v>
      </c>
      <c r="O8">
        <v>0</v>
      </c>
    </row>
    <row r="9" spans="1:15">
      <c r="A9" t="s">
        <v>236</v>
      </c>
      <c r="B9">
        <v>20260818</v>
      </c>
      <c r="C9">
        <v>9984</v>
      </c>
      <c r="D9" t="s">
        <v>191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5942.9</v>
      </c>
      <c r="M9">
        <v>594290</v>
      </c>
      <c r="N9" t="s">
        <v>35</v>
      </c>
      <c r="O9">
        <v>0</v>
      </c>
    </row>
    <row r="10" spans="1:15">
      <c r="A10" t="s">
        <v>239</v>
      </c>
      <c r="B10">
        <v>20260818</v>
      </c>
      <c r="C10">
        <v>9984</v>
      </c>
      <c r="D10" t="s">
        <v>191</v>
      </c>
      <c r="E10" t="s">
        <v>45</v>
      </c>
      <c r="F10" t="s">
        <v>130</v>
      </c>
      <c r="G10" t="s">
        <v>46</v>
      </c>
      <c r="H10" t="s">
        <v>116</v>
      </c>
      <c r="I10" t="s">
        <v>123</v>
      </c>
      <c r="J10" t="s">
        <v>124</v>
      </c>
      <c r="K10">
        <v>100</v>
      </c>
      <c r="L10">
        <v>5960</v>
      </c>
      <c r="M10">
        <v>596000</v>
      </c>
      <c r="N10" t="s">
        <v>125</v>
      </c>
      <c r="O10">
        <v>0</v>
      </c>
    </row>
    <row r="11" spans="1:15">
      <c r="A11" t="s">
        <v>242</v>
      </c>
      <c r="B11">
        <v>20260818</v>
      </c>
      <c r="C11">
        <v>3436</v>
      </c>
      <c r="D11" t="s">
        <v>152</v>
      </c>
      <c r="E11" t="s">
        <v>45</v>
      </c>
      <c r="F11" t="s">
        <v>115</v>
      </c>
      <c r="G11" t="s">
        <v>46</v>
      </c>
      <c r="H11" t="s">
        <v>116</v>
      </c>
      <c r="I11" t="s">
        <v>117</v>
      </c>
      <c r="J11" t="s">
        <v>118</v>
      </c>
      <c r="K11">
        <v>100</v>
      </c>
      <c r="L11">
        <v>4204.8</v>
      </c>
      <c r="M11">
        <v>420480</v>
      </c>
      <c r="N11" t="s">
        <v>35</v>
      </c>
      <c r="O11">
        <v>0</v>
      </c>
    </row>
    <row r="12" spans="1:15">
      <c r="A12" t="s">
        <v>245</v>
      </c>
      <c r="B12">
        <v>20260818</v>
      </c>
      <c r="C12">
        <v>3436</v>
      </c>
      <c r="D12" t="s">
        <v>152</v>
      </c>
      <c r="E12" t="s">
        <v>45</v>
      </c>
      <c r="F12" t="s">
        <v>130</v>
      </c>
      <c r="G12" t="s">
        <v>46</v>
      </c>
      <c r="H12" t="s">
        <v>116</v>
      </c>
      <c r="I12" t="s">
        <v>123</v>
      </c>
      <c r="J12" t="s">
        <v>124</v>
      </c>
      <c r="K12">
        <v>100</v>
      </c>
      <c r="L12">
        <v>4222</v>
      </c>
      <c r="M12">
        <v>422200</v>
      </c>
      <c r="N12" t="s">
        <v>125</v>
      </c>
      <c r="O12">
        <v>0</v>
      </c>
    </row>
    <row r="13" spans="1:15">
      <c r="A13" t="s">
        <v>248</v>
      </c>
      <c r="B13">
        <v>20260818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1782</v>
      </c>
      <c r="M13">
        <v>178200</v>
      </c>
      <c r="N13" t="s">
        <v>35</v>
      </c>
      <c r="O13">
        <v>0</v>
      </c>
    </row>
    <row r="14" spans="1:15">
      <c r="A14" t="s">
        <v>251</v>
      </c>
      <c r="B14">
        <v>20260818</v>
      </c>
      <c r="C14">
        <v>6613</v>
      </c>
      <c r="D14" t="s">
        <v>165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1790.9</v>
      </c>
      <c r="M14">
        <v>179090</v>
      </c>
      <c r="N14" t="s">
        <v>125</v>
      </c>
      <c r="O14">
        <v>0</v>
      </c>
    </row>
    <row r="15" spans="1:15">
      <c r="A15" t="s">
        <v>254</v>
      </c>
      <c r="B15">
        <v>20260818</v>
      </c>
      <c r="C15">
        <v>9984</v>
      </c>
      <c r="D15" t="s">
        <v>191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5909</v>
      </c>
      <c r="M15">
        <v>590900</v>
      </c>
      <c r="N15" t="s">
        <v>35</v>
      </c>
      <c r="O15">
        <v>0</v>
      </c>
    </row>
    <row r="16" spans="1:15">
      <c r="A16" t="s">
        <v>257</v>
      </c>
      <c r="B16">
        <v>20260818</v>
      </c>
      <c r="C16">
        <v>9984</v>
      </c>
      <c r="D16" t="s">
        <v>191</v>
      </c>
      <c r="E16" t="s">
        <v>45</v>
      </c>
      <c r="F16" t="s">
        <v>130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5932</v>
      </c>
      <c r="M16">
        <v>593200</v>
      </c>
      <c r="N16" t="s">
        <v>125</v>
      </c>
      <c r="O16">
        <v>0</v>
      </c>
    </row>
    <row r="17" spans="1:15">
      <c r="A17" t="s">
        <v>260</v>
      </c>
      <c r="B17">
        <v>20260818</v>
      </c>
      <c r="C17">
        <v>5803</v>
      </c>
      <c r="D17" t="s">
        <v>176</v>
      </c>
      <c r="E17" t="s">
        <v>45</v>
      </c>
      <c r="F17" t="s">
        <v>115</v>
      </c>
      <c r="G17" t="s">
        <v>46</v>
      </c>
      <c r="H17" t="s">
        <v>116</v>
      </c>
      <c r="I17" t="s">
        <v>117</v>
      </c>
      <c r="J17" t="s">
        <v>118</v>
      </c>
      <c r="K17">
        <v>100</v>
      </c>
      <c r="L17">
        <v>5689</v>
      </c>
      <c r="M17">
        <v>568900</v>
      </c>
      <c r="N17" t="s">
        <v>35</v>
      </c>
      <c r="O17">
        <v>0</v>
      </c>
    </row>
    <row r="18" spans="1:15">
      <c r="A18" t="s">
        <v>263</v>
      </c>
      <c r="B18">
        <v>20260818</v>
      </c>
      <c r="C18">
        <v>5803</v>
      </c>
      <c r="D18" t="s">
        <v>176</v>
      </c>
      <c r="E18" t="s">
        <v>45</v>
      </c>
      <c r="F18" t="s">
        <v>115</v>
      </c>
      <c r="G18" t="s">
        <v>46</v>
      </c>
      <c r="H18" t="s">
        <v>116</v>
      </c>
      <c r="I18" t="s">
        <v>123</v>
      </c>
      <c r="J18" t="s">
        <v>124</v>
      </c>
      <c r="K18">
        <v>100</v>
      </c>
      <c r="L18">
        <v>5713.4</v>
      </c>
      <c r="M18">
        <v>571340</v>
      </c>
      <c r="N18" t="s">
        <v>125</v>
      </c>
      <c r="O18">
        <v>0</v>
      </c>
    </row>
    <row r="19" spans="1:15">
      <c r="A19" t="s">
        <v>266</v>
      </c>
      <c r="B19">
        <v>20260818</v>
      </c>
      <c r="C19">
        <v>5016</v>
      </c>
      <c r="D19" t="s">
        <v>139</v>
      </c>
      <c r="E19" t="s">
        <v>45</v>
      </c>
      <c r="F19" t="s">
        <v>130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3871</v>
      </c>
      <c r="M19">
        <v>387100</v>
      </c>
      <c r="N19" t="s">
        <v>35</v>
      </c>
      <c r="O19">
        <v>0</v>
      </c>
    </row>
    <row r="20" spans="1:15">
      <c r="A20" t="s">
        <v>269</v>
      </c>
      <c r="B20">
        <v>20260818</v>
      </c>
      <c r="C20">
        <v>5016</v>
      </c>
      <c r="D20" t="s">
        <v>139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3870.5</v>
      </c>
      <c r="M20">
        <v>387050</v>
      </c>
      <c r="N20" t="s">
        <v>125</v>
      </c>
      <c r="O20">
        <v>0</v>
      </c>
    </row>
    <row r="21" spans="1:15">
      <c r="A21" t="s">
        <v>271</v>
      </c>
      <c r="B21">
        <v>20260818</v>
      </c>
      <c r="C21">
        <v>5016</v>
      </c>
      <c r="D21" t="s">
        <v>139</v>
      </c>
      <c r="E21" t="s">
        <v>45</v>
      </c>
      <c r="F21" t="s">
        <v>115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3878</v>
      </c>
      <c r="M21">
        <v>387800</v>
      </c>
      <c r="N21" t="s">
        <v>35</v>
      </c>
      <c r="O21">
        <v>0</v>
      </c>
    </row>
    <row r="22" spans="1:15">
      <c r="A22" t="s">
        <v>274</v>
      </c>
      <c r="B22">
        <v>20260818</v>
      </c>
      <c r="C22">
        <v>6613</v>
      </c>
      <c r="D22" t="s">
        <v>165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1816</v>
      </c>
      <c r="M22">
        <v>181600</v>
      </c>
      <c r="N22" t="s">
        <v>35</v>
      </c>
      <c r="O22">
        <v>0</v>
      </c>
    </row>
    <row r="23" spans="1:15">
      <c r="A23" t="s">
        <v>277</v>
      </c>
      <c r="B23">
        <v>20260818</v>
      </c>
      <c r="C23">
        <v>5803</v>
      </c>
      <c r="D23" t="s">
        <v>176</v>
      </c>
      <c r="E23" t="s">
        <v>45</v>
      </c>
      <c r="F23" t="s">
        <v>130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5781</v>
      </c>
      <c r="M23">
        <v>578100</v>
      </c>
      <c r="N23" t="s">
        <v>125</v>
      </c>
      <c r="O23">
        <v>0</v>
      </c>
    </row>
    <row r="24" spans="1:15">
      <c r="A24" t="s">
        <v>280</v>
      </c>
      <c r="B24">
        <v>20260818</v>
      </c>
      <c r="C24">
        <v>6613</v>
      </c>
      <c r="D24" t="s">
        <v>165</v>
      </c>
      <c r="E24" t="s">
        <v>45</v>
      </c>
      <c r="F24" t="s">
        <v>115</v>
      </c>
      <c r="G24" t="s">
        <v>46</v>
      </c>
      <c r="H24" t="s">
        <v>116</v>
      </c>
      <c r="I24" t="s">
        <v>123</v>
      </c>
      <c r="J24" t="s">
        <v>124</v>
      </c>
      <c r="K24">
        <v>100</v>
      </c>
      <c r="L24">
        <v>1821.2</v>
      </c>
      <c r="M24">
        <v>182120</v>
      </c>
      <c r="N24" t="s">
        <v>125</v>
      </c>
      <c r="O24">
        <v>0</v>
      </c>
    </row>
    <row r="25" spans="1:15">
      <c r="A25" t="s">
        <v>283</v>
      </c>
      <c r="B25">
        <v>20260818</v>
      </c>
      <c r="C25">
        <v>5016</v>
      </c>
      <c r="D25" t="s">
        <v>139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3856</v>
      </c>
      <c r="M25">
        <v>385600</v>
      </c>
      <c r="N25" t="s">
        <v>35</v>
      </c>
      <c r="O25">
        <v>0</v>
      </c>
    </row>
    <row r="26" spans="1:15">
      <c r="A26" t="s">
        <v>467</v>
      </c>
      <c r="B26">
        <v>20260818</v>
      </c>
      <c r="C26">
        <v>5803</v>
      </c>
      <c r="D26" t="s">
        <v>176</v>
      </c>
      <c r="E26" t="s">
        <v>45</v>
      </c>
      <c r="F26" t="s">
        <v>130</v>
      </c>
      <c r="G26" t="s">
        <v>46</v>
      </c>
      <c r="H26" t="s">
        <v>116</v>
      </c>
      <c r="I26" t="s">
        <v>117</v>
      </c>
      <c r="J26" t="s">
        <v>118</v>
      </c>
      <c r="K26">
        <v>100</v>
      </c>
      <c r="L26">
        <v>5753</v>
      </c>
      <c r="M26">
        <v>575300</v>
      </c>
      <c r="N26" t="s">
        <v>35</v>
      </c>
      <c r="O26">
        <v>0</v>
      </c>
    </row>
    <row r="27" spans="1:15">
      <c r="A27" t="s">
        <v>294</v>
      </c>
      <c r="B27">
        <v>20260818</v>
      </c>
      <c r="C27">
        <v>5803</v>
      </c>
      <c r="D27" t="s">
        <v>176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5712.4</v>
      </c>
      <c r="M27">
        <v>571240</v>
      </c>
      <c r="N27" t="s">
        <v>125</v>
      </c>
      <c r="O27">
        <v>0</v>
      </c>
    </row>
    <row r="28" spans="1:15">
      <c r="A28" t="s">
        <v>297</v>
      </c>
      <c r="B28">
        <v>20260818</v>
      </c>
      <c r="C28">
        <v>5016</v>
      </c>
      <c r="D28" t="s">
        <v>139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3829.4</v>
      </c>
      <c r="M28">
        <v>382940</v>
      </c>
      <c r="N28" t="s">
        <v>125</v>
      </c>
      <c r="O28">
        <v>0</v>
      </c>
    </row>
    <row r="29" spans="1:15">
      <c r="A29" t="s">
        <v>468</v>
      </c>
      <c r="B29">
        <v>20260818</v>
      </c>
      <c r="C29">
        <v>5803</v>
      </c>
      <c r="D29" t="s">
        <v>176</v>
      </c>
      <c r="E29" t="s">
        <v>45</v>
      </c>
      <c r="F29" t="s">
        <v>130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5715</v>
      </c>
      <c r="M29">
        <v>571500</v>
      </c>
      <c r="N29" t="s">
        <v>35</v>
      </c>
      <c r="O29">
        <v>0</v>
      </c>
    </row>
    <row r="30" spans="1:15">
      <c r="A30" t="s">
        <v>303</v>
      </c>
      <c r="B30">
        <v>20260818</v>
      </c>
      <c r="C30">
        <v>5803</v>
      </c>
      <c r="D30" t="s">
        <v>176</v>
      </c>
      <c r="E30" t="s">
        <v>45</v>
      </c>
      <c r="F30" t="s">
        <v>115</v>
      </c>
      <c r="G30" t="s">
        <v>46</v>
      </c>
      <c r="H30" t="s">
        <v>116</v>
      </c>
      <c r="I30" t="s">
        <v>123</v>
      </c>
      <c r="J30" t="s">
        <v>124</v>
      </c>
      <c r="K30">
        <v>100</v>
      </c>
      <c r="L30">
        <v>5739.4</v>
      </c>
      <c r="M30">
        <v>573940</v>
      </c>
      <c r="N30" t="s">
        <v>125</v>
      </c>
      <c r="O30">
        <v>0</v>
      </c>
    </row>
    <row r="31" spans="1:15">
      <c r="A31" t="s">
        <v>305</v>
      </c>
      <c r="B31">
        <v>20260818</v>
      </c>
      <c r="C31">
        <v>5803</v>
      </c>
      <c r="D31" t="s">
        <v>176</v>
      </c>
      <c r="E31" t="s">
        <v>45</v>
      </c>
      <c r="F31" t="s">
        <v>115</v>
      </c>
      <c r="G31" t="s">
        <v>46</v>
      </c>
      <c r="H31" t="s">
        <v>116</v>
      </c>
      <c r="I31" t="s">
        <v>117</v>
      </c>
      <c r="J31" t="s">
        <v>118</v>
      </c>
      <c r="K31">
        <v>100</v>
      </c>
      <c r="L31">
        <v>5763.6</v>
      </c>
      <c r="M31">
        <v>576360</v>
      </c>
      <c r="N31" t="s">
        <v>35</v>
      </c>
      <c r="O31">
        <v>0</v>
      </c>
    </row>
    <row r="32" spans="1:15">
      <c r="A32" t="s">
        <v>308</v>
      </c>
      <c r="B32">
        <v>20260818</v>
      </c>
      <c r="C32">
        <v>5803</v>
      </c>
      <c r="D32" t="s">
        <v>176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5755.1</v>
      </c>
      <c r="M32">
        <v>575510</v>
      </c>
      <c r="N32" t="s">
        <v>125</v>
      </c>
      <c r="O32">
        <v>0</v>
      </c>
    </row>
    <row r="33" spans="1:15">
      <c r="A33" t="s">
        <v>312</v>
      </c>
      <c r="B33">
        <v>20260818</v>
      </c>
      <c r="C33">
        <v>5803</v>
      </c>
      <c r="D33" t="s">
        <v>176</v>
      </c>
      <c r="E33" t="s">
        <v>45</v>
      </c>
      <c r="F33" t="s">
        <v>115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5744</v>
      </c>
      <c r="M33">
        <v>574400</v>
      </c>
      <c r="N33" t="s">
        <v>35</v>
      </c>
      <c r="O33">
        <v>0</v>
      </c>
    </row>
    <row r="34" spans="1:15">
      <c r="A34" t="s">
        <v>315</v>
      </c>
      <c r="B34">
        <v>20260818</v>
      </c>
      <c r="C34">
        <v>5803</v>
      </c>
      <c r="D34" t="s">
        <v>176</v>
      </c>
      <c r="E34" t="s">
        <v>45</v>
      </c>
      <c r="F34" t="s">
        <v>115</v>
      </c>
      <c r="G34" t="s">
        <v>46</v>
      </c>
      <c r="H34" t="s">
        <v>116</v>
      </c>
      <c r="I34" t="s">
        <v>123</v>
      </c>
      <c r="J34" t="s">
        <v>124</v>
      </c>
      <c r="K34">
        <v>100</v>
      </c>
      <c r="L34">
        <v>5715.2</v>
      </c>
      <c r="M34">
        <v>571520</v>
      </c>
      <c r="N34" t="s">
        <v>125</v>
      </c>
      <c r="O34">
        <v>0</v>
      </c>
    </row>
    <row r="35" spans="1:15">
      <c r="A35" t="s">
        <v>318</v>
      </c>
      <c r="B35">
        <v>20260818</v>
      </c>
      <c r="C35">
        <v>5016</v>
      </c>
      <c r="D35" t="s">
        <v>139</v>
      </c>
      <c r="E35" t="s">
        <v>45</v>
      </c>
      <c r="F35" t="s">
        <v>115</v>
      </c>
      <c r="G35" t="s">
        <v>46</v>
      </c>
      <c r="H35" t="s">
        <v>116</v>
      </c>
      <c r="I35" t="s">
        <v>123</v>
      </c>
      <c r="J35" t="s">
        <v>124</v>
      </c>
      <c r="K35">
        <v>200</v>
      </c>
      <c r="L35">
        <v>3810.5</v>
      </c>
      <c r="M35">
        <v>762100</v>
      </c>
      <c r="N35" t="s">
        <v>125</v>
      </c>
      <c r="O35">
        <v>0</v>
      </c>
    </row>
    <row r="36" spans="1:15">
      <c r="A36" t="s">
        <v>321</v>
      </c>
      <c r="B36">
        <v>20260818</v>
      </c>
      <c r="C36">
        <v>5803</v>
      </c>
      <c r="D36" t="s">
        <v>176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5699.2</v>
      </c>
      <c r="M36">
        <v>569920</v>
      </c>
      <c r="N36" t="s">
        <v>35</v>
      </c>
      <c r="O36">
        <v>0</v>
      </c>
    </row>
    <row r="37" spans="1:15">
      <c r="A37" t="s">
        <v>324</v>
      </c>
      <c r="B37">
        <v>20260818</v>
      </c>
      <c r="C37">
        <v>5803</v>
      </c>
      <c r="D37" t="s">
        <v>176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5691.9</v>
      </c>
      <c r="M37">
        <v>569190</v>
      </c>
      <c r="N37" t="s">
        <v>35</v>
      </c>
      <c r="O37">
        <v>0</v>
      </c>
    </row>
    <row r="38" spans="1:15">
      <c r="A38" t="s">
        <v>327</v>
      </c>
      <c r="B38">
        <v>20260818</v>
      </c>
      <c r="C38">
        <v>5016</v>
      </c>
      <c r="D38" t="s">
        <v>139</v>
      </c>
      <c r="E38" t="s">
        <v>45</v>
      </c>
      <c r="F38" t="s">
        <v>115</v>
      </c>
      <c r="G38" t="s">
        <v>46</v>
      </c>
      <c r="H38" t="s">
        <v>116</v>
      </c>
      <c r="I38" t="s">
        <v>117</v>
      </c>
      <c r="J38" t="s">
        <v>118</v>
      </c>
      <c r="K38">
        <v>100</v>
      </c>
      <c r="L38">
        <v>3821.9</v>
      </c>
      <c r="M38">
        <v>382190</v>
      </c>
      <c r="N38" t="s">
        <v>35</v>
      </c>
      <c r="O38">
        <v>0</v>
      </c>
    </row>
    <row r="39" spans="1:15">
      <c r="A39" t="s">
        <v>330</v>
      </c>
      <c r="B39">
        <v>20260818</v>
      </c>
      <c r="C39">
        <v>5803</v>
      </c>
      <c r="D39" t="s">
        <v>176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5722</v>
      </c>
      <c r="M39">
        <v>572200</v>
      </c>
      <c r="N39" t="s">
        <v>125</v>
      </c>
      <c r="O39">
        <v>0</v>
      </c>
    </row>
    <row r="40" spans="1:15">
      <c r="A40" t="s">
        <v>333</v>
      </c>
      <c r="B40">
        <v>20260818</v>
      </c>
      <c r="C40">
        <v>5016</v>
      </c>
      <c r="D40" t="s">
        <v>139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3839.6</v>
      </c>
      <c r="M40">
        <v>383960</v>
      </c>
      <c r="N40" t="s">
        <v>35</v>
      </c>
      <c r="O40">
        <v>0</v>
      </c>
    </row>
    <row r="41" spans="1:15">
      <c r="A41" t="s">
        <v>336</v>
      </c>
      <c r="B41">
        <v>20260818</v>
      </c>
      <c r="C41">
        <v>6613</v>
      </c>
      <c r="D41" t="s">
        <v>165</v>
      </c>
      <c r="E41" t="s">
        <v>45</v>
      </c>
      <c r="F41" t="s">
        <v>115</v>
      </c>
      <c r="G41" t="s">
        <v>46</v>
      </c>
      <c r="H41" t="s">
        <v>116</v>
      </c>
      <c r="I41" t="s">
        <v>117</v>
      </c>
      <c r="J41" t="s">
        <v>118</v>
      </c>
      <c r="K41">
        <v>100</v>
      </c>
      <c r="L41">
        <v>1784.2</v>
      </c>
      <c r="M41">
        <v>178420</v>
      </c>
      <c r="N41" t="s">
        <v>35</v>
      </c>
      <c r="O41">
        <v>0</v>
      </c>
    </row>
    <row r="42" spans="1:15">
      <c r="A42" t="s">
        <v>339</v>
      </c>
      <c r="B42">
        <v>20260818</v>
      </c>
      <c r="C42">
        <v>5803</v>
      </c>
      <c r="D42" t="s">
        <v>176</v>
      </c>
      <c r="E42" t="s">
        <v>45</v>
      </c>
      <c r="F42" t="s">
        <v>130</v>
      </c>
      <c r="G42" t="s">
        <v>46</v>
      </c>
      <c r="H42" t="s">
        <v>116</v>
      </c>
      <c r="I42" t="s">
        <v>123</v>
      </c>
      <c r="J42" t="s">
        <v>124</v>
      </c>
      <c r="K42">
        <v>100</v>
      </c>
      <c r="L42">
        <v>5697</v>
      </c>
      <c r="M42">
        <v>569700</v>
      </c>
      <c r="N42" t="s">
        <v>125</v>
      </c>
      <c r="O42">
        <v>0</v>
      </c>
    </row>
    <row r="43" spans="1:15">
      <c r="A43" t="s">
        <v>342</v>
      </c>
      <c r="B43">
        <v>20260818</v>
      </c>
      <c r="C43">
        <v>5803</v>
      </c>
      <c r="D43" t="s">
        <v>176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5687.7</v>
      </c>
      <c r="M43">
        <v>568770</v>
      </c>
      <c r="N43" t="s">
        <v>35</v>
      </c>
      <c r="O43">
        <v>0</v>
      </c>
    </row>
    <row r="44" spans="1:15">
      <c r="A44" t="s">
        <v>345</v>
      </c>
      <c r="B44">
        <v>20260818</v>
      </c>
      <c r="C44">
        <v>5803</v>
      </c>
      <c r="D44" t="s">
        <v>176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5706.2</v>
      </c>
      <c r="M44">
        <v>570620</v>
      </c>
      <c r="N44" t="s">
        <v>125</v>
      </c>
      <c r="O44">
        <v>0</v>
      </c>
    </row>
    <row r="45" spans="1:15">
      <c r="A45" t="s">
        <v>469</v>
      </c>
      <c r="B45">
        <v>20260818</v>
      </c>
      <c r="C45">
        <v>5803</v>
      </c>
      <c r="D45" t="s">
        <v>176</v>
      </c>
      <c r="E45" t="s">
        <v>45</v>
      </c>
      <c r="F45" t="s">
        <v>130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5694</v>
      </c>
      <c r="M45">
        <v>569400</v>
      </c>
      <c r="N45" t="s">
        <v>35</v>
      </c>
      <c r="O45">
        <v>0</v>
      </c>
    </row>
    <row r="46" spans="1:15">
      <c r="A46" t="s">
        <v>351</v>
      </c>
      <c r="B46">
        <v>20260818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1785.8</v>
      </c>
      <c r="M46">
        <v>178580</v>
      </c>
      <c r="N46" t="s">
        <v>125</v>
      </c>
      <c r="O46">
        <v>0</v>
      </c>
    </row>
    <row r="47" spans="1:15">
      <c r="A47" t="s">
        <v>354</v>
      </c>
      <c r="B47">
        <v>20260818</v>
      </c>
      <c r="C47">
        <v>5803</v>
      </c>
      <c r="D47" t="s">
        <v>176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5679.3</v>
      </c>
      <c r="M47">
        <v>567930</v>
      </c>
      <c r="N47" t="s">
        <v>125</v>
      </c>
      <c r="O47">
        <v>0</v>
      </c>
    </row>
    <row r="48" spans="1:15">
      <c r="A48" t="s">
        <v>357</v>
      </c>
      <c r="B48">
        <v>20260818</v>
      </c>
      <c r="C48">
        <v>3436</v>
      </c>
      <c r="D48" t="s">
        <v>152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3929</v>
      </c>
      <c r="M48">
        <v>392900</v>
      </c>
      <c r="N48" t="s">
        <v>35</v>
      </c>
      <c r="O48">
        <v>0</v>
      </c>
    </row>
    <row r="49" spans="1:15">
      <c r="A49" t="s">
        <v>360</v>
      </c>
      <c r="B49">
        <v>20260818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200</v>
      </c>
      <c r="L49">
        <v>3857.4</v>
      </c>
      <c r="M49">
        <v>771480</v>
      </c>
      <c r="N49" t="s">
        <v>125</v>
      </c>
      <c r="O49">
        <v>0</v>
      </c>
    </row>
    <row r="50" spans="1:15">
      <c r="A50" t="s">
        <v>363</v>
      </c>
      <c r="B50">
        <v>20260818</v>
      </c>
      <c r="C50">
        <v>5803</v>
      </c>
      <c r="D50" t="s">
        <v>176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5702.6</v>
      </c>
      <c r="M50">
        <v>570260</v>
      </c>
      <c r="N50" t="s">
        <v>35</v>
      </c>
      <c r="O50">
        <v>0</v>
      </c>
    </row>
    <row r="51" spans="1:15">
      <c r="A51" t="s">
        <v>365</v>
      </c>
      <c r="B51">
        <v>20260818</v>
      </c>
      <c r="C51">
        <v>5016</v>
      </c>
      <c r="D51" t="s">
        <v>139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3856.9</v>
      </c>
      <c r="M51">
        <v>385690</v>
      </c>
      <c r="N51" t="s">
        <v>35</v>
      </c>
      <c r="O51">
        <v>0</v>
      </c>
    </row>
    <row r="52" spans="1:15">
      <c r="A52" t="s">
        <v>368</v>
      </c>
      <c r="B52">
        <v>20260818</v>
      </c>
      <c r="C52">
        <v>3436</v>
      </c>
      <c r="D52" t="s">
        <v>152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3942.1</v>
      </c>
      <c r="M52">
        <v>394210</v>
      </c>
      <c r="N52" t="s">
        <v>125</v>
      </c>
      <c r="O52">
        <v>0</v>
      </c>
    </row>
    <row r="53" spans="1:15">
      <c r="A53" t="s">
        <v>371</v>
      </c>
      <c r="B53">
        <v>20260818</v>
      </c>
      <c r="C53">
        <v>3436</v>
      </c>
      <c r="D53" t="s">
        <v>152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3952.9</v>
      </c>
      <c r="M53">
        <v>395290</v>
      </c>
      <c r="N53" t="s">
        <v>35</v>
      </c>
      <c r="O53">
        <v>0</v>
      </c>
    </row>
    <row r="54" spans="1:15">
      <c r="A54" t="s">
        <v>374</v>
      </c>
      <c r="B54">
        <v>20260818</v>
      </c>
      <c r="C54">
        <v>5016</v>
      </c>
      <c r="D54" t="s">
        <v>139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3843.4</v>
      </c>
      <c r="M54">
        <v>384340</v>
      </c>
      <c r="N54" t="s">
        <v>125</v>
      </c>
      <c r="O54">
        <v>0</v>
      </c>
    </row>
    <row r="55" spans="1:15">
      <c r="A55" t="s">
        <v>377</v>
      </c>
      <c r="B55">
        <v>20260818</v>
      </c>
      <c r="C55">
        <v>5016</v>
      </c>
      <c r="D55" t="s">
        <v>139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3840.9</v>
      </c>
      <c r="M55">
        <v>384090</v>
      </c>
      <c r="N55" t="s">
        <v>35</v>
      </c>
      <c r="O55">
        <v>0</v>
      </c>
    </row>
    <row r="56" spans="1:15">
      <c r="A56" t="s">
        <v>380</v>
      </c>
      <c r="B56">
        <v>20260818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3981.8</v>
      </c>
      <c r="M56">
        <v>398180</v>
      </c>
      <c r="N56" t="s">
        <v>125</v>
      </c>
      <c r="O56">
        <v>0</v>
      </c>
    </row>
    <row r="57" spans="1:15">
      <c r="A57" t="s">
        <v>383</v>
      </c>
      <c r="B57">
        <v>20260818</v>
      </c>
      <c r="C57">
        <v>5016</v>
      </c>
      <c r="D57" t="s">
        <v>139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3835.2</v>
      </c>
      <c r="M57">
        <v>383520</v>
      </c>
      <c r="N57" t="s">
        <v>125</v>
      </c>
      <c r="O57">
        <v>0</v>
      </c>
    </row>
    <row r="58" spans="1:15">
      <c r="A58" t="s">
        <v>386</v>
      </c>
      <c r="B58">
        <v>20260818</v>
      </c>
      <c r="C58">
        <v>5016</v>
      </c>
      <c r="D58" t="s">
        <v>139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3832.1</v>
      </c>
      <c r="M58">
        <v>383210</v>
      </c>
      <c r="N58" t="s">
        <v>35</v>
      </c>
      <c r="O58">
        <v>0</v>
      </c>
    </row>
    <row r="59" spans="1:15">
      <c r="A59" t="s">
        <v>389</v>
      </c>
      <c r="B59">
        <v>20260818</v>
      </c>
      <c r="C59">
        <v>3436</v>
      </c>
      <c r="D59" t="s">
        <v>152</v>
      </c>
      <c r="E59" t="s">
        <v>45</v>
      </c>
      <c r="F59" t="s">
        <v>115</v>
      </c>
      <c r="G59" t="s">
        <v>46</v>
      </c>
      <c r="H59" t="s">
        <v>116</v>
      </c>
      <c r="I59" t="s">
        <v>117</v>
      </c>
      <c r="J59" t="s">
        <v>118</v>
      </c>
      <c r="K59">
        <v>100</v>
      </c>
      <c r="L59">
        <v>3964.9</v>
      </c>
      <c r="M59">
        <v>396490</v>
      </c>
      <c r="N59" t="s">
        <v>35</v>
      </c>
      <c r="O59">
        <v>0</v>
      </c>
    </row>
    <row r="60" spans="1:15">
      <c r="A60" t="s">
        <v>392</v>
      </c>
      <c r="B60">
        <v>20260818</v>
      </c>
      <c r="C60">
        <v>5016</v>
      </c>
      <c r="D60" t="s">
        <v>139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3831.9</v>
      </c>
      <c r="M60">
        <v>383190</v>
      </c>
      <c r="N60" t="s">
        <v>125</v>
      </c>
      <c r="O60">
        <v>0</v>
      </c>
    </row>
    <row r="61" spans="1:15">
      <c r="A61" t="s">
        <v>396</v>
      </c>
      <c r="B61">
        <v>20260818</v>
      </c>
      <c r="C61">
        <v>5803</v>
      </c>
      <c r="D61" t="s">
        <v>176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5652</v>
      </c>
      <c r="M61">
        <v>565200</v>
      </c>
      <c r="N61" t="s">
        <v>125</v>
      </c>
      <c r="O61">
        <v>0</v>
      </c>
    </row>
    <row r="62" spans="1:15">
      <c r="A62" t="s">
        <v>399</v>
      </c>
      <c r="B62">
        <v>20260818</v>
      </c>
      <c r="C62">
        <v>5016</v>
      </c>
      <c r="D62" t="s">
        <v>139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3832.9</v>
      </c>
      <c r="M62">
        <v>383290</v>
      </c>
      <c r="N62" t="s">
        <v>35</v>
      </c>
      <c r="O62">
        <v>0</v>
      </c>
    </row>
    <row r="63" spans="1:15">
      <c r="A63" t="s">
        <v>401</v>
      </c>
      <c r="B63">
        <v>20260818</v>
      </c>
      <c r="C63">
        <v>5016</v>
      </c>
      <c r="D63" t="s">
        <v>139</v>
      </c>
      <c r="E63" t="s">
        <v>45</v>
      </c>
      <c r="F63" t="s">
        <v>115</v>
      </c>
      <c r="G63" t="s">
        <v>46</v>
      </c>
      <c r="H63" t="s">
        <v>116</v>
      </c>
      <c r="I63" t="s">
        <v>123</v>
      </c>
      <c r="J63" t="s">
        <v>124</v>
      </c>
      <c r="K63">
        <v>100</v>
      </c>
      <c r="L63">
        <v>3827.1</v>
      </c>
      <c r="M63">
        <v>382710</v>
      </c>
      <c r="N63" t="s">
        <v>125</v>
      </c>
      <c r="O63">
        <v>0</v>
      </c>
    </row>
    <row r="64" spans="1:15">
      <c r="A64" t="s">
        <v>406</v>
      </c>
      <c r="B64">
        <v>20260818</v>
      </c>
      <c r="C64">
        <v>7013</v>
      </c>
      <c r="D64" t="s">
        <v>404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3037.4</v>
      </c>
      <c r="M64">
        <v>303740</v>
      </c>
      <c r="N64" t="s">
        <v>35</v>
      </c>
      <c r="O64">
        <v>0</v>
      </c>
    </row>
    <row r="65" spans="1:15">
      <c r="A65" t="s">
        <v>409</v>
      </c>
      <c r="B65">
        <v>20260818</v>
      </c>
      <c r="C65">
        <v>5016</v>
      </c>
      <c r="D65" t="s">
        <v>139</v>
      </c>
      <c r="E65" t="s">
        <v>45</v>
      </c>
      <c r="F65" t="s">
        <v>115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3822.1</v>
      </c>
      <c r="M65">
        <v>382210</v>
      </c>
      <c r="N65" t="s">
        <v>35</v>
      </c>
      <c r="O65">
        <v>0</v>
      </c>
    </row>
    <row r="66" spans="1:15">
      <c r="A66" t="s">
        <v>412</v>
      </c>
      <c r="B66">
        <v>20260818</v>
      </c>
      <c r="C66">
        <v>3436</v>
      </c>
      <c r="D66" t="s">
        <v>152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3946.9</v>
      </c>
      <c r="M66">
        <v>394690</v>
      </c>
      <c r="N66" t="s">
        <v>125</v>
      </c>
      <c r="O66">
        <v>0</v>
      </c>
    </row>
    <row r="67" spans="1:15">
      <c r="A67" t="s">
        <v>415</v>
      </c>
      <c r="B67">
        <v>20260818</v>
      </c>
      <c r="C67">
        <v>5803</v>
      </c>
      <c r="D67" t="s">
        <v>176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5654.2</v>
      </c>
      <c r="M67">
        <v>565420</v>
      </c>
      <c r="N67" t="s">
        <v>35</v>
      </c>
      <c r="O67">
        <v>0</v>
      </c>
    </row>
    <row r="68" spans="1:15">
      <c r="A68" t="s">
        <v>418</v>
      </c>
      <c r="B68">
        <v>20260818</v>
      </c>
      <c r="C68">
        <v>5803</v>
      </c>
      <c r="D68" t="s">
        <v>176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5644.5</v>
      </c>
      <c r="M68">
        <v>564450</v>
      </c>
      <c r="N68" t="s">
        <v>125</v>
      </c>
      <c r="O68">
        <v>0</v>
      </c>
    </row>
    <row r="69" spans="1:15">
      <c r="A69" t="s">
        <v>421</v>
      </c>
      <c r="B69">
        <v>20260818</v>
      </c>
      <c r="C69">
        <v>5016</v>
      </c>
      <c r="D69" t="s">
        <v>139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3822.1</v>
      </c>
      <c r="M69">
        <v>382210</v>
      </c>
      <c r="N69" t="s">
        <v>125</v>
      </c>
      <c r="O69">
        <v>0</v>
      </c>
    </row>
    <row r="70" spans="1:15">
      <c r="A70" t="s">
        <v>423</v>
      </c>
      <c r="B70">
        <v>20260818</v>
      </c>
      <c r="C70">
        <v>7013</v>
      </c>
      <c r="D70" t="s">
        <v>404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3031.4</v>
      </c>
      <c r="M70">
        <v>303140</v>
      </c>
      <c r="N70" t="s">
        <v>125</v>
      </c>
      <c r="O70">
        <v>0</v>
      </c>
    </row>
    <row r="71" spans="1:15">
      <c r="A71" t="s">
        <v>427</v>
      </c>
      <c r="B71">
        <v>20260818</v>
      </c>
      <c r="C71">
        <v>5016</v>
      </c>
      <c r="D71" t="s">
        <v>139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3797.4</v>
      </c>
      <c r="M71">
        <v>379740</v>
      </c>
      <c r="N71" t="s">
        <v>35</v>
      </c>
      <c r="O71">
        <v>0</v>
      </c>
    </row>
    <row r="72" spans="1:15">
      <c r="A72" t="s">
        <v>430</v>
      </c>
      <c r="B72">
        <v>20260818</v>
      </c>
      <c r="C72">
        <v>5016</v>
      </c>
      <c r="D72" t="s">
        <v>139</v>
      </c>
      <c r="E72" t="s">
        <v>45</v>
      </c>
      <c r="F72" t="s">
        <v>115</v>
      </c>
      <c r="G72" t="s">
        <v>46</v>
      </c>
      <c r="H72" t="s">
        <v>116</v>
      </c>
      <c r="I72" t="s">
        <v>123</v>
      </c>
      <c r="J72" t="s">
        <v>124</v>
      </c>
      <c r="K72">
        <v>100</v>
      </c>
      <c r="L72">
        <v>3801.9</v>
      </c>
      <c r="M72">
        <v>380190</v>
      </c>
      <c r="N72" t="s">
        <v>125</v>
      </c>
      <c r="O72">
        <v>0</v>
      </c>
    </row>
    <row r="73" spans="1:15">
      <c r="A73" t="s">
        <v>433</v>
      </c>
      <c r="B73">
        <v>20260818</v>
      </c>
      <c r="C73">
        <v>5803</v>
      </c>
      <c r="D73" t="s">
        <v>176</v>
      </c>
      <c r="E73" t="s">
        <v>45</v>
      </c>
      <c r="F73" t="s">
        <v>115</v>
      </c>
      <c r="G73" t="s">
        <v>46</v>
      </c>
      <c r="H73" t="s">
        <v>116</v>
      </c>
      <c r="I73" t="s">
        <v>117</v>
      </c>
      <c r="J73" t="s">
        <v>118</v>
      </c>
      <c r="K73">
        <v>200</v>
      </c>
      <c r="L73">
        <v>5714.4</v>
      </c>
      <c r="M73">
        <v>1142880</v>
      </c>
      <c r="N73" t="s">
        <v>35</v>
      </c>
      <c r="O73">
        <v>0</v>
      </c>
    </row>
    <row r="74" spans="1:15">
      <c r="A74" t="s">
        <v>436</v>
      </c>
      <c r="B74">
        <v>20260818</v>
      </c>
      <c r="C74">
        <v>5803</v>
      </c>
      <c r="D74" t="s">
        <v>176</v>
      </c>
      <c r="E74" t="s">
        <v>45</v>
      </c>
      <c r="F74" t="s">
        <v>115</v>
      </c>
      <c r="G74" t="s">
        <v>46</v>
      </c>
      <c r="H74" t="s">
        <v>116</v>
      </c>
      <c r="I74" t="s">
        <v>123</v>
      </c>
      <c r="J74" t="s">
        <v>124</v>
      </c>
      <c r="K74">
        <v>200</v>
      </c>
      <c r="L74">
        <v>5721.1</v>
      </c>
      <c r="M74">
        <v>1144220</v>
      </c>
      <c r="N74" t="s">
        <v>125</v>
      </c>
      <c r="O74">
        <v>0</v>
      </c>
    </row>
    <row r="75" spans="1:15">
      <c r="A75" t="s">
        <v>439</v>
      </c>
      <c r="B75">
        <v>20260818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117</v>
      </c>
      <c r="J75" t="s">
        <v>118</v>
      </c>
      <c r="K75">
        <v>100</v>
      </c>
      <c r="L75">
        <v>5723</v>
      </c>
      <c r="M75">
        <v>572300</v>
      </c>
      <c r="N75" t="s">
        <v>35</v>
      </c>
      <c r="O75">
        <v>0</v>
      </c>
    </row>
    <row r="76" spans="1:15">
      <c r="A76" t="s">
        <v>439</v>
      </c>
      <c r="B76">
        <v>20260818</v>
      </c>
      <c r="C76">
        <v>5803</v>
      </c>
      <c r="D76" t="s">
        <v>176</v>
      </c>
      <c r="E76" t="s">
        <v>45</v>
      </c>
      <c r="F76" t="s">
        <v>130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5723</v>
      </c>
      <c r="M76">
        <v>572300</v>
      </c>
      <c r="N76" t="s">
        <v>35</v>
      </c>
      <c r="O76">
        <v>0</v>
      </c>
    </row>
    <row r="77" spans="1:15">
      <c r="A77" t="s">
        <v>442</v>
      </c>
      <c r="B77">
        <v>20260818</v>
      </c>
      <c r="C77">
        <v>5803</v>
      </c>
      <c r="D77" t="s">
        <v>176</v>
      </c>
      <c r="E77" t="s">
        <v>45</v>
      </c>
      <c r="F77" t="s">
        <v>130</v>
      </c>
      <c r="G77" t="s">
        <v>46</v>
      </c>
      <c r="H77" t="s">
        <v>116</v>
      </c>
      <c r="I77" t="s">
        <v>123</v>
      </c>
      <c r="J77" t="s">
        <v>124</v>
      </c>
      <c r="K77">
        <v>100</v>
      </c>
      <c r="L77">
        <v>5705</v>
      </c>
      <c r="M77">
        <v>570500</v>
      </c>
      <c r="N77" t="s">
        <v>125</v>
      </c>
      <c r="O77">
        <v>0</v>
      </c>
    </row>
    <row r="78" spans="1:15">
      <c r="A78" t="s">
        <v>445</v>
      </c>
      <c r="B78">
        <v>20260818</v>
      </c>
      <c r="C78">
        <v>5803</v>
      </c>
      <c r="D78" t="s">
        <v>176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5700</v>
      </c>
      <c r="M78">
        <v>570000</v>
      </c>
      <c r="N78" t="s">
        <v>125</v>
      </c>
      <c r="O78">
        <v>0</v>
      </c>
    </row>
    <row r="79" spans="1:15">
      <c r="A79" t="s">
        <v>452</v>
      </c>
      <c r="B79">
        <v>20260818</v>
      </c>
      <c r="C79">
        <v>5016</v>
      </c>
      <c r="D79" t="s">
        <v>139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3802.8</v>
      </c>
      <c r="M79">
        <v>380280</v>
      </c>
      <c r="N79" t="s">
        <v>35</v>
      </c>
      <c r="O79">
        <v>0</v>
      </c>
    </row>
    <row r="80" spans="1:15">
      <c r="A80" t="s">
        <v>455</v>
      </c>
      <c r="B80">
        <v>20260818</v>
      </c>
      <c r="C80">
        <v>5016</v>
      </c>
      <c r="D80" t="s">
        <v>139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3798</v>
      </c>
      <c r="M80">
        <v>379800</v>
      </c>
      <c r="N80" t="s">
        <v>125</v>
      </c>
      <c r="O80">
        <v>0</v>
      </c>
    </row>
    <row r="81" spans="1:15">
      <c r="A81" s="1" t="s">
        <v>64</v>
      </c>
      <c r="B81" s="1" t="s">
        <v>64</v>
      </c>
      <c r="C81" s="1" t="s">
        <v>64</v>
      </c>
      <c r="D81" s="1" t="s">
        <v>64</v>
      </c>
      <c r="E81" s="1" t="s">
        <v>64</v>
      </c>
      <c r="F81" s="1" t="s">
        <v>64</v>
      </c>
      <c r="G81" s="1" t="s">
        <v>64</v>
      </c>
      <c r="H81" s="1" t="s">
        <v>64</v>
      </c>
      <c r="I81" s="1" t="s">
        <v>64</v>
      </c>
      <c r="J81" s="1" t="s">
        <v>64</v>
      </c>
      <c r="K81" s="1" t="s">
        <v>64</v>
      </c>
      <c r="L81" s="1" t="s">
        <v>64</v>
      </c>
      <c r="M81" s="1" t="s">
        <v>64</v>
      </c>
      <c r="N81" s="1" t="s">
        <v>64</v>
      </c>
      <c r="O81" s="1" t="s">
        <v>64</v>
      </c>
    </row>
    <row r="84" spans="1:15">
      <c r="A84" t="s">
        <v>743</v>
      </c>
    </row>
    <row r="85" spans="1:15">
      <c r="A85" t="s">
        <v>108</v>
      </c>
      <c r="B85" t="s">
        <v>109</v>
      </c>
      <c r="C85" t="s">
        <v>10</v>
      </c>
      <c r="D85" t="s">
        <v>11</v>
      </c>
      <c r="E85" t="s">
        <v>12</v>
      </c>
      <c r="F85" t="s">
        <v>13</v>
      </c>
      <c r="G85" t="s">
        <v>14</v>
      </c>
      <c r="H85" t="s">
        <v>15</v>
      </c>
      <c r="I85" t="s">
        <v>17</v>
      </c>
      <c r="J85" t="s">
        <v>662</v>
      </c>
      <c r="K85" t="s">
        <v>21</v>
      </c>
      <c r="L85" t="s">
        <v>110</v>
      </c>
      <c r="M85" t="s">
        <v>111</v>
      </c>
      <c r="N85" t="s">
        <v>27</v>
      </c>
      <c r="O85" t="s">
        <v>112</v>
      </c>
    </row>
    <row r="86" spans="1:15">
      <c r="A86" t="s">
        <v>709</v>
      </c>
      <c r="B86">
        <v>20260910</v>
      </c>
      <c r="C86">
        <v>5803</v>
      </c>
      <c r="D86" t="s">
        <v>176</v>
      </c>
      <c r="E86" t="s">
        <v>45</v>
      </c>
      <c r="F86" t="s">
        <v>115</v>
      </c>
      <c r="G86" t="s">
        <v>223</v>
      </c>
      <c r="H86" t="s">
        <v>224</v>
      </c>
      <c r="I86" t="s">
        <v>117</v>
      </c>
      <c r="J86" t="s">
        <v>118</v>
      </c>
      <c r="K86">
        <v>100</v>
      </c>
      <c r="L86">
        <v>5162.8</v>
      </c>
      <c r="M86">
        <v>516280</v>
      </c>
      <c r="N86" t="s">
        <v>35</v>
      </c>
      <c r="O86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388B0-4DEB-46E6-B822-10EE253C01CB}">
  <dimension ref="A1:T13"/>
  <sheetViews>
    <sheetView workbookViewId="0">
      <selection activeCell="A9" sqref="A9:XFD9"/>
    </sheetView>
  </sheetViews>
  <sheetFormatPr defaultRowHeight="18.75"/>
  <cols>
    <col min="11" max="11" width="10.5" customWidth="1"/>
  </cols>
  <sheetData>
    <row r="1" spans="1:20">
      <c r="A1" t="s">
        <v>885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-31.862176000000002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-32.394297000000002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-27.118908999999999</v>
      </c>
      <c r="S5">
        <v>30</v>
      </c>
      <c r="T5">
        <v>0</v>
      </c>
    </row>
    <row r="6" spans="1:20">
      <c r="A6">
        <v>5803</v>
      </c>
      <c r="B6" t="s">
        <v>490</v>
      </c>
      <c r="C6" t="s">
        <v>36</v>
      </c>
      <c r="D6" t="s">
        <v>706</v>
      </c>
      <c r="E6" t="s">
        <v>685</v>
      </c>
      <c r="F6" t="s">
        <v>686</v>
      </c>
      <c r="G6" t="s">
        <v>674</v>
      </c>
      <c r="H6">
        <v>100</v>
      </c>
      <c r="I6">
        <v>0</v>
      </c>
      <c r="J6">
        <v>6452.8</v>
      </c>
      <c r="K6">
        <v>20260624</v>
      </c>
      <c r="L6">
        <v>20261223</v>
      </c>
      <c r="M6">
        <v>5493</v>
      </c>
      <c r="N6">
        <v>410</v>
      </c>
      <c r="O6">
        <v>8.07</v>
      </c>
      <c r="P6">
        <v>549300</v>
      </c>
      <c r="Q6">
        <v>-99842</v>
      </c>
      <c r="R6">
        <v>-15.472663000000001</v>
      </c>
      <c r="S6">
        <v>30</v>
      </c>
      <c r="T6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6449.9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-99769</v>
      </c>
      <c r="R7">
        <v>-15.468302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64</v>
      </c>
      <c r="B10" s="1" t="s">
        <v>64</v>
      </c>
      <c r="C10" s="1" t="s">
        <v>64</v>
      </c>
      <c r="D10" s="1" t="s">
        <v>64</v>
      </c>
      <c r="E10" s="1" t="s">
        <v>64</v>
      </c>
      <c r="F10" s="1" t="s">
        <v>64</v>
      </c>
      <c r="G10" s="1" t="s">
        <v>64</v>
      </c>
      <c r="H10" s="1" t="s">
        <v>64</v>
      </c>
      <c r="I10" s="1" t="s">
        <v>64</v>
      </c>
      <c r="J10" s="1" t="s">
        <v>64</v>
      </c>
      <c r="K10" s="1" t="s">
        <v>64</v>
      </c>
      <c r="L10" s="1" t="s">
        <v>64</v>
      </c>
      <c r="M10" s="1" t="s">
        <v>64</v>
      </c>
      <c r="N10" s="1" t="s">
        <v>64</v>
      </c>
      <c r="O10" s="1" t="s">
        <v>64</v>
      </c>
      <c r="P10" s="1" t="s">
        <v>64</v>
      </c>
      <c r="Q10" s="1" t="s">
        <v>64</v>
      </c>
      <c r="R10" s="1" t="s">
        <v>64</v>
      </c>
      <c r="S10" s="1" t="s">
        <v>64</v>
      </c>
      <c r="T10" s="1" t="s">
        <v>64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</sheetData>
  <phoneticPr fontId="1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7499-9BEC-4466-88E4-72ACDC841B5E}">
  <dimension ref="A1:C303"/>
  <sheetViews>
    <sheetView workbookViewId="0">
      <selection activeCell="K13" sqref="K13"/>
    </sheetView>
  </sheetViews>
  <sheetFormatPr defaultRowHeight="18.75"/>
  <sheetData>
    <row r="1" spans="1:3">
      <c r="A1" t="s">
        <v>661</v>
      </c>
    </row>
    <row r="2" spans="1:3">
      <c r="A2" t="s">
        <v>526</v>
      </c>
      <c r="B2" t="s">
        <v>511</v>
      </c>
      <c r="C2" t="s">
        <v>527</v>
      </c>
    </row>
    <row r="3" spans="1:3">
      <c r="A3" t="s">
        <v>528</v>
      </c>
      <c r="B3">
        <v>3597200</v>
      </c>
      <c r="C3">
        <v>3077</v>
      </c>
    </row>
    <row r="4" spans="1:3">
      <c r="A4" t="s">
        <v>529</v>
      </c>
      <c r="B4">
        <v>4100</v>
      </c>
      <c r="C4">
        <v>3082</v>
      </c>
    </row>
    <row r="5" spans="1:3">
      <c r="A5" t="s">
        <v>529</v>
      </c>
      <c r="B5">
        <v>6500</v>
      </c>
      <c r="C5">
        <v>3081</v>
      </c>
    </row>
    <row r="6" spans="1:3">
      <c r="A6" t="s">
        <v>530</v>
      </c>
      <c r="B6">
        <v>200</v>
      </c>
      <c r="C6">
        <v>3081</v>
      </c>
    </row>
    <row r="7" spans="1:3">
      <c r="A7" t="s">
        <v>530</v>
      </c>
      <c r="B7">
        <v>100</v>
      </c>
      <c r="C7">
        <v>3081</v>
      </c>
    </row>
    <row r="8" spans="1:3">
      <c r="A8" t="s">
        <v>530</v>
      </c>
      <c r="B8">
        <v>100</v>
      </c>
      <c r="C8">
        <v>3080</v>
      </c>
    </row>
    <row r="9" spans="1:3">
      <c r="A9" t="s">
        <v>531</v>
      </c>
      <c r="B9">
        <v>100</v>
      </c>
      <c r="C9">
        <v>3080</v>
      </c>
    </row>
    <row r="10" spans="1:3">
      <c r="A10" t="s">
        <v>531</v>
      </c>
      <c r="B10">
        <v>200</v>
      </c>
      <c r="C10">
        <v>3080</v>
      </c>
    </row>
    <row r="11" spans="1:3">
      <c r="A11" t="s">
        <v>532</v>
      </c>
      <c r="B11">
        <v>300</v>
      </c>
      <c r="C11">
        <v>3081</v>
      </c>
    </row>
    <row r="12" spans="1:3">
      <c r="A12" t="s">
        <v>532</v>
      </c>
      <c r="B12">
        <v>3800</v>
      </c>
      <c r="C12">
        <v>3081</v>
      </c>
    </row>
    <row r="13" spans="1:3">
      <c r="A13" t="s">
        <v>532</v>
      </c>
      <c r="B13">
        <v>6500</v>
      </c>
      <c r="C13">
        <v>3081</v>
      </c>
    </row>
    <row r="14" spans="1:3">
      <c r="A14" t="s">
        <v>532</v>
      </c>
      <c r="B14">
        <v>100</v>
      </c>
      <c r="C14">
        <v>3080</v>
      </c>
    </row>
    <row r="15" spans="1:3">
      <c r="A15" t="s">
        <v>532</v>
      </c>
      <c r="B15">
        <v>200</v>
      </c>
      <c r="C15">
        <v>3081</v>
      </c>
    </row>
    <row r="16" spans="1:3">
      <c r="A16" t="s">
        <v>533</v>
      </c>
      <c r="B16">
        <v>200</v>
      </c>
      <c r="C16">
        <v>3080</v>
      </c>
    </row>
    <row r="17" spans="1:3">
      <c r="A17" t="s">
        <v>534</v>
      </c>
      <c r="B17">
        <v>200</v>
      </c>
      <c r="C17">
        <v>3080</v>
      </c>
    </row>
    <row r="18" spans="1:3">
      <c r="A18" t="s">
        <v>534</v>
      </c>
      <c r="B18">
        <v>200</v>
      </c>
      <c r="C18">
        <v>3080</v>
      </c>
    </row>
    <row r="19" spans="1:3">
      <c r="A19" t="s">
        <v>534</v>
      </c>
      <c r="B19">
        <v>100</v>
      </c>
      <c r="C19">
        <v>3080</v>
      </c>
    </row>
    <row r="20" spans="1:3">
      <c r="A20" t="s">
        <v>535</v>
      </c>
      <c r="B20">
        <v>300</v>
      </c>
      <c r="C20">
        <v>3081</v>
      </c>
    </row>
    <row r="21" spans="1:3">
      <c r="A21" t="s">
        <v>535</v>
      </c>
      <c r="B21">
        <v>100</v>
      </c>
      <c r="C21">
        <v>3081</v>
      </c>
    </row>
    <row r="22" spans="1:3">
      <c r="A22" t="s">
        <v>536</v>
      </c>
      <c r="B22">
        <v>100</v>
      </c>
      <c r="C22">
        <v>3081</v>
      </c>
    </row>
    <row r="23" spans="1:3">
      <c r="A23" t="s">
        <v>537</v>
      </c>
      <c r="B23">
        <v>100</v>
      </c>
      <c r="C23">
        <v>3080</v>
      </c>
    </row>
    <row r="24" spans="1:3">
      <c r="A24" t="s">
        <v>538</v>
      </c>
      <c r="B24">
        <v>100</v>
      </c>
      <c r="C24">
        <v>3081</v>
      </c>
    </row>
    <row r="25" spans="1:3">
      <c r="A25" t="s">
        <v>538</v>
      </c>
      <c r="B25">
        <v>400</v>
      </c>
      <c r="C25">
        <v>3081</v>
      </c>
    </row>
    <row r="26" spans="1:3">
      <c r="A26" t="s">
        <v>538</v>
      </c>
      <c r="B26">
        <v>100</v>
      </c>
      <c r="C26">
        <v>3080</v>
      </c>
    </row>
    <row r="27" spans="1:3">
      <c r="A27" t="s">
        <v>539</v>
      </c>
      <c r="B27">
        <v>500</v>
      </c>
      <c r="C27">
        <v>3080</v>
      </c>
    </row>
    <row r="28" spans="1:3">
      <c r="A28" t="s">
        <v>540</v>
      </c>
      <c r="B28">
        <v>100</v>
      </c>
      <c r="C28">
        <v>3080</v>
      </c>
    </row>
    <row r="29" spans="1:3">
      <c r="A29" t="s">
        <v>541</v>
      </c>
      <c r="B29">
        <v>100</v>
      </c>
      <c r="C29">
        <v>3080</v>
      </c>
    </row>
    <row r="30" spans="1:3">
      <c r="A30" t="s">
        <v>542</v>
      </c>
      <c r="B30">
        <v>400</v>
      </c>
      <c r="C30">
        <v>3080</v>
      </c>
    </row>
    <row r="31" spans="1:3">
      <c r="A31" t="s">
        <v>542</v>
      </c>
      <c r="B31">
        <v>200</v>
      </c>
      <c r="C31">
        <v>3080</v>
      </c>
    </row>
    <row r="32" spans="1:3">
      <c r="A32" t="s">
        <v>542</v>
      </c>
      <c r="B32">
        <v>200</v>
      </c>
      <c r="C32">
        <v>3080</v>
      </c>
    </row>
    <row r="33" spans="1:3">
      <c r="A33" t="s">
        <v>542</v>
      </c>
      <c r="B33">
        <v>400</v>
      </c>
      <c r="C33">
        <v>3080</v>
      </c>
    </row>
    <row r="34" spans="1:3">
      <c r="A34" t="s">
        <v>543</v>
      </c>
      <c r="B34">
        <v>100</v>
      </c>
      <c r="C34">
        <v>3081</v>
      </c>
    </row>
    <row r="35" spans="1:3">
      <c r="A35" t="s">
        <v>544</v>
      </c>
      <c r="B35">
        <v>3100</v>
      </c>
      <c r="C35">
        <v>3080</v>
      </c>
    </row>
    <row r="36" spans="1:3">
      <c r="A36" t="s">
        <v>544</v>
      </c>
      <c r="B36">
        <v>1100</v>
      </c>
      <c r="C36">
        <v>3080</v>
      </c>
    </row>
    <row r="37" spans="1:3">
      <c r="A37" t="s">
        <v>544</v>
      </c>
      <c r="B37">
        <v>1100</v>
      </c>
      <c r="C37">
        <v>3080</v>
      </c>
    </row>
    <row r="38" spans="1:3">
      <c r="A38" t="s">
        <v>544</v>
      </c>
      <c r="B38">
        <v>100</v>
      </c>
      <c r="C38">
        <v>3080</v>
      </c>
    </row>
    <row r="39" spans="1:3">
      <c r="A39" t="s">
        <v>544</v>
      </c>
      <c r="B39">
        <v>10500</v>
      </c>
      <c r="C39">
        <v>3080</v>
      </c>
    </row>
    <row r="40" spans="1:3">
      <c r="A40" t="s">
        <v>544</v>
      </c>
      <c r="B40">
        <v>100</v>
      </c>
      <c r="C40">
        <v>3080</v>
      </c>
    </row>
    <row r="41" spans="1:3">
      <c r="A41" t="s">
        <v>544</v>
      </c>
      <c r="B41">
        <v>100</v>
      </c>
      <c r="C41">
        <v>3080</v>
      </c>
    </row>
    <row r="42" spans="1:3">
      <c r="A42" t="s">
        <v>544</v>
      </c>
      <c r="B42">
        <v>100</v>
      </c>
      <c r="C42">
        <v>3080</v>
      </c>
    </row>
    <row r="43" spans="1:3">
      <c r="A43" t="s">
        <v>544</v>
      </c>
      <c r="B43">
        <v>200</v>
      </c>
      <c r="C43">
        <v>3080</v>
      </c>
    </row>
    <row r="44" spans="1:3">
      <c r="A44" t="s">
        <v>544</v>
      </c>
      <c r="B44">
        <v>100</v>
      </c>
      <c r="C44">
        <v>3080</v>
      </c>
    </row>
    <row r="45" spans="1:3">
      <c r="A45" t="s">
        <v>544</v>
      </c>
      <c r="B45">
        <v>500</v>
      </c>
      <c r="C45">
        <v>3079</v>
      </c>
    </row>
    <row r="46" spans="1:3">
      <c r="A46" t="s">
        <v>544</v>
      </c>
      <c r="B46">
        <v>300</v>
      </c>
      <c r="C46">
        <v>3079</v>
      </c>
    </row>
    <row r="47" spans="1:3">
      <c r="A47" t="s">
        <v>545</v>
      </c>
      <c r="B47">
        <v>800</v>
      </c>
      <c r="C47">
        <v>3079</v>
      </c>
    </row>
    <row r="48" spans="1:3">
      <c r="A48" t="s">
        <v>545</v>
      </c>
      <c r="B48">
        <v>100</v>
      </c>
      <c r="C48">
        <v>3079</v>
      </c>
    </row>
    <row r="49" spans="1:3">
      <c r="A49" t="s">
        <v>546</v>
      </c>
      <c r="B49">
        <v>200</v>
      </c>
      <c r="C49">
        <v>3079</v>
      </c>
    </row>
    <row r="50" spans="1:3">
      <c r="A50" t="s">
        <v>546</v>
      </c>
      <c r="B50">
        <v>100</v>
      </c>
      <c r="C50">
        <v>3079</v>
      </c>
    </row>
    <row r="51" spans="1:3">
      <c r="A51" t="s">
        <v>546</v>
      </c>
      <c r="B51">
        <v>200</v>
      </c>
      <c r="C51">
        <v>3079</v>
      </c>
    </row>
    <row r="52" spans="1:3">
      <c r="A52" t="s">
        <v>547</v>
      </c>
      <c r="B52">
        <v>200</v>
      </c>
      <c r="C52">
        <v>3079</v>
      </c>
    </row>
    <row r="53" spans="1:3">
      <c r="A53" t="s">
        <v>547</v>
      </c>
      <c r="B53">
        <v>100</v>
      </c>
      <c r="C53">
        <v>3079</v>
      </c>
    </row>
    <row r="54" spans="1:3">
      <c r="A54" t="s">
        <v>547</v>
      </c>
      <c r="B54">
        <v>400</v>
      </c>
      <c r="C54">
        <v>3079</v>
      </c>
    </row>
    <row r="55" spans="1:3">
      <c r="A55" t="s">
        <v>548</v>
      </c>
      <c r="B55">
        <v>100</v>
      </c>
      <c r="C55">
        <v>3079</v>
      </c>
    </row>
    <row r="56" spans="1:3">
      <c r="A56" t="s">
        <v>548</v>
      </c>
      <c r="B56">
        <v>100</v>
      </c>
      <c r="C56">
        <v>3079</v>
      </c>
    </row>
    <row r="57" spans="1:3">
      <c r="A57" t="s">
        <v>549</v>
      </c>
      <c r="B57">
        <v>400</v>
      </c>
      <c r="C57">
        <v>3080</v>
      </c>
    </row>
    <row r="58" spans="1:3">
      <c r="A58" t="s">
        <v>549</v>
      </c>
      <c r="B58">
        <v>3100</v>
      </c>
      <c r="C58">
        <v>3079</v>
      </c>
    </row>
    <row r="59" spans="1:3">
      <c r="A59" t="s">
        <v>549</v>
      </c>
      <c r="B59">
        <v>100</v>
      </c>
      <c r="C59">
        <v>3079</v>
      </c>
    </row>
    <row r="60" spans="1:3">
      <c r="A60" t="s">
        <v>549</v>
      </c>
      <c r="B60">
        <v>100</v>
      </c>
      <c r="C60">
        <v>3080</v>
      </c>
    </row>
    <row r="61" spans="1:3">
      <c r="A61" t="s">
        <v>549</v>
      </c>
      <c r="B61">
        <v>100</v>
      </c>
      <c r="C61">
        <v>3079</v>
      </c>
    </row>
    <row r="62" spans="1:3">
      <c r="A62" t="s">
        <v>549</v>
      </c>
      <c r="B62">
        <v>100</v>
      </c>
      <c r="C62">
        <v>3079</v>
      </c>
    </row>
    <row r="63" spans="1:3">
      <c r="A63" t="s">
        <v>549</v>
      </c>
      <c r="B63">
        <v>200</v>
      </c>
      <c r="C63">
        <v>3080</v>
      </c>
    </row>
    <row r="64" spans="1:3">
      <c r="A64" t="s">
        <v>550</v>
      </c>
      <c r="B64">
        <v>100</v>
      </c>
      <c r="C64">
        <v>3079</v>
      </c>
    </row>
    <row r="65" spans="1:3">
      <c r="A65" t="s">
        <v>550</v>
      </c>
      <c r="B65">
        <v>300</v>
      </c>
      <c r="C65">
        <v>3080</v>
      </c>
    </row>
    <row r="66" spans="1:3">
      <c r="A66" t="s">
        <v>550</v>
      </c>
      <c r="B66">
        <v>200</v>
      </c>
      <c r="C66">
        <v>3079</v>
      </c>
    </row>
    <row r="67" spans="1:3">
      <c r="A67" t="s">
        <v>550</v>
      </c>
      <c r="B67">
        <v>100</v>
      </c>
      <c r="C67">
        <v>3079</v>
      </c>
    </row>
    <row r="68" spans="1:3">
      <c r="A68" t="s">
        <v>551</v>
      </c>
      <c r="B68">
        <v>100</v>
      </c>
      <c r="C68">
        <v>3079</v>
      </c>
    </row>
    <row r="69" spans="1:3">
      <c r="A69" t="s">
        <v>551</v>
      </c>
      <c r="B69">
        <v>200</v>
      </c>
      <c r="C69">
        <v>3079</v>
      </c>
    </row>
    <row r="70" spans="1:3">
      <c r="A70" t="s">
        <v>551</v>
      </c>
      <c r="B70">
        <v>400</v>
      </c>
      <c r="C70">
        <v>3079</v>
      </c>
    </row>
    <row r="71" spans="1:3">
      <c r="A71" t="s">
        <v>551</v>
      </c>
      <c r="B71">
        <v>900</v>
      </c>
      <c r="C71">
        <v>3079</v>
      </c>
    </row>
    <row r="72" spans="1:3">
      <c r="A72" t="s">
        <v>551</v>
      </c>
      <c r="B72">
        <v>300</v>
      </c>
      <c r="C72">
        <v>3079</v>
      </c>
    </row>
    <row r="73" spans="1:3">
      <c r="A73" t="s">
        <v>551</v>
      </c>
      <c r="B73">
        <v>100</v>
      </c>
      <c r="C73">
        <v>3079</v>
      </c>
    </row>
    <row r="74" spans="1:3">
      <c r="A74" t="s">
        <v>551</v>
      </c>
      <c r="B74">
        <v>100</v>
      </c>
      <c r="C74">
        <v>3079</v>
      </c>
    </row>
    <row r="75" spans="1:3">
      <c r="A75" t="s">
        <v>551</v>
      </c>
      <c r="B75">
        <v>500</v>
      </c>
      <c r="C75">
        <v>3079</v>
      </c>
    </row>
    <row r="76" spans="1:3">
      <c r="A76" t="s">
        <v>551</v>
      </c>
      <c r="B76">
        <v>1000</v>
      </c>
      <c r="C76">
        <v>3079</v>
      </c>
    </row>
    <row r="77" spans="1:3">
      <c r="A77" t="s">
        <v>551</v>
      </c>
      <c r="B77">
        <v>400</v>
      </c>
      <c r="C77">
        <v>3079</v>
      </c>
    </row>
    <row r="78" spans="1:3">
      <c r="A78" t="s">
        <v>551</v>
      </c>
      <c r="B78">
        <v>100</v>
      </c>
      <c r="C78">
        <v>3079</v>
      </c>
    </row>
    <row r="79" spans="1:3">
      <c r="A79" t="s">
        <v>552</v>
      </c>
      <c r="B79">
        <v>100</v>
      </c>
      <c r="C79">
        <v>3080</v>
      </c>
    </row>
    <row r="80" spans="1:3">
      <c r="A80" t="s">
        <v>553</v>
      </c>
      <c r="B80">
        <v>1000</v>
      </c>
      <c r="C80">
        <v>3079</v>
      </c>
    </row>
    <row r="81" spans="1:3">
      <c r="A81" t="s">
        <v>553</v>
      </c>
      <c r="B81">
        <v>800</v>
      </c>
      <c r="C81">
        <v>3079</v>
      </c>
    </row>
    <row r="82" spans="1:3">
      <c r="A82" t="s">
        <v>553</v>
      </c>
      <c r="B82">
        <v>300</v>
      </c>
      <c r="C82">
        <v>3079</v>
      </c>
    </row>
    <row r="83" spans="1:3">
      <c r="A83" t="s">
        <v>553</v>
      </c>
      <c r="B83">
        <v>200</v>
      </c>
      <c r="C83">
        <v>3078</v>
      </c>
    </row>
    <row r="84" spans="1:3">
      <c r="A84" t="s">
        <v>553</v>
      </c>
      <c r="B84">
        <v>100</v>
      </c>
      <c r="C84">
        <v>3079</v>
      </c>
    </row>
    <row r="85" spans="1:3">
      <c r="A85" t="s">
        <v>554</v>
      </c>
      <c r="B85">
        <v>100</v>
      </c>
      <c r="C85">
        <v>3079</v>
      </c>
    </row>
    <row r="86" spans="1:3">
      <c r="A86" t="s">
        <v>555</v>
      </c>
      <c r="B86">
        <v>100</v>
      </c>
      <c r="C86">
        <v>3079</v>
      </c>
    </row>
    <row r="87" spans="1:3">
      <c r="A87" t="s">
        <v>555</v>
      </c>
      <c r="B87">
        <v>100</v>
      </c>
      <c r="C87">
        <v>3079</v>
      </c>
    </row>
    <row r="88" spans="1:3">
      <c r="A88" t="s">
        <v>555</v>
      </c>
      <c r="B88">
        <v>100</v>
      </c>
      <c r="C88">
        <v>3079</v>
      </c>
    </row>
    <row r="89" spans="1:3">
      <c r="A89" t="s">
        <v>556</v>
      </c>
      <c r="B89">
        <v>100</v>
      </c>
      <c r="C89">
        <v>3079</v>
      </c>
    </row>
    <row r="90" spans="1:3">
      <c r="A90" t="s">
        <v>557</v>
      </c>
      <c r="B90">
        <v>100</v>
      </c>
      <c r="C90">
        <v>3078</v>
      </c>
    </row>
    <row r="91" spans="1:3">
      <c r="A91" t="s">
        <v>558</v>
      </c>
      <c r="B91">
        <v>100</v>
      </c>
      <c r="C91">
        <v>3079</v>
      </c>
    </row>
    <row r="92" spans="1:3">
      <c r="A92" t="s">
        <v>559</v>
      </c>
      <c r="B92">
        <v>600</v>
      </c>
      <c r="C92">
        <v>3078</v>
      </c>
    </row>
    <row r="93" spans="1:3">
      <c r="A93" t="s">
        <v>559</v>
      </c>
      <c r="B93">
        <v>1600</v>
      </c>
      <c r="C93">
        <v>3079</v>
      </c>
    </row>
    <row r="94" spans="1:3">
      <c r="A94" t="s">
        <v>560</v>
      </c>
      <c r="B94">
        <v>100</v>
      </c>
      <c r="C94">
        <v>3079</v>
      </c>
    </row>
    <row r="95" spans="1:3">
      <c r="A95" t="s">
        <v>561</v>
      </c>
      <c r="B95">
        <v>1000</v>
      </c>
      <c r="C95">
        <v>3079</v>
      </c>
    </row>
    <row r="96" spans="1:3">
      <c r="A96" t="s">
        <v>561</v>
      </c>
      <c r="B96">
        <v>200</v>
      </c>
      <c r="C96">
        <v>3079</v>
      </c>
    </row>
    <row r="97" spans="1:3">
      <c r="A97" t="s">
        <v>562</v>
      </c>
      <c r="B97">
        <v>100</v>
      </c>
      <c r="C97">
        <v>3078</v>
      </c>
    </row>
    <row r="98" spans="1:3">
      <c r="A98" t="s">
        <v>562</v>
      </c>
      <c r="B98">
        <v>3800</v>
      </c>
      <c r="C98">
        <v>3079</v>
      </c>
    </row>
    <row r="99" spans="1:3">
      <c r="A99" t="s">
        <v>562</v>
      </c>
      <c r="B99">
        <v>100</v>
      </c>
      <c r="C99">
        <v>3080</v>
      </c>
    </row>
    <row r="100" spans="1:3">
      <c r="A100" t="s">
        <v>562</v>
      </c>
      <c r="B100">
        <v>100</v>
      </c>
      <c r="C100">
        <v>3079</v>
      </c>
    </row>
    <row r="101" spans="1:3">
      <c r="A101" t="s">
        <v>563</v>
      </c>
      <c r="B101">
        <v>100</v>
      </c>
      <c r="C101">
        <v>3079</v>
      </c>
    </row>
    <row r="102" spans="1:3">
      <c r="A102" t="s">
        <v>563</v>
      </c>
      <c r="B102">
        <v>1200</v>
      </c>
      <c r="C102">
        <v>3079</v>
      </c>
    </row>
    <row r="103" spans="1:3">
      <c r="A103" s="1" t="s">
        <v>563</v>
      </c>
      <c r="B103">
        <v>300</v>
      </c>
      <c r="C103">
        <v>3079</v>
      </c>
    </row>
    <row r="104" spans="1:3">
      <c r="A104" t="s">
        <v>563</v>
      </c>
      <c r="B104">
        <v>1300</v>
      </c>
      <c r="C104">
        <v>3079</v>
      </c>
    </row>
    <row r="105" spans="1:3">
      <c r="A105" t="s">
        <v>563</v>
      </c>
      <c r="B105">
        <v>1900</v>
      </c>
      <c r="C105">
        <v>3079</v>
      </c>
    </row>
    <row r="106" spans="1:3">
      <c r="A106" t="s">
        <v>563</v>
      </c>
      <c r="B106">
        <v>1300</v>
      </c>
      <c r="C106">
        <v>3079</v>
      </c>
    </row>
    <row r="107" spans="1:3">
      <c r="A107" t="s">
        <v>563</v>
      </c>
      <c r="B107">
        <v>900</v>
      </c>
      <c r="C107">
        <v>3079</v>
      </c>
    </row>
    <row r="108" spans="1:3">
      <c r="A108" t="s">
        <v>563</v>
      </c>
      <c r="B108">
        <v>5500</v>
      </c>
      <c r="C108">
        <v>3079</v>
      </c>
    </row>
    <row r="109" spans="1:3">
      <c r="A109" t="s">
        <v>564</v>
      </c>
      <c r="B109">
        <v>9300</v>
      </c>
      <c r="C109">
        <v>3079</v>
      </c>
    </row>
    <row r="110" spans="1:3">
      <c r="A110" t="s">
        <v>564</v>
      </c>
      <c r="B110">
        <v>100</v>
      </c>
      <c r="C110">
        <v>3079</v>
      </c>
    </row>
    <row r="111" spans="1:3">
      <c r="A111" t="s">
        <v>565</v>
      </c>
      <c r="B111">
        <v>100</v>
      </c>
      <c r="C111">
        <v>3079</v>
      </c>
    </row>
    <row r="112" spans="1:3">
      <c r="A112" t="s">
        <v>565</v>
      </c>
      <c r="B112">
        <v>100</v>
      </c>
      <c r="C112">
        <v>3079</v>
      </c>
    </row>
    <row r="113" spans="1:3">
      <c r="A113" t="s">
        <v>565</v>
      </c>
      <c r="B113">
        <v>500</v>
      </c>
      <c r="C113">
        <v>3078</v>
      </c>
    </row>
    <row r="114" spans="1:3">
      <c r="A114" t="s">
        <v>566</v>
      </c>
      <c r="B114">
        <v>100</v>
      </c>
      <c r="C114">
        <v>3079</v>
      </c>
    </row>
    <row r="115" spans="1:3">
      <c r="A115" t="s">
        <v>566</v>
      </c>
      <c r="B115">
        <v>100</v>
      </c>
      <c r="C115">
        <v>3079</v>
      </c>
    </row>
    <row r="116" spans="1:3">
      <c r="A116" t="s">
        <v>566</v>
      </c>
      <c r="B116">
        <v>100</v>
      </c>
      <c r="C116">
        <v>3078</v>
      </c>
    </row>
    <row r="117" spans="1:3">
      <c r="A117" t="s">
        <v>566</v>
      </c>
      <c r="B117">
        <v>100</v>
      </c>
      <c r="C117">
        <v>3078</v>
      </c>
    </row>
    <row r="118" spans="1:3">
      <c r="A118" t="s">
        <v>567</v>
      </c>
      <c r="B118">
        <v>5700</v>
      </c>
      <c r="C118">
        <v>3078</v>
      </c>
    </row>
    <row r="119" spans="1:3">
      <c r="A119" t="s">
        <v>568</v>
      </c>
      <c r="B119">
        <v>200</v>
      </c>
      <c r="C119">
        <v>3079</v>
      </c>
    </row>
    <row r="120" spans="1:3">
      <c r="A120" t="s">
        <v>568</v>
      </c>
      <c r="B120">
        <v>100</v>
      </c>
      <c r="C120">
        <v>3078</v>
      </c>
    </row>
    <row r="121" spans="1:3">
      <c r="A121" t="s">
        <v>568</v>
      </c>
      <c r="B121">
        <v>300</v>
      </c>
      <c r="C121">
        <v>3078</v>
      </c>
    </row>
    <row r="122" spans="1:3">
      <c r="A122" t="s">
        <v>568</v>
      </c>
      <c r="B122">
        <v>100</v>
      </c>
      <c r="C122">
        <v>3078</v>
      </c>
    </row>
    <row r="123" spans="1:3">
      <c r="A123" t="s">
        <v>568</v>
      </c>
      <c r="B123">
        <v>100</v>
      </c>
      <c r="C123">
        <v>3078</v>
      </c>
    </row>
    <row r="124" spans="1:3">
      <c r="A124" t="s">
        <v>568</v>
      </c>
      <c r="B124">
        <v>100</v>
      </c>
      <c r="C124">
        <v>3078</v>
      </c>
    </row>
    <row r="125" spans="1:3">
      <c r="A125" t="s">
        <v>568</v>
      </c>
      <c r="B125">
        <v>300</v>
      </c>
      <c r="C125">
        <v>3079</v>
      </c>
    </row>
    <row r="126" spans="1:3">
      <c r="A126" t="s">
        <v>568</v>
      </c>
      <c r="B126">
        <v>100</v>
      </c>
      <c r="C126">
        <v>3078</v>
      </c>
    </row>
    <row r="127" spans="1:3">
      <c r="A127" t="s">
        <v>568</v>
      </c>
      <c r="B127">
        <v>400</v>
      </c>
      <c r="C127">
        <v>3078</v>
      </c>
    </row>
    <row r="128" spans="1:3">
      <c r="A128" t="s">
        <v>568</v>
      </c>
      <c r="B128">
        <v>100</v>
      </c>
      <c r="C128">
        <v>3078</v>
      </c>
    </row>
    <row r="129" spans="1:3">
      <c r="A129" t="s">
        <v>568</v>
      </c>
      <c r="B129">
        <v>200</v>
      </c>
      <c r="C129">
        <v>3079</v>
      </c>
    </row>
    <row r="130" spans="1:3">
      <c r="A130" t="s">
        <v>568</v>
      </c>
      <c r="B130">
        <v>100</v>
      </c>
      <c r="C130">
        <v>3078</v>
      </c>
    </row>
    <row r="131" spans="1:3">
      <c r="A131" t="s">
        <v>568</v>
      </c>
      <c r="B131">
        <v>100</v>
      </c>
      <c r="C131">
        <v>3078</v>
      </c>
    </row>
    <row r="132" spans="1:3">
      <c r="A132" t="s">
        <v>568</v>
      </c>
      <c r="B132">
        <v>1200</v>
      </c>
      <c r="C132">
        <v>3079</v>
      </c>
    </row>
    <row r="133" spans="1:3">
      <c r="A133" t="s">
        <v>568</v>
      </c>
      <c r="B133">
        <v>100</v>
      </c>
      <c r="C133">
        <v>3078</v>
      </c>
    </row>
    <row r="134" spans="1:3">
      <c r="A134" t="s">
        <v>568</v>
      </c>
      <c r="B134">
        <v>5300</v>
      </c>
      <c r="C134">
        <v>3078</v>
      </c>
    </row>
    <row r="135" spans="1:3">
      <c r="A135" t="s">
        <v>568</v>
      </c>
      <c r="B135">
        <v>100</v>
      </c>
      <c r="C135">
        <v>3078</v>
      </c>
    </row>
    <row r="136" spans="1:3">
      <c r="A136" t="s">
        <v>568</v>
      </c>
      <c r="B136">
        <v>400</v>
      </c>
      <c r="C136">
        <v>3079</v>
      </c>
    </row>
    <row r="137" spans="1:3">
      <c r="A137" t="s">
        <v>568</v>
      </c>
      <c r="B137">
        <v>500</v>
      </c>
      <c r="C137">
        <v>3079</v>
      </c>
    </row>
    <row r="138" spans="1:3">
      <c r="A138" t="s">
        <v>568</v>
      </c>
      <c r="B138">
        <v>100</v>
      </c>
      <c r="C138">
        <v>3078</v>
      </c>
    </row>
    <row r="139" spans="1:3">
      <c r="A139" t="s">
        <v>569</v>
      </c>
      <c r="B139">
        <v>100</v>
      </c>
      <c r="C139">
        <v>3079</v>
      </c>
    </row>
    <row r="140" spans="1:3">
      <c r="A140" t="s">
        <v>570</v>
      </c>
      <c r="B140">
        <v>100</v>
      </c>
      <c r="C140">
        <v>3079</v>
      </c>
    </row>
    <row r="141" spans="1:3">
      <c r="A141" t="s">
        <v>570</v>
      </c>
      <c r="B141">
        <v>200</v>
      </c>
      <c r="C141">
        <v>3078</v>
      </c>
    </row>
    <row r="142" spans="1:3">
      <c r="A142" t="s">
        <v>571</v>
      </c>
      <c r="B142">
        <v>100</v>
      </c>
      <c r="C142">
        <v>3079</v>
      </c>
    </row>
    <row r="143" spans="1:3">
      <c r="A143" t="s">
        <v>572</v>
      </c>
      <c r="B143">
        <v>100</v>
      </c>
      <c r="C143">
        <v>3078</v>
      </c>
    </row>
    <row r="144" spans="1:3">
      <c r="A144" t="s">
        <v>572</v>
      </c>
      <c r="B144">
        <v>100</v>
      </c>
      <c r="C144">
        <v>3079</v>
      </c>
    </row>
    <row r="145" spans="1:3">
      <c r="A145" t="s">
        <v>573</v>
      </c>
      <c r="B145">
        <v>100</v>
      </c>
      <c r="C145">
        <v>3079</v>
      </c>
    </row>
    <row r="146" spans="1:3">
      <c r="A146" t="s">
        <v>573</v>
      </c>
      <c r="B146">
        <v>100</v>
      </c>
      <c r="C146">
        <v>3079</v>
      </c>
    </row>
    <row r="147" spans="1:3">
      <c r="A147" t="s">
        <v>574</v>
      </c>
      <c r="B147">
        <v>100</v>
      </c>
      <c r="C147">
        <v>3079</v>
      </c>
    </row>
    <row r="148" spans="1:3">
      <c r="A148" t="s">
        <v>575</v>
      </c>
      <c r="B148">
        <v>100</v>
      </c>
      <c r="C148">
        <v>3079</v>
      </c>
    </row>
    <row r="149" spans="1:3">
      <c r="A149" t="s">
        <v>575</v>
      </c>
      <c r="B149">
        <v>300</v>
      </c>
      <c r="C149">
        <v>3078</v>
      </c>
    </row>
    <row r="150" spans="1:3">
      <c r="A150" t="s">
        <v>576</v>
      </c>
      <c r="B150">
        <v>100</v>
      </c>
      <c r="C150">
        <v>3079</v>
      </c>
    </row>
    <row r="151" spans="1:3">
      <c r="A151" t="s">
        <v>576</v>
      </c>
      <c r="B151">
        <v>100</v>
      </c>
      <c r="C151">
        <v>3078</v>
      </c>
    </row>
    <row r="152" spans="1:3">
      <c r="A152" t="s">
        <v>577</v>
      </c>
      <c r="B152">
        <v>100</v>
      </c>
      <c r="C152">
        <v>3078</v>
      </c>
    </row>
    <row r="153" spans="1:3">
      <c r="A153" t="s">
        <v>577</v>
      </c>
      <c r="B153">
        <v>600</v>
      </c>
      <c r="C153">
        <v>3078</v>
      </c>
    </row>
    <row r="154" spans="1:3">
      <c r="A154" t="s">
        <v>578</v>
      </c>
      <c r="B154">
        <v>100</v>
      </c>
      <c r="C154">
        <v>3078</v>
      </c>
    </row>
    <row r="155" spans="1:3">
      <c r="A155" t="s">
        <v>579</v>
      </c>
      <c r="B155">
        <v>100</v>
      </c>
      <c r="C155">
        <v>3079</v>
      </c>
    </row>
    <row r="156" spans="1:3">
      <c r="A156" t="s">
        <v>579</v>
      </c>
      <c r="B156">
        <v>100</v>
      </c>
      <c r="C156">
        <v>3079</v>
      </c>
    </row>
    <row r="157" spans="1:3">
      <c r="A157" t="s">
        <v>579</v>
      </c>
      <c r="B157">
        <v>100</v>
      </c>
      <c r="C157">
        <v>3079</v>
      </c>
    </row>
    <row r="158" spans="1:3">
      <c r="A158" t="s">
        <v>580</v>
      </c>
      <c r="B158">
        <v>100</v>
      </c>
      <c r="C158">
        <v>3078</v>
      </c>
    </row>
    <row r="159" spans="1:3">
      <c r="A159" t="s">
        <v>581</v>
      </c>
      <c r="B159">
        <v>100</v>
      </c>
      <c r="C159">
        <v>3079</v>
      </c>
    </row>
    <row r="160" spans="1:3">
      <c r="A160" t="s">
        <v>582</v>
      </c>
      <c r="B160">
        <v>100</v>
      </c>
      <c r="C160">
        <v>3078</v>
      </c>
    </row>
    <row r="161" spans="1:3">
      <c r="A161" t="s">
        <v>582</v>
      </c>
      <c r="B161">
        <v>600</v>
      </c>
      <c r="C161">
        <v>3078</v>
      </c>
    </row>
    <row r="162" spans="1:3">
      <c r="A162" t="s">
        <v>583</v>
      </c>
      <c r="B162">
        <v>100</v>
      </c>
      <c r="C162">
        <v>3078</v>
      </c>
    </row>
    <row r="163" spans="1:3">
      <c r="A163" t="s">
        <v>583</v>
      </c>
      <c r="B163">
        <v>100</v>
      </c>
      <c r="C163">
        <v>3079</v>
      </c>
    </row>
    <row r="164" spans="1:3">
      <c r="A164" t="s">
        <v>584</v>
      </c>
      <c r="B164">
        <v>100</v>
      </c>
      <c r="C164">
        <v>3079</v>
      </c>
    </row>
    <row r="165" spans="1:3">
      <c r="A165" t="s">
        <v>584</v>
      </c>
      <c r="B165">
        <v>100</v>
      </c>
      <c r="C165">
        <v>3079</v>
      </c>
    </row>
    <row r="166" spans="1:3">
      <c r="A166" t="s">
        <v>584</v>
      </c>
      <c r="B166">
        <v>100</v>
      </c>
      <c r="C166">
        <v>3078</v>
      </c>
    </row>
    <row r="167" spans="1:3">
      <c r="A167" t="s">
        <v>585</v>
      </c>
      <c r="B167">
        <v>100</v>
      </c>
      <c r="C167">
        <v>3078</v>
      </c>
    </row>
    <row r="168" spans="1:3">
      <c r="A168" t="s">
        <v>586</v>
      </c>
      <c r="B168">
        <v>9500</v>
      </c>
      <c r="C168">
        <v>3078</v>
      </c>
    </row>
    <row r="169" spans="1:3">
      <c r="A169" t="s">
        <v>586</v>
      </c>
      <c r="B169">
        <v>1000</v>
      </c>
      <c r="C169">
        <v>3079</v>
      </c>
    </row>
    <row r="170" spans="1:3">
      <c r="A170" t="s">
        <v>586</v>
      </c>
      <c r="B170">
        <v>100</v>
      </c>
      <c r="C170">
        <v>3079</v>
      </c>
    </row>
    <row r="171" spans="1:3">
      <c r="A171" t="s">
        <v>586</v>
      </c>
      <c r="B171">
        <v>3200</v>
      </c>
      <c r="C171">
        <v>3079</v>
      </c>
    </row>
    <row r="172" spans="1:3">
      <c r="A172" t="s">
        <v>586</v>
      </c>
      <c r="B172">
        <v>3700</v>
      </c>
      <c r="C172">
        <v>3079</v>
      </c>
    </row>
    <row r="173" spans="1:3">
      <c r="A173" t="s">
        <v>586</v>
      </c>
      <c r="B173">
        <v>4500</v>
      </c>
      <c r="C173">
        <v>3079</v>
      </c>
    </row>
    <row r="174" spans="1:3">
      <c r="A174" t="s">
        <v>587</v>
      </c>
      <c r="B174">
        <v>100</v>
      </c>
      <c r="C174">
        <v>3079</v>
      </c>
    </row>
    <row r="175" spans="1:3">
      <c r="A175" t="s">
        <v>588</v>
      </c>
      <c r="B175">
        <v>100</v>
      </c>
      <c r="C175">
        <v>3080</v>
      </c>
    </row>
    <row r="176" spans="1:3">
      <c r="A176" t="s">
        <v>589</v>
      </c>
      <c r="B176">
        <v>100</v>
      </c>
      <c r="C176">
        <v>3079</v>
      </c>
    </row>
    <row r="177" spans="1:3">
      <c r="A177" t="s">
        <v>590</v>
      </c>
      <c r="B177">
        <v>1000</v>
      </c>
      <c r="C177">
        <v>3079</v>
      </c>
    </row>
    <row r="178" spans="1:3">
      <c r="A178" t="s">
        <v>590</v>
      </c>
      <c r="B178">
        <v>300</v>
      </c>
      <c r="C178">
        <v>3079</v>
      </c>
    </row>
    <row r="179" spans="1:3">
      <c r="A179" t="s">
        <v>591</v>
      </c>
      <c r="B179">
        <v>100</v>
      </c>
      <c r="C179">
        <v>3080</v>
      </c>
    </row>
    <row r="180" spans="1:3">
      <c r="A180" t="s">
        <v>591</v>
      </c>
      <c r="B180">
        <v>200</v>
      </c>
      <c r="C180">
        <v>3080</v>
      </c>
    </row>
    <row r="181" spans="1:3">
      <c r="A181" t="s">
        <v>591</v>
      </c>
      <c r="B181">
        <v>200</v>
      </c>
      <c r="C181">
        <v>3079</v>
      </c>
    </row>
    <row r="182" spans="1:3">
      <c r="A182" t="s">
        <v>592</v>
      </c>
      <c r="B182">
        <v>100</v>
      </c>
      <c r="C182">
        <v>3080</v>
      </c>
    </row>
    <row r="183" spans="1:3">
      <c r="A183" t="s">
        <v>593</v>
      </c>
      <c r="B183">
        <v>600</v>
      </c>
      <c r="C183">
        <v>3079</v>
      </c>
    </row>
    <row r="184" spans="1:3">
      <c r="A184" t="s">
        <v>594</v>
      </c>
      <c r="B184">
        <v>100</v>
      </c>
      <c r="C184">
        <v>3080</v>
      </c>
    </row>
    <row r="185" spans="1:3">
      <c r="A185" t="s">
        <v>594</v>
      </c>
      <c r="B185">
        <v>100</v>
      </c>
      <c r="C185">
        <v>3080</v>
      </c>
    </row>
    <row r="186" spans="1:3">
      <c r="A186" t="s">
        <v>595</v>
      </c>
      <c r="B186">
        <v>3200</v>
      </c>
      <c r="C186">
        <v>3080</v>
      </c>
    </row>
    <row r="187" spans="1:3">
      <c r="A187" t="s">
        <v>595</v>
      </c>
      <c r="B187">
        <v>100</v>
      </c>
      <c r="C187">
        <v>3080</v>
      </c>
    </row>
    <row r="188" spans="1:3">
      <c r="A188" t="s">
        <v>595</v>
      </c>
      <c r="B188">
        <v>300</v>
      </c>
      <c r="C188">
        <v>3079</v>
      </c>
    </row>
    <row r="189" spans="1:3">
      <c r="A189" t="s">
        <v>596</v>
      </c>
      <c r="B189">
        <v>300</v>
      </c>
      <c r="C189">
        <v>3080</v>
      </c>
    </row>
    <row r="190" spans="1:3">
      <c r="A190" t="s">
        <v>596</v>
      </c>
      <c r="B190">
        <v>100</v>
      </c>
      <c r="C190">
        <v>3080</v>
      </c>
    </row>
    <row r="191" spans="1:3">
      <c r="A191" t="s">
        <v>597</v>
      </c>
      <c r="B191">
        <v>100</v>
      </c>
      <c r="C191">
        <v>3080</v>
      </c>
    </row>
    <row r="192" spans="1:3">
      <c r="A192" t="s">
        <v>598</v>
      </c>
      <c r="B192">
        <v>100</v>
      </c>
      <c r="C192">
        <v>3080</v>
      </c>
    </row>
    <row r="193" spans="1:3">
      <c r="A193" t="s">
        <v>598</v>
      </c>
      <c r="B193">
        <v>100</v>
      </c>
      <c r="C193">
        <v>3079</v>
      </c>
    </row>
    <row r="194" spans="1:3">
      <c r="A194" t="s">
        <v>598</v>
      </c>
      <c r="B194">
        <v>200</v>
      </c>
      <c r="C194">
        <v>3079</v>
      </c>
    </row>
    <row r="195" spans="1:3">
      <c r="A195" t="s">
        <v>599</v>
      </c>
      <c r="B195">
        <v>200</v>
      </c>
      <c r="C195">
        <v>3079</v>
      </c>
    </row>
    <row r="196" spans="1:3">
      <c r="A196" t="s">
        <v>600</v>
      </c>
      <c r="B196">
        <v>100</v>
      </c>
      <c r="C196">
        <v>3080</v>
      </c>
    </row>
    <row r="197" spans="1:3">
      <c r="A197" t="s">
        <v>601</v>
      </c>
      <c r="B197">
        <v>200</v>
      </c>
      <c r="C197">
        <v>3079</v>
      </c>
    </row>
    <row r="198" spans="1:3">
      <c r="A198" t="s">
        <v>601</v>
      </c>
      <c r="B198">
        <v>400</v>
      </c>
      <c r="C198">
        <v>3079</v>
      </c>
    </row>
    <row r="199" spans="1:3">
      <c r="A199" t="s">
        <v>602</v>
      </c>
      <c r="B199">
        <v>100</v>
      </c>
      <c r="C199">
        <v>3080</v>
      </c>
    </row>
    <row r="200" spans="1:3">
      <c r="A200" t="s">
        <v>603</v>
      </c>
      <c r="B200">
        <v>100</v>
      </c>
      <c r="C200">
        <v>3079</v>
      </c>
    </row>
    <row r="201" spans="1:3">
      <c r="A201" t="s">
        <v>604</v>
      </c>
      <c r="B201">
        <v>100</v>
      </c>
      <c r="C201">
        <v>3079</v>
      </c>
    </row>
    <row r="202" spans="1:3">
      <c r="A202" t="s">
        <v>605</v>
      </c>
      <c r="B202">
        <v>700</v>
      </c>
      <c r="C202">
        <v>3079</v>
      </c>
    </row>
    <row r="203" spans="1:3">
      <c r="A203" s="1" t="s">
        <v>605</v>
      </c>
      <c r="B203">
        <v>100</v>
      </c>
      <c r="C203">
        <v>3080</v>
      </c>
    </row>
    <row r="204" spans="1:3">
      <c r="A204" t="s">
        <v>606</v>
      </c>
      <c r="B204">
        <v>100</v>
      </c>
      <c r="C204">
        <v>3080</v>
      </c>
    </row>
    <row r="205" spans="1:3">
      <c r="A205" t="s">
        <v>607</v>
      </c>
      <c r="B205">
        <v>100</v>
      </c>
      <c r="C205">
        <v>3080</v>
      </c>
    </row>
    <row r="206" spans="1:3">
      <c r="A206" t="s">
        <v>607</v>
      </c>
      <c r="B206">
        <v>100</v>
      </c>
      <c r="C206">
        <v>3080</v>
      </c>
    </row>
    <row r="207" spans="1:3">
      <c r="A207" t="s">
        <v>607</v>
      </c>
      <c r="B207">
        <v>500</v>
      </c>
      <c r="C207">
        <v>3080</v>
      </c>
    </row>
    <row r="208" spans="1:3">
      <c r="A208" t="s">
        <v>607</v>
      </c>
      <c r="B208">
        <v>500</v>
      </c>
      <c r="C208">
        <v>3080</v>
      </c>
    </row>
    <row r="209" spans="1:3">
      <c r="A209" t="s">
        <v>607</v>
      </c>
      <c r="B209">
        <v>100</v>
      </c>
      <c r="C209">
        <v>3080</v>
      </c>
    </row>
    <row r="210" spans="1:3">
      <c r="A210" t="s">
        <v>607</v>
      </c>
      <c r="B210">
        <v>7700</v>
      </c>
      <c r="C210">
        <v>3080</v>
      </c>
    </row>
    <row r="211" spans="1:3">
      <c r="A211" t="s">
        <v>608</v>
      </c>
      <c r="B211">
        <v>100</v>
      </c>
      <c r="C211">
        <v>3081</v>
      </c>
    </row>
    <row r="212" spans="1:3">
      <c r="A212" t="s">
        <v>609</v>
      </c>
      <c r="B212">
        <v>4600</v>
      </c>
      <c r="C212">
        <v>3081</v>
      </c>
    </row>
    <row r="213" spans="1:3">
      <c r="A213" t="s">
        <v>609</v>
      </c>
      <c r="B213">
        <v>300</v>
      </c>
      <c r="C213">
        <v>3081</v>
      </c>
    </row>
    <row r="214" spans="1:3">
      <c r="A214" t="s">
        <v>609</v>
      </c>
      <c r="B214">
        <v>400</v>
      </c>
      <c r="C214">
        <v>3080</v>
      </c>
    </row>
    <row r="215" spans="1:3">
      <c r="A215" t="s">
        <v>610</v>
      </c>
      <c r="B215">
        <v>100</v>
      </c>
      <c r="C215">
        <v>3080</v>
      </c>
    </row>
    <row r="216" spans="1:3">
      <c r="A216" t="s">
        <v>610</v>
      </c>
      <c r="B216">
        <v>200</v>
      </c>
      <c r="C216">
        <v>3080</v>
      </c>
    </row>
    <row r="217" spans="1:3">
      <c r="A217" t="s">
        <v>611</v>
      </c>
      <c r="B217">
        <v>500</v>
      </c>
      <c r="C217">
        <v>3080</v>
      </c>
    </row>
    <row r="218" spans="1:3">
      <c r="A218" t="s">
        <v>612</v>
      </c>
      <c r="B218">
        <v>100</v>
      </c>
      <c r="C218">
        <v>3080</v>
      </c>
    </row>
    <row r="219" spans="1:3">
      <c r="A219" t="s">
        <v>613</v>
      </c>
      <c r="B219">
        <v>100</v>
      </c>
      <c r="C219">
        <v>3081</v>
      </c>
    </row>
    <row r="220" spans="1:3">
      <c r="A220" t="s">
        <v>613</v>
      </c>
      <c r="B220">
        <v>100</v>
      </c>
      <c r="C220">
        <v>3081</v>
      </c>
    </row>
    <row r="221" spans="1:3">
      <c r="A221" t="s">
        <v>614</v>
      </c>
      <c r="B221">
        <v>100</v>
      </c>
      <c r="C221">
        <v>3080</v>
      </c>
    </row>
    <row r="222" spans="1:3">
      <c r="A222" t="s">
        <v>615</v>
      </c>
      <c r="B222">
        <v>700</v>
      </c>
      <c r="C222">
        <v>3081</v>
      </c>
    </row>
    <row r="223" spans="1:3">
      <c r="A223" t="s">
        <v>615</v>
      </c>
      <c r="B223">
        <v>3100</v>
      </c>
      <c r="C223">
        <v>3081</v>
      </c>
    </row>
    <row r="224" spans="1:3">
      <c r="A224" t="s">
        <v>615</v>
      </c>
      <c r="B224">
        <v>700</v>
      </c>
      <c r="C224">
        <v>3081</v>
      </c>
    </row>
    <row r="225" spans="1:3">
      <c r="A225" t="s">
        <v>615</v>
      </c>
      <c r="B225">
        <v>6100</v>
      </c>
      <c r="C225">
        <v>3081</v>
      </c>
    </row>
    <row r="226" spans="1:3">
      <c r="A226" t="s">
        <v>615</v>
      </c>
      <c r="B226">
        <v>100</v>
      </c>
      <c r="C226">
        <v>3082</v>
      </c>
    </row>
    <row r="227" spans="1:3">
      <c r="A227" t="s">
        <v>616</v>
      </c>
      <c r="B227">
        <v>100</v>
      </c>
      <c r="C227">
        <v>3082</v>
      </c>
    </row>
    <row r="228" spans="1:3">
      <c r="A228" t="s">
        <v>617</v>
      </c>
      <c r="B228">
        <v>100</v>
      </c>
      <c r="C228">
        <v>3082</v>
      </c>
    </row>
    <row r="229" spans="1:3">
      <c r="A229" t="s">
        <v>618</v>
      </c>
      <c r="B229">
        <v>100</v>
      </c>
      <c r="C229">
        <v>3081</v>
      </c>
    </row>
    <row r="230" spans="1:3">
      <c r="A230" t="s">
        <v>619</v>
      </c>
      <c r="B230">
        <v>100</v>
      </c>
      <c r="C230">
        <v>3082</v>
      </c>
    </row>
    <row r="231" spans="1:3">
      <c r="A231" t="s">
        <v>619</v>
      </c>
      <c r="B231">
        <v>300</v>
      </c>
      <c r="C231">
        <v>3081</v>
      </c>
    </row>
    <row r="232" spans="1:3">
      <c r="A232" t="s">
        <v>620</v>
      </c>
      <c r="B232">
        <v>100</v>
      </c>
      <c r="C232">
        <v>3081</v>
      </c>
    </row>
    <row r="233" spans="1:3">
      <c r="A233" t="s">
        <v>620</v>
      </c>
      <c r="B233">
        <v>100</v>
      </c>
      <c r="C233">
        <v>3082</v>
      </c>
    </row>
    <row r="234" spans="1:3">
      <c r="A234" t="s">
        <v>621</v>
      </c>
      <c r="B234">
        <v>100</v>
      </c>
      <c r="C234">
        <v>3082</v>
      </c>
    </row>
    <row r="235" spans="1:3">
      <c r="A235" t="s">
        <v>622</v>
      </c>
      <c r="B235">
        <v>200</v>
      </c>
      <c r="C235">
        <v>3081</v>
      </c>
    </row>
    <row r="236" spans="1:3">
      <c r="A236" t="s">
        <v>622</v>
      </c>
      <c r="B236">
        <v>300</v>
      </c>
      <c r="C236">
        <v>3081</v>
      </c>
    </row>
    <row r="237" spans="1:3">
      <c r="A237" t="s">
        <v>622</v>
      </c>
      <c r="B237">
        <v>400</v>
      </c>
      <c r="C237">
        <v>3081</v>
      </c>
    </row>
    <row r="238" spans="1:3">
      <c r="A238" t="s">
        <v>622</v>
      </c>
      <c r="B238">
        <v>1200</v>
      </c>
      <c r="C238">
        <v>3081</v>
      </c>
    </row>
    <row r="239" spans="1:3">
      <c r="A239" t="s">
        <v>622</v>
      </c>
      <c r="B239">
        <v>7500</v>
      </c>
      <c r="C239">
        <v>3081</v>
      </c>
    </row>
    <row r="240" spans="1:3">
      <c r="A240" t="s">
        <v>622</v>
      </c>
      <c r="B240">
        <v>100</v>
      </c>
      <c r="C240">
        <v>3082</v>
      </c>
    </row>
    <row r="241" spans="1:3">
      <c r="A241" t="s">
        <v>623</v>
      </c>
      <c r="B241">
        <v>100</v>
      </c>
      <c r="C241">
        <v>3082</v>
      </c>
    </row>
    <row r="242" spans="1:3">
      <c r="A242" t="s">
        <v>623</v>
      </c>
      <c r="B242">
        <v>300</v>
      </c>
      <c r="C242">
        <v>3081</v>
      </c>
    </row>
    <row r="243" spans="1:3">
      <c r="A243" t="s">
        <v>624</v>
      </c>
      <c r="B243">
        <v>100</v>
      </c>
      <c r="C243">
        <v>3081</v>
      </c>
    </row>
    <row r="244" spans="1:3">
      <c r="A244" t="s">
        <v>624</v>
      </c>
      <c r="B244">
        <v>100</v>
      </c>
      <c r="C244">
        <v>3082</v>
      </c>
    </row>
    <row r="245" spans="1:3">
      <c r="A245" t="s">
        <v>625</v>
      </c>
      <c r="B245">
        <v>100</v>
      </c>
      <c r="C245">
        <v>3082</v>
      </c>
    </row>
    <row r="246" spans="1:3">
      <c r="A246" t="s">
        <v>625</v>
      </c>
      <c r="B246">
        <v>100</v>
      </c>
      <c r="C246">
        <v>3081</v>
      </c>
    </row>
    <row r="247" spans="1:3">
      <c r="A247" t="s">
        <v>626</v>
      </c>
      <c r="B247">
        <v>300</v>
      </c>
      <c r="C247">
        <v>3082</v>
      </c>
    </row>
    <row r="248" spans="1:3">
      <c r="A248" t="s">
        <v>626</v>
      </c>
      <c r="B248">
        <v>100</v>
      </c>
      <c r="C248">
        <v>3081</v>
      </c>
    </row>
    <row r="249" spans="1:3">
      <c r="A249" t="s">
        <v>627</v>
      </c>
      <c r="B249">
        <v>100</v>
      </c>
      <c r="C249">
        <v>3082</v>
      </c>
    </row>
    <row r="250" spans="1:3">
      <c r="A250" t="s">
        <v>628</v>
      </c>
      <c r="B250">
        <v>600</v>
      </c>
      <c r="C250">
        <v>3081</v>
      </c>
    </row>
    <row r="251" spans="1:3">
      <c r="A251" t="s">
        <v>628</v>
      </c>
      <c r="B251">
        <v>100</v>
      </c>
      <c r="C251">
        <v>3082</v>
      </c>
    </row>
    <row r="252" spans="1:3">
      <c r="A252" t="s">
        <v>629</v>
      </c>
      <c r="B252">
        <v>100</v>
      </c>
      <c r="C252">
        <v>3082</v>
      </c>
    </row>
    <row r="253" spans="1:3">
      <c r="A253" t="s">
        <v>629</v>
      </c>
      <c r="B253">
        <v>100</v>
      </c>
      <c r="C253">
        <v>3082</v>
      </c>
    </row>
    <row r="254" spans="1:3">
      <c r="A254" t="s">
        <v>629</v>
      </c>
      <c r="B254">
        <v>800</v>
      </c>
      <c r="C254">
        <v>3081</v>
      </c>
    </row>
    <row r="255" spans="1:3">
      <c r="A255" t="s">
        <v>629</v>
      </c>
      <c r="B255">
        <v>300</v>
      </c>
      <c r="C255">
        <v>3081</v>
      </c>
    </row>
    <row r="256" spans="1:3">
      <c r="A256" t="s">
        <v>630</v>
      </c>
      <c r="B256">
        <v>100</v>
      </c>
      <c r="C256">
        <v>3082</v>
      </c>
    </row>
    <row r="257" spans="1:3">
      <c r="A257" t="s">
        <v>631</v>
      </c>
      <c r="B257">
        <v>100</v>
      </c>
      <c r="C257">
        <v>3081</v>
      </c>
    </row>
    <row r="258" spans="1:3">
      <c r="A258" t="s">
        <v>632</v>
      </c>
      <c r="B258">
        <v>1300</v>
      </c>
      <c r="C258">
        <v>3081</v>
      </c>
    </row>
    <row r="259" spans="1:3">
      <c r="A259" t="s">
        <v>632</v>
      </c>
      <c r="B259">
        <v>300</v>
      </c>
      <c r="C259">
        <v>3081</v>
      </c>
    </row>
    <row r="260" spans="1:3">
      <c r="A260" t="s">
        <v>633</v>
      </c>
      <c r="B260">
        <v>100</v>
      </c>
      <c r="C260">
        <v>3082</v>
      </c>
    </row>
    <row r="261" spans="1:3">
      <c r="A261" t="s">
        <v>634</v>
      </c>
      <c r="B261">
        <v>100</v>
      </c>
      <c r="C261">
        <v>3082</v>
      </c>
    </row>
    <row r="262" spans="1:3">
      <c r="A262" t="s">
        <v>634</v>
      </c>
      <c r="B262">
        <v>100</v>
      </c>
      <c r="C262">
        <v>3082</v>
      </c>
    </row>
    <row r="263" spans="1:3">
      <c r="A263" t="s">
        <v>635</v>
      </c>
      <c r="B263">
        <v>100</v>
      </c>
      <c r="C263">
        <v>3081</v>
      </c>
    </row>
    <row r="264" spans="1:3">
      <c r="A264" t="s">
        <v>636</v>
      </c>
      <c r="B264">
        <v>100</v>
      </c>
      <c r="C264">
        <v>3082</v>
      </c>
    </row>
    <row r="265" spans="1:3">
      <c r="A265" t="s">
        <v>637</v>
      </c>
      <c r="B265">
        <v>100</v>
      </c>
      <c r="C265">
        <v>3082</v>
      </c>
    </row>
    <row r="266" spans="1:3">
      <c r="A266" t="s">
        <v>637</v>
      </c>
      <c r="B266">
        <v>100</v>
      </c>
      <c r="C266">
        <v>3082</v>
      </c>
    </row>
    <row r="267" spans="1:3">
      <c r="A267" t="s">
        <v>638</v>
      </c>
      <c r="B267">
        <v>100</v>
      </c>
      <c r="C267">
        <v>3081</v>
      </c>
    </row>
    <row r="268" spans="1:3">
      <c r="A268" t="s">
        <v>638</v>
      </c>
      <c r="B268">
        <v>300</v>
      </c>
      <c r="C268">
        <v>3082</v>
      </c>
    </row>
    <row r="269" spans="1:3">
      <c r="A269" t="s">
        <v>638</v>
      </c>
      <c r="B269">
        <v>100</v>
      </c>
      <c r="C269">
        <v>3082</v>
      </c>
    </row>
    <row r="270" spans="1:3">
      <c r="A270" t="s">
        <v>639</v>
      </c>
      <c r="B270">
        <v>100</v>
      </c>
      <c r="C270">
        <v>3081</v>
      </c>
    </row>
    <row r="271" spans="1:3">
      <c r="A271" t="s">
        <v>640</v>
      </c>
      <c r="B271">
        <v>100</v>
      </c>
      <c r="C271">
        <v>3082</v>
      </c>
    </row>
    <row r="272" spans="1:3">
      <c r="A272" t="s">
        <v>641</v>
      </c>
      <c r="B272">
        <v>100</v>
      </c>
      <c r="C272">
        <v>3081</v>
      </c>
    </row>
    <row r="273" spans="1:3">
      <c r="A273" t="s">
        <v>642</v>
      </c>
      <c r="B273">
        <v>100</v>
      </c>
      <c r="C273">
        <v>3082</v>
      </c>
    </row>
    <row r="274" spans="1:3">
      <c r="A274" t="s">
        <v>643</v>
      </c>
      <c r="B274">
        <v>100</v>
      </c>
      <c r="C274">
        <v>3081</v>
      </c>
    </row>
    <row r="275" spans="1:3">
      <c r="A275" t="s">
        <v>644</v>
      </c>
      <c r="B275">
        <v>100</v>
      </c>
      <c r="C275">
        <v>3082</v>
      </c>
    </row>
    <row r="276" spans="1:3">
      <c r="A276" t="s">
        <v>644</v>
      </c>
      <c r="B276">
        <v>700</v>
      </c>
      <c r="C276">
        <v>3081</v>
      </c>
    </row>
    <row r="277" spans="1:3">
      <c r="A277" t="s">
        <v>645</v>
      </c>
      <c r="B277">
        <v>1000</v>
      </c>
      <c r="C277">
        <v>3081</v>
      </c>
    </row>
    <row r="278" spans="1:3">
      <c r="A278" t="s">
        <v>646</v>
      </c>
      <c r="B278">
        <v>100</v>
      </c>
      <c r="C278">
        <v>3081</v>
      </c>
    </row>
    <row r="279" spans="1:3">
      <c r="A279" t="s">
        <v>647</v>
      </c>
      <c r="B279">
        <v>100</v>
      </c>
      <c r="C279">
        <v>3081</v>
      </c>
    </row>
    <row r="280" spans="1:3">
      <c r="A280" t="s">
        <v>648</v>
      </c>
      <c r="B280">
        <v>200</v>
      </c>
      <c r="C280">
        <v>3082</v>
      </c>
    </row>
    <row r="281" spans="1:3">
      <c r="A281" t="s">
        <v>648</v>
      </c>
      <c r="B281">
        <v>100</v>
      </c>
      <c r="C281">
        <v>3082</v>
      </c>
    </row>
    <row r="282" spans="1:3">
      <c r="A282" t="s">
        <v>649</v>
      </c>
      <c r="B282">
        <v>100</v>
      </c>
      <c r="C282">
        <v>3082</v>
      </c>
    </row>
    <row r="283" spans="1:3">
      <c r="A283" t="s">
        <v>650</v>
      </c>
      <c r="B283">
        <v>100</v>
      </c>
      <c r="C283">
        <v>3082</v>
      </c>
    </row>
    <row r="284" spans="1:3">
      <c r="A284" t="s">
        <v>650</v>
      </c>
      <c r="B284">
        <v>100</v>
      </c>
      <c r="C284">
        <v>3082</v>
      </c>
    </row>
    <row r="285" spans="1:3">
      <c r="A285" t="s">
        <v>650</v>
      </c>
      <c r="B285">
        <v>3500</v>
      </c>
      <c r="C285">
        <v>3081</v>
      </c>
    </row>
    <row r="286" spans="1:3">
      <c r="A286" t="s">
        <v>650</v>
      </c>
      <c r="B286">
        <v>24100</v>
      </c>
      <c r="C286">
        <v>3081</v>
      </c>
    </row>
    <row r="287" spans="1:3">
      <c r="A287" t="s">
        <v>651</v>
      </c>
      <c r="B287">
        <v>300</v>
      </c>
      <c r="C287">
        <v>3081</v>
      </c>
    </row>
    <row r="288" spans="1:3">
      <c r="A288" t="s">
        <v>651</v>
      </c>
      <c r="B288">
        <v>3300</v>
      </c>
      <c r="C288">
        <v>3080</v>
      </c>
    </row>
    <row r="289" spans="1:3">
      <c r="A289" t="s">
        <v>652</v>
      </c>
      <c r="B289">
        <v>100</v>
      </c>
      <c r="C289">
        <v>3081</v>
      </c>
    </row>
    <row r="290" spans="1:3">
      <c r="A290" t="s">
        <v>653</v>
      </c>
      <c r="B290">
        <v>100</v>
      </c>
      <c r="C290">
        <v>3081</v>
      </c>
    </row>
    <row r="291" spans="1:3">
      <c r="A291" t="s">
        <v>654</v>
      </c>
      <c r="B291">
        <v>100</v>
      </c>
      <c r="C291">
        <v>3080</v>
      </c>
    </row>
    <row r="292" spans="1:3">
      <c r="A292" t="s">
        <v>655</v>
      </c>
      <c r="B292">
        <v>600</v>
      </c>
      <c r="C292">
        <v>3080</v>
      </c>
    </row>
    <row r="293" spans="1:3">
      <c r="A293" t="s">
        <v>656</v>
      </c>
      <c r="B293">
        <v>100</v>
      </c>
      <c r="C293">
        <v>3081</v>
      </c>
    </row>
    <row r="294" spans="1:3">
      <c r="A294" t="s">
        <v>656</v>
      </c>
      <c r="B294">
        <v>100</v>
      </c>
      <c r="C294">
        <v>3081</v>
      </c>
    </row>
    <row r="295" spans="1:3">
      <c r="A295" t="s">
        <v>657</v>
      </c>
      <c r="B295">
        <v>100</v>
      </c>
      <c r="C295">
        <v>3080</v>
      </c>
    </row>
    <row r="296" spans="1:3">
      <c r="A296" t="s">
        <v>657</v>
      </c>
      <c r="B296">
        <v>200</v>
      </c>
      <c r="C296">
        <v>3080</v>
      </c>
    </row>
    <row r="297" spans="1:3">
      <c r="A297" t="s">
        <v>658</v>
      </c>
      <c r="B297">
        <v>500</v>
      </c>
      <c r="C297">
        <v>3080</v>
      </c>
    </row>
    <row r="298" spans="1:3">
      <c r="A298" t="s">
        <v>659</v>
      </c>
      <c r="B298">
        <v>400</v>
      </c>
      <c r="C298">
        <v>3080</v>
      </c>
    </row>
    <row r="299" spans="1:3">
      <c r="A299" t="s">
        <v>660</v>
      </c>
      <c r="B299">
        <v>100</v>
      </c>
      <c r="C299">
        <v>3080</v>
      </c>
    </row>
    <row r="300" spans="1:3">
      <c r="A300" t="s">
        <v>660</v>
      </c>
      <c r="B300">
        <v>2100</v>
      </c>
      <c r="C300">
        <v>3080</v>
      </c>
    </row>
    <row r="301" spans="1:3">
      <c r="A301" t="s">
        <v>660</v>
      </c>
      <c r="B301">
        <v>800</v>
      </c>
      <c r="C301">
        <v>3080</v>
      </c>
    </row>
    <row r="302" spans="1:3">
      <c r="A302" t="s">
        <v>660</v>
      </c>
      <c r="B302">
        <v>400</v>
      </c>
      <c r="C302">
        <v>3080</v>
      </c>
    </row>
    <row r="303" spans="1:3">
      <c r="A303" s="1" t="s">
        <v>64</v>
      </c>
      <c r="B303" s="1" t="s">
        <v>64</v>
      </c>
      <c r="C303" s="1" t="s">
        <v>64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EE28C-5E7D-4D1D-82E4-F23D7DC8206C}">
  <dimension ref="A1:R15"/>
  <sheetViews>
    <sheetView workbookViewId="0">
      <selection activeCell="D8" sqref="D8"/>
    </sheetView>
  </sheetViews>
  <sheetFormatPr defaultRowHeight="18.75"/>
  <sheetData>
    <row r="1" spans="1:18">
      <c r="A1" t="s">
        <v>503</v>
      </c>
    </row>
    <row r="2" spans="1:18">
      <c r="A2" t="s">
        <v>470</v>
      </c>
      <c r="B2" t="s">
        <v>11</v>
      </c>
      <c r="C2" t="s">
        <v>12</v>
      </c>
      <c r="D2" t="s">
        <v>471</v>
      </c>
      <c r="E2" t="s">
        <v>472</v>
      </c>
      <c r="F2" t="s">
        <v>473</v>
      </c>
      <c r="G2" t="s">
        <v>474</v>
      </c>
      <c r="H2" t="s">
        <v>475</v>
      </c>
      <c r="I2" t="s">
        <v>476</v>
      </c>
      <c r="J2" t="s">
        <v>477</v>
      </c>
      <c r="K2" t="s">
        <v>478</v>
      </c>
      <c r="L2" t="s">
        <v>479</v>
      </c>
      <c r="M2" t="s">
        <v>480</v>
      </c>
      <c r="N2" t="s">
        <v>481</v>
      </c>
      <c r="O2" t="s">
        <v>482</v>
      </c>
      <c r="P2" t="s">
        <v>483</v>
      </c>
      <c r="Q2" t="s">
        <v>484</v>
      </c>
      <c r="R2" t="s">
        <v>485</v>
      </c>
    </row>
    <row r="3" spans="1:18">
      <c r="A3">
        <v>1605</v>
      </c>
      <c r="B3" t="s">
        <v>486</v>
      </c>
      <c r="C3" t="s">
        <v>36</v>
      </c>
      <c r="D3">
        <v>11</v>
      </c>
      <c r="E3">
        <v>0</v>
      </c>
      <c r="F3">
        <v>4717.2727000000004</v>
      </c>
      <c r="G3">
        <v>3954</v>
      </c>
      <c r="H3">
        <v>85</v>
      </c>
      <c r="I3">
        <v>2.2000000000000002</v>
      </c>
      <c r="J3">
        <v>43494</v>
      </c>
      <c r="K3">
        <v>-8395.9997000000003</v>
      </c>
      <c r="L3">
        <v>-16.180381000000001</v>
      </c>
      <c r="M3" t="s">
        <v>34</v>
      </c>
      <c r="N3">
        <v>0</v>
      </c>
      <c r="O3">
        <v>3936.5</v>
      </c>
      <c r="P3">
        <v>9.01</v>
      </c>
      <c r="Q3">
        <v>0.9</v>
      </c>
      <c r="R3">
        <v>2.83</v>
      </c>
    </row>
    <row r="4" spans="1:18">
      <c r="A4" t="s">
        <v>499</v>
      </c>
      <c r="B4" t="s">
        <v>500</v>
      </c>
      <c r="C4" t="s">
        <v>45</v>
      </c>
      <c r="D4">
        <v>15</v>
      </c>
      <c r="E4">
        <v>0</v>
      </c>
      <c r="F4">
        <v>90501.133300000001</v>
      </c>
      <c r="G4">
        <v>54320</v>
      </c>
      <c r="H4">
        <v>1370</v>
      </c>
      <c r="I4">
        <v>2.59</v>
      </c>
      <c r="J4">
        <v>814800</v>
      </c>
      <c r="K4">
        <v>-542716.99950000003</v>
      </c>
      <c r="L4">
        <v>-39.978651999999997</v>
      </c>
      <c r="M4" t="s">
        <v>501</v>
      </c>
      <c r="N4">
        <v>0</v>
      </c>
      <c r="O4">
        <v>53890</v>
      </c>
      <c r="P4">
        <v>7.5</v>
      </c>
      <c r="Q4">
        <v>21.2</v>
      </c>
      <c r="R4">
        <v>0</v>
      </c>
    </row>
    <row r="5" spans="1:18">
      <c r="A5" t="s">
        <v>499</v>
      </c>
      <c r="B5" t="s">
        <v>500</v>
      </c>
      <c r="C5" t="s">
        <v>502</v>
      </c>
      <c r="D5">
        <v>1</v>
      </c>
      <c r="E5">
        <v>0</v>
      </c>
      <c r="F5">
        <v>92644</v>
      </c>
      <c r="G5">
        <v>54320</v>
      </c>
      <c r="H5">
        <v>1370</v>
      </c>
      <c r="I5">
        <v>2.59</v>
      </c>
      <c r="J5">
        <v>54320</v>
      </c>
      <c r="K5">
        <v>-38324</v>
      </c>
      <c r="L5">
        <v>-41.366953000000002</v>
      </c>
      <c r="M5" t="s">
        <v>501</v>
      </c>
      <c r="N5">
        <v>0</v>
      </c>
      <c r="O5">
        <v>53890</v>
      </c>
      <c r="P5">
        <v>7.5</v>
      </c>
      <c r="Q5">
        <v>21.2</v>
      </c>
      <c r="R5">
        <v>0</v>
      </c>
    </row>
    <row r="6" spans="1:18">
      <c r="A6">
        <v>5706</v>
      </c>
      <c r="B6" t="s">
        <v>489</v>
      </c>
      <c r="C6" t="s">
        <v>488</v>
      </c>
      <c r="D6">
        <v>1</v>
      </c>
      <c r="E6">
        <v>0</v>
      </c>
      <c r="F6">
        <v>27872</v>
      </c>
      <c r="G6">
        <v>28210</v>
      </c>
      <c r="H6">
        <v>-360</v>
      </c>
      <c r="I6">
        <v>-1.26</v>
      </c>
      <c r="J6">
        <v>28210</v>
      </c>
      <c r="K6">
        <v>338</v>
      </c>
      <c r="L6">
        <v>1.2126870000000001</v>
      </c>
      <c r="M6" t="s">
        <v>487</v>
      </c>
      <c r="N6">
        <v>0</v>
      </c>
      <c r="O6">
        <v>28180</v>
      </c>
      <c r="P6">
        <v>20.170000000000002</v>
      </c>
      <c r="Q6">
        <v>3.91</v>
      </c>
      <c r="R6">
        <v>0.99</v>
      </c>
    </row>
    <row r="7" spans="1:18">
      <c r="A7">
        <v>5803</v>
      </c>
      <c r="B7" t="s">
        <v>490</v>
      </c>
      <c r="C7" t="s">
        <v>488</v>
      </c>
      <c r="D7">
        <v>90</v>
      </c>
      <c r="E7">
        <v>0</v>
      </c>
      <c r="F7">
        <v>4436.3554999999997</v>
      </c>
      <c r="G7">
        <v>5280</v>
      </c>
      <c r="H7">
        <v>-61</v>
      </c>
      <c r="I7">
        <v>-1.1399999999999999</v>
      </c>
      <c r="J7">
        <v>475200</v>
      </c>
      <c r="K7">
        <v>75928.005000000005</v>
      </c>
      <c r="L7">
        <v>19.016611999999999</v>
      </c>
      <c r="M7" t="s">
        <v>34</v>
      </c>
      <c r="N7">
        <v>0</v>
      </c>
      <c r="O7">
        <v>5301.5</v>
      </c>
      <c r="P7">
        <v>26.82</v>
      </c>
      <c r="Q7">
        <v>15.6</v>
      </c>
      <c r="R7">
        <v>0.72</v>
      </c>
    </row>
    <row r="8" spans="1:18">
      <c r="A8">
        <v>6228</v>
      </c>
      <c r="B8" t="s">
        <v>491</v>
      </c>
      <c r="C8" t="s">
        <v>36</v>
      </c>
      <c r="D8">
        <v>100</v>
      </c>
      <c r="E8">
        <v>0</v>
      </c>
      <c r="F8">
        <v>1100.5</v>
      </c>
      <c r="G8">
        <v>497</v>
      </c>
      <c r="H8">
        <v>2</v>
      </c>
      <c r="I8">
        <v>0.4</v>
      </c>
      <c r="J8">
        <v>49700</v>
      </c>
      <c r="K8">
        <v>-60350</v>
      </c>
      <c r="L8">
        <v>-54.838709999999999</v>
      </c>
      <c r="M8" t="s">
        <v>492</v>
      </c>
      <c r="N8">
        <v>0</v>
      </c>
      <c r="O8">
        <v>497</v>
      </c>
      <c r="P8">
        <v>0</v>
      </c>
      <c r="Q8">
        <v>0.74</v>
      </c>
      <c r="R8">
        <v>0</v>
      </c>
    </row>
    <row r="9" spans="1:18">
      <c r="A9">
        <v>6702</v>
      </c>
      <c r="B9" t="s">
        <v>493</v>
      </c>
      <c r="C9" t="s">
        <v>488</v>
      </c>
      <c r="D9">
        <v>20</v>
      </c>
      <c r="E9">
        <v>0</v>
      </c>
      <c r="F9">
        <v>3361.75</v>
      </c>
      <c r="G9">
        <v>3646</v>
      </c>
      <c r="H9">
        <v>-97</v>
      </c>
      <c r="I9">
        <v>-2.59</v>
      </c>
      <c r="J9">
        <v>72920</v>
      </c>
      <c r="K9">
        <v>5685</v>
      </c>
      <c r="L9">
        <v>8.4554179999999999</v>
      </c>
      <c r="M9" t="s">
        <v>34</v>
      </c>
      <c r="N9">
        <v>0</v>
      </c>
      <c r="O9">
        <v>3650</v>
      </c>
      <c r="P9">
        <v>20.350000000000001</v>
      </c>
      <c r="Q9">
        <v>3.12</v>
      </c>
      <c r="R9">
        <v>1.51</v>
      </c>
    </row>
    <row r="10" spans="1:18">
      <c r="A10">
        <v>6857</v>
      </c>
      <c r="B10" t="s">
        <v>494</v>
      </c>
      <c r="C10" t="s">
        <v>488</v>
      </c>
      <c r="D10">
        <v>1</v>
      </c>
      <c r="E10">
        <v>0</v>
      </c>
      <c r="F10">
        <v>26228</v>
      </c>
      <c r="G10">
        <v>35900</v>
      </c>
      <c r="H10">
        <v>540</v>
      </c>
      <c r="I10">
        <v>1.53</v>
      </c>
      <c r="J10">
        <v>35900</v>
      </c>
      <c r="K10">
        <v>9672</v>
      </c>
      <c r="L10">
        <v>36.876620000000003</v>
      </c>
      <c r="M10" t="s">
        <v>34</v>
      </c>
      <c r="N10">
        <v>0</v>
      </c>
      <c r="O10">
        <v>36026</v>
      </c>
      <c r="P10">
        <v>39.29</v>
      </c>
      <c r="Q10">
        <v>32.71</v>
      </c>
      <c r="R10">
        <v>0.17</v>
      </c>
    </row>
    <row r="11" spans="1:18">
      <c r="A11">
        <v>6920</v>
      </c>
      <c r="B11" t="s">
        <v>495</v>
      </c>
      <c r="C11" t="s">
        <v>488</v>
      </c>
      <c r="D11">
        <v>7</v>
      </c>
      <c r="E11">
        <v>0</v>
      </c>
      <c r="F11">
        <v>37002.428500000002</v>
      </c>
      <c r="G11">
        <v>35120</v>
      </c>
      <c r="H11">
        <v>190</v>
      </c>
      <c r="I11">
        <v>0.54</v>
      </c>
      <c r="J11">
        <v>245840</v>
      </c>
      <c r="K11">
        <v>-13176.9995</v>
      </c>
      <c r="L11">
        <v>-5.0873109999999997</v>
      </c>
      <c r="M11" t="s">
        <v>34</v>
      </c>
      <c r="N11">
        <v>0</v>
      </c>
      <c r="O11">
        <v>35200</v>
      </c>
      <c r="P11">
        <v>34.97</v>
      </c>
      <c r="Q11">
        <v>12.75</v>
      </c>
      <c r="R11">
        <v>1</v>
      </c>
    </row>
    <row r="12" spans="1:18">
      <c r="A12">
        <v>6981</v>
      </c>
      <c r="B12" t="s">
        <v>496</v>
      </c>
      <c r="C12" t="s">
        <v>488</v>
      </c>
      <c r="D12">
        <v>8</v>
      </c>
      <c r="E12">
        <v>0</v>
      </c>
      <c r="F12">
        <v>11780.875</v>
      </c>
      <c r="G12">
        <v>7091</v>
      </c>
      <c r="H12">
        <v>-114</v>
      </c>
      <c r="I12">
        <v>-1.58</v>
      </c>
      <c r="J12">
        <v>56728</v>
      </c>
      <c r="K12">
        <v>-37519</v>
      </c>
      <c r="L12">
        <v>-39.809224999999998</v>
      </c>
      <c r="M12" t="s">
        <v>34</v>
      </c>
      <c r="N12">
        <v>0</v>
      </c>
      <c r="O12">
        <v>7050</v>
      </c>
      <c r="P12">
        <v>38.18</v>
      </c>
      <c r="Q12">
        <v>4.74</v>
      </c>
      <c r="R12">
        <v>0.99</v>
      </c>
    </row>
    <row r="13" spans="1:18">
      <c r="A13">
        <v>7974</v>
      </c>
      <c r="B13" t="s">
        <v>497</v>
      </c>
      <c r="C13" t="s">
        <v>488</v>
      </c>
      <c r="D13">
        <v>13</v>
      </c>
      <c r="E13">
        <v>0</v>
      </c>
      <c r="F13">
        <v>8590.5383999999995</v>
      </c>
      <c r="G13">
        <v>8599</v>
      </c>
      <c r="H13">
        <v>-182</v>
      </c>
      <c r="I13">
        <v>-2.0699999999999998</v>
      </c>
      <c r="J13">
        <v>111787</v>
      </c>
      <c r="K13">
        <v>110.0008</v>
      </c>
      <c r="L13">
        <v>9.8499000000000003E-2</v>
      </c>
      <c r="M13" t="s">
        <v>34</v>
      </c>
      <c r="N13">
        <v>0</v>
      </c>
      <c r="O13">
        <v>8580</v>
      </c>
      <c r="P13">
        <v>30.97</v>
      </c>
      <c r="Q13">
        <v>3.35</v>
      </c>
      <c r="R13">
        <v>1.88</v>
      </c>
    </row>
    <row r="14" spans="1:18">
      <c r="A14">
        <v>8267</v>
      </c>
      <c r="B14" t="s">
        <v>498</v>
      </c>
      <c r="C14" t="s">
        <v>488</v>
      </c>
      <c r="D14">
        <v>200</v>
      </c>
      <c r="E14">
        <v>0</v>
      </c>
      <c r="F14">
        <v>2288.5500000000002</v>
      </c>
      <c r="G14">
        <v>1385.5</v>
      </c>
      <c r="H14">
        <v>0</v>
      </c>
      <c r="I14">
        <v>0</v>
      </c>
      <c r="J14">
        <v>277100</v>
      </c>
      <c r="K14">
        <v>-180610</v>
      </c>
      <c r="L14">
        <v>-39.459482999999999</v>
      </c>
      <c r="M14" t="s">
        <v>487</v>
      </c>
      <c r="N14">
        <v>0</v>
      </c>
      <c r="O14">
        <v>1388.2</v>
      </c>
      <c r="P14">
        <v>52.48</v>
      </c>
      <c r="Q14">
        <v>3.14</v>
      </c>
      <c r="R14">
        <v>1.08</v>
      </c>
    </row>
    <row r="15" spans="1:18">
      <c r="A15" s="1" t="s">
        <v>64</v>
      </c>
      <c r="B15" s="1" t="s">
        <v>64</v>
      </c>
      <c r="C15" s="1" t="s">
        <v>64</v>
      </c>
      <c r="D15" s="1" t="s">
        <v>64</v>
      </c>
      <c r="E15" s="1" t="s">
        <v>64</v>
      </c>
      <c r="F15" s="1" t="s">
        <v>64</v>
      </c>
      <c r="G15" s="1" t="s">
        <v>64</v>
      </c>
      <c r="H15" s="1" t="s">
        <v>64</v>
      </c>
      <c r="I15" s="1" t="s">
        <v>64</v>
      </c>
      <c r="J15" s="1" t="s">
        <v>64</v>
      </c>
      <c r="K15" s="1" t="s">
        <v>64</v>
      </c>
      <c r="L15" s="1" t="s">
        <v>64</v>
      </c>
      <c r="M15" s="1" t="s">
        <v>64</v>
      </c>
      <c r="N15" s="1" t="s">
        <v>64</v>
      </c>
      <c r="O15" s="1" t="s">
        <v>64</v>
      </c>
      <c r="P15" s="1" t="s">
        <v>64</v>
      </c>
      <c r="Q15" s="1" t="s">
        <v>64</v>
      </c>
      <c r="R15" s="1" t="s">
        <v>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D9EB-AB53-41C8-A219-F6C33D568B55}">
  <dimension ref="A1:ER8"/>
  <sheetViews>
    <sheetView workbookViewId="0"/>
  </sheetViews>
  <sheetFormatPr defaultRowHeight="18.75"/>
  <cols>
    <col min="3" max="3" width="12.75" customWidth="1"/>
    <col min="4" max="4" width="11.875" customWidth="1"/>
    <col min="7" max="7" width="10.875" customWidth="1"/>
  </cols>
  <sheetData>
    <row r="1" spans="1:148">
      <c r="A1" t="s">
        <v>82</v>
      </c>
      <c r="B1" t="s">
        <v>83</v>
      </c>
      <c r="C1" t="s">
        <v>504</v>
      </c>
      <c r="D1" t="s">
        <v>505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48">
      <c r="A2">
        <v>7203</v>
      </c>
      <c r="B2">
        <v>3081</v>
      </c>
      <c r="C2" t="s">
        <v>676</v>
      </c>
      <c r="D2" t="s">
        <v>525</v>
      </c>
      <c r="E2" t="s">
        <v>677</v>
      </c>
      <c r="F2">
        <v>-36</v>
      </c>
      <c r="G2">
        <v>-1.1499999999999999</v>
      </c>
      <c r="H2">
        <v>3126</v>
      </c>
      <c r="I2">
        <v>3142</v>
      </c>
      <c r="J2">
        <v>3081</v>
      </c>
      <c r="K2">
        <v>21768900</v>
      </c>
    </row>
    <row r="7" spans="1:148">
      <c r="A7" cm="1">
        <f t="array" ref="A7">_xll.RssMarket(A2, "銘柄コード")</f>
        <v>7203</v>
      </c>
      <c r="B7" t="str" cm="1">
        <f t="array" ref="B7">_xll.RssMarket(A7, "市場コード")</f>
        <v>T</v>
      </c>
      <c r="C7" t="str" cm="1">
        <f t="array" ref="C7">_xll.RssMarket(A2, "銘柄名称")</f>
        <v>トヨタ自動車</v>
      </c>
      <c r="D7" t="str" cm="1">
        <f t="array" ref="D7">_xll.RssMarket(A2, "市場名称")</f>
        <v>東証</v>
      </c>
      <c r="E7" t="str" cm="1">
        <f t="array" ref="E7">_xll.RssMarket(A2, "市場部名称")</f>
        <v>東証Ｐ</v>
      </c>
      <c r="F7" t="str" cm="1">
        <f t="array" ref="F7">_xll.RssMarket(A2, "市場部略称")</f>
        <v>東Ｐ</v>
      </c>
      <c r="G7" t="str" cm="1">
        <f t="array" ref="G7">_xll.RssMarket(A2, "現在日付")</f>
        <v>2026/10/20</v>
      </c>
      <c r="H7" cm="1">
        <f t="array" ref="H7">_xll.RssMarket(A2, "現在値")</f>
        <v>3102</v>
      </c>
      <c r="I7" t="str" cm="1">
        <f t="array" ref="I7">_xll.RssMarket(A2, "現在値時刻")</f>
        <v>10:25</v>
      </c>
      <c r="J7" t="str" cm="1">
        <f t="array" ref="J7">_xll.RssMarket(A2, "現在値詳細時刻")</f>
        <v>10:25:11</v>
      </c>
      <c r="K7" t="str" cm="1">
        <f t="array" ref="K7">_xll.RssMarket(A2, "現在値ティック")</f>
        <v>↓</v>
      </c>
      <c r="L7" t="str" cm="1">
        <f t="array" ref="L7">_xll.RssMarket(A2, "現在値フラグ")</f>
        <v xml:space="preserve"> </v>
      </c>
      <c r="M7" cm="1">
        <f t="array" ref="M7">_xll.RssMarket(A2, "前日比")</f>
        <v>0</v>
      </c>
      <c r="N7" cm="1">
        <f t="array" ref="N7">_xll.RssMarket(A2, "前日比率")</f>
        <v>0</v>
      </c>
      <c r="O7" cm="1">
        <f t="array" ref="O7">_xll.RssMarket(A2, "前日終値")</f>
        <v>3102</v>
      </c>
      <c r="P7" t="str" cm="1">
        <f t="array" ref="P7">_xll.RssMarket(A2, "前日日付")</f>
        <v>2026/10/19</v>
      </c>
      <c r="Q7" t="str" cm="1">
        <f t="array" ref="Q7">_xll.RssMarket(A2, "前日終値フラグ")</f>
        <v>C</v>
      </c>
      <c r="R7" cm="1">
        <f t="array" ref="R7">_xll.RssMarket(A2, "歩み1")</f>
        <v>3103</v>
      </c>
      <c r="S7" cm="1">
        <f t="array" ref="S7">_xll.RssMarket(A2, "歩み2")</f>
        <v>3102</v>
      </c>
      <c r="T7" cm="1">
        <f t="array" ref="T7">_xll.RssMarket(A2, "歩み3")</f>
        <v>3101</v>
      </c>
      <c r="U7" cm="1">
        <f t="array" ref="U7">_xll.RssMarket(A2, "歩み4")</f>
        <v>3100</v>
      </c>
      <c r="V7" t="str" cm="1">
        <f t="array" ref="V7">_xll.RssMarket(A2, "歩み1詳細時刻")</f>
        <v>10:24:29</v>
      </c>
      <c r="W7" t="str" cm="1">
        <f t="array" ref="W7">_xll.RssMarket(A2, "歩み2詳細時刻")</f>
        <v>10:24:29</v>
      </c>
      <c r="X7" t="str" cm="1">
        <f t="array" ref="X7">_xll.RssMarket(A2, "歩み3詳細時刻")</f>
        <v>10:24:11</v>
      </c>
      <c r="Y7" t="str" cm="1">
        <f t="array" ref="Y7">_xll.RssMarket(A2, "歩み4詳細時刻")</f>
        <v>10:24:07</v>
      </c>
      <c r="Z7" cm="1">
        <f t="array" ref="Z7">_xll.RssMarket(A2, "出来高")</f>
        <v>4648500</v>
      </c>
      <c r="AA7" cm="1">
        <f t="array" ref="AA7">_xll.RssMarket(A2, "売買代金")</f>
        <v>14382824</v>
      </c>
      <c r="AB7" cm="1">
        <f t="array" ref="AB7">_xll.RssMarket(A2, "出来高加重平均")</f>
        <v>3094.0783999999999</v>
      </c>
      <c r="AC7" cm="1">
        <f t="array" ref="AC7">_xll.RssMarket(A2, "時価総額")</f>
        <v>45273651</v>
      </c>
      <c r="AD7" cm="1">
        <f t="array" ref="AD7">_xll.RssMarket(A2, "始値")</f>
        <v>3087</v>
      </c>
      <c r="AE7" cm="1">
        <f t="array" ref="AE7">_xll.RssMarket(A2, "高値")</f>
        <v>3110</v>
      </c>
      <c r="AF7" cm="1">
        <f t="array" ref="AF7">_xll.RssMarket(A2, "安値")</f>
        <v>3075</v>
      </c>
      <c r="AG7" t="str" cm="1">
        <f t="array" ref="AG7">_xll.RssMarket(A2, "始値時刻")</f>
        <v>09:00</v>
      </c>
      <c r="AH7" t="str" cm="1">
        <f t="array" ref="AH7">_xll.RssMarket(A2, "高値時刻")</f>
        <v>09:04</v>
      </c>
      <c r="AI7" t="str" cm="1">
        <f t="array" ref="AI7">_xll.RssMarket(A2, "安値時刻")</f>
        <v>09:00</v>
      </c>
      <c r="AJ7" t="str" cm="1">
        <f t="array" ref="AJ7">_xll.RssMarket(A2, "始値詳細時刻")</f>
        <v>09:00:00</v>
      </c>
      <c r="AK7" t="str" cm="1">
        <f t="array" ref="AK7">_xll.RssMarket(A2, "高値詳細時刻")</f>
        <v>09:04:35</v>
      </c>
      <c r="AL7" t="str" cm="1">
        <f t="array" ref="AL7">_xll.RssMarket(A2, "安値詳細時刻")</f>
        <v>09:00:28</v>
      </c>
      <c r="AM7" cm="1">
        <f t="array" ref="AM7">_xll.RssMarket(A2, "前場始値")</f>
        <v>3087</v>
      </c>
      <c r="AN7" cm="1">
        <f t="array" ref="AN7">_xll.RssMarket(A2, "前場高値")</f>
        <v>3110</v>
      </c>
      <c r="AO7" cm="1">
        <f t="array" ref="AO7">_xll.RssMarket(A2, "前場安値")</f>
        <v>3075</v>
      </c>
      <c r="AP7" cm="1">
        <f t="array" ref="AP7">_xll.RssMarket(A2, "前場終値")</f>
        <v>0</v>
      </c>
      <c r="AQ7" cm="1">
        <f t="array" ref="AQ7">_xll.RssMarket(A2, "前場出来高")</f>
        <v>4648500</v>
      </c>
      <c r="AR7" cm="1">
        <f t="array" ref="AR7">_xll.RssMarket(A2, "後場始値")</f>
        <v>0</v>
      </c>
      <c r="AS7" cm="1">
        <f t="array" ref="AS7">_xll.RssMarket(A2, "後場高値")</f>
        <v>0</v>
      </c>
      <c r="AT7" cm="1">
        <f t="array" ref="AT7">_xll.RssMarket(A2, "後場安値")</f>
        <v>0</v>
      </c>
      <c r="AU7" t="str" cm="1">
        <f t="array" ref="AU7">_xll.RssMarket(A2, "前場始値時刻")</f>
        <v>09:00</v>
      </c>
      <c r="AV7" t="str" cm="1">
        <f t="array" ref="AV7">_xll.RssMarket(A2, "前場高値時刻")</f>
        <v>09:04</v>
      </c>
      <c r="AW7" t="str" cm="1">
        <f t="array" ref="AW7">_xll.RssMarket(A2, "前場安値時刻")</f>
        <v>09:00</v>
      </c>
      <c r="AX7" t="str" cm="1">
        <f t="array" ref="AX7">_xll.RssMarket(A2, "前場終値時刻")</f>
        <v xml:space="preserve">  :  </v>
      </c>
      <c r="AY7" t="str" cm="1">
        <f t="array" ref="AY7">_xll.RssMarket(A2, "前場出来高時刻")</f>
        <v>10:25</v>
      </c>
      <c r="AZ7" t="str" cm="1">
        <f t="array" ref="AZ7">_xll.RssMarket(A2, "後場始値時刻")</f>
        <v xml:space="preserve">  :  </v>
      </c>
      <c r="BA7" t="str" cm="1">
        <f t="array" ref="BA7">_xll.RssMarket(A2, "後場高値時刻")</f>
        <v xml:space="preserve">  :  </v>
      </c>
      <c r="BB7" t="str" cm="1">
        <f t="array" ref="BB7">_xll.RssMarket(A2, "後場安値時刻")</f>
        <v xml:space="preserve">  :  </v>
      </c>
      <c r="BC7" cm="1">
        <f t="array" ref="BC7">_xll.RssMarket(A2, "最良売気配値")</f>
        <v>3103</v>
      </c>
      <c r="BD7" cm="1">
        <f t="array" ref="BD7">_xll.RssMarket(A2, "最良買気配値")</f>
        <v>3102</v>
      </c>
      <c r="BE7" cm="1">
        <f t="array" ref="BE7">_xll.RssMarket(A2, "最良売気配数量")</f>
        <v>10500</v>
      </c>
      <c r="BF7" cm="1">
        <f t="array" ref="BF7">_xll.RssMarket(A2, "最良買気配数量")</f>
        <v>6100</v>
      </c>
      <c r="BG7" t="str" cm="1">
        <f t="array" ref="BG7">_xll.RssMarket(A2, "最良売気配時刻")</f>
        <v>10:25</v>
      </c>
      <c r="BH7" t="str" cm="1">
        <f t="array" ref="BH7">_xll.RssMarket(A2, "最良買気配時刻")</f>
        <v>10:25</v>
      </c>
      <c r="BI7" t="str" cm="1">
        <f t="array" ref="BI7">_xll.RssMarket(A2, "最良売気配詳細時刻")</f>
        <v>10:25:16</v>
      </c>
      <c r="BJ7" t="str" cm="1">
        <f t="array" ref="BJ7">_xll.RssMarket(A2, "最良買気配詳細時刻")</f>
        <v>10:25:12</v>
      </c>
      <c r="BK7" t="str" cm="1">
        <f t="array" ref="BK7">_xll.RssMarket(A2, "特別売気配フラグ")</f>
        <v xml:space="preserve"> </v>
      </c>
      <c r="BL7" t="str" cm="1">
        <f t="array" ref="BL7">_xll.RssMarket(A2, "特別買気配フラグ")</f>
        <v xml:space="preserve"> </v>
      </c>
      <c r="BM7" cm="1">
        <f t="array" ref="BM7">_xll.RssMarket(A2, "信用貸借区分")</f>
        <v>1</v>
      </c>
      <c r="BN7" cm="1">
        <f t="array" ref="BN7">_xll.RssMarket(A2, "逆日歩")</f>
        <v>0</v>
      </c>
      <c r="BO7" t="str" cm="1">
        <f t="array" ref="BO7">_xll.RssMarket(A2, "逆日歩更新日付")</f>
        <v/>
      </c>
      <c r="BP7" cm="1">
        <f t="array" ref="BP7">_xll.RssMarket(A2, "信用売残")</f>
        <v>2164700</v>
      </c>
      <c r="BQ7" t="str" cm="1">
        <f t="array" ref="BQ7">_xll.RssMarket(A2, "信用売残前週比")</f>
        <v/>
      </c>
      <c r="BR7" cm="1">
        <f t="array" ref="BR7">_xll.RssMarket(A2, "信用買残")</f>
        <v>13849100</v>
      </c>
      <c r="BS7" t="str" cm="1">
        <f t="array" ref="BS7">_xll.RssMarket(A2, "信用買残前週比")</f>
        <v/>
      </c>
      <c r="BT7" cm="1">
        <f t="array" ref="BT7">_xll.RssMarket(A2, "信用倍率")</f>
        <v>6.4</v>
      </c>
      <c r="BU7" t="str" cm="1">
        <f t="array" ref="BU7">_xll.RssMarket(A2, "証金残更新日付")</f>
        <v>2026/10/19</v>
      </c>
      <c r="BV7" cm="1">
        <f t="array" ref="BV7">_xll.RssMarket(A2, "新規貸株")</f>
        <v>400</v>
      </c>
      <c r="BW7" cm="1">
        <f t="array" ref="BW7">_xll.RssMarket(A2, "新規融資")</f>
        <v>300</v>
      </c>
      <c r="BX7" cm="1">
        <f t="array" ref="BX7">_xll.RssMarket(A2, "返済貸株")</f>
        <v>41100</v>
      </c>
      <c r="BY7" cm="1">
        <f t="array" ref="BY7">_xll.RssMarket(A2, "返済融資")</f>
        <v>2900</v>
      </c>
      <c r="BZ7" cm="1">
        <f t="array" ref="BZ7">_xll.RssMarket(A2, "残高貸株")</f>
        <v>15200</v>
      </c>
      <c r="CA7" cm="1">
        <f t="array" ref="CA7">_xll.RssMarket(A2, "残高融資")</f>
        <v>264000</v>
      </c>
      <c r="CB7" cm="1">
        <f t="array" ref="CB7">_xll.RssMarket(A2, "残高差引")</f>
        <v>248800</v>
      </c>
      <c r="CC7" cm="1">
        <f t="array" ref="CC7">_xll.RssMarket(A2, "前日比貸株")</f>
        <v>-40700</v>
      </c>
      <c r="CD7" cm="1">
        <f t="array" ref="CD7">_xll.RssMarket(A2, "前日比融資")</f>
        <v>-2600</v>
      </c>
      <c r="CE7" cm="1">
        <f t="array" ref="CE7">_xll.RssMarket(A2, "前日比差引")</f>
        <v>38100</v>
      </c>
      <c r="CF7" cm="1">
        <f t="array" ref="CF7">_xll.RssMarket(A2, "回転日数")</f>
        <v>14.7</v>
      </c>
      <c r="CG7" cm="1">
        <f t="array" ref="CG7">_xll.RssMarket(A2, "貸借倍率")</f>
        <v>17.37</v>
      </c>
      <c r="CH7" cm="1">
        <f t="array" ref="CH7">_xll.RssMarket(A2, "最良売気配値1")</f>
        <v>3103</v>
      </c>
      <c r="CI7" cm="1">
        <f t="array" ref="CI7">_xll.RssMarket(A2, "最良売気配値2")</f>
        <v>3104</v>
      </c>
      <c r="CJ7" cm="1">
        <f t="array" ref="CJ7">_xll.RssMarket(A2, "最良売気配値3")</f>
        <v>3105</v>
      </c>
      <c r="CK7" cm="1">
        <f t="array" ref="CK7">_xll.RssMarket(A2, "最良売気配値4")</f>
        <v>3106</v>
      </c>
      <c r="CL7" cm="1">
        <f t="array" ref="CL7">_xll.RssMarket(A2, "最良売気配値5")</f>
        <v>3107</v>
      </c>
      <c r="CM7" cm="1">
        <f t="array" ref="CM7">_xll.RssMarket(A2, "最良売気配値6")</f>
        <v>3108</v>
      </c>
      <c r="CN7" cm="1">
        <f t="array" ref="CN7">_xll.RssMarket(A2, "最良売気配値7")</f>
        <v>3109</v>
      </c>
      <c r="CO7" cm="1">
        <f t="array" ref="CO7">_xll.RssMarket(A2, "最良売気配値8")</f>
        <v>3110</v>
      </c>
      <c r="CP7" cm="1">
        <f t="array" ref="CP7">_xll.RssMarket(A2, "最良売気配値9")</f>
        <v>3111</v>
      </c>
      <c r="CQ7" cm="1">
        <f t="array" ref="CQ7">_xll.RssMarket(A2, "最良売気配値10")</f>
        <v>3112</v>
      </c>
      <c r="CR7" cm="1">
        <f t="array" ref="CR7">_xll.RssMarket(A2, "最良買気配値1")</f>
        <v>3102</v>
      </c>
      <c r="CS7" cm="1">
        <f t="array" ref="CS7">_xll.RssMarket(A2, "最良買気配値2")</f>
        <v>3101</v>
      </c>
      <c r="CT7" cm="1">
        <f t="array" ref="CT7">_xll.RssMarket(A2, "最良買気配値3")</f>
        <v>3100</v>
      </c>
      <c r="CU7" cm="1">
        <f t="array" ref="CU7">_xll.RssMarket(A2, "最良買気配値4")</f>
        <v>3099</v>
      </c>
      <c r="CV7" cm="1">
        <f t="array" ref="CV7">_xll.RssMarket(A2, "最良買気配値5")</f>
        <v>3098</v>
      </c>
      <c r="CW7" cm="1">
        <f t="array" ref="CW7">_xll.RssMarket(A2, "最良買気配値6")</f>
        <v>3097</v>
      </c>
      <c r="CX7" cm="1">
        <f t="array" ref="CX7">_xll.RssMarket(A2, "最良買気配値7")</f>
        <v>3096</v>
      </c>
      <c r="CY7" cm="1">
        <f t="array" ref="CY7">_xll.RssMarket(A2, "最良買気配値8")</f>
        <v>3095</v>
      </c>
      <c r="CZ7" cm="1">
        <f t="array" ref="CZ7">_xll.RssMarket(A2, "最良買気配値9")</f>
        <v>3094</v>
      </c>
      <c r="DA7" cm="1">
        <f t="array" ref="DA7">_xll.RssMarket(A2, "最良買気配値10")</f>
        <v>3093</v>
      </c>
      <c r="DB7" cm="1">
        <f t="array" ref="DB7">_xll.RssMarket(A2, "最良売気配数量1")</f>
        <v>10500</v>
      </c>
      <c r="DC7" cm="1">
        <f t="array" ref="DC7">_xll.RssMarket(A2, "最良売気配数量2")</f>
        <v>41400</v>
      </c>
      <c r="DD7" cm="1">
        <f t="array" ref="DD7">_xll.RssMarket(A2, "最良売気配数量3")</f>
        <v>88400</v>
      </c>
      <c r="DE7" cm="1">
        <f t="array" ref="DE7">_xll.RssMarket(A2, "最良売気配数量4")</f>
        <v>23000</v>
      </c>
      <c r="DF7" cm="1">
        <f t="array" ref="DF7">_xll.RssMarket(A2, "最良売気配数量5")</f>
        <v>29700</v>
      </c>
      <c r="DG7" cm="1">
        <f t="array" ref="DG7">_xll.RssMarket(A2, "最良売気配数量6")</f>
        <v>30700</v>
      </c>
      <c r="DH7" cm="1">
        <f t="array" ref="DH7">_xll.RssMarket(A2, "最良売気配数量7")</f>
        <v>54100</v>
      </c>
      <c r="DI7" cm="1">
        <f t="array" ref="DI7">_xll.RssMarket(A2, "最良売気配数量8")</f>
        <v>198600</v>
      </c>
      <c r="DJ7" cm="1">
        <f t="array" ref="DJ7">_xll.RssMarket(A2, "最良売気配数量9")</f>
        <v>35300</v>
      </c>
      <c r="DK7" cm="1">
        <f t="array" ref="DK7">_xll.RssMarket(A2, "最良売気配数量10")</f>
        <v>22500</v>
      </c>
      <c r="DL7" cm="1">
        <f t="array" ref="DL7">_xll.RssMarket(A2, "最良買気配数量1")</f>
        <v>6100</v>
      </c>
      <c r="DM7" cm="1">
        <f t="array" ref="DM7">_xll.RssMarket(A2, "最良買気配数量2")</f>
        <v>21400</v>
      </c>
      <c r="DN7" cm="1">
        <f t="array" ref="DN7">_xll.RssMarket(A2, "最良買気配数量3")</f>
        <v>44400</v>
      </c>
      <c r="DO7" cm="1">
        <f t="array" ref="DO7">_xll.RssMarket(A2, "最良買気配数量4")</f>
        <v>20700</v>
      </c>
      <c r="DP7" cm="1">
        <f t="array" ref="DP7">_xll.RssMarket(A2, "最良買気配数量5")</f>
        <v>27500</v>
      </c>
      <c r="DQ7" cm="1">
        <f t="array" ref="DQ7">_xll.RssMarket(A2, "最良買気配数量6")</f>
        <v>21800</v>
      </c>
      <c r="DR7" cm="1">
        <f t="array" ref="DR7">_xll.RssMarket(A2, "最良買気配数量7")</f>
        <v>18900</v>
      </c>
      <c r="DS7" cm="1">
        <f t="array" ref="DS7">_xll.RssMarket(A2, "最良買気配数量8")</f>
        <v>23000</v>
      </c>
      <c r="DT7" cm="1">
        <f t="array" ref="DT7">_xll.RssMarket(A2, "最良買気配数量9")</f>
        <v>19700</v>
      </c>
      <c r="DU7" cm="1">
        <f t="array" ref="DU7">_xll.RssMarket(A2, "最良買気配数量10")</f>
        <v>29100</v>
      </c>
      <c r="DV7" cm="1">
        <f t="array" ref="DV7">_xll.RssMarket(A2, "売成行数量")</f>
        <v>0</v>
      </c>
      <c r="DW7" cm="1">
        <f t="array" ref="DW7">_xll.RssMarket(A2, "買成行数量")</f>
        <v>0</v>
      </c>
      <c r="DX7" cm="1">
        <f t="array" ref="DX7">_xll.RssMarket(A2, "OVER気配数量")</f>
        <v>4935300</v>
      </c>
      <c r="DY7" cm="1">
        <f t="array" ref="DY7">_xll.RssMarket(A2, "UNDER気配数量")</f>
        <v>3411100</v>
      </c>
      <c r="DZ7" cm="1">
        <f t="array" ref="DZ7">_xll.RssMarket(A2, "単位株数")</f>
        <v>100</v>
      </c>
      <c r="EA7" cm="1">
        <f t="array" ref="EA7">_xll.RssMarket(A2, "配当")</f>
        <v>100</v>
      </c>
      <c r="EB7" t="str" cm="1">
        <f t="array" ref="EB7">_xll.RssMarket(A2, "配当落日")</f>
        <v>2027/03/30</v>
      </c>
      <c r="EC7" t="str" cm="1">
        <f t="array" ref="EC7">_xll.RssMarket(A2, "中配落日")</f>
        <v>2027/09/29</v>
      </c>
      <c r="ED7" t="str" cm="1">
        <f t="array" ref="ED7">_xll.RssMarket(A2, "権利落日")</f>
        <v>2021/09/29</v>
      </c>
      <c r="EE7" t="str" cm="1">
        <f t="array" ref="EE7">_xll.RssMarket(A2, "決算発表日")</f>
        <v>2026/11/05</v>
      </c>
      <c r="EF7" cm="1">
        <f t="array" ref="EF7">_xll.RssMarket(A2, "PER")</f>
        <v>10.119999999999999</v>
      </c>
      <c r="EG7" cm="1">
        <f t="array" ref="EG7">_xll.RssMarket(A2, "PBR")</f>
        <v>1.01</v>
      </c>
      <c r="EH7" cm="1">
        <f t="array" ref="EH7">_xll.RssMarket(A2, "当日基準値")</f>
        <v>3102</v>
      </c>
      <c r="EI7" cm="1">
        <f t="array" ref="EI7">_xll.RssMarket(A2, "年初来高値")</f>
        <v>4000</v>
      </c>
      <c r="EJ7" cm="1">
        <f t="array" ref="EJ7">_xll.RssMarket(A2, "年初来安値")</f>
        <v>2686</v>
      </c>
      <c r="EK7" t="str" cm="1">
        <f t="array" ref="EK7">_xll.RssMarket(A2, "年初来高値日付")</f>
        <v>2026/02/09</v>
      </c>
      <c r="EL7" t="str" cm="1">
        <f t="array" ref="EL7">_xll.RssMarket(A2, "年初来安値日付")</f>
        <v>2026/06/24</v>
      </c>
      <c r="EM7" cm="1">
        <f t="array" ref="EM7">_xll.RssMarket(A2, "上場来高値")</f>
        <v>10460</v>
      </c>
      <c r="EN7" cm="1">
        <f t="array" ref="EN7">_xll.RssMarket(A2, "上場来安値")</f>
        <v>21</v>
      </c>
      <c r="EO7" t="str" cm="1">
        <f t="array" ref="EO7">_xll.RssMarket(A2, "上場来高値日付")</f>
        <v>2021/09/28</v>
      </c>
      <c r="EP7" t="str" cm="1">
        <f t="array" ref="EP7">_xll.RssMarket(A2, "上場来安値日付")</f>
        <v>1950/06/01</v>
      </c>
      <c r="EQ7" cm="1">
        <f t="array" ref="EQ7">_xll.RssMarket(A2, "貸株金利")</f>
        <v>0.1</v>
      </c>
      <c r="ER7" t="str" cm="1">
        <f t="array" ref="ER7">_xll.RssMarket(A2, "貸株金利適用日")</f>
        <v>2026/10/20</v>
      </c>
    </row>
    <row r="8" spans="1:148">
      <c r="A8" t="str" cm="1">
        <f t="array" ref="A8">_xll.RssMarket(A3, "銘柄コード")</f>
        <v/>
      </c>
      <c r="B8" t="str" cm="1">
        <f t="array" ref="B8">_xll.RssMarket(A3, "市場コード")</f>
        <v/>
      </c>
      <c r="C8" t="str" cm="1">
        <f t="array" ref="C8">_xll.RssMarket(A3, "銘柄名称")</f>
        <v/>
      </c>
      <c r="D8" t="str" cm="1">
        <f t="array" ref="D8">_xll.RssMarket(A3, "市場名称")</f>
        <v/>
      </c>
      <c r="E8" t="str" cm="1">
        <f t="array" ref="E8">_xll.RssMarket(A3, "市場部名称")</f>
        <v/>
      </c>
      <c r="F8" t="str" cm="1">
        <f t="array" ref="F8">_xll.RssMarket(A3, "市場部略称")</f>
        <v/>
      </c>
      <c r="G8" t="str" cm="1">
        <f t="array" ref="G8">_xll.RssMarket(A3, "現在日付")</f>
        <v/>
      </c>
      <c r="H8" t="str" cm="1">
        <f t="array" ref="H8">_xll.RssMarket(A3, "現在値")</f>
        <v/>
      </c>
      <c r="I8" t="str" cm="1">
        <f t="array" ref="I8">_xll.RssMarket(A3, "現在値時刻")</f>
        <v/>
      </c>
      <c r="J8" t="str" cm="1">
        <f t="array" ref="J8">_xll.RssMarket(A3, "現在値詳細時刻")</f>
        <v/>
      </c>
      <c r="K8" t="str" cm="1">
        <f t="array" ref="K8">_xll.RssMarket(A3, "現在値ティック")</f>
        <v/>
      </c>
      <c r="L8" t="str" cm="1">
        <f t="array" ref="L8">_xll.RssMarket(A3, "現在値フラグ")</f>
        <v/>
      </c>
      <c r="M8" t="str" cm="1">
        <f t="array" ref="M8">_xll.RssMarket(A3, "前日比")</f>
        <v/>
      </c>
      <c r="N8" t="str" cm="1">
        <f t="array" ref="N8">_xll.RssMarket(A3, "前日比率")</f>
        <v/>
      </c>
      <c r="O8" t="str" cm="1">
        <f t="array" ref="O8">_xll.RssMarket(A3, "前日終値")</f>
        <v/>
      </c>
      <c r="P8" t="str" cm="1">
        <f t="array" ref="P8">_xll.RssMarket(A3, "前日日付")</f>
        <v/>
      </c>
      <c r="Q8" t="str" cm="1">
        <f t="array" ref="Q8">_xll.RssMarket(A3, "前日終値フラグ")</f>
        <v/>
      </c>
      <c r="R8" t="str" cm="1">
        <f t="array" ref="R8">_xll.RssMarket(A3, "歩み1")</f>
        <v/>
      </c>
      <c r="S8" t="str" cm="1">
        <f t="array" ref="S8">_xll.RssMarket(A3, "歩み2")</f>
        <v/>
      </c>
      <c r="T8" t="str" cm="1">
        <f t="array" ref="T8">_xll.RssMarket(A3, "歩み3")</f>
        <v/>
      </c>
      <c r="U8" t="str" cm="1">
        <f t="array" ref="U8">_xll.RssMarket(A3, "歩み4")</f>
        <v/>
      </c>
      <c r="V8" t="str" cm="1">
        <f t="array" ref="V8">_xll.RssMarket(A3, "歩み1詳細時刻")</f>
        <v/>
      </c>
      <c r="W8" t="str" cm="1">
        <f t="array" ref="W8">_xll.RssMarket(A3, "歩み2詳細時刻")</f>
        <v/>
      </c>
      <c r="X8" t="str" cm="1">
        <f t="array" ref="X8">_xll.RssMarket(A3, "歩み3詳細時刻")</f>
        <v/>
      </c>
      <c r="Y8" t="str" cm="1">
        <f t="array" ref="Y8">_xll.RssMarket(A3, "歩み4詳細時刻")</f>
        <v/>
      </c>
      <c r="Z8" t="str" cm="1">
        <f t="array" ref="Z8">_xll.RssMarket(A3, "出来高")</f>
        <v/>
      </c>
      <c r="AA8" t="str" cm="1">
        <f t="array" ref="AA8">_xll.RssMarket(A3, "売買代金")</f>
        <v/>
      </c>
      <c r="AB8" t="str" cm="1">
        <f t="array" ref="AB8">_xll.RssMarket(A3, "出来高加重平均")</f>
        <v/>
      </c>
      <c r="AC8" t="str" cm="1">
        <f t="array" ref="AC8">_xll.RssMarket(A3, "時価総額")</f>
        <v/>
      </c>
      <c r="AD8" t="str" cm="1">
        <f t="array" ref="AD8">_xll.RssMarket(A3, "始値")</f>
        <v/>
      </c>
      <c r="AE8" t="str" cm="1">
        <f t="array" ref="AE8">_xll.RssMarket(A3, "高値")</f>
        <v/>
      </c>
      <c r="AF8" t="str" cm="1">
        <f t="array" ref="AF8">_xll.RssMarket(A3, "安値")</f>
        <v/>
      </c>
      <c r="AG8" t="str" cm="1">
        <f t="array" ref="AG8">_xll.RssMarket(A3, "始値時刻")</f>
        <v/>
      </c>
      <c r="AH8" t="str" cm="1">
        <f t="array" ref="AH8">_xll.RssMarket(A3, "高値時刻")</f>
        <v/>
      </c>
      <c r="AI8" t="str" cm="1">
        <f t="array" ref="AI8">_xll.RssMarket(A3, "安値時刻")</f>
        <v/>
      </c>
      <c r="AJ8" t="str" cm="1">
        <f t="array" ref="AJ8">_xll.RssMarket(A3, "始値詳細時刻")</f>
        <v/>
      </c>
      <c r="AK8" t="str" cm="1">
        <f t="array" ref="AK8">_xll.RssMarket(A3, "高値詳細時刻")</f>
        <v/>
      </c>
      <c r="AL8" t="str" cm="1">
        <f t="array" ref="AL8">_xll.RssMarket(A3, "安値詳細時刻")</f>
        <v/>
      </c>
      <c r="AM8" t="str" cm="1">
        <f t="array" ref="AM8">_xll.RssMarket(A3, "前場始値")</f>
        <v/>
      </c>
      <c r="AN8" t="str" cm="1">
        <f t="array" ref="AN8">_xll.RssMarket(A3, "前場高値")</f>
        <v/>
      </c>
      <c r="AO8" t="str" cm="1">
        <f t="array" ref="AO8">_xll.RssMarket(A3, "前場安値")</f>
        <v/>
      </c>
      <c r="AP8" t="str" cm="1">
        <f t="array" ref="AP8">_xll.RssMarket(A3, "前場終値")</f>
        <v/>
      </c>
      <c r="AQ8" t="str" cm="1">
        <f t="array" ref="AQ8">_xll.RssMarket(A3, "前場出来高")</f>
        <v/>
      </c>
      <c r="AR8" t="str" cm="1">
        <f t="array" ref="AR8">_xll.RssMarket(A3, "後場始値")</f>
        <v/>
      </c>
      <c r="AS8" t="str" cm="1">
        <f t="array" ref="AS8">_xll.RssMarket(A3, "後場高値")</f>
        <v/>
      </c>
      <c r="AT8" t="str" cm="1">
        <f t="array" ref="AT8">_xll.RssMarket(A3, "後場安値")</f>
        <v/>
      </c>
      <c r="AU8" t="str" cm="1">
        <f t="array" ref="AU8">_xll.RssMarket(A3, "前場始値時刻")</f>
        <v/>
      </c>
      <c r="AV8" t="str" cm="1">
        <f t="array" ref="AV8">_xll.RssMarket(A3, "前場高値時刻")</f>
        <v/>
      </c>
      <c r="AW8" t="str" cm="1">
        <f t="array" ref="AW8">_xll.RssMarket(A3, "前場安値時刻")</f>
        <v/>
      </c>
      <c r="AX8" t="str" cm="1">
        <f t="array" ref="AX8">_xll.RssMarket(A3, "前場終値時刻")</f>
        <v/>
      </c>
      <c r="AY8" t="str" cm="1">
        <f t="array" ref="AY8">_xll.RssMarket(A3, "前場出来高時刻")</f>
        <v/>
      </c>
      <c r="AZ8" t="str" cm="1">
        <f t="array" ref="AZ8">_xll.RssMarket(A3, "後場始値時刻")</f>
        <v/>
      </c>
      <c r="BA8" t="str" cm="1">
        <f t="array" ref="BA8">_xll.RssMarket(A3, "後場高値時刻")</f>
        <v/>
      </c>
      <c r="BB8" t="str" cm="1">
        <f t="array" ref="BB8">_xll.RssMarket(A3, "後場安値時刻")</f>
        <v/>
      </c>
      <c r="BC8" t="str" cm="1">
        <f t="array" ref="BC8">_xll.RssMarket(A3, "最良売気配値")</f>
        <v/>
      </c>
      <c r="BD8" t="str" cm="1">
        <f t="array" ref="BD8">_xll.RssMarket(A3, "最良買気配値")</f>
        <v/>
      </c>
      <c r="BE8" t="str" cm="1">
        <f t="array" ref="BE8">_xll.RssMarket(A3, "最良売気配数量")</f>
        <v/>
      </c>
      <c r="BF8" t="str" cm="1">
        <f t="array" ref="BF8">_xll.RssMarket(A3, "最良買気配数量")</f>
        <v/>
      </c>
      <c r="BG8" t="str" cm="1">
        <f t="array" ref="BG8">_xll.RssMarket(A3, "最良売気配時刻")</f>
        <v/>
      </c>
      <c r="BH8" t="str" cm="1">
        <f t="array" ref="BH8">_xll.RssMarket(A3, "最良買気配時刻")</f>
        <v/>
      </c>
      <c r="BI8" t="str" cm="1">
        <f t="array" ref="BI8">_xll.RssMarket(A3, "最良売気配詳細時刻")</f>
        <v/>
      </c>
      <c r="BJ8" t="str" cm="1">
        <f t="array" ref="BJ8">_xll.RssMarket(A3, "最良買気配詳細時刻")</f>
        <v/>
      </c>
      <c r="BK8" t="str" cm="1">
        <f t="array" ref="BK8">_xll.RssMarket(A3, "特別売気配フラグ")</f>
        <v/>
      </c>
      <c r="BL8" t="str" cm="1">
        <f t="array" ref="BL8">_xll.RssMarket(A3, "特別買気配フラグ")</f>
        <v/>
      </c>
      <c r="BM8" t="str" cm="1">
        <f t="array" ref="BM8">_xll.RssMarket(A3, "信用貸借区分")</f>
        <v/>
      </c>
      <c r="BN8" t="str" cm="1">
        <f t="array" ref="BN8">_xll.RssMarket(A3, "逆日歩")</f>
        <v/>
      </c>
      <c r="BO8" t="str" cm="1">
        <f t="array" ref="BO8">_xll.RssMarket(A3, "逆日歩更新日付")</f>
        <v/>
      </c>
      <c r="BP8" t="str" cm="1">
        <f t="array" ref="BP8">_xll.RssMarket(A3, "信用売残")</f>
        <v/>
      </c>
      <c r="BQ8" t="str" cm="1">
        <f t="array" ref="BQ8">_xll.RssMarket(A3, "信用売残前週比")</f>
        <v/>
      </c>
      <c r="BR8" t="str" cm="1">
        <f t="array" ref="BR8">_xll.RssMarket(A3, "信用買残")</f>
        <v/>
      </c>
      <c r="BS8" t="str" cm="1">
        <f t="array" ref="BS8">_xll.RssMarket(A3, "信用買残前週比")</f>
        <v/>
      </c>
      <c r="BT8" t="str" cm="1">
        <f t="array" ref="BT8">_xll.RssMarket(A3, "信用倍率")</f>
        <v/>
      </c>
      <c r="BU8" t="str" cm="1">
        <f t="array" ref="BU8">_xll.RssMarket(A3, "証金残更新日付")</f>
        <v/>
      </c>
      <c r="BV8" t="str" cm="1">
        <f t="array" ref="BV8">_xll.RssMarket(A3, "新規貸株")</f>
        <v/>
      </c>
      <c r="BW8" t="str" cm="1">
        <f t="array" ref="BW8">_xll.RssMarket(A3, "新規融資")</f>
        <v/>
      </c>
      <c r="BX8" t="str" cm="1">
        <f t="array" ref="BX8">_xll.RssMarket(A3, "返済貸株")</f>
        <v/>
      </c>
      <c r="BY8" t="str" cm="1">
        <f t="array" ref="BY8">_xll.RssMarket(A3, "返済融資")</f>
        <v/>
      </c>
      <c r="BZ8" t="str" cm="1">
        <f t="array" ref="BZ8">_xll.RssMarket(A3, "残高貸株")</f>
        <v/>
      </c>
      <c r="CA8" t="str" cm="1">
        <f t="array" ref="CA8">_xll.RssMarket(A3, "残高融資")</f>
        <v/>
      </c>
      <c r="CB8" t="str" cm="1">
        <f t="array" ref="CB8">_xll.RssMarket(A3, "残高差引")</f>
        <v/>
      </c>
      <c r="CC8" t="str" cm="1">
        <f t="array" ref="CC8">_xll.RssMarket(A3, "前日比貸株")</f>
        <v/>
      </c>
      <c r="CD8" t="str" cm="1">
        <f t="array" ref="CD8">_xll.RssMarket(A3, "前日比融資")</f>
        <v/>
      </c>
      <c r="CE8" t="str" cm="1">
        <f t="array" ref="CE8">_xll.RssMarket(A3, "前日比差引")</f>
        <v/>
      </c>
      <c r="CF8" t="str" cm="1">
        <f t="array" ref="CF8">_xll.RssMarket(A3, "回転日数")</f>
        <v/>
      </c>
      <c r="CG8" t="str" cm="1">
        <f t="array" ref="CG8">_xll.RssMarket(A3, "貸借倍率")</f>
        <v/>
      </c>
      <c r="CH8" t="str" cm="1">
        <f t="array" ref="CH8">_xll.RssMarket(A3, "最良売気配値1")</f>
        <v/>
      </c>
      <c r="CI8" t="str" cm="1">
        <f t="array" ref="CI8">_xll.RssMarket(A3, "最良売気配値2")</f>
        <v/>
      </c>
      <c r="CJ8" t="str" cm="1">
        <f t="array" ref="CJ8">_xll.RssMarket(A3, "最良売気配値3")</f>
        <v/>
      </c>
      <c r="CK8" t="str" cm="1">
        <f t="array" ref="CK8">_xll.RssMarket(A3, "最良売気配値4")</f>
        <v/>
      </c>
      <c r="CL8" t="str" cm="1">
        <f t="array" ref="CL8">_xll.RssMarket(A3, "最良売気配値5")</f>
        <v/>
      </c>
      <c r="CM8" t="str" cm="1">
        <f t="array" ref="CM8">_xll.RssMarket(A3, "最良売気配値6")</f>
        <v/>
      </c>
      <c r="CN8" t="str" cm="1">
        <f t="array" ref="CN8">_xll.RssMarket(A3, "最良売気配値7")</f>
        <v/>
      </c>
      <c r="CO8" t="str" cm="1">
        <f t="array" ref="CO8">_xll.RssMarket(A3, "最良売気配値8")</f>
        <v/>
      </c>
      <c r="CP8" t="str" cm="1">
        <f t="array" ref="CP8">_xll.RssMarket(A3, "最良売気配値9")</f>
        <v/>
      </c>
      <c r="CQ8" t="str" cm="1">
        <f t="array" ref="CQ8">_xll.RssMarket(A3, "最良売気配値10")</f>
        <v/>
      </c>
      <c r="CR8" t="str" cm="1">
        <f t="array" ref="CR8">_xll.RssMarket(A3, "最良買気配値1")</f>
        <v/>
      </c>
      <c r="CS8" t="str" cm="1">
        <f t="array" ref="CS8">_xll.RssMarket(A3, "最良買気配値2")</f>
        <v/>
      </c>
      <c r="CT8" t="str" cm="1">
        <f t="array" ref="CT8">_xll.RssMarket(A3, "最良買気配値3")</f>
        <v/>
      </c>
      <c r="CU8" t="str" cm="1">
        <f t="array" ref="CU8">_xll.RssMarket(A3, "最良買気配値4")</f>
        <v/>
      </c>
      <c r="CV8" t="str" cm="1">
        <f t="array" ref="CV8">_xll.RssMarket(A3, "最良買気配値5")</f>
        <v/>
      </c>
      <c r="CW8" t="str" cm="1">
        <f t="array" ref="CW8">_xll.RssMarket(A3, "最良買気配値6")</f>
        <v/>
      </c>
      <c r="CX8" t="str" cm="1">
        <f t="array" ref="CX8">_xll.RssMarket(A3, "最良買気配値7")</f>
        <v/>
      </c>
      <c r="CY8" t="str" cm="1">
        <f t="array" ref="CY8">_xll.RssMarket(A3, "最良買気配値8")</f>
        <v/>
      </c>
      <c r="CZ8" t="str" cm="1">
        <f t="array" ref="CZ8">_xll.RssMarket(A3, "最良買気配値9")</f>
        <v/>
      </c>
      <c r="DA8" t="str" cm="1">
        <f t="array" ref="DA8">_xll.RssMarket(A3, "最良買気配値10")</f>
        <v/>
      </c>
      <c r="DB8" t="str" cm="1">
        <f t="array" ref="DB8">_xll.RssMarket(A3, "最良売気配数量1")</f>
        <v/>
      </c>
      <c r="DC8" t="str" cm="1">
        <f t="array" ref="DC8">_xll.RssMarket(A3, "最良売気配数量2")</f>
        <v/>
      </c>
      <c r="DD8" t="str" cm="1">
        <f t="array" ref="DD8">_xll.RssMarket(A3, "最良売気配数量3")</f>
        <v/>
      </c>
      <c r="DE8" t="str" cm="1">
        <f t="array" ref="DE8">_xll.RssMarket(A3, "最良売気配数量4")</f>
        <v/>
      </c>
      <c r="DF8" t="str" cm="1">
        <f t="array" ref="DF8">_xll.RssMarket(A3, "最良売気配数量5")</f>
        <v/>
      </c>
      <c r="DG8" t="str" cm="1">
        <f t="array" ref="DG8">_xll.RssMarket(A3, "最良売気配数量6")</f>
        <v/>
      </c>
      <c r="DH8" t="str" cm="1">
        <f t="array" ref="DH8">_xll.RssMarket(A3, "最良売気配数量7")</f>
        <v/>
      </c>
      <c r="DI8" t="str" cm="1">
        <f t="array" ref="DI8">_xll.RssMarket(A3, "最良売気配数量8")</f>
        <v/>
      </c>
      <c r="DJ8" t="str" cm="1">
        <f t="array" ref="DJ8">_xll.RssMarket(A3, "最良売気配数量9")</f>
        <v/>
      </c>
      <c r="DK8" t="str" cm="1">
        <f t="array" ref="DK8">_xll.RssMarket(A3, "最良売気配数量10")</f>
        <v/>
      </c>
      <c r="DL8" t="str" cm="1">
        <f t="array" ref="DL8">_xll.RssMarket(A3, "最良買気配数量1")</f>
        <v/>
      </c>
      <c r="DM8" t="str" cm="1">
        <f t="array" ref="DM8">_xll.RssMarket(A3, "最良買気配数量2")</f>
        <v/>
      </c>
      <c r="DN8" t="str" cm="1">
        <f t="array" ref="DN8">_xll.RssMarket(A3, "最良買気配数量3")</f>
        <v/>
      </c>
      <c r="DO8" t="str" cm="1">
        <f t="array" ref="DO8">_xll.RssMarket(A3, "最良買気配数量4")</f>
        <v/>
      </c>
      <c r="DP8" t="str" cm="1">
        <f t="array" ref="DP8">_xll.RssMarket(A3, "最良買気配数量5")</f>
        <v/>
      </c>
      <c r="DQ8" t="str" cm="1">
        <f t="array" ref="DQ8">_xll.RssMarket(A3, "最良買気配数量6")</f>
        <v/>
      </c>
      <c r="DR8" t="str" cm="1">
        <f t="array" ref="DR8">_xll.RssMarket(A3, "最良買気配数量7")</f>
        <v/>
      </c>
      <c r="DS8" t="str" cm="1">
        <f t="array" ref="DS8">_xll.RssMarket(A3, "最良買気配数量8")</f>
        <v/>
      </c>
      <c r="DT8" t="str" cm="1">
        <f t="array" ref="DT8">_xll.RssMarket(A3, "最良買気配数量9")</f>
        <v/>
      </c>
      <c r="DU8" t="str" cm="1">
        <f t="array" ref="DU8">_xll.RssMarket(A3, "最良買気配数量10")</f>
        <v/>
      </c>
      <c r="DV8" t="str" cm="1">
        <f t="array" ref="DV8">_xll.RssMarket(A3, "売成行数量")</f>
        <v/>
      </c>
      <c r="DW8" t="str" cm="1">
        <f t="array" ref="DW8">_xll.RssMarket(A3, "買成行数量")</f>
        <v/>
      </c>
      <c r="DX8" t="str" cm="1">
        <f t="array" ref="DX8">_xll.RssMarket(A3, "OVER気配数量")</f>
        <v/>
      </c>
      <c r="DY8" t="str" cm="1">
        <f t="array" ref="DY8">_xll.RssMarket(A3, "UNDER気配数量")</f>
        <v/>
      </c>
      <c r="DZ8" t="str" cm="1">
        <f t="array" ref="DZ8">_xll.RssMarket(A3, "単位株数")</f>
        <v/>
      </c>
      <c r="EA8" t="str" cm="1">
        <f t="array" ref="EA8">_xll.RssMarket(A3, "配当")</f>
        <v/>
      </c>
      <c r="EB8" t="str" cm="1">
        <f t="array" ref="EB8">_xll.RssMarket(A3, "配当落日")</f>
        <v/>
      </c>
      <c r="EC8" t="str" cm="1">
        <f t="array" ref="EC8">_xll.RssMarket(A3, "中配落日")</f>
        <v/>
      </c>
      <c r="ED8" t="str" cm="1">
        <f t="array" ref="ED8">_xll.RssMarket(A3, "権利落日")</f>
        <v/>
      </c>
      <c r="EE8" t="str" cm="1">
        <f t="array" ref="EE8">_xll.RssMarket(A3, "決算発表日")</f>
        <v/>
      </c>
      <c r="EF8" t="str" cm="1">
        <f t="array" ref="EF8">_xll.RssMarket(A3, "PER")</f>
        <v/>
      </c>
      <c r="EG8" t="str" cm="1">
        <f t="array" ref="EG8">_xll.RssMarket(A3, "PBR")</f>
        <v/>
      </c>
      <c r="EH8" t="str" cm="1">
        <f t="array" ref="EH8">_xll.RssMarket(A3, "当日基準値")</f>
        <v/>
      </c>
      <c r="EI8" t="str" cm="1">
        <f t="array" ref="EI8">_xll.RssMarket(A3, "年初来高値")</f>
        <v/>
      </c>
      <c r="EJ8" t="str" cm="1">
        <f t="array" ref="EJ8">_xll.RssMarket(A3, "年初来安値")</f>
        <v/>
      </c>
      <c r="EK8" t="str" cm="1">
        <f t="array" ref="EK8">_xll.RssMarket(A3, "年初来高値日付")</f>
        <v/>
      </c>
      <c r="EL8" t="str" cm="1">
        <f t="array" ref="EL8">_xll.RssMarket(A3, "年初来安値日付")</f>
        <v/>
      </c>
      <c r="EM8" t="str" cm="1">
        <f t="array" ref="EM8">_xll.RssMarket(A3, "上場来高値")</f>
        <v/>
      </c>
      <c r="EN8" t="str" cm="1">
        <f t="array" ref="EN8">_xll.RssMarket(A3, "上場来安値")</f>
        <v/>
      </c>
      <c r="EO8" t="str" cm="1">
        <f t="array" ref="EO8">_xll.RssMarket(A3, "上場来高値日付")</f>
        <v/>
      </c>
      <c r="EP8" t="str" cm="1">
        <f t="array" ref="EP8">_xll.RssMarket(A3, "上場来安値日付")</f>
        <v/>
      </c>
      <c r="EQ8" t="str" cm="1">
        <f t="array" ref="EQ8">_xll.RssMarket(A3, "貸株金利")</f>
        <v/>
      </c>
      <c r="ER8" t="str" cm="1">
        <f t="array" ref="ER8">_xll.RssMarket(A3, "貸株金利適用日")</f>
        <v/>
      </c>
    </row>
  </sheetData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説明</vt:lpstr>
      <vt:lpstr>LiveFeed</vt:lpstr>
      <vt:lpstr>Chart</vt:lpstr>
      <vt:lpstr>Test</vt:lpstr>
      <vt:lpstr>Quotes</vt:lpstr>
      <vt:lpstr>SymbolQuotes</vt:lpstr>
      <vt:lpstr>MarketDes</vt:lpstr>
      <vt:lpstr>OrderIDList</vt:lpstr>
      <vt:lpstr>OrderList</vt:lpstr>
      <vt:lpstr>ExecutionList</vt:lpstr>
      <vt:lpstr>MarginPositionList</vt:lpstr>
      <vt:lpstr>MarginPositionList_save</vt:lpstr>
      <vt:lpstr>OrderIDList_save</vt:lpstr>
      <vt:lpstr>OrderList_save</vt:lpstr>
      <vt:lpstr>OrderList0909</vt:lpstr>
      <vt:lpstr>MarketDes (2)</vt:lpstr>
      <vt:lpstr>ExecutionList0909</vt:lpstr>
      <vt:lpstr>ExecutionList (2)</vt:lpstr>
      <vt:lpstr>ExecutionList (3)</vt:lpstr>
      <vt:lpstr>MarginPositionList_0909</vt:lpstr>
      <vt:lpstr>TickList</vt:lpstr>
      <vt:lpstr>PositionList</vt:lpstr>
      <vt:lpstr>Quotes_Data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2026-10-20T01:25:17Z</dcterms:modified>
</cp:coreProperties>
</file>