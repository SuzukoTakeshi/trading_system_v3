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Data\"/>
    </mc:Choice>
  </mc:AlternateContent>
  <xr:revisionPtr revIDLastSave="0" documentId="13_ncr:1_{63CC18D8-A148-44AF-B415-06B33F410F71}" xr6:coauthVersionLast="47" xr6:coauthVersionMax="47" xr10:uidLastSave="{00000000-0000-0000-0000-000000000000}"/>
  <bookViews>
    <workbookView xWindow="-15" yWindow="-16200" windowWidth="14610" windowHeight="7845" firstSheet="5" activeTab="8" xr2:uid="{00000000-000D-0000-FFFF-FFFF00000000}"/>
  </bookViews>
  <sheets>
    <sheet name="説明" sheetId="13" r:id="rId1"/>
    <sheet name="Quotes_Data" sheetId="27" r:id="rId2"/>
    <sheet name="Chart(7204)" sheetId="25" r:id="rId3"/>
    <sheet name="Chart(3436)" sheetId="21" r:id="rId4"/>
    <sheet name="Chart(6613)" sheetId="22" r:id="rId5"/>
    <sheet name="Chart(7203)" sheetId="23" r:id="rId6"/>
    <sheet name="TickList" sheetId="24" r:id="rId7"/>
    <sheet name="MarketDes" sheetId="19" r:id="rId8"/>
    <sheet name="Quotes" sheetId="12" r:id="rId9"/>
    <sheet name="OrderIDList_save" sheetId="16" r:id="rId10"/>
    <sheet name="OrderIDList" sheetId="1" r:id="rId11"/>
    <sheet name="OrderList" sheetId="2" r:id="rId12"/>
    <sheet name="OrderList_save" sheetId="15" r:id="rId13"/>
    <sheet name="ExecutionList" sheetId="14" r:id="rId14"/>
    <sheet name="ExecutionList (3)" sheetId="26" r:id="rId15"/>
    <sheet name="PositionList" sheetId="18" r:id="rId16"/>
    <sheet name="MarketDes (2)" sheetId="20" r:id="rId17"/>
    <sheet name="ExecutionList (2)" sheetId="17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27" l="1" a="1"/>
  <c r="B7" i="27" a="1"/>
  <c r="A8" i="27" a="1"/>
  <c r="L8" i="27" a="1"/>
  <c r="W8" i="27" a="1"/>
  <c r="AH8" i="27" a="1"/>
  <c r="AS8" i="27" a="1"/>
  <c r="BD8" i="27" a="1"/>
  <c r="BO8" i="27" a="1"/>
  <c r="BZ8" i="27" a="1"/>
  <c r="CK8" i="27" a="1"/>
  <c r="CV8" i="27" a="1"/>
  <c r="DG8" i="27" a="1"/>
  <c r="DR8" i="27" a="1"/>
  <c r="EC8" i="27" a="1"/>
  <c r="EN8" i="27" a="1"/>
  <c r="N8" i="27" a="1"/>
  <c r="AJ8" i="27" a="1"/>
  <c r="BQ8" i="27" a="1"/>
  <c r="CM8" i="27" a="1"/>
  <c r="EP8" i="27" a="1"/>
  <c r="D8" i="27" a="1"/>
  <c r="AV8" i="27" a="1"/>
  <c r="BR8" i="27" a="1"/>
  <c r="CC8" i="27" a="1"/>
  <c r="DJ8" i="27" a="1"/>
  <c r="EQ8" i="27" a="1"/>
  <c r="M8" i="27" a="1"/>
  <c r="BE8" i="27" a="1"/>
  <c r="CA8" i="27" a="1"/>
  <c r="DH8" i="27" a="1"/>
  <c r="C8" i="27" a="1"/>
  <c r="Y8" i="27" a="1"/>
  <c r="BF8" i="27" a="1"/>
  <c r="CB8" i="27" a="1"/>
  <c r="CX8" i="27" a="1"/>
  <c r="DT8" i="27" a="1"/>
  <c r="EE8" i="27" a="1"/>
  <c r="O8" i="27" a="1"/>
  <c r="AK8" i="27" a="1"/>
  <c r="BG8" i="27" a="1"/>
  <c r="CN8" i="27" a="1"/>
  <c r="CY8" i="27" a="1"/>
  <c r="DU8" i="27" a="1"/>
  <c r="EF8" i="27" a="1"/>
  <c r="B8" i="27" a="1"/>
  <c r="X8" i="27" a="1"/>
  <c r="AI8" i="27" a="1"/>
  <c r="AT8" i="27" a="1"/>
  <c r="BP8" i="27" a="1"/>
  <c r="CL8" i="27" a="1"/>
  <c r="CW8" i="27" a="1"/>
  <c r="DS8" i="27" a="1"/>
  <c r="ED8" i="27" a="1"/>
  <c r="EO8" i="27" a="1"/>
  <c r="AU8" i="27" a="1"/>
  <c r="DI8" i="27" a="1"/>
  <c r="F8" i="27" a="1"/>
  <c r="Q8" i="27" a="1"/>
  <c r="AB8" i="27" a="1"/>
  <c r="AM8" i="27" a="1"/>
  <c r="AX8" i="27" a="1"/>
  <c r="BI8" i="27" a="1"/>
  <c r="BT8" i="27" a="1"/>
  <c r="CE8" i="27" a="1"/>
  <c r="CP8" i="27" a="1"/>
  <c r="DA8" i="27" a="1"/>
  <c r="DL8" i="27" a="1"/>
  <c r="DW8" i="27" a="1"/>
  <c r="EH8" i="27" a="1"/>
  <c r="G8" i="27" a="1"/>
  <c r="R8" i="27" a="1"/>
  <c r="AC8" i="27" a="1"/>
  <c r="AN8" i="27" a="1"/>
  <c r="AY8" i="27" a="1"/>
  <c r="BJ8" i="27" a="1"/>
  <c r="BU8" i="27" a="1"/>
  <c r="CF8" i="27" a="1"/>
  <c r="CQ8" i="27" a="1"/>
  <c r="DB8" i="27" a="1"/>
  <c r="DM8" i="27" a="1"/>
  <c r="DX8" i="27" a="1"/>
  <c r="EI8" i="27" a="1"/>
  <c r="H8" i="27" a="1"/>
  <c r="S8" i="27" a="1"/>
  <c r="AD8" i="27" a="1"/>
  <c r="AO8" i="27" a="1"/>
  <c r="AZ8" i="27" a="1"/>
  <c r="BK8" i="27" a="1"/>
  <c r="BV8" i="27" a="1"/>
  <c r="CG8" i="27" a="1"/>
  <c r="CR8" i="27" a="1"/>
  <c r="DC8" i="27" a="1"/>
  <c r="DN8" i="27" a="1"/>
  <c r="DY8" i="27" a="1"/>
  <c r="EJ8" i="27" a="1"/>
  <c r="I8" i="27" a="1"/>
  <c r="T8" i="27" a="1"/>
  <c r="AE8" i="27" a="1"/>
  <c r="AP8" i="27" a="1"/>
  <c r="BA8" i="27" a="1"/>
  <c r="BL8" i="27" a="1"/>
  <c r="BW8" i="27" a="1"/>
  <c r="CH8" i="27" a="1"/>
  <c r="CS8" i="27" a="1"/>
  <c r="E8" i="27" a="1"/>
  <c r="CI8" i="27" a="1"/>
  <c r="DQ8" i="27" a="1"/>
  <c r="AW8" i="27" a="1"/>
  <c r="CJ8" i="27" a="1"/>
  <c r="CO8" i="27" a="1"/>
  <c r="CT8" i="27" a="1"/>
  <c r="EB8" i="27" a="1"/>
  <c r="V8" i="27" a="1"/>
  <c r="BM8" i="27" a="1"/>
  <c r="DE8" i="27" a="1"/>
  <c r="DP8" i="27" a="1"/>
  <c r="AR8" i="27" a="1"/>
  <c r="K8" i="27" a="1"/>
  <c r="P8" i="27" a="1"/>
  <c r="BH8" i="27" a="1"/>
  <c r="CZ8" i="27" a="1"/>
  <c r="Z8" i="27" a="1"/>
  <c r="BN8" i="27" a="1"/>
  <c r="BS8" i="27" a="1"/>
  <c r="AG8" i="27" a="1"/>
  <c r="BY8" i="27" a="1"/>
  <c r="CD8" i="27" a="1"/>
  <c r="J8" i="27" a="1"/>
  <c r="DV8" i="27" a="1"/>
  <c r="DZ8" i="27" a="1"/>
  <c r="BB8" i="27" a="1"/>
  <c r="EA8" i="27" a="1"/>
  <c r="BC8" i="27" a="1"/>
  <c r="U8" i="27" a="1"/>
  <c r="EG8" i="27" a="1"/>
  <c r="EK8" i="27" a="1"/>
  <c r="AA8" i="27" a="1"/>
  <c r="EM8" i="27" a="1"/>
  <c r="ER8" i="27" a="1"/>
  <c r="AL8" i="27" a="1"/>
  <c r="CU8" i="27" a="1"/>
  <c r="DD8" i="27" a="1"/>
  <c r="EL8" i="27" a="1"/>
  <c r="AF8" i="27" a="1"/>
  <c r="DF8" i="27" a="1"/>
  <c r="BX8" i="27" a="1"/>
  <c r="DK8" i="27" a="1"/>
  <c r="DO8" i="27" a="1"/>
  <c r="AQ8" i="27" a="1"/>
  <c r="ER7" i="27" a="1"/>
  <c r="EQ7" i="27" a="1"/>
  <c r="EP7" i="27" a="1"/>
  <c r="EO7" i="27" a="1"/>
  <c r="EN7" i="27" a="1"/>
  <c r="EM7" i="27" a="1"/>
  <c r="EL7" i="27" a="1"/>
  <c r="EK7" i="27" a="1"/>
  <c r="EJ7" i="27" a="1"/>
  <c r="EI7" i="27" a="1"/>
  <c r="EH7" i="27" a="1"/>
  <c r="EG7" i="27" a="1"/>
  <c r="EF7" i="27" a="1"/>
  <c r="EE7" i="27" a="1"/>
  <c r="ED7" i="27" a="1"/>
  <c r="EC7" i="27" a="1"/>
  <c r="EB7" i="27" a="1"/>
  <c r="EA7" i="27" a="1"/>
  <c r="DZ7" i="27" a="1"/>
  <c r="DY7" i="27" a="1"/>
  <c r="DX7" i="27" a="1"/>
  <c r="DW7" i="27" a="1"/>
  <c r="DV7" i="27" a="1"/>
  <c r="DU7" i="27" a="1"/>
  <c r="DT7" i="27" a="1"/>
  <c r="DS7" i="27" a="1"/>
  <c r="DR7" i="27" a="1"/>
  <c r="DQ7" i="27" a="1"/>
  <c r="DP7" i="27" a="1"/>
  <c r="DO7" i="27" a="1"/>
  <c r="DN7" i="27" a="1"/>
  <c r="DM7" i="27" a="1"/>
  <c r="DL7" i="27" a="1"/>
  <c r="DK7" i="27" a="1"/>
  <c r="DJ7" i="27" a="1"/>
  <c r="DI7" i="27" a="1"/>
  <c r="DH7" i="27" a="1"/>
  <c r="DG7" i="27" a="1"/>
  <c r="DF7" i="27" a="1"/>
  <c r="DE7" i="27" a="1"/>
  <c r="DD7" i="27" a="1"/>
  <c r="DC7" i="27" a="1"/>
  <c r="DB7" i="27" a="1"/>
  <c r="DA7" i="27" a="1"/>
  <c r="CZ7" i="27" a="1"/>
  <c r="CY7" i="27" a="1"/>
  <c r="CX7" i="27" a="1"/>
  <c r="CW7" i="27" a="1"/>
  <c r="CV7" i="27" a="1"/>
  <c r="CU7" i="27" a="1"/>
  <c r="CT7" i="27" a="1"/>
  <c r="CS7" i="27" a="1"/>
  <c r="CR7" i="27" a="1"/>
  <c r="CQ7" i="27" a="1"/>
  <c r="CP7" i="27" a="1"/>
  <c r="CO7" i="27" a="1"/>
  <c r="CN7" i="27" a="1"/>
  <c r="CM7" i="27" a="1"/>
  <c r="CL7" i="27" a="1"/>
  <c r="CK7" i="27" a="1"/>
  <c r="CJ7" i="27" a="1"/>
  <c r="CI7" i="27" a="1"/>
  <c r="CH7" i="27" a="1"/>
  <c r="CG7" i="27" a="1"/>
  <c r="CF7" i="27" a="1"/>
  <c r="CE7" i="27" a="1"/>
  <c r="CD7" i="27" a="1"/>
  <c r="CC7" i="27" a="1"/>
  <c r="CB7" i="27" a="1"/>
  <c r="CA7" i="27" a="1"/>
  <c r="BZ7" i="27" a="1"/>
  <c r="BY7" i="27" a="1"/>
  <c r="BX7" i="27" a="1"/>
  <c r="BW7" i="27" a="1"/>
  <c r="BV7" i="27" a="1"/>
  <c r="BU7" i="27" a="1"/>
  <c r="BT7" i="27" a="1"/>
  <c r="BS7" i="27" a="1"/>
  <c r="BR7" i="27" a="1"/>
  <c r="BQ7" i="27" a="1"/>
  <c r="BP7" i="27" a="1"/>
  <c r="BO7" i="27" a="1"/>
  <c r="BN7" i="27" a="1"/>
  <c r="BM7" i="27" a="1"/>
  <c r="BL7" i="27" a="1"/>
  <c r="BK7" i="27" a="1"/>
  <c r="BJ7" i="27" a="1"/>
  <c r="BI7" i="27" a="1"/>
  <c r="BH7" i="27" a="1"/>
  <c r="BG7" i="27" a="1"/>
  <c r="BF7" i="27" a="1"/>
  <c r="BE7" i="27" a="1"/>
  <c r="BD7" i="27" a="1"/>
  <c r="BC7" i="27" a="1"/>
  <c r="BB7" i="27" a="1"/>
  <c r="BA7" i="27" a="1"/>
  <c r="AZ7" i="27" a="1"/>
  <c r="AY7" i="27" a="1"/>
  <c r="AX7" i="27" a="1"/>
  <c r="AW7" i="27" a="1"/>
  <c r="AV7" i="27" a="1"/>
  <c r="AU7" i="27" a="1"/>
  <c r="AT7" i="27" a="1"/>
  <c r="AS7" i="27" a="1"/>
  <c r="AR7" i="27" a="1"/>
  <c r="AQ7" i="27" a="1"/>
  <c r="AP7" i="27" a="1"/>
  <c r="AO7" i="27" a="1"/>
  <c r="AN7" i="27" a="1"/>
  <c r="AM7" i="27" a="1"/>
  <c r="AL7" i="27" a="1"/>
  <c r="AK7" i="27" a="1"/>
  <c r="AJ7" i="27" a="1"/>
  <c r="AI7" i="27" a="1"/>
  <c r="AH7" i="27" a="1"/>
  <c r="AG7" i="27" a="1"/>
  <c r="AF7" i="27" a="1"/>
  <c r="AE7" i="27" a="1"/>
  <c r="AD7" i="27" a="1"/>
  <c r="AC7" i="27" a="1"/>
  <c r="AB7" i="27" a="1"/>
  <c r="AA7" i="27" a="1"/>
  <c r="Z7" i="27" a="1"/>
  <c r="Y7" i="27" a="1"/>
  <c r="X7" i="27" a="1"/>
  <c r="W7" i="27" a="1"/>
  <c r="V7" i="27" a="1"/>
  <c r="U7" i="27" a="1"/>
  <c r="T7" i="27" a="1"/>
  <c r="S7" i="27" a="1"/>
  <c r="R7" i="27" a="1"/>
  <c r="Q7" i="27" a="1"/>
  <c r="P7" i="27" a="1"/>
  <c r="O7" i="27" a="1"/>
  <c r="N7" i="27" a="1"/>
  <c r="M7" i="27" a="1"/>
  <c r="L7" i="27" a="1"/>
  <c r="K7" i="27" a="1"/>
  <c r="I7" i="27" a="1"/>
  <c r="H7" i="27" a="1"/>
  <c r="G7" i="27" a="1"/>
  <c r="F7" i="27" a="1"/>
  <c r="E7" i="27" a="1"/>
  <c r="D7" i="27" a="1"/>
  <c r="C7" i="27" a="1"/>
  <c r="A7" i="27" a="1"/>
  <c r="A2" i="20" a="1"/>
  <c r="A8" i="20" a="1"/>
  <c r="A11" i="20" a="1"/>
  <c r="A5" i="20" a="1"/>
  <c r="J7" i="27" l="1"/>
  <c r="B7" i="27"/>
  <c r="AQ8" i="27"/>
  <c r="DO8" i="27"/>
  <c r="DK8" i="27"/>
  <c r="BX8" i="27"/>
  <c r="DF8" i="27"/>
  <c r="AF8" i="27"/>
  <c r="EL8" i="27"/>
  <c r="DD8" i="27"/>
  <c r="CU8" i="27"/>
  <c r="AL8" i="27"/>
  <c r="ER8" i="27"/>
  <c r="EM8" i="27"/>
  <c r="AA8" i="27"/>
  <c r="EK8" i="27"/>
  <c r="EG8" i="27"/>
  <c r="U8" i="27"/>
  <c r="BC8" i="27"/>
  <c r="EA8" i="27"/>
  <c r="BB8" i="27"/>
  <c r="DZ8" i="27"/>
  <c r="DV8" i="27"/>
  <c r="J8" i="27"/>
  <c r="CD8" i="27"/>
  <c r="BY8" i="27"/>
  <c r="AG8" i="27"/>
  <c r="BS8" i="27"/>
  <c r="BN8" i="27"/>
  <c r="Z8" i="27"/>
  <c r="CZ8" i="27"/>
  <c r="BH8" i="27"/>
  <c r="P8" i="27"/>
  <c r="K8" i="27"/>
  <c r="AR8" i="27"/>
  <c r="DP8" i="27"/>
  <c r="DE8" i="27"/>
  <c r="BM8" i="27"/>
  <c r="V8" i="27"/>
  <c r="EB8" i="27"/>
  <c r="CT8" i="27"/>
  <c r="CO8" i="27"/>
  <c r="CJ8" i="27"/>
  <c r="AW8" i="27"/>
  <c r="DQ8" i="27"/>
  <c r="CI8" i="27"/>
  <c r="E8" i="27"/>
  <c r="CS8" i="27"/>
  <c r="CH8" i="27"/>
  <c r="BW8" i="27"/>
  <c r="BL8" i="27"/>
  <c r="BA8" i="27"/>
  <c r="AP8" i="27"/>
  <c r="AE8" i="27"/>
  <c r="T8" i="27"/>
  <c r="I8" i="27"/>
  <c r="EJ8" i="27"/>
  <c r="DY8" i="27"/>
  <c r="DN8" i="27"/>
  <c r="DC8" i="27"/>
  <c r="CR8" i="27"/>
  <c r="CG8" i="27"/>
  <c r="BV8" i="27"/>
  <c r="BK8" i="27"/>
  <c r="AZ8" i="27"/>
  <c r="AO8" i="27"/>
  <c r="AD8" i="27"/>
  <c r="S8" i="27"/>
  <c r="H8" i="27"/>
  <c r="EI8" i="27"/>
  <c r="DX8" i="27"/>
  <c r="DM8" i="27"/>
  <c r="DB8" i="27"/>
  <c r="CQ8" i="27"/>
  <c r="CF8" i="27"/>
  <c r="BU8" i="27"/>
  <c r="BJ8" i="27"/>
  <c r="AY8" i="27"/>
  <c r="AN8" i="27"/>
  <c r="AC8" i="27"/>
  <c r="R8" i="27"/>
  <c r="G8" i="27"/>
  <c r="EH8" i="27"/>
  <c r="DW8" i="27"/>
  <c r="DL8" i="27"/>
  <c r="DA8" i="27"/>
  <c r="CP8" i="27"/>
  <c r="CE8" i="27"/>
  <c r="BT8" i="27"/>
  <c r="BI8" i="27"/>
  <c r="AX8" i="27"/>
  <c r="AM8" i="27"/>
  <c r="AB8" i="27"/>
  <c r="Q8" i="27"/>
  <c r="F8" i="27"/>
  <c r="DI8" i="27"/>
  <c r="AU8" i="27"/>
  <c r="EO8" i="27"/>
  <c r="ED8" i="27"/>
  <c r="DS8" i="27"/>
  <c r="CW8" i="27"/>
  <c r="CL8" i="27"/>
  <c r="BP8" i="27"/>
  <c r="AT8" i="27"/>
  <c r="AI8" i="27"/>
  <c r="X8" i="27"/>
  <c r="B8" i="27"/>
  <c r="EF8" i="27"/>
  <c r="DU8" i="27"/>
  <c r="CY8" i="27"/>
  <c r="CN8" i="27"/>
  <c r="BG8" i="27"/>
  <c r="AK8" i="27"/>
  <c r="O8" i="27"/>
  <c r="EE8" i="27"/>
  <c r="DT8" i="27"/>
  <c r="CX8" i="27"/>
  <c r="CB8" i="27"/>
  <c r="BF8" i="27"/>
  <c r="Y8" i="27"/>
  <c r="C8" i="27"/>
  <c r="DH8" i="27"/>
  <c r="CA8" i="27"/>
  <c r="BE8" i="27"/>
  <c r="M8" i="27"/>
  <c r="EQ8" i="27"/>
  <c r="DJ8" i="27"/>
  <c r="CC8" i="27"/>
  <c r="BR8" i="27"/>
  <c r="AV8" i="27"/>
  <c r="D8" i="27"/>
  <c r="EP8" i="27"/>
  <c r="CM8" i="27"/>
  <c r="BQ8" i="27"/>
  <c r="AJ8" i="27"/>
  <c r="N8" i="27"/>
  <c r="EN8" i="27"/>
  <c r="EC8" i="27"/>
  <c r="DR8" i="27"/>
  <c r="DG8" i="27"/>
  <c r="CV8" i="27"/>
  <c r="CK8" i="27"/>
  <c r="BZ8" i="27"/>
  <c r="BO8" i="27"/>
  <c r="BD8" i="27"/>
  <c r="AS8" i="27"/>
  <c r="AH8" i="27"/>
  <c r="W8" i="27"/>
  <c r="L8" i="27"/>
  <c r="A8" i="27"/>
  <c r="ER7" i="27"/>
  <c r="EQ7" i="27"/>
  <c r="EP7" i="27"/>
  <c r="EO7" i="27"/>
  <c r="EN7" i="27"/>
  <c r="EM7" i="27"/>
  <c r="EL7" i="27"/>
  <c r="EK7" i="27"/>
  <c r="EJ7" i="27"/>
  <c r="EI7" i="27"/>
  <c r="EH7" i="27"/>
  <c r="EG7" i="27"/>
  <c r="EF7" i="27"/>
  <c r="EE7" i="27"/>
  <c r="ED7" i="27"/>
  <c r="EC7" i="27"/>
  <c r="EB7" i="27"/>
  <c r="EA7" i="27"/>
  <c r="DZ7" i="27"/>
  <c r="DY7" i="27"/>
  <c r="DX7" i="27"/>
  <c r="DW7" i="27"/>
  <c r="DV7" i="27"/>
  <c r="DU7" i="27"/>
  <c r="DT7" i="27"/>
  <c r="DS7" i="27"/>
  <c r="DR7" i="27"/>
  <c r="DQ7" i="27"/>
  <c r="DP7" i="27"/>
  <c r="DO7" i="27"/>
  <c r="DN7" i="27"/>
  <c r="DM7" i="27"/>
  <c r="DL7" i="27"/>
  <c r="DK7" i="27"/>
  <c r="DJ7" i="27"/>
  <c r="DI7" i="27"/>
  <c r="DH7" i="27"/>
  <c r="DG7" i="27"/>
  <c r="DF7" i="27"/>
  <c r="DE7" i="27"/>
  <c r="DD7" i="27"/>
  <c r="DC7" i="27"/>
  <c r="DB7" i="27"/>
  <c r="DA7" i="27"/>
  <c r="CZ7" i="27"/>
  <c r="CY7" i="27"/>
  <c r="CX7" i="27"/>
  <c r="CW7" i="27"/>
  <c r="CV7" i="27"/>
  <c r="CU7" i="27"/>
  <c r="CT7" i="27"/>
  <c r="CS7" i="27"/>
  <c r="CR7" i="27"/>
  <c r="CQ7" i="27"/>
  <c r="CP7" i="27"/>
  <c r="CO7" i="27"/>
  <c r="CN7" i="27"/>
  <c r="CM7" i="27"/>
  <c r="CL7" i="27"/>
  <c r="CK7" i="27"/>
  <c r="CJ7" i="27"/>
  <c r="CI7" i="27"/>
  <c r="CH7" i="27"/>
  <c r="CG7" i="27"/>
  <c r="CF7" i="27"/>
  <c r="CE7" i="27"/>
  <c r="CD7" i="27"/>
  <c r="CC7" i="27"/>
  <c r="CB7" i="27"/>
  <c r="CA7" i="27"/>
  <c r="BZ7" i="27"/>
  <c r="BY7" i="27"/>
  <c r="BX7" i="27"/>
  <c r="BW7" i="27"/>
  <c r="BV7" i="27"/>
  <c r="BU7" i="27"/>
  <c r="BT7" i="27"/>
  <c r="BS7" i="27"/>
  <c r="BR7" i="27"/>
  <c r="BQ7" i="27"/>
  <c r="BP7" i="27"/>
  <c r="BO7" i="27"/>
  <c r="BN7" i="27"/>
  <c r="BM7" i="27"/>
  <c r="BL7" i="27"/>
  <c r="BK7" i="27"/>
  <c r="BJ7" i="27"/>
  <c r="BI7" i="27"/>
  <c r="BH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AT7" i="27"/>
  <c r="AS7" i="27"/>
  <c r="AR7" i="27"/>
  <c r="AQ7" i="27"/>
  <c r="AP7" i="27"/>
  <c r="AO7" i="27"/>
  <c r="AN7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X7" i="27"/>
  <c r="W7" i="27"/>
  <c r="V7" i="27"/>
  <c r="U7" i="27"/>
  <c r="T7" i="27"/>
  <c r="S7" i="27"/>
  <c r="R7" i="27"/>
  <c r="Q7" i="27"/>
  <c r="P7" i="27"/>
  <c r="O7" i="27"/>
  <c r="N7" i="27"/>
  <c r="M7" i="27"/>
  <c r="L7" i="27"/>
  <c r="K7" i="27"/>
  <c r="I7" i="27"/>
  <c r="H7" i="27"/>
  <c r="G7" i="27"/>
  <c r="F7" i="27"/>
  <c r="E7" i="27"/>
  <c r="D7" i="27"/>
  <c r="C7" i="27"/>
  <c r="A7" i="27"/>
  <c r="A2" i="20"/>
  <c r="A8" i="20"/>
  <c r="A11" i="20"/>
  <c r="A5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<sst xmlns="http://schemas.openxmlformats.org/spreadsheetml/2006/main" count="19194" uniqueCount="881">
  <si>
    <t>発注ID</t>
  </si>
  <si>
    <t>関数名</t>
  </si>
  <si>
    <t>発注日</t>
  </si>
  <si>
    <t>発注時刻</t>
  </si>
  <si>
    <t>注文番号</t>
  </si>
  <si>
    <t>発注結果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</si>
  <si>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</si>
  <si>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</si>
  <si>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</si>
  <si>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</si>
  <si>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</si>
  <si>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</si>
  <si>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</si>
  <si>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</si>
  <si>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</si>
  <si>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</si>
  <si>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</si>
  <si>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</si>
  <si>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</si>
  <si>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</si>
  <si>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</si>
  <si>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</si>
  <si>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</si>
  <si>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</si>
  <si>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</si>
  <si>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</si>
  <si>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</si>
  <si>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</si>
  <si>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</si>
  <si>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</si>
  <si>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</si>
  <si>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</si>
  <si>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</si>
  <si>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</si>
  <si>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</si>
  <si>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</si>
  <si>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</si>
  <si>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東証(SOR)</t>
  </si>
  <si>
    <t>一般</t>
  </si>
  <si>
    <t>通常注文</t>
  </si>
  <si>
    <t>Market Speed</t>
  </si>
  <si>
    <t>ＮＴＴ</t>
  </si>
  <si>
    <t>買付</t>
  </si>
  <si>
    <t>現物</t>
  </si>
  <si>
    <t>取消済（出来無）</t>
  </si>
  <si>
    <t>特定</t>
    <phoneticPr fontId="1"/>
  </si>
  <si>
    <t>一般</t>
    <phoneticPr fontId="1"/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</si>
  <si>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</si>
  <si>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</si>
  <si>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</si>
  <si>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</si>
  <si>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#5466</t>
  </si>
  <si>
    <t>#5466</t>
    <phoneticPr fontId="1"/>
  </si>
  <si>
    <t>執行中</t>
    <phoneticPr fontId="1"/>
  </si>
  <si>
    <t>ＮＴＴ</t>
    <phoneticPr fontId="1"/>
  </si>
  <si>
    <t>2026/07/22 13:56:52</t>
  </si>
  <si>
    <t>2026/07/22 13:56:52</t>
    <phoneticPr fontId="1"/>
  </si>
  <si>
    <t>買付</t>
    <phoneticPr fontId="1"/>
  </si>
  <si>
    <t>現物</t>
    <phoneticPr fontId="1"/>
  </si>
  <si>
    <t>今週中</t>
  </si>
  <si>
    <t>今週中</t>
    <phoneticPr fontId="1"/>
  </si>
  <si>
    <t>売気配(150.8) 買気配(150.7)</t>
  </si>
  <si>
    <t>売気配(150.8) 買気配(150.7)</t>
    <phoneticPr fontId="1"/>
  </si>
  <si>
    <t>↓</t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</si>
  <si>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</si>
  <si>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</si>
  <si>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</si>
  <si>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</si>
  <si>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</si>
  <si>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</si>
  <si>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</si>
  <si>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#5473</t>
    <phoneticPr fontId="1"/>
  </si>
  <si>
    <t>執行待ち</t>
    <phoneticPr fontId="1"/>
  </si>
  <si>
    <t>2026/07/22 16:36:53</t>
    <phoneticPr fontId="1"/>
  </si>
  <si>
    <t>SOR対象外 (SORサービス時間外)</t>
    <phoneticPr fontId="1"/>
  </si>
  <si>
    <t>#5473</t>
  </si>
  <si>
    <t>2026/07/22 16:36:53</t>
  </si>
  <si>
    <t>SOR対象外 (SORサービス時間外)</t>
  </si>
  <si>
    <t>--------</t>
  </si>
  <si>
    <t>発注/受注日時</t>
    <phoneticPr fontId="1"/>
  </si>
  <si>
    <t>RssOrderList($A$2:$AD$2, 0, 0, "", "A", 0, 0, 0, 0, 0)</t>
    <phoneticPr fontId="1"/>
  </si>
  <si>
    <t>RssOrderIDList($A$2:$F$2)</t>
    <phoneticPr fontId="1"/>
  </si>
  <si>
    <t>銘柄コード</t>
    <phoneticPr fontId="1"/>
  </si>
  <si>
    <t>現在値</t>
    <phoneticPr fontId="1"/>
  </si>
  <si>
    <t>高値</t>
    <phoneticPr fontId="1"/>
  </si>
  <si>
    <t>Config</t>
    <phoneticPr fontId="1"/>
  </si>
  <si>
    <t>Quotes</t>
    <phoneticPr fontId="1"/>
  </si>
  <si>
    <t>価格取得</t>
    <rPh sb="0" eb="2">
      <t>カカク</t>
    </rPh>
    <rPh sb="2" eb="4">
      <t>シュトク</t>
    </rPh>
    <phoneticPr fontId="1"/>
  </si>
  <si>
    <t>Positions</t>
    <phoneticPr fontId="1"/>
  </si>
  <si>
    <t>保有ポジション</t>
    <phoneticPr fontId="1"/>
  </si>
  <si>
    <t>RssPositionList</t>
    <phoneticPr fontId="1"/>
  </si>
  <si>
    <t>Orders</t>
    <phoneticPr fontId="1"/>
  </si>
  <si>
    <t>注文要求</t>
    <phoneticPr fontId="1"/>
  </si>
  <si>
    <t>VBA OrderAllが処理</t>
    <phoneticPr fontId="1"/>
  </si>
  <si>
    <t>OrderList</t>
    <phoneticPr fontId="1"/>
  </si>
  <si>
    <t>注文状態</t>
    <phoneticPr fontId="1"/>
  </si>
  <si>
    <t>RssOrderList</t>
    <phoneticPr fontId="1"/>
  </si>
  <si>
    <t>OrderIds</t>
    <phoneticPr fontId="1"/>
  </si>
  <si>
    <t>発注ID管理</t>
    <phoneticPr fontId="1"/>
  </si>
  <si>
    <t>RssOrderIDList</t>
    <phoneticPr fontId="1"/>
  </si>
  <si>
    <t>Capacity</t>
    <phoneticPr fontId="1"/>
  </si>
  <si>
    <t>買付余力</t>
    <phoneticPr fontId="1"/>
  </si>
  <si>
    <t>https://marketspeed.jp/guide/manual/ms2rss_function.pdf</t>
    <phoneticPr fontId="1"/>
  </si>
  <si>
    <t>https://marketspeed.jp/ms2_rss/onlinehelp/ohm_002/ohm_002_03.html#RssMarketHeader</t>
    <phoneticPr fontId="1"/>
  </si>
  <si>
    <t xml:space="preserve"> オンラインヘルプ</t>
    <phoneticPr fontId="1"/>
  </si>
  <si>
    <t>https://marketspeed.jp/ms2_rss/onlinehelp/</t>
    <phoneticPr fontId="1"/>
  </si>
  <si>
    <t>注文約定</t>
    <phoneticPr fontId="1"/>
  </si>
  <si>
    <t>https://marketspeed.jp/ms2_rss/onlinehelp/ohm_002/ohm_002_05.html#RssExecutionList</t>
    <phoneticPr fontId="1"/>
  </si>
  <si>
    <t>約定日</t>
  </si>
  <si>
    <t>受渡日</t>
  </si>
  <si>
    <t>約定単価</t>
  </si>
  <si>
    <t>約定代金</t>
  </si>
  <si>
    <t>特別空売り料</t>
  </si>
  <si>
    <t>2026/08/12 09:00:48</t>
    <phoneticPr fontId="1"/>
  </si>
  <si>
    <t>三菱重工業</t>
    <phoneticPr fontId="1"/>
  </si>
  <si>
    <t>JAX</t>
    <phoneticPr fontId="1"/>
  </si>
  <si>
    <t>1日</t>
    <phoneticPr fontId="1"/>
  </si>
  <si>
    <t>信用新規</t>
    <phoneticPr fontId="1"/>
  </si>
  <si>
    <t>買建</t>
    <phoneticPr fontId="1"/>
  </si>
  <si>
    <t>2026/08/12 09:02:10</t>
    <phoneticPr fontId="1"/>
  </si>
  <si>
    <t>川崎重工業</t>
    <phoneticPr fontId="1"/>
  </si>
  <si>
    <t>2026/08/12 09:07:36</t>
    <phoneticPr fontId="1"/>
  </si>
  <si>
    <t>2026/08/12 09:13:30</t>
    <phoneticPr fontId="1"/>
  </si>
  <si>
    <t>信用返済</t>
    <phoneticPr fontId="1"/>
  </si>
  <si>
    <t>売埋</t>
    <phoneticPr fontId="1"/>
  </si>
  <si>
    <t>源徴あり</t>
    <phoneticPr fontId="1"/>
  </si>
  <si>
    <t>2026/08/12 09:15:54</t>
    <phoneticPr fontId="1"/>
  </si>
  <si>
    <t>2026/08/12 09:16:51</t>
    <phoneticPr fontId="1"/>
  </si>
  <si>
    <t>2026/08/12 09:18:10</t>
    <phoneticPr fontId="1"/>
  </si>
  <si>
    <t>2026/08/12 09:19:31</t>
    <phoneticPr fontId="1"/>
  </si>
  <si>
    <t>東証</t>
    <phoneticPr fontId="1"/>
  </si>
  <si>
    <t>2026/08/12 09:22:19</t>
    <phoneticPr fontId="1"/>
  </si>
  <si>
    <t>2026/08/12 09:22:51</t>
    <phoneticPr fontId="1"/>
  </si>
  <si>
    <t>2026/08/12 09:37:09</t>
    <phoneticPr fontId="1"/>
  </si>
  <si>
    <t>2026/08/12 09:37:49</t>
    <phoneticPr fontId="1"/>
  </si>
  <si>
    <t>2026/08/12 09:40:13</t>
    <phoneticPr fontId="1"/>
  </si>
  <si>
    <t>2026/08/12 09:40:30</t>
    <phoneticPr fontId="1"/>
  </si>
  <si>
    <t>2026/08/12 09:44:18</t>
    <phoneticPr fontId="1"/>
  </si>
  <si>
    <t>2026/08/12 09:45:24</t>
    <phoneticPr fontId="1"/>
  </si>
  <si>
    <t>ＪＸ金属</t>
    <phoneticPr fontId="1"/>
  </si>
  <si>
    <t>2026/08/12 09:47:15</t>
    <phoneticPr fontId="1"/>
  </si>
  <si>
    <t>2026/08/12 09:47:28</t>
    <phoneticPr fontId="1"/>
  </si>
  <si>
    <t>2026/08/12 09:49:57</t>
    <phoneticPr fontId="1"/>
  </si>
  <si>
    <t>2026/08/12 09:51:15</t>
    <phoneticPr fontId="1"/>
  </si>
  <si>
    <t>2026/08/12 09:53:06</t>
    <phoneticPr fontId="1"/>
  </si>
  <si>
    <t>2026/08/12 09:54:00</t>
    <phoneticPr fontId="1"/>
  </si>
  <si>
    <t>2026/08/12 09:55:35</t>
    <phoneticPr fontId="1"/>
  </si>
  <si>
    <t>2026/08/12 09:55:55</t>
    <phoneticPr fontId="1"/>
  </si>
  <si>
    <t>2026/08/12 10:15:12</t>
    <phoneticPr fontId="1"/>
  </si>
  <si>
    <t>2026/08/12 10:18:17</t>
    <phoneticPr fontId="1"/>
  </si>
  <si>
    <t>2026/08/12 10:18:47</t>
    <phoneticPr fontId="1"/>
  </si>
  <si>
    <t>2026/08/12 10:20:36</t>
    <phoneticPr fontId="1"/>
  </si>
  <si>
    <t>ＳＵＭＣＯ</t>
    <phoneticPr fontId="1"/>
  </si>
  <si>
    <t>2026/08/12 10:23:17</t>
    <phoneticPr fontId="1"/>
  </si>
  <si>
    <t>2026/08/12 10:25:23</t>
    <phoneticPr fontId="1"/>
  </si>
  <si>
    <t>2026/08/12 10:26:03</t>
    <phoneticPr fontId="1"/>
  </si>
  <si>
    <t>2026/08/12 10:26:36</t>
    <phoneticPr fontId="1"/>
  </si>
  <si>
    <t>2026/08/12 10:29:05</t>
    <phoneticPr fontId="1"/>
  </si>
  <si>
    <t>2026/08/12 10:29:20</t>
    <phoneticPr fontId="1"/>
  </si>
  <si>
    <t>2026/08/12 10:30:38</t>
    <phoneticPr fontId="1"/>
  </si>
  <si>
    <t>2026/08/12 10:33:13</t>
    <phoneticPr fontId="1"/>
  </si>
  <si>
    <t>2026/08/12 10:34:03</t>
    <phoneticPr fontId="1"/>
  </si>
  <si>
    <t>2026/08/12 10:35:32</t>
    <phoneticPr fontId="1"/>
  </si>
  <si>
    <t>2026/08/12 10:38:07</t>
    <phoneticPr fontId="1"/>
  </si>
  <si>
    <t>2026/08/12 10:39:10</t>
    <phoneticPr fontId="1"/>
  </si>
  <si>
    <t>ＱＤレーザ</t>
    <phoneticPr fontId="1"/>
  </si>
  <si>
    <t>2026/08/12 10:41:26</t>
    <phoneticPr fontId="1"/>
  </si>
  <si>
    <t>2026/08/12 10:52:05</t>
    <phoneticPr fontId="1"/>
  </si>
  <si>
    <t>2026/08/12 10:58:55</t>
    <phoneticPr fontId="1"/>
  </si>
  <si>
    <t>2026/08/12 10:59:51</t>
    <phoneticPr fontId="1"/>
  </si>
  <si>
    <t>2026/08/12 11:06:37</t>
    <phoneticPr fontId="1"/>
  </si>
  <si>
    <t>2026/08/12 11:14:20</t>
    <phoneticPr fontId="1"/>
  </si>
  <si>
    <t>サンリオ</t>
    <phoneticPr fontId="1"/>
  </si>
  <si>
    <t>2026/08/12 11:23:55</t>
    <phoneticPr fontId="1"/>
  </si>
  <si>
    <t>2026/08/12 12:42:26</t>
    <phoneticPr fontId="1"/>
  </si>
  <si>
    <t>2026/08/12 13:00:19</t>
    <phoneticPr fontId="1"/>
  </si>
  <si>
    <t>フジクラ</t>
    <phoneticPr fontId="1"/>
  </si>
  <si>
    <t>2026/08/12 13:03:18</t>
    <phoneticPr fontId="1"/>
  </si>
  <si>
    <t>2026/08/12 13:06:26</t>
    <phoneticPr fontId="1"/>
  </si>
  <si>
    <t>2026/08/12 13:08:19</t>
    <phoneticPr fontId="1"/>
  </si>
  <si>
    <t>2026/08/12 13:12:57</t>
    <phoneticPr fontId="1"/>
  </si>
  <si>
    <t>信越化学</t>
    <phoneticPr fontId="1"/>
  </si>
  <si>
    <t>2026/08/12 13:17:10</t>
    <phoneticPr fontId="1"/>
  </si>
  <si>
    <t>2026/08/12 13:19:25</t>
    <phoneticPr fontId="1"/>
  </si>
  <si>
    <t>2026/08/12 13:23:08</t>
    <phoneticPr fontId="1"/>
  </si>
  <si>
    <t>2026/08/12 13:39:20</t>
    <phoneticPr fontId="1"/>
  </si>
  <si>
    <t>JNX</t>
    <phoneticPr fontId="1"/>
  </si>
  <si>
    <t>2026/08/12 13:40:12</t>
    <phoneticPr fontId="1"/>
  </si>
  <si>
    <t>2026/08/12 13:49:04</t>
    <phoneticPr fontId="1"/>
  </si>
  <si>
    <t>2026/08/12 14:21:08</t>
    <phoneticPr fontId="1"/>
  </si>
  <si>
    <t>2026/08/12 14:22:38</t>
    <phoneticPr fontId="1"/>
  </si>
  <si>
    <t>ソフトバンクグループ</t>
    <phoneticPr fontId="1"/>
  </si>
  <si>
    <t>2026/08/12 14:41:59</t>
    <phoneticPr fontId="1"/>
  </si>
  <si>
    <t>2026/08/12 14:51:03</t>
    <phoneticPr fontId="1"/>
  </si>
  <si>
    <t>日東電工</t>
    <phoneticPr fontId="1"/>
  </si>
  <si>
    <t>2026/08/12 15:05:21</t>
    <phoneticPr fontId="1"/>
  </si>
  <si>
    <t>RssExecutionList($A$2:$O$2, 0, "", "A", 0, 0)</t>
    <phoneticPr fontId="1"/>
  </si>
  <si>
    <t>国内株式 現物注文(VBA)</t>
  </si>
  <si>
    <t>国内株式 現物注文(VBA)</t>
    <phoneticPr fontId="1"/>
  </si>
  <si>
    <t>2026/08/14</t>
  </si>
  <si>
    <t>2026/08/14</t>
    <phoneticPr fontId="1"/>
  </si>
  <si>
    <t>15:59:16</t>
    <phoneticPr fontId="1"/>
  </si>
  <si>
    <t>エラー[現在の時間帯は、東証銘柄の注文を受付していません。17:15以降に再度注文してください。]</t>
    <phoneticPr fontId="1"/>
  </si>
  <si>
    <t>16:29:16</t>
    <phoneticPr fontId="1"/>
  </si>
  <si>
    <t>エラー[現在、株式取引に関するサービスが利用できません。]</t>
    <phoneticPr fontId="1"/>
  </si>
  <si>
    <t>16:30:48</t>
    <phoneticPr fontId="1"/>
  </si>
  <si>
    <t>エラー[手数料ゼロコースでは、SORを有効にして、再度注文してください。]</t>
    <phoneticPr fontId="1"/>
  </si>
  <si>
    <t>16:56:42</t>
    <phoneticPr fontId="1"/>
  </si>
  <si>
    <t>17:06:49</t>
  </si>
  <si>
    <t>エラー[成行の場合、値幅制限上限までの買付可能額が必要です。
175,103円以内で発注可能な指値を入力してください。]</t>
  </si>
  <si>
    <t>17:11:03</t>
  </si>
  <si>
    <t>#5775</t>
    <phoneticPr fontId="1"/>
  </si>
  <si>
    <t>約定</t>
    <phoneticPr fontId="1"/>
  </si>
  <si>
    <t>2026/08/14 09:04:01</t>
    <phoneticPr fontId="1"/>
  </si>
  <si>
    <t>本日中</t>
  </si>
  <si>
    <t>本日中</t>
    <phoneticPr fontId="1"/>
  </si>
  <si>
    <t>成行</t>
  </si>
  <si>
    <t>成行</t>
    <phoneticPr fontId="1"/>
  </si>
  <si>
    <t>売気配(3,910) 買気配(3,909)</t>
    <phoneticPr fontId="1"/>
  </si>
  <si>
    <t>#5776</t>
    <phoneticPr fontId="1"/>
  </si>
  <si>
    <t>2026/08/14 09:04:52</t>
    <phoneticPr fontId="1"/>
  </si>
  <si>
    <t>売気配(5,774) 買気配(5,772)</t>
    <phoneticPr fontId="1"/>
  </si>
  <si>
    <t>#5777</t>
    <phoneticPr fontId="1"/>
  </si>
  <si>
    <t>制度</t>
    <phoneticPr fontId="1"/>
  </si>
  <si>
    <t>6ヶ月</t>
    <phoneticPr fontId="1"/>
  </si>
  <si>
    <t>2026/08/14 09:11:04</t>
    <phoneticPr fontId="1"/>
  </si>
  <si>
    <t>売気配(5,872) 買気配(5,870)</t>
    <phoneticPr fontId="1"/>
  </si>
  <si>
    <t>#5778</t>
    <phoneticPr fontId="1"/>
  </si>
  <si>
    <t>2026/08/14 09:11:31</t>
    <phoneticPr fontId="1"/>
  </si>
  <si>
    <t>2026/08/14 09:11:32</t>
    <phoneticPr fontId="1"/>
  </si>
  <si>
    <t>売気配(5,895) 買気配(5,894)</t>
    <phoneticPr fontId="1"/>
  </si>
  <si>
    <t>#5779</t>
    <phoneticPr fontId="1"/>
  </si>
  <si>
    <t>市場執行済</t>
    <phoneticPr fontId="1"/>
  </si>
  <si>
    <t>2026/08/14 09:12:26</t>
    <phoneticPr fontId="1"/>
  </si>
  <si>
    <t>売気配(5,907) 買気配(5,905)</t>
    <phoneticPr fontId="1"/>
  </si>
  <si>
    <t>#5780</t>
    <phoneticPr fontId="1"/>
  </si>
  <si>
    <t>2026/08/14 09:12:49</t>
    <phoneticPr fontId="1"/>
  </si>
  <si>
    <t>売気配(5,943) 買気配(5,942)</t>
    <phoneticPr fontId="1"/>
  </si>
  <si>
    <t>#5781</t>
    <phoneticPr fontId="1"/>
  </si>
  <si>
    <t>2026/08/14 09:14:11</t>
    <phoneticPr fontId="1"/>
  </si>
  <si>
    <t>売気配(5,961) 買気配(5,960)</t>
    <phoneticPr fontId="1"/>
  </si>
  <si>
    <t>#5782</t>
    <phoneticPr fontId="1"/>
  </si>
  <si>
    <t>2026/08/14 09:15:26</t>
    <phoneticPr fontId="1"/>
  </si>
  <si>
    <t>売気配(4,205) 買気配(4,203)</t>
    <phoneticPr fontId="1"/>
  </si>
  <si>
    <t>#5783</t>
    <phoneticPr fontId="1"/>
  </si>
  <si>
    <t>2026/08/14 09:16:38</t>
    <phoneticPr fontId="1"/>
  </si>
  <si>
    <t>売気配(4,224) 買気配(4,222)</t>
    <phoneticPr fontId="1"/>
  </si>
  <si>
    <t>#5784</t>
    <phoneticPr fontId="1"/>
  </si>
  <si>
    <t>2026/08/14 09:17:25</t>
    <phoneticPr fontId="1"/>
  </si>
  <si>
    <t>売気配(1,782) 買気配(1,779)</t>
    <phoneticPr fontId="1"/>
  </si>
  <si>
    <t>#5785</t>
    <phoneticPr fontId="1"/>
  </si>
  <si>
    <t>2026/08/14 09:20:14</t>
    <phoneticPr fontId="1"/>
  </si>
  <si>
    <t>売気配(1,792) 買気配(1,790)</t>
    <phoneticPr fontId="1"/>
  </si>
  <si>
    <t>#5786</t>
    <phoneticPr fontId="1"/>
  </si>
  <si>
    <t>2026/08/14 09:20:25</t>
    <phoneticPr fontId="1"/>
  </si>
  <si>
    <t>売気配(5,909) 買気配(5,908)</t>
    <phoneticPr fontId="1"/>
  </si>
  <si>
    <t>#5787</t>
    <phoneticPr fontId="1"/>
  </si>
  <si>
    <t>2026/08/14 09:21:00</t>
    <phoneticPr fontId="1"/>
  </si>
  <si>
    <t>売気配(5,933) 買気配(5,932)</t>
    <phoneticPr fontId="1"/>
  </si>
  <si>
    <t>#5788</t>
    <phoneticPr fontId="1"/>
  </si>
  <si>
    <t>2026/08/14 09:23:15</t>
    <phoneticPr fontId="1"/>
  </si>
  <si>
    <t>売気配(5,689) 買気配(5,688)</t>
    <phoneticPr fontId="1"/>
  </si>
  <si>
    <t>#5789</t>
    <phoneticPr fontId="1"/>
  </si>
  <si>
    <t>2026/08/14 09:28:25</t>
    <phoneticPr fontId="1"/>
  </si>
  <si>
    <t>売気配(5,714) 買気配(5,712)</t>
    <phoneticPr fontId="1"/>
  </si>
  <si>
    <t>#5790</t>
    <phoneticPr fontId="1"/>
  </si>
  <si>
    <t>2026/08/14 09:29:35</t>
    <phoneticPr fontId="1"/>
  </si>
  <si>
    <t>売気配(3,871) 買気配(3,870)</t>
    <phoneticPr fontId="1"/>
  </si>
  <si>
    <t>#5791</t>
    <phoneticPr fontId="1"/>
  </si>
  <si>
    <t>2026/08/14 09:30:54</t>
    <phoneticPr fontId="1"/>
  </si>
  <si>
    <t>#5792</t>
    <phoneticPr fontId="1"/>
  </si>
  <si>
    <t>2026/08/14 09:31:27</t>
    <phoneticPr fontId="1"/>
  </si>
  <si>
    <t>売気配(3,878) 買気配(3,877)</t>
    <phoneticPr fontId="1"/>
  </si>
  <si>
    <t>#5793</t>
    <phoneticPr fontId="1"/>
  </si>
  <si>
    <t>2026/08/14 09:41:12</t>
    <phoneticPr fontId="1"/>
  </si>
  <si>
    <t>売気配(1,816) 買気配(1,814)</t>
    <phoneticPr fontId="1"/>
  </si>
  <si>
    <t>#5794</t>
    <phoneticPr fontId="1"/>
  </si>
  <si>
    <t>2026/08/14 09:42:21</t>
    <phoneticPr fontId="1"/>
  </si>
  <si>
    <t>売気配(5,782) 買気配(5,781)</t>
    <phoneticPr fontId="1"/>
  </si>
  <si>
    <t>#5795</t>
    <phoneticPr fontId="1"/>
  </si>
  <si>
    <t>2026/08/14 09:43:34</t>
    <phoneticPr fontId="1"/>
  </si>
  <si>
    <t>売気配(1,822) 買気配(1,821)</t>
    <phoneticPr fontId="1"/>
  </si>
  <si>
    <t>#5796</t>
    <phoneticPr fontId="1"/>
  </si>
  <si>
    <t>2026/08/14 09:45:03</t>
    <phoneticPr fontId="1"/>
  </si>
  <si>
    <t>売気配(3,857) 買気配(3,855)</t>
    <phoneticPr fontId="1"/>
  </si>
  <si>
    <t>#5797</t>
    <phoneticPr fontId="1"/>
  </si>
  <si>
    <t>2026/08/14 09:47:04</t>
    <phoneticPr fontId="1"/>
  </si>
  <si>
    <t>2026/08/14 09:47:05</t>
    <phoneticPr fontId="1"/>
  </si>
  <si>
    <t>売気配(5,754) 買気配(5,753)</t>
    <phoneticPr fontId="1"/>
  </si>
  <si>
    <t>#5799</t>
    <phoneticPr fontId="1"/>
  </si>
  <si>
    <t>取消済（出来無）</t>
    <phoneticPr fontId="1"/>
  </si>
  <si>
    <t>2026/08/14 10:00:55</t>
    <phoneticPr fontId="1"/>
  </si>
  <si>
    <t>売気配(5,740) 買気配(5,739)</t>
    <phoneticPr fontId="1"/>
  </si>
  <si>
    <t>#5800</t>
    <phoneticPr fontId="1"/>
  </si>
  <si>
    <t>2026/08/14 10:02:31</t>
    <phoneticPr fontId="1"/>
  </si>
  <si>
    <t>売気配(5,713) 買気配(5,712)</t>
    <phoneticPr fontId="1"/>
  </si>
  <si>
    <t>#5801</t>
    <phoneticPr fontId="1"/>
  </si>
  <si>
    <t>2026/08/14 10:04:13</t>
    <phoneticPr fontId="1"/>
  </si>
  <si>
    <t>売気配(3,830) 買気配(3,829)</t>
    <phoneticPr fontId="1"/>
  </si>
  <si>
    <t>#5802</t>
    <phoneticPr fontId="1"/>
  </si>
  <si>
    <t>2026/08/14 10:04:24</t>
    <phoneticPr fontId="1"/>
  </si>
  <si>
    <t>売気配(5,722) 買気配(5,720)</t>
    <phoneticPr fontId="1"/>
  </si>
  <si>
    <t>#5803</t>
    <phoneticPr fontId="1"/>
  </si>
  <si>
    <t>2026/08/14 10:07:12</t>
    <phoneticPr fontId="1"/>
  </si>
  <si>
    <t>#5804</t>
    <phoneticPr fontId="1"/>
  </si>
  <si>
    <t>2026/08/14 10:08:56</t>
    <phoneticPr fontId="1"/>
  </si>
  <si>
    <t>売気配(5,764) 買気配(5,763)</t>
    <phoneticPr fontId="1"/>
  </si>
  <si>
    <t>#5805</t>
    <phoneticPr fontId="1"/>
  </si>
  <si>
    <t>2026/08/14 10:11:06</t>
    <phoneticPr fontId="1"/>
  </si>
  <si>
    <t>売気配(5,756) 買気配(5,755)</t>
    <phoneticPr fontId="1"/>
  </si>
  <si>
    <t>#5806</t>
    <phoneticPr fontId="1"/>
  </si>
  <si>
    <t>2026/08/14 10:11:44</t>
    <phoneticPr fontId="1"/>
  </si>
  <si>
    <t>2026/08/14 10:11:45</t>
    <phoneticPr fontId="1"/>
  </si>
  <si>
    <t>売気配(5,744) 買気配(5,743)</t>
    <phoneticPr fontId="1"/>
  </si>
  <si>
    <t>#5807</t>
    <phoneticPr fontId="1"/>
  </si>
  <si>
    <t>2026/08/14 10:13:23</t>
    <phoneticPr fontId="1"/>
  </si>
  <si>
    <t>売気配(5,717) 買気配(5,715)</t>
    <phoneticPr fontId="1"/>
  </si>
  <si>
    <t>#5808</t>
    <phoneticPr fontId="1"/>
  </si>
  <si>
    <t>2026/08/14 10:14:27</t>
    <phoneticPr fontId="1"/>
  </si>
  <si>
    <t>売気配(3,812) 買気配(3,810)</t>
    <phoneticPr fontId="1"/>
  </si>
  <si>
    <t>#5809</t>
    <phoneticPr fontId="1"/>
  </si>
  <si>
    <t>2026/08/14 10:15:23</t>
    <phoneticPr fontId="1"/>
  </si>
  <si>
    <t>売気配(5,700) 買気配(5,696)</t>
    <phoneticPr fontId="1"/>
  </si>
  <si>
    <t>#5810</t>
    <phoneticPr fontId="1"/>
  </si>
  <si>
    <t>2026/08/14 10:16:55</t>
    <phoneticPr fontId="1"/>
  </si>
  <si>
    <t>売気配(5,692) 買気配(5,690)</t>
    <phoneticPr fontId="1"/>
  </si>
  <si>
    <t>#5811</t>
    <phoneticPr fontId="1"/>
  </si>
  <si>
    <t>2026/08/14 10:19:32</t>
    <phoneticPr fontId="1"/>
  </si>
  <si>
    <t>売気配(3,822) 買気配(3,821)</t>
    <phoneticPr fontId="1"/>
  </si>
  <si>
    <t>#5812</t>
    <phoneticPr fontId="1"/>
  </si>
  <si>
    <t>2026/08/14 10:21:25</t>
    <phoneticPr fontId="1"/>
  </si>
  <si>
    <t>売気配(5,723) 買気配(5,721)</t>
    <phoneticPr fontId="1"/>
  </si>
  <si>
    <t>#5813</t>
    <phoneticPr fontId="1"/>
  </si>
  <si>
    <t>2026/08/14 10:21:39</t>
    <phoneticPr fontId="1"/>
  </si>
  <si>
    <t>売気配(3,840) 買気配(3,839)</t>
    <phoneticPr fontId="1"/>
  </si>
  <si>
    <t>#5814</t>
    <phoneticPr fontId="1"/>
  </si>
  <si>
    <t>2026/08/14 10:29:25</t>
    <phoneticPr fontId="1"/>
  </si>
  <si>
    <t>売気配(1,785) 買気配(1,783)</t>
    <phoneticPr fontId="1"/>
  </si>
  <si>
    <t>#5815</t>
    <phoneticPr fontId="1"/>
  </si>
  <si>
    <t>2026/08/14 10:35:54</t>
    <phoneticPr fontId="1"/>
  </si>
  <si>
    <t>売気配(5,698) 買気配(5,697)</t>
    <phoneticPr fontId="1"/>
  </si>
  <si>
    <t>#5816</t>
    <phoneticPr fontId="1"/>
  </si>
  <si>
    <t>2026/08/14 10:36:59</t>
    <phoneticPr fontId="1"/>
  </si>
  <si>
    <t>売気配(5,688) 買気配(5,687)</t>
    <phoneticPr fontId="1"/>
  </si>
  <si>
    <t>#5817</t>
    <phoneticPr fontId="1"/>
  </si>
  <si>
    <t>2026/08/14 10:43:36</t>
    <phoneticPr fontId="1"/>
  </si>
  <si>
    <t>売気配(5,707) 買気配(5,706)</t>
    <phoneticPr fontId="1"/>
  </si>
  <si>
    <t>#5818</t>
    <phoneticPr fontId="1"/>
  </si>
  <si>
    <t>2026/08/14 10:44:36</t>
    <phoneticPr fontId="1"/>
  </si>
  <si>
    <t>売気配(5,703) 買気配(5,702)</t>
    <phoneticPr fontId="1"/>
  </si>
  <si>
    <t>#5819</t>
    <phoneticPr fontId="1"/>
  </si>
  <si>
    <t>2026/08/14 11:04:45</t>
    <phoneticPr fontId="1"/>
  </si>
  <si>
    <t>売気配(1,788) 買気配(1,785)</t>
    <phoneticPr fontId="1"/>
  </si>
  <si>
    <t>#5820</t>
    <phoneticPr fontId="1"/>
  </si>
  <si>
    <t>2026/08/14 11:05:22</t>
    <phoneticPr fontId="1"/>
  </si>
  <si>
    <t>売気配(5,680) 買気配(5,679)</t>
    <phoneticPr fontId="1"/>
  </si>
  <si>
    <t>#5821</t>
    <phoneticPr fontId="1"/>
  </si>
  <si>
    <t>2026/08/14 11:05:36</t>
    <phoneticPr fontId="1"/>
  </si>
  <si>
    <t>売気配(3,929) 買気配(3,928)</t>
    <phoneticPr fontId="1"/>
  </si>
  <si>
    <t>#5822</t>
    <phoneticPr fontId="1"/>
  </si>
  <si>
    <t>2026/08/14 11:09:20</t>
    <phoneticPr fontId="1"/>
  </si>
  <si>
    <t>売気配(3,858) 買気配(3,857)</t>
    <phoneticPr fontId="1"/>
  </si>
  <si>
    <t>#5823</t>
    <phoneticPr fontId="1"/>
  </si>
  <si>
    <t>2026/08/14 11:09:53</t>
    <phoneticPr fontId="1"/>
  </si>
  <si>
    <t>#5824</t>
    <phoneticPr fontId="1"/>
  </si>
  <si>
    <t>2026/08/14 11:10:57</t>
    <phoneticPr fontId="1"/>
  </si>
  <si>
    <t>売気配(3,857) 買気配(3,856)</t>
    <phoneticPr fontId="1"/>
  </si>
  <si>
    <t>#5825</t>
    <phoneticPr fontId="1"/>
  </si>
  <si>
    <t>2026/08/14 11:13:41</t>
    <phoneticPr fontId="1"/>
  </si>
  <si>
    <t>売気配(3,943) 買気配(3,942)</t>
    <phoneticPr fontId="1"/>
  </si>
  <si>
    <t>#5826</t>
    <phoneticPr fontId="1"/>
  </si>
  <si>
    <t>2026/08/14 11:15:24</t>
    <phoneticPr fontId="1"/>
  </si>
  <si>
    <t>売気配(3,954) 買気配(3,952)</t>
    <phoneticPr fontId="1"/>
  </si>
  <si>
    <t>#5827</t>
    <phoneticPr fontId="1"/>
  </si>
  <si>
    <t>2026/08/14 11:18:59</t>
    <phoneticPr fontId="1"/>
  </si>
  <si>
    <t>売気配(3,844) 買気配(3,843)</t>
    <phoneticPr fontId="1"/>
  </si>
  <si>
    <t>#5828</t>
    <phoneticPr fontId="1"/>
  </si>
  <si>
    <t>2026/08/14 11:20:50</t>
    <phoneticPr fontId="1"/>
  </si>
  <si>
    <t>売気配(3,841) 買気配(3,840)</t>
    <phoneticPr fontId="1"/>
  </si>
  <si>
    <t>#5829</t>
    <phoneticPr fontId="1"/>
  </si>
  <si>
    <t>2026/08/14 12:31:20</t>
    <phoneticPr fontId="1"/>
  </si>
  <si>
    <t>売気配(3,982) 買気配(3,981)</t>
    <phoneticPr fontId="1"/>
  </si>
  <si>
    <t>#5830</t>
    <phoneticPr fontId="1"/>
  </si>
  <si>
    <t>2026/08/14 12:31:44</t>
    <phoneticPr fontId="1"/>
  </si>
  <si>
    <t>売気配(3,836) 買気配(3,835)</t>
    <phoneticPr fontId="1"/>
  </si>
  <si>
    <t>#5831</t>
    <phoneticPr fontId="1"/>
  </si>
  <si>
    <t>2026/08/14 12:32:14</t>
    <phoneticPr fontId="1"/>
  </si>
  <si>
    <t>売気配(3,833) 買気配(3,832)</t>
    <phoneticPr fontId="1"/>
  </si>
  <si>
    <t>#5832</t>
    <phoneticPr fontId="1"/>
  </si>
  <si>
    <t>2026/08/14 12:33:35</t>
    <phoneticPr fontId="1"/>
  </si>
  <si>
    <t>売気配(3,965) 買気配(3,963)</t>
    <phoneticPr fontId="1"/>
  </si>
  <si>
    <t>#5833</t>
    <phoneticPr fontId="1"/>
  </si>
  <si>
    <t>2026/08/14 12:35:40</t>
    <phoneticPr fontId="1"/>
  </si>
  <si>
    <t>売気配(3,832) 買気配(3,831)</t>
    <phoneticPr fontId="1"/>
  </si>
  <si>
    <t>#5834</t>
    <phoneticPr fontId="1"/>
  </si>
  <si>
    <t>2026/08/14 12:36:03</t>
    <phoneticPr fontId="1"/>
  </si>
  <si>
    <t>2026/08/14 12:36:04</t>
    <phoneticPr fontId="1"/>
  </si>
  <si>
    <t>売気配(5,653) 買気配(5,652)</t>
    <phoneticPr fontId="1"/>
  </si>
  <si>
    <t>#5835</t>
    <phoneticPr fontId="1"/>
  </si>
  <si>
    <t>2026/08/14 12:36:21</t>
    <phoneticPr fontId="1"/>
  </si>
  <si>
    <t>#5836</t>
    <phoneticPr fontId="1"/>
  </si>
  <si>
    <t>2026/08/14 12:39:25</t>
    <phoneticPr fontId="1"/>
  </si>
  <si>
    <t>売気配(3,828) 買気配(3,827)</t>
    <phoneticPr fontId="1"/>
  </si>
  <si>
    <t>#5837</t>
    <phoneticPr fontId="1"/>
  </si>
  <si>
    <t>ＩＨＩ</t>
    <phoneticPr fontId="1"/>
  </si>
  <si>
    <t>2026/08/14 12:41:54</t>
    <phoneticPr fontId="1"/>
  </si>
  <si>
    <t>2026/08/14 12:41:55</t>
    <phoneticPr fontId="1"/>
  </si>
  <si>
    <t>売気配(3,038) 買気配(3,036)</t>
    <phoneticPr fontId="1"/>
  </si>
  <si>
    <t>#5838</t>
    <phoneticPr fontId="1"/>
  </si>
  <si>
    <t>2026/08/14 12:43:03</t>
    <phoneticPr fontId="1"/>
  </si>
  <si>
    <t>売気配(3,823) 買気配(3,822)</t>
    <phoneticPr fontId="1"/>
  </si>
  <si>
    <t>#5839</t>
    <phoneticPr fontId="1"/>
  </si>
  <si>
    <t>2026/08/14 12:46:34</t>
    <phoneticPr fontId="1"/>
  </si>
  <si>
    <t>売気配(3,947) 買気配(3,946)</t>
    <phoneticPr fontId="1"/>
  </si>
  <si>
    <t>#5840</t>
    <phoneticPr fontId="1"/>
  </si>
  <si>
    <t>2026/08/14 12:47:09</t>
    <phoneticPr fontId="1"/>
  </si>
  <si>
    <t>売気配(5,655) 買気配(5,654)</t>
    <phoneticPr fontId="1"/>
  </si>
  <si>
    <t>#5841</t>
    <phoneticPr fontId="1"/>
  </si>
  <si>
    <t>2026/08/14 12:49:35</t>
    <phoneticPr fontId="1"/>
  </si>
  <si>
    <t>売気配(5,645) 買気配(5,644)</t>
    <phoneticPr fontId="1"/>
  </si>
  <si>
    <t>#5842</t>
    <phoneticPr fontId="1"/>
  </si>
  <si>
    <t>2026/08/14 12:49:48</t>
    <phoneticPr fontId="1"/>
  </si>
  <si>
    <t>#5843</t>
    <phoneticPr fontId="1"/>
  </si>
  <si>
    <t>2026/08/14 12:52:13</t>
    <phoneticPr fontId="1"/>
  </si>
  <si>
    <t>売気配(3,032) 買気配(3,031)</t>
    <phoneticPr fontId="1"/>
  </si>
  <si>
    <t>#5844</t>
    <phoneticPr fontId="1"/>
  </si>
  <si>
    <t>2026/08/14 14:51:22</t>
    <phoneticPr fontId="1"/>
  </si>
  <si>
    <t>2026/08/14 14:51:23</t>
    <phoneticPr fontId="1"/>
  </si>
  <si>
    <t>売気配(3,798) 買気配(3,797)</t>
    <phoneticPr fontId="1"/>
  </si>
  <si>
    <t>#5845</t>
    <phoneticPr fontId="1"/>
  </si>
  <si>
    <t>2026/08/14 14:54:12</t>
    <phoneticPr fontId="1"/>
  </si>
  <si>
    <t>売気配(3,802) 買気配(3,801)</t>
    <phoneticPr fontId="1"/>
  </si>
  <si>
    <t>#5846</t>
    <phoneticPr fontId="1"/>
  </si>
  <si>
    <t>2026/08/14 14:55:34</t>
    <phoneticPr fontId="1"/>
  </si>
  <si>
    <t>売気配(5,715) 買気配(5,713)</t>
    <phoneticPr fontId="1"/>
  </si>
  <si>
    <t>#5847</t>
    <phoneticPr fontId="1"/>
  </si>
  <si>
    <t>2026/08/14 15:00:08</t>
    <phoneticPr fontId="1"/>
  </si>
  <si>
    <t>売気配(5,722) 買気配(5,721)</t>
    <phoneticPr fontId="1"/>
  </si>
  <si>
    <t>#5848</t>
    <phoneticPr fontId="1"/>
  </si>
  <si>
    <t>2026/08/14 15:00:29</t>
    <phoneticPr fontId="1"/>
  </si>
  <si>
    <t>売気配(5,723) 買気配(5,722)</t>
    <phoneticPr fontId="1"/>
  </si>
  <si>
    <t>#5849</t>
    <phoneticPr fontId="1"/>
  </si>
  <si>
    <t>2026/08/14 15:03:48</t>
    <phoneticPr fontId="1"/>
  </si>
  <si>
    <t>売気配(5,706) 買気配(5,705)</t>
    <phoneticPr fontId="1"/>
  </si>
  <si>
    <t>#5850</t>
    <phoneticPr fontId="1"/>
  </si>
  <si>
    <t>2026/08/14 15:04:07</t>
    <phoneticPr fontId="1"/>
  </si>
  <si>
    <t>売気配(5,701) 買気配(5,700)</t>
    <phoneticPr fontId="1"/>
  </si>
  <si>
    <t>#5851</t>
    <phoneticPr fontId="1"/>
  </si>
  <si>
    <t>2026/08/14 15:08:59</t>
    <phoneticPr fontId="1"/>
  </si>
  <si>
    <t>売気配(1,277) 買気配(1,276.5)</t>
    <phoneticPr fontId="1"/>
  </si>
  <si>
    <t>#5852</t>
    <phoneticPr fontId="1"/>
  </si>
  <si>
    <t>2026/08/14 15:12:44</t>
    <phoneticPr fontId="1"/>
  </si>
  <si>
    <t>2026/08/14 15:12:45</t>
    <phoneticPr fontId="1"/>
  </si>
  <si>
    <t>売気配(3,803) 買気配(3,802)</t>
    <phoneticPr fontId="1"/>
  </si>
  <si>
    <t>#5853</t>
    <phoneticPr fontId="1"/>
  </si>
  <si>
    <t>2026/08/14 15:14:02</t>
    <phoneticPr fontId="1"/>
  </si>
  <si>
    <t>売気配(3,799) 買気配(3,798)</t>
    <phoneticPr fontId="1"/>
  </si>
  <si>
    <t>#5854</t>
    <phoneticPr fontId="1"/>
  </si>
  <si>
    <t>2026/08/14 17:11:03</t>
    <phoneticPr fontId="1"/>
  </si>
  <si>
    <t>17:15:56</t>
  </si>
  <si>
    <t>#5855</t>
  </si>
  <si>
    <t>#5855</t>
    <phoneticPr fontId="1"/>
  </si>
  <si>
    <t>2026/08/14 17:15:56</t>
  </si>
  <si>
    <t>2026/08/14 17:15:56</t>
    <phoneticPr fontId="1"/>
  </si>
  <si>
    <t>17:58:01</t>
  </si>
  <si>
    <t>#5856</t>
  </si>
  <si>
    <t>2026/08/14 17:58:01</t>
  </si>
  <si>
    <t>2026/08/14 09:47:06</t>
    <phoneticPr fontId="1"/>
  </si>
  <si>
    <t>2026/08/14 10:04:34</t>
    <phoneticPr fontId="1"/>
  </si>
  <si>
    <t>2026/08/14 10:46:01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</si>
  <si>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</si>
  <si>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</si>
  <si>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</si>
  <si>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</si>
  <si>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</si>
  <si>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</si>
  <si>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</si>
  <si>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</si>
  <si>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</si>
  <si>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</si>
  <si>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</si>
  <si>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</si>
  <si>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</si>
  <si>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</si>
  <si>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</si>
  <si>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</si>
  <si>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</si>
  <si>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CA</t>
  </si>
  <si>
    <t>NISA</t>
  </si>
  <si>
    <t>三井金属</t>
  </si>
  <si>
    <t>フジクラ</t>
  </si>
  <si>
    <t>ジェイ・イー・テ</t>
  </si>
  <si>
    <t>決算</t>
  </si>
  <si>
    <t>富士通</t>
  </si>
  <si>
    <t>アドバンテスト</t>
  </si>
  <si>
    <t>レーザーテック</t>
  </si>
  <si>
    <t>村田製作所</t>
  </si>
  <si>
    <t>任　天　堂</t>
  </si>
  <si>
    <t>イオン</t>
  </si>
  <si>
    <t>285A</t>
    <phoneticPr fontId="1"/>
  </si>
  <si>
    <t>キオクシアホールディングス</t>
    <phoneticPr fontId="1"/>
  </si>
  <si>
    <t>CA</t>
    <phoneticPr fontId="1"/>
  </si>
  <si>
    <t>NISA</t>
    <phoneticPr fontId="1"/>
  </si>
  <si>
    <t>RssPositionList($A$2:$R$2, "", "A")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</si>
  <si>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</si>
  <si>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</si>
  <si>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</si>
  <si>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</si>
  <si>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前日比率</t>
    <phoneticPr fontId="1"/>
  </si>
  <si>
    <t>始値</t>
    <phoneticPr fontId="1"/>
  </si>
  <si>
    <t>安値</t>
    <phoneticPr fontId="1"/>
  </si>
  <si>
    <t>出来高</t>
    <phoneticPr fontId="1"/>
  </si>
  <si>
    <t>RssMarketDes</t>
    <phoneticPr fontId="1"/>
  </si>
  <si>
    <t>国内株式銘柄情報</t>
    <rPh sb="0" eb="2">
      <t>コクナイ</t>
    </rPh>
    <rPh sb="2" eb="4">
      <t>カブシキ</t>
    </rPh>
    <rPh sb="4" eb="6">
      <t>メイガラ</t>
    </rPh>
    <rPh sb="6" eb="8">
      <t>ジョウホウ</t>
    </rPh>
    <phoneticPr fontId="1"/>
  </si>
  <si>
    <t>指定した国内株式の銘柄情報を表示します</t>
    <rPh sb="9" eb="11">
      <t>メイガラ</t>
    </rPh>
    <rPh sb="11" eb="13">
      <t>ジョウホウ</t>
    </rPh>
    <rPh sb="14" eb="16">
      <t>ヒョウジ</t>
    </rPh>
    <phoneticPr fontId="1"/>
  </si>
  <si>
    <t>売買単位</t>
  </si>
  <si>
    <t>制限値幅下限</t>
  </si>
  <si>
    <t>制限値幅上限</t>
  </si>
  <si>
    <t>制限値幅下限</t>
    <phoneticPr fontId="1"/>
  </si>
  <si>
    <t>始値</t>
  </si>
  <si>
    <t>高値</t>
  </si>
  <si>
    <t>安値</t>
  </si>
  <si>
    <t>出来高</t>
  </si>
  <si>
    <t>Order</t>
  </si>
  <si>
    <t>#0001</t>
  </si>
  <si>
    <t>約定</t>
  </si>
  <si>
    <t>DEBUG</t>
  </si>
  <si>
    <t>信用新規</t>
  </si>
  <si>
    <t>1日</t>
  </si>
  <si>
    <t>売付</t>
  </si>
  <si>
    <t>信用返済</t>
  </si>
  <si>
    <t>足種</t>
  </si>
  <si>
    <t>日付</t>
  </si>
  <si>
    <t>時刻</t>
  </si>
  <si>
    <t>終値</t>
  </si>
  <si>
    <t>東証</t>
  </si>
  <si>
    <t>5M</t>
  </si>
  <si>
    <t>2026/08/26</t>
  </si>
  <si>
    <t>12:40</t>
  </si>
  <si>
    <t>12:45</t>
  </si>
  <si>
    <t>12:50</t>
  </si>
  <si>
    <t>12:55</t>
  </si>
  <si>
    <t>13:00</t>
  </si>
  <si>
    <t>13:05</t>
  </si>
  <si>
    <t>13:10</t>
  </si>
  <si>
    <t>13:15</t>
  </si>
  <si>
    <t>13:20</t>
  </si>
  <si>
    <t>13:25</t>
  </si>
  <si>
    <t>13:30</t>
  </si>
  <si>
    <t>13:35</t>
  </si>
  <si>
    <t>13:40</t>
  </si>
  <si>
    <t>13:45</t>
  </si>
  <si>
    <t>13:50</t>
  </si>
  <si>
    <t>13:55</t>
  </si>
  <si>
    <t>14:00</t>
  </si>
  <si>
    <t>14:05</t>
  </si>
  <si>
    <t>14:10</t>
  </si>
  <si>
    <t>14:15</t>
  </si>
  <si>
    <t>14:20</t>
  </si>
  <si>
    <t>14:25</t>
  </si>
  <si>
    <t>14:30</t>
  </si>
  <si>
    <t>14:35</t>
  </si>
  <si>
    <t>14:40</t>
  </si>
  <si>
    <t>14:45</t>
  </si>
  <si>
    <t>14:50</t>
  </si>
  <si>
    <t>14:55</t>
  </si>
  <si>
    <t>15:00</t>
  </si>
  <si>
    <t>15:05</t>
  </si>
  <si>
    <t>15:10</t>
  </si>
  <si>
    <t>15:15</t>
  </si>
  <si>
    <t>15:20</t>
  </si>
  <si>
    <t>15:25</t>
  </si>
  <si>
    <t>15:30</t>
  </si>
  <si>
    <t>2026/08/27</t>
  </si>
  <si>
    <t>09:00</t>
  </si>
  <si>
    <t>09:05</t>
  </si>
  <si>
    <t>09:10</t>
  </si>
  <si>
    <t>09:15</t>
  </si>
  <si>
    <t>09:20</t>
  </si>
  <si>
    <t>09:25</t>
  </si>
  <si>
    <t>09:30</t>
  </si>
  <si>
    <t>09:35</t>
  </si>
  <si>
    <t>09:40</t>
  </si>
  <si>
    <t>09:45</t>
  </si>
  <si>
    <t>09:50</t>
  </si>
  <si>
    <t>09:55</t>
  </si>
  <si>
    <t>10:00</t>
  </si>
  <si>
    <t>10:05</t>
  </si>
  <si>
    <t>10:10</t>
  </si>
  <si>
    <t>10:15</t>
  </si>
  <si>
    <t>10:20</t>
  </si>
  <si>
    <t>10:25</t>
  </si>
  <si>
    <t>10:30</t>
  </si>
  <si>
    <t>10:35</t>
  </si>
  <si>
    <t>10:40</t>
  </si>
  <si>
    <t>10:45</t>
  </si>
  <si>
    <t>10:50</t>
  </si>
  <si>
    <t>10:55</t>
  </si>
  <si>
    <t>11:00</t>
  </si>
  <si>
    <t>11:05</t>
  </si>
  <si>
    <t>11:10</t>
  </si>
  <si>
    <t>11:15</t>
  </si>
  <si>
    <t>11:20</t>
  </si>
  <si>
    <t>11:25</t>
  </si>
  <si>
    <t>11:30</t>
  </si>
  <si>
    <t>12:30</t>
  </si>
  <si>
    <t>12:35</t>
  </si>
  <si>
    <t>2026/08/18</t>
  </si>
  <si>
    <t>2026/08/19</t>
  </si>
  <si>
    <t>2026/08/20</t>
  </si>
  <si>
    <t>2026/08/21</t>
  </si>
  <si>
    <t>2026/08/24</t>
  </si>
  <si>
    <t>2026/08/25</t>
  </si>
  <si>
    <t>2026/08/27</t>
    <phoneticPr fontId="1"/>
  </si>
  <si>
    <t>15:20</t>
    <phoneticPr fontId="1"/>
  </si>
  <si>
    <t>2026/08/06</t>
  </si>
  <si>
    <t>2026/08/07</t>
  </si>
  <si>
    <t>2026/08/10</t>
  </si>
  <si>
    <t>2026/08/12</t>
  </si>
  <si>
    <t>2026/08/13</t>
  </si>
  <si>
    <t>2026/08/17</t>
  </si>
  <si>
    <t>2026/08/03</t>
  </si>
  <si>
    <t>2026/08/04</t>
  </si>
  <si>
    <t>2026/08/05</t>
  </si>
  <si>
    <t>ＱＤレーザ</t>
  </si>
  <si>
    <t>2026/07/27</t>
  </si>
  <si>
    <t>2026/07/28</t>
  </si>
  <si>
    <t>2026/07/29</t>
  </si>
  <si>
    <t>2026/07/30</t>
  </si>
  <si>
    <t>2026/07/31</t>
  </si>
  <si>
    <t>RssChart($A$2:$J$2, "6613.T", "5M", 1500)</t>
    <phoneticPr fontId="1"/>
  </si>
  <si>
    <t>5M</t>
    <phoneticPr fontId="1"/>
  </si>
  <si>
    <t>2026/07/27</t>
    <phoneticPr fontId="1"/>
  </si>
  <si>
    <t>15:05</t>
    <phoneticPr fontId="1"/>
  </si>
  <si>
    <t>15:10</t>
    <phoneticPr fontId="1"/>
  </si>
  <si>
    <t>15:15</t>
    <phoneticPr fontId="1"/>
  </si>
  <si>
    <t>15:25</t>
    <phoneticPr fontId="1"/>
  </si>
  <si>
    <t>15:30</t>
    <phoneticPr fontId="1"/>
  </si>
  <si>
    <t>2026/07/28</t>
    <phoneticPr fontId="1"/>
  </si>
  <si>
    <t>09:00</t>
    <phoneticPr fontId="1"/>
  </si>
  <si>
    <t>09:05</t>
    <phoneticPr fontId="1"/>
  </si>
  <si>
    <t>09:10</t>
    <phoneticPr fontId="1"/>
  </si>
  <si>
    <t>09:15</t>
    <phoneticPr fontId="1"/>
  </si>
  <si>
    <t>09:20</t>
    <phoneticPr fontId="1"/>
  </si>
  <si>
    <t>09:25</t>
    <phoneticPr fontId="1"/>
  </si>
  <si>
    <t>09:30</t>
    <phoneticPr fontId="1"/>
  </si>
  <si>
    <t>09:35</t>
    <phoneticPr fontId="1"/>
  </si>
  <si>
    <t>09:40</t>
    <phoneticPr fontId="1"/>
  </si>
  <si>
    <t>09:45</t>
    <phoneticPr fontId="1"/>
  </si>
  <si>
    <t>09:50</t>
    <phoneticPr fontId="1"/>
  </si>
  <si>
    <t>09:55</t>
    <phoneticPr fontId="1"/>
  </si>
  <si>
    <t>10:00</t>
    <phoneticPr fontId="1"/>
  </si>
  <si>
    <t>10:05</t>
    <phoneticPr fontId="1"/>
  </si>
  <si>
    <t>10:10</t>
    <phoneticPr fontId="1"/>
  </si>
  <si>
    <t>10:15</t>
    <phoneticPr fontId="1"/>
  </si>
  <si>
    <t>10:20</t>
    <phoneticPr fontId="1"/>
  </si>
  <si>
    <t>10:25</t>
    <phoneticPr fontId="1"/>
  </si>
  <si>
    <t>10:30</t>
    <phoneticPr fontId="1"/>
  </si>
  <si>
    <t>10:35</t>
    <phoneticPr fontId="1"/>
  </si>
  <si>
    <t>10:40</t>
    <phoneticPr fontId="1"/>
  </si>
  <si>
    <t>10:45</t>
    <phoneticPr fontId="1"/>
  </si>
  <si>
    <t>10:50</t>
    <phoneticPr fontId="1"/>
  </si>
  <si>
    <t>10:55</t>
    <phoneticPr fontId="1"/>
  </si>
  <si>
    <t>11:00</t>
    <phoneticPr fontId="1"/>
  </si>
  <si>
    <t>11:05</t>
    <phoneticPr fontId="1"/>
  </si>
  <si>
    <t>11:10</t>
    <phoneticPr fontId="1"/>
  </si>
  <si>
    <t>11:15</t>
    <phoneticPr fontId="1"/>
  </si>
  <si>
    <t>11:20</t>
    <phoneticPr fontId="1"/>
  </si>
  <si>
    <t>11:25</t>
    <phoneticPr fontId="1"/>
  </si>
  <si>
    <t>11:30</t>
    <phoneticPr fontId="1"/>
  </si>
  <si>
    <t>12:30</t>
    <phoneticPr fontId="1"/>
  </si>
  <si>
    <t>12:35</t>
    <phoneticPr fontId="1"/>
  </si>
  <si>
    <t>12:40</t>
    <phoneticPr fontId="1"/>
  </si>
  <si>
    <t>12:45</t>
    <phoneticPr fontId="1"/>
  </si>
  <si>
    <t>12:50</t>
    <phoneticPr fontId="1"/>
  </si>
  <si>
    <t>12:55</t>
    <phoneticPr fontId="1"/>
  </si>
  <si>
    <t>13:00</t>
    <phoneticPr fontId="1"/>
  </si>
  <si>
    <t>13:05</t>
    <phoneticPr fontId="1"/>
  </si>
  <si>
    <t>13:10</t>
    <phoneticPr fontId="1"/>
  </si>
  <si>
    <t>13:15</t>
    <phoneticPr fontId="1"/>
  </si>
  <si>
    <t>13:20</t>
    <phoneticPr fontId="1"/>
  </si>
  <si>
    <t>13:25</t>
    <phoneticPr fontId="1"/>
  </si>
  <si>
    <t>13:30</t>
    <phoneticPr fontId="1"/>
  </si>
  <si>
    <t>13:35</t>
    <phoneticPr fontId="1"/>
  </si>
  <si>
    <t>13:40</t>
    <phoneticPr fontId="1"/>
  </si>
  <si>
    <t>13:45</t>
    <phoneticPr fontId="1"/>
  </si>
  <si>
    <t>13:50</t>
    <phoneticPr fontId="1"/>
  </si>
  <si>
    <t>13:55</t>
    <phoneticPr fontId="1"/>
  </si>
  <si>
    <t>14:00</t>
    <phoneticPr fontId="1"/>
  </si>
  <si>
    <t>14:05</t>
    <phoneticPr fontId="1"/>
  </si>
  <si>
    <t>14:10</t>
    <phoneticPr fontId="1"/>
  </si>
  <si>
    <t>14:15</t>
    <phoneticPr fontId="1"/>
  </si>
  <si>
    <t>14:20</t>
    <phoneticPr fontId="1"/>
  </si>
  <si>
    <t>14:25</t>
    <phoneticPr fontId="1"/>
  </si>
  <si>
    <t>14:30</t>
    <phoneticPr fontId="1"/>
  </si>
  <si>
    <t>14:35</t>
    <phoneticPr fontId="1"/>
  </si>
  <si>
    <t>14:40</t>
    <phoneticPr fontId="1"/>
  </si>
  <si>
    <t>14:45</t>
    <phoneticPr fontId="1"/>
  </si>
  <si>
    <t>14:50</t>
    <phoneticPr fontId="1"/>
  </si>
  <si>
    <t>14:55</t>
    <phoneticPr fontId="1"/>
  </si>
  <si>
    <t>15:00</t>
    <phoneticPr fontId="1"/>
  </si>
  <si>
    <t>2026/07/29</t>
    <phoneticPr fontId="1"/>
  </si>
  <si>
    <t>2026/07/30</t>
    <phoneticPr fontId="1"/>
  </si>
  <si>
    <t>2026/07/31</t>
    <phoneticPr fontId="1"/>
  </si>
  <si>
    <t>2026/08/03</t>
    <phoneticPr fontId="1"/>
  </si>
  <si>
    <t>2026/08/04</t>
    <phoneticPr fontId="1"/>
  </si>
  <si>
    <t>2026/08/05</t>
    <phoneticPr fontId="1"/>
  </si>
  <si>
    <t>2026/08/06</t>
    <phoneticPr fontId="1"/>
  </si>
  <si>
    <t>2026/08/07</t>
    <phoneticPr fontId="1"/>
  </si>
  <si>
    <t>2026/08/10</t>
    <phoneticPr fontId="1"/>
  </si>
  <si>
    <t>2026/08/12</t>
    <phoneticPr fontId="1"/>
  </si>
  <si>
    <t>2026/08/13</t>
    <phoneticPr fontId="1"/>
  </si>
  <si>
    <t>2026/08/17</t>
    <phoneticPr fontId="1"/>
  </si>
  <si>
    <t>2026/08/18</t>
    <phoneticPr fontId="1"/>
  </si>
  <si>
    <t>2026/08/19</t>
    <phoneticPr fontId="1"/>
  </si>
  <si>
    <t>2026/08/20</t>
    <phoneticPr fontId="1"/>
  </si>
  <si>
    <t>2026/08/21</t>
    <phoneticPr fontId="1"/>
  </si>
  <si>
    <t>2026/08/24</t>
    <phoneticPr fontId="1"/>
  </si>
  <si>
    <t>2026/08/25</t>
    <phoneticPr fontId="1"/>
  </si>
  <si>
    <t>2026/08/26</t>
    <phoneticPr fontId="1"/>
  </si>
  <si>
    <t>RssChart($A$2:$J$2, "3436.T", "5M", 1500)</t>
    <phoneticPr fontId="1"/>
  </si>
  <si>
    <t>トヨタ自動車</t>
  </si>
  <si>
    <t>RssChart($A$2:$J$2, "7203.T", "5M", 1500)</t>
    <phoneticPr fontId="1"/>
  </si>
  <si>
    <t>時刻</t>
    <phoneticPr fontId="1"/>
  </si>
  <si>
    <t>約定値</t>
    <phoneticPr fontId="1"/>
  </si>
  <si>
    <t>15:30:00</t>
  </si>
  <si>
    <t>15:24:59</t>
  </si>
  <si>
    <t>15:24:58</t>
  </si>
  <si>
    <t>15:24:56</t>
  </si>
  <si>
    <t>15:24:55</t>
  </si>
  <si>
    <t>15:24:54</t>
  </si>
  <si>
    <t>15:24:53</t>
  </si>
  <si>
    <t>15:24:52</t>
  </si>
  <si>
    <t>15:24:48</t>
  </si>
  <si>
    <t>15:24:43</t>
  </si>
  <si>
    <t>15:24:42</t>
  </si>
  <si>
    <t>15:24:39</t>
  </si>
  <si>
    <t>15:24:38</t>
  </si>
  <si>
    <t>15:24:37</t>
  </si>
  <si>
    <t>15:24:36</t>
  </si>
  <si>
    <t>15:24:35</t>
  </si>
  <si>
    <t>15:24:34</t>
  </si>
  <si>
    <t>15:24:32</t>
  </si>
  <si>
    <t>15:24:31</t>
  </si>
  <si>
    <t>15:24:30</t>
  </si>
  <si>
    <t>15:24:29</t>
  </si>
  <si>
    <t>15:24:28</t>
  </si>
  <si>
    <t>15:24:27</t>
  </si>
  <si>
    <t>15:24:26</t>
  </si>
  <si>
    <t>15:24:25</t>
  </si>
  <si>
    <t>15:24:24</t>
  </si>
  <si>
    <t>15:24:23</t>
  </si>
  <si>
    <t>15:24:17</t>
  </si>
  <si>
    <t>15:24:15</t>
  </si>
  <si>
    <t>15:24:13</t>
  </si>
  <si>
    <t>15:24:12</t>
  </si>
  <si>
    <t>15:24:10</t>
  </si>
  <si>
    <t>15:24:09</t>
  </si>
  <si>
    <t>15:24:07</t>
  </si>
  <si>
    <t>15:24:06</t>
  </si>
  <si>
    <t>15:24:05</t>
  </si>
  <si>
    <t>15:24:04</t>
  </si>
  <si>
    <t>15:24:03</t>
  </si>
  <si>
    <t>15:24:02</t>
  </si>
  <si>
    <t>15:24:01</t>
  </si>
  <si>
    <t>15:24:00</t>
  </si>
  <si>
    <t>15:23:59</t>
  </si>
  <si>
    <t>15:23:57</t>
  </si>
  <si>
    <t>15:23:55</t>
  </si>
  <si>
    <t>15:23:54</t>
  </si>
  <si>
    <t>15:23:52</t>
  </si>
  <si>
    <t>15:23:51</t>
  </si>
  <si>
    <t>15:23:50</t>
  </si>
  <si>
    <t>15:23:49</t>
  </si>
  <si>
    <t>15:23:48</t>
  </si>
  <si>
    <t>15:23:47</t>
  </si>
  <si>
    <t>15:23:45</t>
  </si>
  <si>
    <t>15:23:43</t>
  </si>
  <si>
    <t>15:23:41</t>
  </si>
  <si>
    <t>15:23:39</t>
  </si>
  <si>
    <t>15:23:38</t>
  </si>
  <si>
    <t>15:23:36</t>
  </si>
  <si>
    <t>15:23:35</t>
  </si>
  <si>
    <t>15:23:34</t>
  </si>
  <si>
    <t>15:23:33</t>
  </si>
  <si>
    <t>15:23:32</t>
  </si>
  <si>
    <t>15:23:31</t>
  </si>
  <si>
    <t>15:23:30</t>
  </si>
  <si>
    <t>15:23:29</t>
  </si>
  <si>
    <t>15:23:26</t>
  </si>
  <si>
    <t>15:23:24</t>
  </si>
  <si>
    <t>15:23:23</t>
  </si>
  <si>
    <t>15:23:22</t>
  </si>
  <si>
    <t>15:23:21</t>
  </si>
  <si>
    <t>15:23:19</t>
  </si>
  <si>
    <t>15:23:18</t>
  </si>
  <si>
    <t>15:23:17</t>
  </si>
  <si>
    <t>15:23:16</t>
  </si>
  <si>
    <t>15:23:15</t>
  </si>
  <si>
    <t>15:23:14</t>
  </si>
  <si>
    <t>15:23:12</t>
  </si>
  <si>
    <t>15:23:11</t>
  </si>
  <si>
    <t>15:23:10</t>
  </si>
  <si>
    <t>15:23:06</t>
  </si>
  <si>
    <t>15:23:04</t>
  </si>
  <si>
    <t>15:23:02</t>
  </si>
  <si>
    <t>15:23:01</t>
  </si>
  <si>
    <t>15:23:00</t>
  </si>
  <si>
    <t>15:22:59</t>
  </si>
  <si>
    <t>15:22:57</t>
  </si>
  <si>
    <t>15:22:56</t>
  </si>
  <si>
    <t>15:22:54</t>
  </si>
  <si>
    <t>15:22:53</t>
  </si>
  <si>
    <t>15:22:52</t>
  </si>
  <si>
    <t>15:22:50</t>
  </si>
  <si>
    <t>15:22:48</t>
  </si>
  <si>
    <t>15:22:47</t>
  </si>
  <si>
    <t>15:22:45</t>
  </si>
  <si>
    <t>15:22:43</t>
  </si>
  <si>
    <t>15:22:41</t>
  </si>
  <si>
    <t>15:22:40</t>
  </si>
  <si>
    <t>15:22:39</t>
  </si>
  <si>
    <t>15:22:38</t>
  </si>
  <si>
    <t>15:22:36</t>
  </si>
  <si>
    <t>15:22:35</t>
  </si>
  <si>
    <t>15:22:34</t>
  </si>
  <si>
    <t>15:22:33</t>
  </si>
  <si>
    <t>15:22:32</t>
  </si>
  <si>
    <t>15:22:31</t>
  </si>
  <si>
    <t>15:22:30</t>
  </si>
  <si>
    <t>15:22:29</t>
  </si>
  <si>
    <t>15:22:28</t>
  </si>
  <si>
    <t>15:22:26</t>
  </si>
  <si>
    <t>15:22:25</t>
  </si>
  <si>
    <t>15:22:23</t>
  </si>
  <si>
    <t>15:22:22</t>
  </si>
  <si>
    <t>15:22:19</t>
  </si>
  <si>
    <t>15:22:18</t>
  </si>
  <si>
    <t>15:22:16</t>
  </si>
  <si>
    <t>15:22:15</t>
  </si>
  <si>
    <t>15:22:13</t>
  </si>
  <si>
    <t>15:22:12</t>
  </si>
  <si>
    <t>15:22:11</t>
  </si>
  <si>
    <t>15:22:10</t>
  </si>
  <si>
    <t>15:22:08</t>
  </si>
  <si>
    <t>15:22:07</t>
  </si>
  <si>
    <t>15:22:05</t>
  </si>
  <si>
    <t>15:22:02</t>
  </si>
  <si>
    <t>15:22:00</t>
  </si>
  <si>
    <t>15:21:57</t>
  </si>
  <si>
    <t>15:21:55</t>
  </si>
  <si>
    <t>15:21:54</t>
  </si>
  <si>
    <t>15:21:51</t>
  </si>
  <si>
    <t>15:21:46</t>
  </si>
  <si>
    <t>15:21:45</t>
  </si>
  <si>
    <t>15:21:44</t>
  </si>
  <si>
    <t>15:21:43</t>
  </si>
  <si>
    <t>15:21:42</t>
  </si>
  <si>
    <t>RssTickList($A$2:$C$2, "7203.T", 300)</t>
    <phoneticPr fontId="1"/>
  </si>
  <si>
    <t>2026/08/28</t>
  </si>
  <si>
    <t>2026/08/28</t>
    <phoneticPr fontId="1"/>
  </si>
  <si>
    <t>RssChart($A$2:$J$2, "8136.T", "5M", 1500)</t>
    <phoneticPr fontId="1"/>
  </si>
  <si>
    <t>売買</t>
    <phoneticPr fontId="1"/>
  </si>
  <si>
    <t>取引</t>
    <phoneticPr fontId="1"/>
  </si>
  <si>
    <t>約定数量</t>
    <phoneticPr fontId="1"/>
  </si>
  <si>
    <t>約定単価</t>
    <phoneticPr fontId="1"/>
  </si>
  <si>
    <t>発注/受注日時</t>
  </si>
  <si>
    <t>#6410</t>
    <phoneticPr fontId="1"/>
  </si>
  <si>
    <t>2026/09/02 09:03:02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</si>
  <si>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</si>
  <si>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</si>
  <si>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</si>
  <si>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売気配(2,459) 買気配(2,458.5)</t>
    <phoneticPr fontId="1"/>
  </si>
  <si>
    <t>2026/09/02 09:03:14</t>
    <phoneticPr fontId="1"/>
  </si>
  <si>
    <t>#9999</t>
  </si>
  <si>
    <t>買建</t>
  </si>
  <si>
    <t>源泉あり</t>
  </si>
  <si>
    <t>2026/09/04</t>
  </si>
  <si>
    <t>↓</t>
  </si>
  <si>
    <t>現在値詳細時刻</t>
    <phoneticPr fontId="1"/>
  </si>
  <si>
    <t>売埋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</si>
</sst>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vertical="top" wrapText="1"/>
    </xf>
    <xf numFmtId="14" fontId="0" fillId="0" borderId="0" xfId="0" quotePrefix="1" applyNumberFormat="1" applyAlignment="1">
      <alignment vertical="top"/>
    </xf>
    <xf numFmtId="21" fontId="0" fillId="0" borderId="0" xfId="0" quotePrefix="1" applyNumberFormat="1" applyAlignment="1">
      <alignment vertical="top"/>
    </xf>
    <xf numFmtId="22" fontId="0" fillId="0" borderId="0" xfId="0" quotePrefix="1" applyNumberFormat="1"/>
    <xf numFmtId="14" fontId="0" fillId="0" borderId="0" xfId="0" applyNumberFormat="1"/>
    <xf numFmtId="20" fontId="0" fillId="0" borderId="0" xfId="0" applyNumberForma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5eddedfd9474ddab3c875472b515dd2">
      <tp t="s">
        <v/>
        <stp/>
        <stp>Market</stp>
        <stp>STOCK</stp>
        <stp/>
        <stp>買成行数量</stp>
        <tr r="DW8" s="27"/>
      </tp>
      <tp t="s">
        <v/>
        <stp/>
        <stp>Market</stp>
        <stp>STOCK</stp>
        <stp/>
        <stp>信用倍率</stp>
        <tr r="BT8" s="27"/>
      </tp>
      <tp t="s">
        <v/>
        <stp/>
        <stp>Market</stp>
        <stp>STOCK</stp>
        <stp/>
        <stp>売成行数量</stp>
        <tr r="DV8" s="27"/>
      </tp>
      <tp>
        <v>-102600</v>
        <stp/>
        <stp>Market</stp>
        <stp>STOCK</stp>
        <stp>72030.T</stp>
        <stp>信用売残前週比</stp>
        <tr r="BQ7" s="27"/>
      </tp>
      <tp t="s">
        <v>15:30</v>
        <stp/>
        <stp>Market</stp>
        <stp>STOCK</stp>
        <stp>72030.T</stp>
        <stp>後場安値時刻</stp>
        <tr r="BB7" s="27"/>
      </tp>
      <tp t="s">
        <v>12:30</v>
        <stp/>
        <stp>Market</stp>
        <stp>STOCK</stp>
        <stp>72030.T</stp>
        <stp>後場始値時刻</stp>
        <tr r="AZ7" s="27"/>
      </tp>
      <tp t="s">
        <v>13:13</v>
        <stp/>
        <stp>Market</stp>
        <stp>STOCK</stp>
        <stp>72030.T</stp>
        <stp>後場高値時刻</stp>
        <tr r="BA7" s="27"/>
      </tp>
      <tp t="s">
        <v/>
        <stp/>
        <stp>Market</stp>
        <stp>STOCK</stp>
        <stp/>
        <stp>OVER気配数量</stp>
        <tr r="DX8" s="27"/>
      </tp>
      <tp>
        <v>-604500</v>
        <stp/>
        <stp>Market</stp>
        <stp>STOCK</stp>
        <stp>72030.T</stp>
        <stp>信用買残前週比</stp>
        <tr r="BS7" s="27"/>
      </tp>
      <tp>
        <v>100</v>
        <stp/>
        <stp>Market</stp>
        <stp>STOCK</stp>
        <stp>72030.T</stp>
        <stp>単位株数</stp>
        <tr r="DZ7" s="27"/>
      </tp>
      <tp t="s">
        <v/>
        <stp/>
        <stp>Market</stp>
        <stp>STOCK</stp>
        <stp/>
        <stp>信用売残</stp>
        <tr r="BP8" s="27"/>
      </tp>
      <tp>
        <v>13100</v>
        <stp/>
        <stp>Market</stp>
        <stp>STOCK</stp>
        <stp>72030.T</stp>
        <stp>最良買気配数量10</stp>
        <tr r="DU7" s="27"/>
      </tp>
      <tp t="s">
        <v>11:30</v>
        <stp/>
        <stp>Market</stp>
        <stp>STOCK</stp>
        <stp>72030.T</stp>
        <stp>前場終値時刻</stp>
        <tr r="AX7" s="27"/>
      </tp>
      <tp t="s">
        <v>10:31</v>
        <stp/>
        <stp>Market</stp>
        <stp>STOCK</stp>
        <stp>72030.T</stp>
        <stp>前場安値時刻</stp>
        <tr r="AW7" s="27"/>
      </tp>
      <tp t="s">
        <v>09:00</v>
        <stp/>
        <stp>Market</stp>
        <stp>STOCK</stp>
        <stp>72030.T</stp>
        <stp>前場始値時刻</stp>
        <tr r="AU7" s="27"/>
      </tp>
      <tp t="s">
        <v>09:00</v>
        <stp/>
        <stp>Market</stp>
        <stp>STOCK</stp>
        <stp>72030.T</stp>
        <stp>前場高値時刻</stp>
        <tr r="AV7" s="27"/>
      </tp>
      <tp t="s">
        <v/>
        <stp/>
        <stp>Market</stp>
        <stp>STOCK</stp>
        <stp/>
        <stp>現在値ティック</stp>
        <tr r="K8" s="27"/>
      </tp>
      <tp t="s">
        <v/>
        <stp/>
        <stp>Market</stp>
        <stp>STOCK</stp>
        <stp/>
        <stp>安値</stp>
        <tr r="AF8" s="27"/>
      </tp>
      <tp t="s">
        <v/>
        <stp/>
        <stp>Market</stp>
        <stp>STOCK</stp>
        <stp/>
        <stp>始値</stp>
        <tr r="AD8" s="27"/>
      </tp>
      <tp t="s">
        <v>09:00:00</v>
        <stp/>
        <stp>Market</stp>
        <stp>STOCK</stp>
        <stp>72030.T</stp>
        <stp>始値詳細時刻</stp>
        <tr r="AJ7" s="27"/>
      </tp>
      <tp t="s">
        <v/>
        <stp/>
        <stp>Market</stp>
        <stp>STOCK</stp>
        <stp/>
        <stp>後場始値</stp>
        <tr r="AR8" s="27"/>
      </tp>
      <tp t="s">
        <v/>
        <stp/>
        <stp>Market</stp>
        <stp>STOCK</stp>
        <stp/>
        <stp>前場始値</stp>
        <tr r="AM8" s="27"/>
      </tp>
      <tp>
        <v>3092</v>
        <stp/>
        <stp>Market</stp>
        <stp>STOCK</stp>
        <stp>72030.T</stp>
        <stp>歩み4</stp>
        <tr r="U7" s="27"/>
      </tp>
      <tp>
        <v>3091</v>
        <stp/>
        <stp>Market</stp>
        <stp>STOCK</stp>
        <stp>72030.T</stp>
        <stp>歩み1</stp>
        <tr r="R7" s="27"/>
      </tp>
      <tp>
        <v>3092</v>
        <stp/>
        <stp>Market</stp>
        <stp>STOCK</stp>
        <stp>72030.T</stp>
        <stp>歩み2</stp>
        <tr r="S7" s="27"/>
      </tp>
      <tp>
        <v>3090</v>
        <stp/>
        <stp>Market</stp>
        <stp>STOCK</stp>
        <stp>72030.T</stp>
        <stp>歩み3</stp>
        <tr r="T7" s="27"/>
      </tp>
      <tp t="s">
        <v>15:30:00</v>
        <stp/>
        <stp>Market</stp>
        <stp>STOCK</stp>
        <stp>72030.T</stp>
        <stp>安値詳細時刻</stp>
        <tr r="AL7" s="27"/>
      </tp>
      <tp t="s">
        <v/>
        <stp/>
        <stp>Market</stp>
        <stp>STOCK</stp>
        <stp/>
        <stp>年初来安値</stp>
        <tr r="EJ8" s="27"/>
      </tp>
      <tp t="s">
        <v/>
        <stp/>
        <stp>Market</stp>
        <stp>STOCK</stp>
        <stp/>
        <stp>上場来安値</stp>
        <tr r="EN8" s="27"/>
      </tp>
      <tp t="s">
        <v/>
        <stp/>
        <stp>Market</stp>
        <stp>STOCK</stp>
        <stp/>
        <stp>後場安値</stp>
        <tr r="AT8" s="27"/>
      </tp>
      <tp t="s">
        <v/>
        <stp/>
        <stp>Market</stp>
        <stp>STOCK</stp>
        <stp/>
        <stp>前場安値</stp>
        <tr r="AO8" s="27"/>
      </tp>
    </main>
    <main first="rtdsrv.75eddedfd9474ddab3c875472b515dd2">
      <tp t="s">
        <v/>
        <stp/>
        <stp>Market</stp>
        <stp>STOCK</stp>
        <stp/>
        <stp>市場名称</stp>
        <tr r="D8" s="27"/>
      </tp>
      <tp>
        <v>1</v>
        <stp/>
        <stp>Market</stp>
        <stp>STOCK</stp>
        <stp>72030.T</stp>
        <stp>信用貸借区分</stp>
        <tr r="BM7" s="27"/>
      </tp>
      <tp t="s">
        <v/>
        <stp/>
        <stp>Market</stp>
        <stp>STOCK</stp>
        <stp/>
        <stp>前日比</stp>
        <tr r="M8" s="27"/>
      </tp>
      <tp t="s">
        <v/>
        <stp/>
        <stp>MarketDes</stp>
        <stp>1818789254368,7,7,0,0</stp>
        <stp>9432</stp>
        <tr r="A8" s="20"/>
      </tp>
      <tp t="s">
        <v/>
        <stp/>
        <stp>MarketDes</stp>
        <stp>1818789254368,4,4,0,0</stp>
        <stp>3436</stp>
        <tr r="A5" s="20"/>
      </tp>
      <tp t="s">
        <v/>
        <stp/>
        <stp>MarketDes</stp>
        <stp>1818789254368,1,1,0,0</stp>
        <stp>7203</stp>
        <tr r="A2" s="20"/>
      </tp>
    </main>
    <main first="rtdsrv.75eddedfd9474ddab3c875472b515dd2">
      <tp>
        <v>10.1</v>
        <stp/>
        <stp>Market</stp>
        <stp>STOCK</stp>
        <stp>72030.T</stp>
        <stp>PER</stp>
        <tr r="EF7" s="27"/>
      </tp>
      <tp>
        <v>1</v>
        <stp/>
        <stp>Market</stp>
        <stp>STOCK</stp>
        <stp>72030.T</stp>
        <stp>PBR</stp>
        <tr r="EG7" s="27"/>
      </tp>
      <tp t="s">
        <v/>
        <stp/>
        <stp>Market</stp>
        <stp>STOCK</stp>
        <stp/>
        <stp>上場来高値日付</stp>
        <tr r="EO8" s="27"/>
      </tp>
      <tp t="s">
        <v/>
        <stp/>
        <stp>Market</stp>
        <stp>STOCK</stp>
        <stp/>
        <stp>上場来安値日付</stp>
        <tr r="EP8" s="27"/>
      </tp>
      <tp>
        <v>21</v>
        <stp/>
        <stp>Market</stp>
        <stp>STOCK</stp>
        <stp>72030.T</stp>
        <stp>上場来安値</stp>
        <tr r="EN7" s="27"/>
      </tp>
      <tp>
        <v>2686</v>
        <stp/>
        <stp>Market</stp>
        <stp>STOCK</stp>
        <stp>72030.T</stp>
        <stp>年初来安値</stp>
        <tr r="EJ7" s="27"/>
      </tp>
      <tp>
        <v>700</v>
        <stp/>
        <stp>Market</stp>
        <stp>STOCK</stp>
        <stp>72030.T</stp>
        <stp>新規融資</stp>
        <tr r="BW7" s="27"/>
      </tp>
      <tp t="s">
        <v/>
        <stp/>
        <stp>Market</stp>
        <stp>STOCK</stp>
        <stp/>
        <stp>残高融資</stp>
        <tr r="CA8" s="27"/>
      </tp>
      <tp t="s">
        <v>2026/02/09</v>
        <stp/>
        <stp>Market</stp>
        <stp>STOCK</stp>
        <stp>72030.T</stp>
        <stp>年初来高値日付</stp>
        <tr r="EK7" s="27"/>
      </tp>
      <tp t="s">
        <v>2026/06/24</v>
        <stp/>
        <stp>Market</stp>
        <stp>STOCK</stp>
        <stp>72030.T</stp>
        <stp>年初来安値日付</stp>
        <tr r="EL7" s="27"/>
      </tp>
      <tp>
        <v>0</v>
        <stp/>
        <stp>Market</stp>
        <stp>STOCK</stp>
        <stp>72030.T</stp>
        <stp>逆日歩</stp>
        <tr r="BN7" s="27"/>
      </tp>
      <tp t="s">
        <v/>
        <stp/>
        <stp>Market</stp>
        <stp>STOCK</stp>
        <stp/>
        <stp>残高貸株</stp>
        <tr r="BZ8" s="27"/>
      </tp>
      <tp>
        <v>0</v>
        <stp/>
        <stp>Market</stp>
        <stp>STOCK</stp>
        <stp>72030.T</stp>
        <stp>新規貸株</stp>
        <tr r="BV7" s="27"/>
      </tp>
      <tp>
        <v>8800</v>
        <stp/>
        <stp>Market</stp>
        <stp>STOCK</stp>
        <stp>72030.T</stp>
        <stp>最良買気配数量4</stp>
        <tr r="DO7" s="27"/>
      </tp>
      <tp>
        <v>11900</v>
        <stp/>
        <stp>Market</stp>
        <stp>STOCK</stp>
        <stp>72030.T</stp>
        <stp>最良買気配数量5</stp>
        <tr r="DP7" s="27"/>
      </tp>
      <tp>
        <v>31300</v>
        <stp/>
        <stp>Market</stp>
        <stp>STOCK</stp>
        <stp>72030.T</stp>
        <stp>最良買気配数量6</stp>
        <tr r="DQ7" s="27"/>
      </tp>
      <tp>
        <v>48100</v>
        <stp/>
        <stp>Market</stp>
        <stp>STOCK</stp>
        <stp>72030.T</stp>
        <stp>最良買気配数量7</stp>
        <tr r="DR7" s="27"/>
      </tp>
      <tp>
        <v>53800</v>
        <stp/>
        <stp>Market</stp>
        <stp>STOCK</stp>
        <stp>72030.T</stp>
        <stp>最良買気配数量1</stp>
        <tr r="DL7" s="27"/>
      </tp>
      <tp>
        <v>125300</v>
        <stp/>
        <stp>Market</stp>
        <stp>STOCK</stp>
        <stp>72030.T</stp>
        <stp>最良買気配数量2</stp>
        <tr r="DM7" s="27"/>
      </tp>
      <tp>
        <v>88100</v>
        <stp/>
        <stp>Market</stp>
        <stp>STOCK</stp>
        <stp>72030.T</stp>
        <stp>最良買気配数量3</stp>
        <tr r="DN7" s="27"/>
      </tp>
      <tp>
        <v>48100</v>
        <stp/>
        <stp>Market</stp>
        <stp>STOCK</stp>
        <stp>72030.T</stp>
        <stp>最良買気配数量8</stp>
        <tr r="DS7" s="27"/>
      </tp>
      <tp>
        <v>17700</v>
        <stp/>
        <stp>Market</stp>
        <stp>STOCK</stp>
        <stp>72030.T</stp>
        <stp>最良買気配数量9</stp>
        <tr r="DT7" s="27"/>
      </tp>
    </main>
    <main first="rtdsrv.75eddedfd9474ddab3c875472b515dd2">
      <tp t="s">
        <v/>
        <stp/>
        <stp>Market</stp>
        <stp>STOCK</stp>
        <stp/>
        <stp>前場終値</stp>
        <tr r="AP8" s="27"/>
      </tp>
      <tp t="s">
        <v/>
        <stp/>
        <stp>Market</stp>
        <stp>STOCK</stp>
        <stp/>
        <stp>特別買気配フラグ</stp>
        <tr r="BL8" s="27"/>
      </tp>
      <tp>
        <v>0</v>
        <stp/>
        <stp>Market</stp>
        <stp>STOCK</stp>
        <stp>72030.T</stp>
        <stp>買成行数量</stp>
        <tr r="DW7" s="27"/>
      </tp>
      <tp t="s">
        <v/>
        <stp/>
        <stp>Market</stp>
        <stp>STOCK</stp>
        <stp/>
        <stp>現在日付</stp>
        <tr r="G8" s="27"/>
      </tp>
      <tp>
        <v>0</v>
        <stp/>
        <stp>Market</stp>
        <stp>STOCK</stp>
        <stp>72030.T</stp>
        <stp>売成行数量</stp>
        <tr r="DV7" s="27"/>
      </tp>
      <tp t="s">
        <v>2026/09/04</v>
        <stp/>
        <stp>Market</stp>
        <stp>STOCK</stp>
        <stp>72030.T</stp>
        <stp>証金残更新日付</stp>
        <tr r="BU7" s="27"/>
      </tp>
      <tp t="s">
        <v/>
        <stp/>
        <stp>Market</stp>
        <stp>STOCK</stp>
        <stp/>
        <stp>貸借倍率</stp>
        <tr r="CG8" s="27"/>
      </tp>
      <tp t="s">
        <v/>
        <stp/>
        <stp>MarketDes</stp>
        <stp>1818789254368,10,10,0,0</stp>
        <stp>6758</stp>
        <tr r="A11" s="20"/>
      </tp>
      <tp t="s">
        <v/>
        <stp/>
        <stp>Market</stp>
        <stp>STOCK</stp>
        <stp/>
        <stp>安値時刻</stp>
        <tr r="AI8" s="27"/>
      </tp>
      <tp t="s">
        <v/>
        <stp/>
        <stp>Market</stp>
        <stp>STOCK</stp>
        <stp/>
        <stp>始値時刻</stp>
        <tr r="AG8" s="27"/>
      </tp>
      <tp t="s">
        <v/>
        <stp/>
        <stp>Market</stp>
        <stp>STOCK</stp>
        <stp/>
        <stp>高値時刻</stp>
        <tr r="AH8" s="27"/>
      </tp>
      <tp t="s">
        <v/>
        <stp/>
        <stp>Market</stp>
        <stp>STOCK</stp>
        <stp/>
        <stp>最良買気配数量10</stp>
        <tr r="DU8" s="27"/>
      </tp>
      <tp t="s">
        <v/>
        <stp/>
        <stp>Market</stp>
        <stp>STOCK</stp>
        <stp/>
        <stp>歩み1詳細時刻</stp>
        <tr r="V8" s="27"/>
      </tp>
      <tp t="s">
        <v/>
        <stp/>
        <stp>Market</stp>
        <stp>STOCK</stp>
        <stp/>
        <stp>歩み2詳細時刻</stp>
        <tr r="W8" s="27"/>
      </tp>
      <tp t="s">
        <v/>
        <stp/>
        <stp>Market</stp>
        <stp>STOCK</stp>
        <stp/>
        <stp>歩み3詳細時刻</stp>
        <tr r="X8" s="27"/>
      </tp>
      <tp t="s">
        <v/>
        <stp/>
        <stp>Market</stp>
        <stp>STOCK</stp>
        <stp/>
        <stp>歩み4詳細時刻</stp>
        <tr r="Y8" s="27"/>
      </tp>
      <tp>
        <v>3097</v>
        <stp/>
        <stp>Market</stp>
        <stp>STOCK</stp>
        <stp>72030.T</stp>
        <stp>最良売気配値10</stp>
        <tr r="CQ7" s="27"/>
      </tp>
      <tp t="s">
        <v/>
        <stp/>
        <stp>Market</stp>
        <stp>STOCK</stp>
        <stp/>
        <stp>出来高加重平均</stp>
        <tr r="AB8" s="27"/>
      </tp>
      <tp t="s">
        <v>15:24:56</v>
        <stp/>
        <stp>Market</stp>
        <stp>STOCK</stp>
        <stp>72030.T</stp>
        <stp>歩み4詳細時刻</stp>
        <tr r="Y7" s="27"/>
      </tp>
      <tp t="s">
        <v>15:24:58</v>
        <stp/>
        <stp>Market</stp>
        <stp>STOCK</stp>
        <stp>72030.T</stp>
        <stp>歩み1詳細時刻</stp>
        <tr r="V7" s="27"/>
      </tp>
      <tp t="s">
        <v>15:24:57</v>
        <stp/>
        <stp>Market</stp>
        <stp>STOCK</stp>
        <stp>72030.T</stp>
        <stp>歩み3詳細時刻</stp>
        <tr r="X7" s="27"/>
      </tp>
      <tp t="s">
        <v>15:24:57</v>
        <stp/>
        <stp>Market</stp>
        <stp>STOCK</stp>
        <stp>72030.T</stp>
        <stp>歩み2詳細時刻</stp>
        <tr r="W7" s="27"/>
      </tp>
      <tp>
        <v>3090</v>
        <stp/>
        <stp>Market</stp>
        <stp>STOCK</stp>
        <stp>72030.T</stp>
        <stp>後場始値</stp>
        <tr r="AR7" s="27"/>
      </tp>
      <tp>
        <v>3126</v>
        <stp/>
        <stp>Market</stp>
        <stp>STOCK</stp>
        <stp>72030.T</stp>
        <stp>前場始値</stp>
        <tr r="AM7" s="27"/>
      </tp>
      <tp t="s">
        <v/>
        <stp/>
        <stp>Market</stp>
        <stp>STOCK</stp>
        <stp/>
        <stp>始値詳細時刻</stp>
        <tr r="AJ8" s="27"/>
      </tp>
      <tp>
        <v>3095.5792000000001</v>
        <stp/>
        <stp>Market</stp>
        <stp>STOCK</stp>
        <stp>72030.T</stp>
        <stp>出来高加重平均</stp>
        <tr r="AB7" s="27"/>
      </tp>
      <tp>
        <v>3081</v>
        <stp/>
        <stp>Market</stp>
        <stp>STOCK</stp>
        <stp>72030.T</stp>
        <stp>後場安値</stp>
        <tr r="AT7" s="27"/>
      </tp>
      <tp>
        <v>3090</v>
        <stp/>
        <stp>Market</stp>
        <stp>STOCK</stp>
        <stp>72030.T</stp>
        <stp>前場安値</stp>
        <tr r="AO7" s="27"/>
      </tp>
      <tp t="s">
        <v/>
        <stp/>
        <stp>Market</stp>
        <stp>STOCK</stp>
        <stp/>
        <stp>安値詳細時刻</stp>
        <tr r="AL8" s="27"/>
      </tp>
      <tp>
        <v>3081</v>
        <stp/>
        <stp>Market</stp>
        <stp>STOCK</stp>
        <stp>72030.T</stp>
        <stp>安値</stp>
        <tr r="AF7" s="27"/>
      </tp>
      <tp>
        <v>-15900</v>
        <stp/>
        <stp>Market</stp>
        <stp>STOCK</stp>
        <stp>72030.T</stp>
        <stp>前日比貸株</stp>
        <tr r="CC7" s="27"/>
      </tp>
      <tp t="s">
        <v/>
        <stp/>
        <stp>Market</stp>
        <stp>STOCK</stp>
        <stp/>
        <stp>UNDER気配数量</stp>
        <tr r="DY8" s="27"/>
      </tp>
      <tp>
        <v>3126</v>
        <stp/>
        <stp>Market</stp>
        <stp>STOCK</stp>
        <stp>72030.T</stp>
        <stp>始値</stp>
        <tr r="AD7" s="27"/>
      </tp>
      <tp t="s">
        <v/>
        <stp/>
        <stp>Market</stp>
        <stp>STOCK</stp>
        <stp/>
        <stp>証金残更新日付</stp>
        <tr r="BU8" s="27"/>
      </tp>
      <tp t="s">
        <v>東証</v>
        <stp/>
        <stp>Market</stp>
        <stp>STOCK</stp>
        <stp>72030.T</stp>
        <stp>市場名称</stp>
        <tr r="D7" s="27"/>
      </tp>
      <tp>
        <v>5300</v>
        <stp/>
        <stp>Market</stp>
        <stp>STOCK</stp>
        <stp>72030.T</stp>
        <stp>最良売気配数量10</stp>
        <tr r="DK7" s="27"/>
      </tp>
      <tp t="s">
        <v/>
        <stp/>
        <stp>Market</stp>
        <stp>STOCK</stp>
        <stp/>
        <stp>信用貸借区分</stp>
        <tr r="BM8" s="27"/>
      </tp>
      <tp>
        <v>-31800</v>
        <stp/>
        <stp>Market</stp>
        <stp>STOCK</stp>
        <stp>72030.T</stp>
        <stp>前日比融資</stp>
        <tr r="CD7" s="27"/>
      </tp>
      <tp t="s">
        <v/>
        <stp/>
        <stp>Market</stp>
        <stp>STOCK</stp>
        <stp/>
        <stp>逆日歩</stp>
        <tr r="BN8" s="27"/>
      </tp>
      <tp>
        <v>5205400</v>
        <stp/>
        <stp>Market</stp>
        <stp>STOCK</stp>
        <stp>72030.T</stp>
        <stp>OVER気配数量</stp>
        <tr r="DX7" s="27"/>
      </tp>
      <tp t="s">
        <v/>
        <stp/>
        <stp>Market</stp>
        <stp>STOCK</stp>
        <stp/>
        <stp>後場安値時刻</stp>
        <tr r="BB8" s="27"/>
      </tp>
      <tp t="s">
        <v/>
        <stp/>
        <stp>Market</stp>
        <stp>STOCK</stp>
        <stp/>
        <stp>後場始値時刻</stp>
        <tr r="AZ8" s="27"/>
      </tp>
      <tp t="s">
        <v/>
        <stp/>
        <stp>Market</stp>
        <stp>STOCK</stp>
        <stp/>
        <stp>後場高値時刻</stp>
        <tr r="BA8" s="27"/>
      </tp>
      <tp>
        <v>7.19</v>
        <stp/>
        <stp>Market</stp>
        <stp>STOCK</stp>
        <stp>72030.T</stp>
        <stp>信用倍率</stp>
        <tr r="BT7" s="27"/>
      </tp>
      <tp t="s">
        <v/>
        <stp/>
        <stp>Market</stp>
        <stp>STOCK</stp>
        <stp/>
        <stp>年初来高値日付</stp>
        <tr r="EK8" s="27"/>
      </tp>
      <tp t="s">
        <v/>
        <stp/>
        <stp>Market</stp>
        <stp>STOCK</stp>
        <stp/>
        <stp>年初来安値日付</stp>
        <tr r="EL8" s="27"/>
      </tp>
      <tp t="s">
        <v>2021/09/28</v>
        <stp/>
        <stp>Market</stp>
        <stp>STOCK</stp>
        <stp>72030.T</stp>
        <stp>上場来高値日付</stp>
        <tr r="EO7" s="27"/>
      </tp>
      <tp t="s">
        <v>1950/06/01</v>
        <stp/>
        <stp>Market</stp>
        <stp>STOCK</stp>
        <stp>72030.T</stp>
        <stp>上場来安値日付</stp>
        <tr r="EP7" s="27"/>
      </tp>
      <tp t="s">
        <v/>
        <stp/>
        <stp>Market</stp>
        <stp>STOCK</stp>
        <stp/>
        <stp>単位株数</stp>
        <tr r="DZ8" s="27"/>
      </tp>
      <tp>
        <v>2343700</v>
        <stp/>
        <stp>Market</stp>
        <stp>STOCK</stp>
        <stp>72030.T</stp>
        <stp>信用売残</stp>
        <tr r="BP7" s="27"/>
      </tp>
      <tp t="s">
        <v/>
        <stp/>
        <stp>Market</stp>
        <stp>STOCK</stp>
        <stp/>
        <stp>前場終値時刻</stp>
        <tr r="AX8" s="27"/>
      </tp>
      <tp t="s">
        <v/>
        <stp/>
        <stp>Market</stp>
        <stp>STOCK</stp>
        <stp/>
        <stp>前場安値時刻</stp>
        <tr r="AW8" s="27"/>
      </tp>
      <tp t="s">
        <v/>
        <stp/>
        <stp>Market</stp>
        <stp>STOCK</stp>
        <stp/>
        <stp>前場始値時刻</stp>
        <tr r="AU8" s="27"/>
      </tp>
      <tp t="s">
        <v/>
        <stp/>
        <stp>Market</stp>
        <stp>STOCK</stp>
        <stp/>
        <stp>前場高値時刻</stp>
        <tr r="AV8" s="27"/>
      </tp>
      <tp t="s">
        <v>15:30</v>
        <stp/>
        <stp>Market</stp>
        <stp>STOCK</stp>
        <stp>72030.T</stp>
        <stp>現在値時刻</stp>
        <tr r="I7" s="27"/>
      </tp>
      <tp t="s">
        <v>2026/09/04</v>
        <stp/>
        <stp>Market</stp>
        <stp>STOCK</stp>
        <stp>72030.T</stp>
        <stp>現在日付</stp>
        <tr r="G7" s="27"/>
      </tp>
      <tp t="s">
        <v xml:space="preserve"> </v>
        <stp/>
        <stp>Market</stp>
        <stp>STOCK</stp>
        <stp>72030.T</stp>
        <stp>特別買気配フラグ</stp>
        <tr r="BL7" s="27"/>
      </tp>
      <tp t="s">
        <v/>
        <stp/>
        <stp>Market</stp>
        <stp>STOCK</stp>
        <stp/>
        <stp>PBR</stp>
        <tr r="EG8" s="27"/>
      </tp>
      <tp t="s">
        <v/>
        <stp/>
        <stp>Market</stp>
        <stp>STOCK</stp>
        <stp/>
        <stp>PER</stp>
        <tr r="EF8" s="27"/>
      </tp>
      <tp>
        <v>35.770000000000003</v>
        <stp/>
        <stp>Market</stp>
        <stp>STOCK</stp>
        <stp>72030.T</stp>
        <stp>貸借倍率</stp>
        <tr r="CG7" s="27"/>
      </tp>
      <tp>
        <v>3095</v>
        <stp/>
        <stp>Market</stp>
        <stp>STOCK</stp>
        <stp>72030.T</stp>
        <stp>前場終値</stp>
        <tr r="AP7" s="27"/>
      </tp>
      <tp>
        <v>-36</v>
        <stp/>
        <stp>Market</stp>
        <stp>STOCK</stp>
        <stp>72030.T</stp>
        <stp>前日比</stp>
        <tr r="M7" s="27"/>
      </tp>
      <tp t="s">
        <v/>
        <stp/>
        <stp>Market</stp>
        <stp>STOCK</stp>
        <stp/>
        <stp>歩み1</stp>
        <tr r="R8" s="27"/>
      </tp>
      <tp t="s">
        <v/>
        <stp/>
        <stp>Market</stp>
        <stp>STOCK</stp>
        <stp/>
        <stp>歩み3</stp>
        <tr r="T8" s="27"/>
      </tp>
      <tp t="s">
        <v/>
        <stp/>
        <stp>Market</stp>
        <stp>STOCK</stp>
        <stp/>
        <stp>歩み2</stp>
        <tr r="S8" s="27"/>
      </tp>
      <tp t="s">
        <v/>
        <stp/>
        <stp>Market</stp>
        <stp>STOCK</stp>
        <stp/>
        <stp>歩み4</stp>
        <tr r="U8" s="27"/>
      </tp>
      <tp t="s">
        <v/>
        <stp/>
        <stp>Market</stp>
        <stp>STOCK</stp>
        <stp/>
        <stp>現在値時刻</stp>
        <tr r="I8" s="27"/>
      </tp>
      <tp t="s">
        <v/>
        <stp/>
        <stp>Market</stp>
        <stp>STOCK</stp>
        <stp/>
        <stp>最良売気配値10</stp>
        <tr r="CQ8" s="27"/>
      </tp>
      <tp t="s">
        <v>15:30</v>
        <stp/>
        <stp>Market</stp>
        <stp>STOCK</stp>
        <stp>72030.T</stp>
        <stp>安値時刻</stp>
        <tr r="AI7" s="27"/>
      </tp>
      <tp t="s">
        <v>09:00</v>
        <stp/>
        <stp>Market</stp>
        <stp>STOCK</stp>
        <stp>72030.T</stp>
        <stp>始値時刻</stp>
        <tr r="AG7" s="27"/>
      </tp>
      <tp t="s">
        <v>09:00</v>
        <stp/>
        <stp>Market</stp>
        <stp>STOCK</stp>
        <stp>72030.T</stp>
        <stp>高値時刻</stp>
        <tr r="AH7" s="27"/>
      </tp>
      <tp t="s">
        <v/>
        <stp/>
        <stp>Market</stp>
        <stp>STOCK</stp>
        <stp/>
        <stp>新規融資</stp>
        <tr r="BW8" s="27"/>
      </tp>
      <tp>
        <v>3633900</v>
        <stp/>
        <stp>Market</stp>
        <stp>STOCK</stp>
        <stp>72030.T</stp>
        <stp>UNDER気配数量</stp>
        <tr r="DY7" s="27"/>
      </tp>
      <tp t="s">
        <v/>
        <stp/>
        <stp>Market</stp>
        <stp>STOCK</stp>
        <stp/>
        <stp>前日比貸株</stp>
        <tr r="CC8" s="27"/>
      </tp>
      <tp>
        <v>246800</v>
        <stp/>
        <stp>Market</stp>
        <stp>STOCK</stp>
        <stp>72030.T</stp>
        <stp>残高融資</stp>
        <tr r="CA7" s="27"/>
      </tp>
      <tp t="s">
        <v>↓</v>
        <stp/>
        <stp>Market</stp>
        <stp>STOCK</stp>
        <stp>72030.T</stp>
        <stp>現在値ティック</stp>
        <tr r="K7" s="27"/>
      </tp>
      <tp t="s">
        <v/>
        <stp/>
        <stp>Market</stp>
        <stp>STOCK</stp>
        <stp/>
        <stp>信用売残前週比</stp>
        <tr r="BQ8" s="27"/>
      </tp>
      <tp t="s">
        <v/>
        <stp/>
        <stp>Market</stp>
        <stp>STOCK</stp>
        <stp/>
        <stp>信用買残前週比</stp>
        <tr r="BS8" s="27"/>
      </tp>
      <tp t="s">
        <v/>
        <stp/>
        <stp>Market</stp>
        <stp>STOCK</stp>
        <stp/>
        <stp>最良売気配数量10</stp>
        <tr r="DK8" s="27"/>
      </tp>
      <tp>
        <v>6900</v>
        <stp/>
        <stp>Market</stp>
        <stp>STOCK</stp>
        <stp>72030.T</stp>
        <stp>残高貸株</stp>
        <tr r="BZ7" s="27"/>
      </tp>
      <tp t="s">
        <v/>
        <stp/>
        <stp>Market</stp>
        <stp>STOCK</stp>
        <stp/>
        <stp>前日比融資</stp>
        <tr r="CD8" s="27"/>
      </tp>
      <tp t="s">
        <v/>
        <stp/>
        <stp>Market</stp>
        <stp>STOCK</stp>
        <stp/>
        <stp>最良買気配数量1</stp>
        <tr r="DL8" s="27"/>
      </tp>
      <tp t="s">
        <v/>
        <stp/>
        <stp>Market</stp>
        <stp>STOCK</stp>
        <stp/>
        <stp>最良買気配数量3</stp>
        <tr r="DN8" s="27"/>
      </tp>
      <tp t="s">
        <v/>
        <stp/>
        <stp>Market</stp>
        <stp>STOCK</stp>
        <stp/>
        <stp>最良買気配数量2</stp>
        <tr r="DM8" s="27"/>
      </tp>
      <tp t="s">
        <v/>
        <stp/>
        <stp>Market</stp>
        <stp>STOCK</stp>
        <stp/>
        <stp>最良買気配数量5</stp>
        <tr r="DP8" s="27"/>
      </tp>
      <tp t="s">
        <v/>
        <stp/>
        <stp>Market</stp>
        <stp>STOCK</stp>
        <stp/>
        <stp>最良買気配数量4</stp>
        <tr r="DO8" s="27"/>
      </tp>
      <tp t="s">
        <v/>
        <stp/>
        <stp>Market</stp>
        <stp>STOCK</stp>
        <stp/>
        <stp>最良買気配数量7</stp>
        <tr r="DR8" s="27"/>
      </tp>
      <tp t="s">
        <v/>
        <stp/>
        <stp>Market</stp>
        <stp>STOCK</stp>
        <stp/>
        <stp>最良買気配数量6</stp>
        <tr r="DQ8" s="27"/>
      </tp>
      <tp t="s">
        <v/>
        <stp/>
        <stp>Market</stp>
        <stp>STOCK</stp>
        <stp/>
        <stp>最良買気配数量9</stp>
        <tr r="DT8" s="27"/>
      </tp>
      <tp t="s">
        <v/>
        <stp/>
        <stp>Market</stp>
        <stp>STOCK</stp>
        <stp/>
        <stp>最良買気配数量8</stp>
        <tr r="DS8" s="27"/>
      </tp>
      <tp t="s">
        <v/>
        <stp/>
        <stp>Market</stp>
        <stp>STOCK</stp>
        <stp/>
        <stp>新規貸株</stp>
        <tr r="BV8" s="27"/>
      </tp>
      <tp t="s">
        <v>2021/09/29</v>
        <stp/>
        <stp>Market</stp>
        <stp>STOCK</stp>
        <stp>72030.T</stp>
        <stp>権利落日</stp>
        <tr r="ED7" s="27"/>
      </tp>
      <tp t="s">
        <v>東Ｐ</v>
        <stp/>
        <stp>Market</stp>
        <stp>STOCK</stp>
        <stp>72030.T</stp>
        <stp>市場部略称</stp>
        <tr r="F7" s="27"/>
      </tp>
      <tp t="s">
        <v/>
        <stp/>
        <stp>Market</stp>
        <stp>STOCK</stp>
        <stp/>
        <stp>売買代金</stp>
        <tr r="AA8" s="27"/>
      </tp>
      <tp>
        <v>9535600</v>
        <stp/>
        <stp>Market</stp>
        <stp>STOCK</stp>
        <stp>72030.T</stp>
        <stp>前場出来高</stp>
        <tr r="AQ7" s="27"/>
      </tp>
      <tp t="s">
        <v>C</v>
        <stp/>
        <stp>Market</stp>
        <stp>STOCK</stp>
        <stp>72030.T</stp>
        <stp>前日終値フラグ</stp>
        <tr r="Q7" s="27"/>
      </tp>
      <tp t="s">
        <v/>
        <stp/>
        <stp>Market</stp>
        <stp>STOCK</stp>
        <stp/>
        <stp>高値詳細時刻</stp>
        <tr r="AK8" s="27"/>
      </tp>
      <tp>
        <v>3099</v>
        <stp/>
        <stp>Market</stp>
        <stp>STOCK</stp>
        <stp>72030.T</stp>
        <stp>後場高値</stp>
        <tr r="AS7" s="27"/>
      </tp>
      <tp>
        <v>3142</v>
        <stp/>
        <stp>Market</stp>
        <stp>STOCK</stp>
        <stp>72030.T</stp>
        <stp>前場高値</stp>
        <tr r="AN7" s="27"/>
      </tp>
      <tp t="s">
        <v>2026/09/07</v>
        <stp/>
        <stp>Market</stp>
        <stp>STOCK</stp>
        <stp>72030.T</stp>
        <stp>貸株金利適用日</stp>
        <tr r="ER7" s="27"/>
      </tp>
      <tp>
        <v>3142</v>
        <stp/>
        <stp>Market</stp>
        <stp>STOCK</stp>
        <stp>72030.T</stp>
        <stp>高値</stp>
        <tr r="AE7" s="27"/>
      </tp>
      <tp t="s">
        <v/>
        <stp/>
        <stp>Market</stp>
        <stp>STOCK</stp>
        <stp/>
        <stp>逆日歩更新日付</stp>
        <tr r="BO8" s="27"/>
      </tp>
      <tp>
        <v>3117</v>
        <stp/>
        <stp>Market</stp>
        <stp>STOCK</stp>
        <stp>72030.T</stp>
        <stp>当日基準値</stp>
        <tr r="EH7" s="27"/>
      </tp>
      <tp>
        <v>16853200</v>
        <stp/>
        <stp>Market</stp>
        <stp>STOCK</stp>
        <stp>72030.T</stp>
        <stp>信用買残</stp>
        <tr r="BR7" s="27"/>
      </tp>
      <tp t="s">
        <v>C</v>
        <stp/>
        <stp>Market</stp>
        <stp>STOCK</stp>
        <stp>72030.T</stp>
        <stp>現在値フラグ</stp>
        <tr r="L7" s="27"/>
      </tp>
      <tp>
        <v>100</v>
        <stp/>
        <stp>Market</stp>
        <stp>STOCK</stp>
        <stp>72030.T</stp>
        <stp>配当</stp>
        <tr r="EA7" s="27"/>
      </tp>
      <tp t="s">
        <v>15:30:00</v>
        <stp/>
        <stp>Market</stp>
        <stp>STOCK</stp>
        <stp>72030.T</stp>
        <stp>最良買気配詳細時刻</stp>
        <tr r="BJ7" s="27"/>
      </tp>
      <tp t="s">
        <v/>
        <stp/>
        <stp>Market</stp>
        <stp>STOCK</stp>
        <stp/>
        <stp>市場部名称</stp>
        <tr r="E8" s="27"/>
      </tp>
      <tp>
        <v>-15900</v>
        <stp/>
        <stp>Market</stp>
        <stp>STOCK</stp>
        <stp>72030.T</stp>
        <stp>前日比差引</stp>
        <tr r="CE7" s="27"/>
      </tp>
      <tp>
        <v>0.1</v>
        <stp/>
        <stp>Market</stp>
        <stp>STOCK</stp>
        <stp>72030.T</stp>
        <stp>貸株金利</stp>
        <tr r="EQ7" s="27"/>
      </tp>
      <tp t="s">
        <v/>
        <stp/>
        <stp>Market</stp>
        <stp>STOCK</stp>
        <stp/>
        <stp>現在値</stp>
        <tr r="H8" s="27"/>
      </tp>
      <tp t="s">
        <v/>
        <stp/>
        <stp>Market</stp>
        <stp>STOCK</stp>
        <stp/>
        <stp>最良売気配時刻</stp>
        <tr r="BG8" s="27"/>
      </tp>
      <tp t="s">
        <v/>
        <stp/>
        <stp>Market</stp>
        <stp>STOCK</stp>
        <stp/>
        <stp>最良買気配時刻</stp>
        <tr r="BH8" s="27"/>
      </tp>
      <tp t="s">
        <v/>
        <stp/>
        <stp>Market</stp>
        <stp>STOCK</stp>
        <stp/>
        <stp>前場出来高時刻</stp>
        <tr r="AY8" s="27"/>
      </tp>
      <tp t="s">
        <v/>
        <stp/>
        <stp>Market</stp>
        <stp>STOCK</stp>
        <stp/>
        <stp>最良買気配数量</stp>
        <tr r="BF8" s="27"/>
      </tp>
      <tp t="s">
        <v/>
        <stp/>
        <stp>Market</stp>
        <stp>STOCK</stp>
        <stp/>
        <stp>最良売気配数量</stp>
        <tr r="BE8" s="27"/>
      </tp>
      <tp>
        <v>7203</v>
        <stp/>
        <stp>Market</stp>
        <stp>STOCK</stp>
        <stp>72030.T</stp>
        <stp>銘柄コード</stp>
        <tr r="A7" s="27"/>
      </tp>
      <tp t="s">
        <v>T</v>
        <stp/>
        <stp>Market</stp>
        <stp>STOCK</stp>
        <stp>72030.T</stp>
        <stp>市場コード</stp>
        <tr r="B7" s="27"/>
      </tp>
      <tp t="s">
        <v>東証Ｐ</v>
        <stp/>
        <stp>Market</stp>
        <stp>STOCK</stp>
        <stp>72030.T</stp>
        <stp>市場部名称</stp>
        <tr r="E7" s="27"/>
      </tp>
      <tp t="s">
        <v/>
        <stp/>
        <stp>Market</stp>
        <stp>STOCK</stp>
        <stp/>
        <stp>前日比差引</stp>
        <tr r="CE8" s="27"/>
      </tp>
      <tp>
        <v>32500</v>
        <stp/>
        <stp>Market</stp>
        <stp>STOCK</stp>
        <stp>72030.T</stp>
        <stp>返済融資</stp>
        <tr r="BY7" s="27"/>
      </tp>
      <tp>
        <v>-1.1499999999999999</v>
        <stp/>
        <stp>Market</stp>
        <stp>STOCK</stp>
        <stp>72030.T</stp>
        <stp>前日比率</stp>
        <tr r="N7" s="27"/>
      </tp>
      <tp t="s">
        <v/>
        <stp/>
        <stp>Market</stp>
        <stp>STOCK</stp>
        <stp/>
        <stp>時価総額</stp>
        <tr r="AC8" s="27"/>
      </tp>
      <tp t="s">
        <v/>
        <stp/>
        <stp>Market</stp>
        <stp>STOCK</stp>
        <stp/>
        <stp>最良買気配詳細時刻</stp>
        <tr r="BJ8" s="27"/>
      </tp>
      <tp>
        <v>239900</v>
        <stp/>
        <stp>Market</stp>
        <stp>STOCK</stp>
        <stp>72030.T</stp>
        <stp>残高差引</stp>
        <tr r="CB7" s="27"/>
      </tp>
      <tp>
        <v>15900</v>
        <stp/>
        <stp>Market</stp>
        <stp>STOCK</stp>
        <stp>72030.T</stp>
        <stp>返済貸株</stp>
        <tr r="BX7" s="27"/>
      </tp>
      <tp t="s">
        <v/>
        <stp/>
        <stp>Market</stp>
        <stp>STOCK</stp>
        <stp/>
        <stp>銘柄コード</stp>
        <tr r="A8" s="27"/>
      </tp>
      <tp>
        <v>11.5</v>
        <stp/>
        <stp>Market</stp>
        <stp>STOCK</stp>
        <stp>72030.T</stp>
        <stp>回転日数</stp>
        <tr r="CF7" s="27"/>
      </tp>
      <tp t="s">
        <v/>
        <stp/>
        <stp>Market</stp>
        <stp>STOCK</stp>
        <stp/>
        <stp>市場コード</stp>
        <tr r="B8" s="27"/>
      </tp>
      <tp t="s">
        <v/>
        <stp/>
        <stp>Market</stp>
        <stp>STOCK</stp>
        <stp/>
        <stp>出来高</stp>
        <tr r="Z8" s="27"/>
      </tp>
      <tp t="s">
        <v>2026/09/03</v>
        <stp/>
        <stp>Market</stp>
        <stp>STOCK</stp>
        <stp>72030.T</stp>
        <stp>前日日付</stp>
        <tr r="P7" s="27"/>
      </tp>
      <tp t="s">
        <v/>
        <stp/>
        <stp>Market</stp>
        <stp>STOCK</stp>
        <stp/>
        <stp>最良売気配値7</stp>
        <tr r="CN8" s="27"/>
      </tp>
      <tp t="s">
        <v/>
        <stp/>
        <stp>Market</stp>
        <stp>STOCK</stp>
        <stp/>
        <stp>最良売気配値6</stp>
        <tr r="CM8" s="27"/>
      </tp>
      <tp t="s">
        <v/>
        <stp/>
        <stp>Market</stp>
        <stp>STOCK</stp>
        <stp/>
        <stp>最良売気配値5</stp>
        <tr r="CL8" s="27"/>
      </tp>
      <tp t="s">
        <v/>
        <stp/>
        <stp>Market</stp>
        <stp>STOCK</stp>
        <stp/>
        <stp>最良売気配値4</stp>
        <tr r="CK8" s="27"/>
      </tp>
      <tp t="s">
        <v/>
        <stp/>
        <stp>Market</stp>
        <stp>STOCK</stp>
        <stp/>
        <stp>最良売気配値3</stp>
        <tr r="CJ8" s="27"/>
      </tp>
      <tp t="s">
        <v/>
        <stp/>
        <stp>Market</stp>
        <stp>STOCK</stp>
        <stp/>
        <stp>最良売気配値2</stp>
        <tr r="CI8" s="27"/>
      </tp>
      <tp t="s">
        <v/>
        <stp/>
        <stp>Market</stp>
        <stp>STOCK</stp>
        <stp/>
        <stp>最良売気配値1</stp>
        <tr r="CH8" s="27"/>
      </tp>
      <tp t="s">
        <v/>
        <stp/>
        <stp>Market</stp>
        <stp>STOCK</stp>
        <stp/>
        <stp>最良売気配値9</stp>
        <tr r="CP8" s="27"/>
      </tp>
      <tp t="s">
        <v/>
        <stp/>
        <stp>Market</stp>
        <stp>STOCK</stp>
        <stp/>
        <stp>最良売気配値8</stp>
        <tr r="CO8" s="27"/>
      </tp>
      <tp t="s">
        <v/>
        <stp/>
        <stp>Market</stp>
        <stp>STOCK</stp>
        <stp/>
        <stp>最良売気配数量1</stp>
        <tr r="DB8" s="27"/>
      </tp>
      <tp t="s">
        <v/>
        <stp/>
        <stp>Market</stp>
        <stp>STOCK</stp>
        <stp/>
        <stp>最良売気配数量3</stp>
        <tr r="DD8" s="27"/>
      </tp>
      <tp t="s">
        <v/>
        <stp/>
        <stp>Market</stp>
        <stp>STOCK</stp>
        <stp/>
        <stp>最良売気配数量2</stp>
        <tr r="DC8" s="27"/>
      </tp>
      <tp t="s">
        <v/>
        <stp/>
        <stp>Market</stp>
        <stp>STOCK</stp>
        <stp/>
        <stp>最良売気配数量5</stp>
        <tr r="DF8" s="27"/>
      </tp>
      <tp t="s">
        <v/>
        <stp/>
        <stp>Market</stp>
        <stp>STOCK</stp>
        <stp/>
        <stp>最良売気配数量4</stp>
        <tr r="DE8" s="27"/>
      </tp>
      <tp t="s">
        <v/>
        <stp/>
        <stp>Market</stp>
        <stp>STOCK</stp>
        <stp/>
        <stp>最良売気配数量7</stp>
        <tr r="DH8" s="27"/>
      </tp>
      <tp t="s">
        <v/>
        <stp/>
        <stp>Market</stp>
        <stp>STOCK</stp>
        <stp/>
        <stp>最良売気配数量6</stp>
        <tr r="DG8" s="27"/>
      </tp>
      <tp t="s">
        <v/>
        <stp/>
        <stp>Market</stp>
        <stp>STOCK</stp>
        <stp/>
        <stp>最良売気配数量9</stp>
        <tr r="DJ8" s="27"/>
      </tp>
      <tp t="s">
        <v/>
        <stp/>
        <stp>Market</stp>
        <stp>STOCK</stp>
        <stp/>
        <stp>最良売気配数量8</stp>
        <tr r="DI8" s="27"/>
      </tp>
      <tp t="s">
        <v/>
        <stp/>
        <stp>Market</stp>
        <stp>STOCK</stp>
        <stp/>
        <stp>最良買気配値2</stp>
        <tr r="CS8" s="27"/>
      </tp>
      <tp t="s">
        <v/>
        <stp/>
        <stp>Market</stp>
        <stp>STOCK</stp>
        <stp/>
        <stp>最良買気配値3</stp>
        <tr r="CT8" s="27"/>
      </tp>
      <tp t="s">
        <v/>
        <stp/>
        <stp>Market</stp>
        <stp>STOCK</stp>
        <stp/>
        <stp>最良買気配値1</stp>
        <tr r="CR8" s="27"/>
      </tp>
      <tp t="s">
        <v/>
        <stp/>
        <stp>Market</stp>
        <stp>STOCK</stp>
        <stp/>
        <stp>最良買気配値6</stp>
        <tr r="CW8" s="27"/>
      </tp>
      <tp t="s">
        <v/>
        <stp/>
        <stp>Market</stp>
        <stp>STOCK</stp>
        <stp/>
        <stp>最良買気配値7</stp>
        <tr r="CX8" s="27"/>
      </tp>
      <tp t="s">
        <v/>
        <stp/>
        <stp>Market</stp>
        <stp>STOCK</stp>
        <stp/>
        <stp>最良買気配値4</stp>
        <tr r="CU8" s="27"/>
      </tp>
      <tp t="s">
        <v/>
        <stp/>
        <stp>Market</stp>
        <stp>STOCK</stp>
        <stp/>
        <stp>最良買気配値5</stp>
        <tr r="CV8" s="27"/>
      </tp>
      <tp t="s">
        <v/>
        <stp/>
        <stp>Market</stp>
        <stp>STOCK</stp>
        <stp/>
        <stp>最良買気配値8</stp>
        <tr r="CY8" s="27"/>
      </tp>
      <tp t="s">
        <v/>
        <stp/>
        <stp>Market</stp>
        <stp>STOCK</stp>
        <stp/>
        <stp>最良買気配値9</stp>
        <tr r="CZ8" s="27"/>
      </tp>
      <tp t="s">
        <v/>
        <stp/>
        <stp>Market</stp>
        <stp>STOCK</stp>
        <stp/>
        <stp>配当落日</stp>
        <tr r="EB8" s="27"/>
      </tp>
      <tp t="s">
        <v/>
        <stp/>
        <stp>Market</stp>
        <stp>STOCK</stp>
        <stp/>
        <stp>最良売気配値</stp>
        <tr r="BC8" s="27"/>
      </tp>
      <tp t="s">
        <v/>
        <stp/>
        <stp>Market</stp>
        <stp>STOCK</stp>
        <stp/>
        <stp>最良買気配値</stp>
        <tr r="BD8" s="27"/>
      </tp>
      <tp t="s">
        <v>15:30:00</v>
        <stp/>
        <stp>Market</stp>
        <stp>STOCK</stp>
        <stp>72030.T</stp>
        <stp>現在値詳細時刻</stp>
        <tr r="J7" s="27"/>
      </tp>
      <tp t="s">
        <v/>
        <stp/>
        <stp>Market</stp>
        <stp>STOCK</stp>
        <stp/>
        <stp>中配落日</stp>
        <tr r="EC8" s="27"/>
      </tp>
      <tp t="s">
        <v/>
        <stp/>
        <stp>Market</stp>
        <stp>STOCK</stp>
        <stp/>
        <stp>市場部略称</stp>
        <tr r="F8" s="27"/>
      </tp>
      <tp t="s">
        <v/>
        <stp/>
        <stp>Market</stp>
        <stp>STOCK</stp>
        <stp/>
        <stp>前場出来高</stp>
        <tr r="AQ8" s="27"/>
      </tp>
      <tp>
        <v>3117</v>
        <stp/>
        <stp>Market</stp>
        <stp>STOCK</stp>
        <stp>72030.T</stp>
        <stp>前日終値</stp>
        <tr r="O7" s="27"/>
      </tp>
      <tp t="s">
        <v xml:space="preserve"> </v>
        <stp/>
        <stp>Market</stp>
        <stp>STOCK</stp>
        <stp>72030.T</stp>
        <stp>特別売気配フラグ</stp>
        <tr r="BK7" s="27"/>
      </tp>
      <tp t="s">
        <v>トヨタ自動車</v>
        <stp/>
        <stp>Market</stp>
        <stp>STOCK</stp>
        <stp>72030.T</stp>
        <stp>銘柄名称</stp>
        <tr r="C7" s="27"/>
      </tp>
      <tp t="s">
        <v/>
        <stp/>
        <stp>Market</stp>
        <stp>STOCK</stp>
        <stp/>
        <stp>当日基準値</stp>
        <tr r="EH8" s="27"/>
      </tp>
      <tp t="s">
        <v/>
        <stp/>
        <stp>Market</stp>
        <stp>STOCK</stp>
        <stp/>
        <stp>最良買気配値10</stp>
        <tr r="DA8" s="27"/>
      </tp>
      <tp t="s">
        <v/>
        <stp/>
        <stp>Market</stp>
        <stp>STOCK</stp>
        <stp/>
        <stp>貸株金利</stp>
        <tr r="EQ8" s="27"/>
      </tp>
      <tp t="s">
        <v/>
        <stp/>
        <stp>Market</stp>
        <stp>STOCK</stp>
        <stp/>
        <stp>現在値詳細時刻</stp>
        <tr r="J8" s="27"/>
      </tp>
      <tp>
        <v>3088</v>
        <stp/>
        <stp>Market</stp>
        <stp>STOCK</stp>
        <stp>72030.T</stp>
        <stp>最良売気配値2</stp>
        <tr r="CI7" s="27"/>
      </tp>
      <tp>
        <v>3090</v>
        <stp/>
        <stp>Market</stp>
        <stp>STOCK</stp>
        <stp>72030.T</stp>
        <stp>最良売気配値3</stp>
        <tr r="CJ7" s="27"/>
      </tp>
      <tp>
        <v>3082</v>
        <stp/>
        <stp>Market</stp>
        <stp>STOCK</stp>
        <stp>72030.T</stp>
        <stp>最良売気配値1</stp>
        <tr r="CH7" s="27"/>
      </tp>
      <tp>
        <v>3093</v>
        <stp/>
        <stp>Market</stp>
        <stp>STOCK</stp>
        <stp>72030.T</stp>
        <stp>最良売気配値6</stp>
        <tr r="CM7" s="27"/>
      </tp>
      <tp>
        <v>3094</v>
        <stp/>
        <stp>Market</stp>
        <stp>STOCK</stp>
        <stp>72030.T</stp>
        <stp>最良売気配値7</stp>
        <tr r="CN7" s="27"/>
      </tp>
      <tp>
        <v>3091</v>
        <stp/>
        <stp>Market</stp>
        <stp>STOCK</stp>
        <stp>72030.T</stp>
        <stp>最良売気配値4</stp>
        <tr r="CK7" s="27"/>
      </tp>
      <tp>
        <v>3092</v>
        <stp/>
        <stp>Market</stp>
        <stp>STOCK</stp>
        <stp>72030.T</stp>
        <stp>最良売気配値5</stp>
        <tr r="CL7" s="27"/>
      </tp>
      <tp>
        <v>3095</v>
        <stp/>
        <stp>Market</stp>
        <stp>STOCK</stp>
        <stp>72030.T</stp>
        <stp>最良売気配値8</stp>
        <tr r="CO7" s="27"/>
      </tp>
      <tp>
        <v>3096</v>
        <stp/>
        <stp>Market</stp>
        <stp>STOCK</stp>
        <stp>72030.T</stp>
        <stp>最良売気配値9</stp>
        <tr r="CP7" s="27"/>
      </tp>
      <tp t="s">
        <v/>
        <stp/>
        <stp>Market</stp>
        <stp>STOCK</stp>
        <stp/>
        <stp>高値</stp>
        <tr r="AE8" s="27"/>
      </tp>
      <tp>
        <v>3075</v>
        <stp/>
        <stp>Market</stp>
        <stp>STOCK</stp>
        <stp>72030.T</stp>
        <stp>最良買気配値7</stp>
        <tr r="CX7" s="27"/>
      </tp>
      <tp>
        <v>3076</v>
        <stp/>
        <stp>Market</stp>
        <stp>STOCK</stp>
        <stp>72030.T</stp>
        <stp>最良買気配値6</stp>
        <tr r="CW7" s="27"/>
      </tp>
      <tp>
        <v>3077</v>
        <stp/>
        <stp>Market</stp>
        <stp>STOCK</stp>
        <stp>72030.T</stp>
        <stp>最良買気配値5</stp>
        <tr r="CV7" s="27"/>
      </tp>
      <tp>
        <v>3078</v>
        <stp/>
        <stp>Market</stp>
        <stp>STOCK</stp>
        <stp>72030.T</stp>
        <stp>最良買気配値4</stp>
        <tr r="CU7" s="27"/>
      </tp>
      <tp>
        <v>3079</v>
        <stp/>
        <stp>Market</stp>
        <stp>STOCK</stp>
        <stp>72030.T</stp>
        <stp>最良買気配値3</stp>
        <tr r="CT7" s="27"/>
      </tp>
      <tp>
        <v>3080</v>
        <stp/>
        <stp>Market</stp>
        <stp>STOCK</stp>
        <stp>72030.T</stp>
        <stp>最良買気配値2</stp>
        <tr r="CS7" s="27"/>
      </tp>
      <tp>
        <v>3081</v>
        <stp/>
        <stp>Market</stp>
        <stp>STOCK</stp>
        <stp>72030.T</stp>
        <stp>最良買気配値1</stp>
        <tr r="CR7" s="27"/>
      </tp>
      <tp>
        <v>3073</v>
        <stp/>
        <stp>Market</stp>
        <stp>STOCK</stp>
        <stp>72030.T</stp>
        <stp>最良買気配値9</stp>
        <tr r="CZ7" s="27"/>
      </tp>
      <tp>
        <v>3074</v>
        <stp/>
        <stp>Market</stp>
        <stp>STOCK</stp>
        <stp>72030.T</stp>
        <stp>最良買気配値8</stp>
        <tr r="CY7" s="27"/>
      </tp>
      <tp>
        <v>21768900</v>
        <stp/>
        <stp>Market</stp>
        <stp>STOCK</stp>
        <stp>72030.T</stp>
        <stp>出来高</stp>
        <tr r="Z7" s="27"/>
      </tp>
      <tp>
        <v>67387356</v>
        <stp/>
        <stp>Market</stp>
        <stp>STOCK</stp>
        <stp>72030.T</stp>
        <stp>売買代金</stp>
        <tr r="AA7" s="27"/>
      </tp>
      <tp t="s">
        <v>15:30:00</v>
        <stp/>
        <stp>Market</stp>
        <stp>STOCK</stp>
        <stp>72030.T</stp>
        <stp>最良売気配詳細時刻</stp>
        <tr r="BI7" s="27"/>
      </tp>
      <tp t="s">
        <v/>
        <stp/>
        <stp>Market</stp>
        <stp>STOCK</stp>
        <stp/>
        <stp>権利落日</stp>
        <tr r="ED8" s="27"/>
      </tp>
      <tp t="s">
        <v/>
        <stp/>
        <stp>Market</stp>
        <stp>STOCK</stp>
        <stp/>
        <stp>上場来高値</stp>
        <tr r="EM8" s="27"/>
      </tp>
      <tp t="s">
        <v/>
        <stp/>
        <stp>Market</stp>
        <stp>STOCK</stp>
        <stp/>
        <stp>年初来高値</stp>
        <tr r="EI8" s="27"/>
      </tp>
      <tp t="s">
        <v/>
        <stp/>
        <stp>Market</stp>
        <stp>STOCK</stp>
        <stp/>
        <stp>後場高値</stp>
        <tr r="AS8" s="27"/>
      </tp>
      <tp t="s">
        <v/>
        <stp/>
        <stp>Market</stp>
        <stp>STOCK</stp>
        <stp/>
        <stp>前場高値</stp>
        <tr r="AN8" s="27"/>
      </tp>
      <tp t="s">
        <v>09:00:01</v>
        <stp/>
        <stp>Market</stp>
        <stp>STOCK</stp>
        <stp>72030.T</stp>
        <stp>高値詳細時刻</stp>
        <tr r="AK7" s="27"/>
      </tp>
      <tp t="s">
        <v/>
        <stp/>
        <stp>Market</stp>
        <stp>STOCK</stp>
        <stp/>
        <stp>現在値フラグ</stp>
        <tr r="L8" s="27"/>
      </tp>
      <tp t="s">
        <v/>
        <stp/>
        <stp>Market</stp>
        <stp>STOCK</stp>
        <stp/>
        <stp>配当</stp>
        <tr r="EA8" s="27"/>
      </tp>
      <tp t="s">
        <v/>
        <stp/>
        <stp>Market</stp>
        <stp>STOCK</stp>
        <stp/>
        <stp>決算発表日</stp>
        <tr r="EE8" s="27"/>
      </tp>
      <tp t="s">
        <v/>
        <stp/>
        <stp>Market</stp>
        <stp>STOCK</stp>
        <stp/>
        <stp>信用買残</stp>
        <tr r="BR8" s="27"/>
      </tp>
      <tp t="s">
        <v/>
        <stp/>
        <stp>Market</stp>
        <stp>STOCK</stp>
        <stp/>
        <stp>前日終値</stp>
        <tr r="O8" s="27"/>
      </tp>
      <tp t="s">
        <v/>
        <stp/>
        <stp>Market</stp>
        <stp>STOCK</stp>
        <stp/>
        <stp>特別売気配フラグ</stp>
        <tr r="BK8" s="27"/>
      </tp>
      <tp t="s">
        <v/>
        <stp/>
        <stp>Market</stp>
        <stp>STOCK</stp>
        <stp/>
        <stp>最良売気配詳細時刻</stp>
        <tr r="BI8" s="27"/>
      </tp>
      <tp>
        <v>4000</v>
        <stp/>
        <stp>Market</stp>
        <stp>STOCK</stp>
        <stp>72030.T</stp>
        <stp>年初来高値</stp>
        <tr r="EI7" s="27"/>
      </tp>
      <tp>
        <v>10460</v>
        <stp/>
        <stp>Market</stp>
        <stp>STOCK</stp>
        <stp>72030.T</stp>
        <stp>上場来高値</stp>
        <tr r="EM7" s="27"/>
      </tp>
      <tp t="s">
        <v>2026/09/29</v>
        <stp/>
        <stp>Market</stp>
        <stp>STOCK</stp>
        <stp>72030.T</stp>
        <stp>中配落日</stp>
        <tr r="EC7" s="27"/>
      </tp>
      <tp t="s">
        <v>11:30</v>
        <stp/>
        <stp>Market</stp>
        <stp>STOCK</stp>
        <stp>72030.T</stp>
        <stp>前場出来高時刻</stp>
        <tr r="AY7" s="27"/>
      </tp>
      <tp>
        <v>53800</v>
        <stp/>
        <stp>Market</stp>
        <stp>STOCK</stp>
        <stp>72030.T</stp>
        <stp>最良買気配数量</stp>
        <tr r="BF7" s="27"/>
      </tp>
      <tp>
        <v>100</v>
        <stp/>
        <stp>Market</stp>
        <stp>STOCK</stp>
        <stp>72030.T</stp>
        <stp>最良売気配数量</stp>
        <tr r="BE7" s="27"/>
      </tp>
      <tp t="s">
        <v>15:30</v>
        <stp/>
        <stp>Market</stp>
        <stp>STOCK</stp>
        <stp>72030.T</stp>
        <stp>最良売気配時刻</stp>
        <tr r="BG7" s="27"/>
      </tp>
      <tp>
        <v>3081</v>
        <stp/>
        <stp>Market</stp>
        <stp>STOCK</stp>
        <stp>72030.T</stp>
        <stp>現在値</stp>
        <tr r="H7" s="27"/>
      </tp>
      <tp t="s">
        <v>15:30</v>
        <stp/>
        <stp>Market</stp>
        <stp>STOCK</stp>
        <stp>72030.T</stp>
        <stp>最良買気配時刻</stp>
        <tr r="BH7" s="27"/>
      </tp>
      <tp t="s">
        <v/>
        <stp/>
        <stp>Market</stp>
        <stp>STOCK</stp>
        <stp/>
        <stp>銘柄名称</stp>
        <tr r="C8" s="27"/>
      </tp>
      <tp>
        <v>3072</v>
        <stp/>
        <stp>Market</stp>
        <stp>STOCK</stp>
        <stp>72030.T</stp>
        <stp>最良買気配値10</stp>
        <tr r="DA7" s="27"/>
      </tp>
      <tp t="s">
        <v>2026/08/04</v>
        <stp/>
        <stp>Market</stp>
        <stp>STOCK</stp>
        <stp>72030.T</stp>
        <stp>決算発表日</stp>
        <tr r="EE7" s="27"/>
      </tp>
      <tp>
        <v>44967156</v>
        <stp/>
        <stp>Market</stp>
        <stp>STOCK</stp>
        <stp>72030.T</stp>
        <stp>時価総額</stp>
        <tr r="AC7" s="27"/>
      </tp>
      <tp t="s">
        <v/>
        <stp/>
        <stp>Market</stp>
        <stp>STOCK</stp>
        <stp/>
        <stp>前日比率</stp>
        <tr r="N8" s="27"/>
      </tp>
      <tp t="s">
        <v/>
        <stp/>
        <stp>Market</stp>
        <stp>STOCK</stp>
        <stp/>
        <stp>返済融資</stp>
        <tr r="BY8" s="27"/>
      </tp>
      <tp t="s">
        <v/>
        <stp/>
        <stp>Market</stp>
        <stp>STOCK</stp>
        <stp/>
        <stp>前日日付</stp>
        <tr r="P8" s="27"/>
      </tp>
      <tp t="s">
        <v/>
        <stp/>
        <stp>Market</stp>
        <stp>STOCK</stp>
        <stp>72030.T</stp>
        <stp>逆日歩更新日付</stp>
        <tr r="BO7" s="27"/>
      </tp>
      <tp t="s">
        <v>2027/03/30</v>
        <stp/>
        <stp>Market</stp>
        <stp>STOCK</stp>
        <stp>72030.T</stp>
        <stp>配当落日</stp>
        <tr r="EB7" s="27"/>
      </tp>
      <tp>
        <v>3082</v>
        <stp/>
        <stp>Market</stp>
        <stp>STOCK</stp>
        <stp>72030.T</stp>
        <stp>最良売気配値</stp>
        <tr r="BC7" s="27"/>
      </tp>
      <tp>
        <v>3081</v>
        <stp/>
        <stp>Market</stp>
        <stp>STOCK</stp>
        <stp>72030.T</stp>
        <stp>最良買気配値</stp>
        <tr r="BD7" s="27"/>
      </tp>
      <tp>
        <v>1000</v>
        <stp/>
        <stp>Market</stp>
        <stp>STOCK</stp>
        <stp>72030.T</stp>
        <stp>最良売気配数量4</stp>
        <tr r="DE7" s="27"/>
      </tp>
      <tp>
        <v>2400</v>
        <stp/>
        <stp>Market</stp>
        <stp>STOCK</stp>
        <stp>72030.T</stp>
        <stp>最良売気配数量5</stp>
        <tr r="DF7" s="27"/>
      </tp>
      <tp>
        <v>5100</v>
        <stp/>
        <stp>Market</stp>
        <stp>STOCK</stp>
        <stp>72030.T</stp>
        <stp>最良売気配数量6</stp>
        <tr r="DG7" s="27"/>
      </tp>
      <tp>
        <v>3100</v>
        <stp/>
        <stp>Market</stp>
        <stp>STOCK</stp>
        <stp>72030.T</stp>
        <stp>最良売気配数量7</stp>
        <tr r="DH7" s="27"/>
      </tp>
      <tp>
        <v>100</v>
        <stp/>
        <stp>Market</stp>
        <stp>STOCK</stp>
        <stp>72030.T</stp>
        <stp>最良売気配数量1</stp>
        <tr r="DB7" s="27"/>
      </tp>
      <tp>
        <v>1000</v>
        <stp/>
        <stp>Market</stp>
        <stp>STOCK</stp>
        <stp>72030.T</stp>
        <stp>最良売気配数量2</stp>
        <tr r="DC7" s="27"/>
      </tp>
      <tp>
        <v>1000</v>
        <stp/>
        <stp>Market</stp>
        <stp>STOCK</stp>
        <stp>72030.T</stp>
        <stp>最良売気配数量3</stp>
        <tr r="DD7" s="27"/>
      </tp>
      <tp>
        <v>6100</v>
        <stp/>
        <stp>Market</stp>
        <stp>STOCK</stp>
        <stp>72030.T</stp>
        <stp>最良売気配数量8</stp>
        <tr r="DI7" s="27"/>
      </tp>
      <tp>
        <v>46300</v>
        <stp/>
        <stp>Market</stp>
        <stp>STOCK</stp>
        <stp>72030.T</stp>
        <stp>最良売気配数量9</stp>
        <tr r="DJ7" s="27"/>
      </tp>
      <tp t="s">
        <v/>
        <stp/>
        <stp>Market</stp>
        <stp>STOCK</stp>
        <stp/>
        <stp>前日終値フラグ</stp>
        <tr r="Q8" s="27"/>
      </tp>
      <tp t="s">
        <v/>
        <stp/>
        <stp>Market</stp>
        <stp>STOCK</stp>
        <stp/>
        <stp>返済貸株</stp>
        <tr r="BX8" s="27"/>
      </tp>
      <tp t="s">
        <v/>
        <stp/>
        <stp>Market</stp>
        <stp>STOCK</stp>
        <stp/>
        <stp>貸株金利適用日</stp>
        <tr r="ER8" s="27"/>
      </tp>
      <tp t="s">
        <v/>
        <stp/>
        <stp>Market</stp>
        <stp>STOCK</stp>
        <stp/>
        <stp>残高差引</stp>
        <tr r="CB8" s="27"/>
      </tp>
      <tp t="s">
        <v/>
        <stp/>
        <stp>Market</stp>
        <stp>STOCK</stp>
        <stp/>
        <stp>回転日数</stp>
        <tr r="CF8" s="2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arketspeed.jp/ms2_rss/onlinehelp/" TargetMode="External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ohm_002_03.html" TargetMode="External"/><Relationship Id="rId4" Type="http://schemas.openxmlformats.org/officeDocument/2006/relationships/hyperlink" Target="https://marketspeed.jp/ms2_rss/onlinehelp/ohm_002/ohm_002_05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5336-2A52-4AA2-AB61-5576A32B8DF9}">
  <dimension ref="B2:D18"/>
  <sheetViews>
    <sheetView topLeftCell="A4" workbookViewId="0">
      <selection activeCell="B16" sqref="B16"/>
    </sheetView>
  </sheetViews>
  <sheetFormatPr defaultRowHeight="18.75"/>
  <cols>
    <col min="2" max="2" width="15.375" customWidth="1"/>
    <col min="3" max="3" width="17.25" customWidth="1"/>
    <col min="4" max="4" width="40.25" customWidth="1"/>
  </cols>
  <sheetData>
    <row r="2" spans="2:4">
      <c r="B2" t="s">
        <v>85</v>
      </c>
    </row>
    <row r="3" spans="2:4">
      <c r="B3" t="s">
        <v>86</v>
      </c>
      <c r="C3" t="s">
        <v>87</v>
      </c>
    </row>
    <row r="4" spans="2:4">
      <c r="B4" t="s">
        <v>88</v>
      </c>
      <c r="C4" t="s">
        <v>89</v>
      </c>
      <c r="D4" t="s">
        <v>90</v>
      </c>
    </row>
    <row r="5" spans="2:4">
      <c r="B5" t="s">
        <v>91</v>
      </c>
      <c r="C5" t="s">
        <v>92</v>
      </c>
      <c r="D5" t="s">
        <v>93</v>
      </c>
    </row>
    <row r="6" spans="2:4">
      <c r="B6" t="s">
        <v>94</v>
      </c>
      <c r="C6" t="s">
        <v>95</v>
      </c>
      <c r="D6" t="s">
        <v>96</v>
      </c>
    </row>
    <row r="7" spans="2:4">
      <c r="B7" t="s">
        <v>97</v>
      </c>
      <c r="C7" t="s">
        <v>98</v>
      </c>
      <c r="D7" t="s">
        <v>99</v>
      </c>
    </row>
    <row r="8" spans="2:4">
      <c r="B8" t="s">
        <v>100</v>
      </c>
      <c r="C8" t="s">
        <v>101</v>
      </c>
    </row>
    <row r="9" spans="2:4">
      <c r="B9" t="s">
        <v>512</v>
      </c>
      <c r="C9" t="s">
        <v>513</v>
      </c>
      <c r="D9" t="s">
        <v>514</v>
      </c>
    </row>
    <row r="12" spans="2:4">
      <c r="C12" s="2" t="s">
        <v>102</v>
      </c>
    </row>
    <row r="13" spans="2:4">
      <c r="C13" s="2" t="s">
        <v>103</v>
      </c>
    </row>
    <row r="15" spans="2:4">
      <c r="B15" t="s">
        <v>104</v>
      </c>
    </row>
    <row r="16" spans="2:4">
      <c r="B16" s="2" t="s">
        <v>105</v>
      </c>
    </row>
    <row r="17" spans="2:2">
      <c r="B17" t="s">
        <v>106</v>
      </c>
    </row>
    <row r="18" spans="2:2">
      <c r="B18" s="2" t="s">
        <v>107</v>
      </c>
    </row>
  </sheetData>
  <phoneticPr fontId="1"/>
  <hyperlinks>
    <hyperlink ref="C13" r:id="rId1" location="RssMarketHeader" xr:uid="{B27D183F-3794-423B-8439-62BD645C2910}"/>
    <hyperlink ref="C12" r:id="rId2" xr:uid="{F6D7464D-BBE2-42B6-8767-09F409BA885B}"/>
    <hyperlink ref="B16" r:id="rId3" xr:uid="{8780ADF6-AD90-498F-B31D-884C440E764D}"/>
    <hyperlink ref="B18" r:id="rId4" location="RssExecutionList" xr:uid="{27C7BF1F-C4EB-4EA2-A48E-09710F721EC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D9EB-AB53-41C8-A219-F6C33D568B55}">
  <dimension ref="A1:ER8"/>
  <sheetViews>
    <sheetView workbookViewId="0">
      <selection activeCell="E12" sqref="E12"/>
    </sheetView>
  </sheetViews>
  <sheetFormatPr defaultRowHeight="18.75"/>
  <cols>
    <col min="3" max="3" width="12.75" customWidth="1"/>
    <col min="4" max="4" width="11.875" customWidth="1"/>
  </cols>
  <sheetData>
    <row r="1" spans="1:148">
      <c r="A1" t="s">
        <v>82</v>
      </c>
      <c r="B1" t="s">
        <v>83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48">
      <c r="A2">
        <v>7203</v>
      </c>
      <c r="B2">
        <v>3081</v>
      </c>
      <c r="C2" t="s">
        <v>877</v>
      </c>
      <c r="D2" t="s">
        <v>572</v>
      </c>
      <c r="E2" t="s">
        <v>878</v>
      </c>
      <c r="F2">
        <v>-36</v>
      </c>
      <c r="G2">
        <v>-1.1499999999999999</v>
      </c>
      <c r="H2">
        <v>3126</v>
      </c>
      <c r="I2">
        <v>3142</v>
      </c>
      <c r="J2">
        <v>3081</v>
      </c>
      <c r="K2">
        <v>21768900</v>
      </c>
    </row>
    <row r="7" spans="1:148">
      <c r="A7" cm="1">
        <f t="array" ref="A7">_xll.RssMarket(A2, "銘柄コード")</f>
        <v>7203</v>
      </c>
      <c r="B7" t="str" cm="1">
        <f t="array" ref="B7">_xll.RssMarket(A7, "市場コード")</f>
        <v>T</v>
      </c>
      <c r="C7" t="str" cm="1">
        <f t="array" ref="C7">_xll.RssMarket(A2, "銘柄名称")</f>
        <v>トヨタ自動車</v>
      </c>
      <c r="D7" t="str" cm="1">
        <f t="array" ref="D7">_xll.RssMarket(A2, "市場名称")</f>
        <v>東証</v>
      </c>
      <c r="E7" t="str" cm="1">
        <f t="array" ref="E7">_xll.RssMarket(A2, "市場部名称")</f>
        <v>東証Ｐ</v>
      </c>
      <c r="F7" t="str" cm="1">
        <f t="array" ref="F7">_xll.RssMarket(A2, "市場部略称")</f>
        <v>東Ｐ</v>
      </c>
      <c r="G7" t="str" cm="1">
        <f t="array" ref="G7">_xll.RssMarket(A2, "現在日付")</f>
        <v>2026/09/04</v>
      </c>
      <c r="H7" cm="1">
        <f t="array" ref="H7">_xll.RssMarket(A2, "現在値")</f>
        <v>3081</v>
      </c>
      <c r="I7" t="str" cm="1">
        <f t="array" ref="I7">_xll.RssMarket(A2, "現在値時刻")</f>
        <v>15:30</v>
      </c>
      <c r="J7" t="str" cm="1">
        <f t="array" ref="J7">_xll.RssMarket(A2, "現在値詳細時刻")</f>
        <v>15:30:00</v>
      </c>
      <c r="K7" t="str" cm="1">
        <f t="array" ref="K7">_xll.RssMarket(A2, "現在値ティック")</f>
        <v>↓</v>
      </c>
      <c r="L7" t="str" cm="1">
        <f t="array" ref="L7">_xll.RssMarket(A2, "現在値フラグ")</f>
        <v>C</v>
      </c>
      <c r="M7" cm="1">
        <f t="array" ref="M7">_xll.RssMarket(A2, "前日比")</f>
        <v>-36</v>
      </c>
      <c r="N7" cm="1">
        <f t="array" ref="N7">_xll.RssMarket(A2, "前日比率")</f>
        <v>-1.1499999999999999</v>
      </c>
      <c r="O7" cm="1">
        <f t="array" ref="O7">_xll.RssMarket(A2, "前日終値")</f>
        <v>3117</v>
      </c>
      <c r="P7" t="str" cm="1">
        <f t="array" ref="P7">_xll.RssMarket(A2, "前日日付")</f>
        <v>2026/09/03</v>
      </c>
      <c r="Q7" t="str" cm="1">
        <f t="array" ref="Q7">_xll.RssMarket(A2, "前日終値フラグ")</f>
        <v>C</v>
      </c>
      <c r="R7" cm="1">
        <f t="array" ref="R7">_xll.RssMarket(A2, "歩み1")</f>
        <v>3091</v>
      </c>
      <c r="S7" cm="1">
        <f t="array" ref="S7">_xll.RssMarket(A2, "歩み2")</f>
        <v>3092</v>
      </c>
      <c r="T7" cm="1">
        <f t="array" ref="T7">_xll.RssMarket(A2, "歩み3")</f>
        <v>3090</v>
      </c>
      <c r="U7" cm="1">
        <f t="array" ref="U7">_xll.RssMarket(A2, "歩み4")</f>
        <v>3092</v>
      </c>
      <c r="V7" t="str" cm="1">
        <f t="array" ref="V7">_xll.RssMarket(A2, "歩み1詳細時刻")</f>
        <v>15:24:58</v>
      </c>
      <c r="W7" t="str" cm="1">
        <f t="array" ref="W7">_xll.RssMarket(A2, "歩み2詳細時刻")</f>
        <v>15:24:57</v>
      </c>
      <c r="X7" t="str" cm="1">
        <f t="array" ref="X7">_xll.RssMarket(A2, "歩み3詳細時刻")</f>
        <v>15:24:57</v>
      </c>
      <c r="Y7" t="str" cm="1">
        <f t="array" ref="Y7">_xll.RssMarket(A2, "歩み4詳細時刻")</f>
        <v>15:24:56</v>
      </c>
      <c r="Z7" cm="1">
        <f t="array" ref="Z7">_xll.RssMarket(A2, "出来高")</f>
        <v>21768900</v>
      </c>
      <c r="AA7" cm="1">
        <f t="array" ref="AA7">_xll.RssMarket(A2, "売買代金")</f>
        <v>67387356</v>
      </c>
      <c r="AB7" cm="1">
        <f t="array" ref="AB7">_xll.RssMarket(A2, "出来高加重平均")</f>
        <v>3095.5792000000001</v>
      </c>
      <c r="AC7" cm="1">
        <f t="array" ref="AC7">_xll.RssMarket(A2, "時価総額")</f>
        <v>44967156</v>
      </c>
      <c r="AD7" cm="1">
        <f t="array" ref="AD7">_xll.RssMarket(A2, "始値")</f>
        <v>3126</v>
      </c>
      <c r="AE7" cm="1">
        <f t="array" ref="AE7">_xll.RssMarket(A2, "高値")</f>
        <v>3142</v>
      </c>
      <c r="AF7" cm="1">
        <f t="array" ref="AF7">_xll.RssMarket(A2, "安値")</f>
        <v>3081</v>
      </c>
      <c r="AG7" t="str" cm="1">
        <f t="array" ref="AG7">_xll.RssMarket(A2, "始値時刻")</f>
        <v>09:00</v>
      </c>
      <c r="AH7" t="str" cm="1">
        <f t="array" ref="AH7">_xll.RssMarket(A2, "高値時刻")</f>
        <v>09:00</v>
      </c>
      <c r="AI7" t="str" cm="1">
        <f t="array" ref="AI7">_xll.RssMarket(A2, "安値時刻")</f>
        <v>15:30</v>
      </c>
      <c r="AJ7" t="str" cm="1">
        <f t="array" ref="AJ7">_xll.RssMarket(A2, "始値詳細時刻")</f>
        <v>09:00:00</v>
      </c>
      <c r="AK7" t="str" cm="1">
        <f t="array" ref="AK7">_xll.RssMarket(A2, "高値詳細時刻")</f>
        <v>09:00:01</v>
      </c>
      <c r="AL7" t="str" cm="1">
        <f t="array" ref="AL7">_xll.RssMarket(A2, "安値詳細時刻")</f>
        <v>15:30:00</v>
      </c>
      <c r="AM7" cm="1">
        <f t="array" ref="AM7">_xll.RssMarket(A2, "前場始値")</f>
        <v>3126</v>
      </c>
      <c r="AN7" cm="1">
        <f t="array" ref="AN7">_xll.RssMarket(A2, "前場高値")</f>
        <v>3142</v>
      </c>
      <c r="AO7" cm="1">
        <f t="array" ref="AO7">_xll.RssMarket(A2, "前場安値")</f>
        <v>3090</v>
      </c>
      <c r="AP7" cm="1">
        <f t="array" ref="AP7">_xll.RssMarket(A2, "前場終値")</f>
        <v>3095</v>
      </c>
      <c r="AQ7" cm="1">
        <f t="array" ref="AQ7">_xll.RssMarket(A2, "前場出来高")</f>
        <v>9535600</v>
      </c>
      <c r="AR7" cm="1">
        <f t="array" ref="AR7">_xll.RssMarket(A2, "後場始値")</f>
        <v>3090</v>
      </c>
      <c r="AS7" cm="1">
        <f t="array" ref="AS7">_xll.RssMarket(A2, "後場高値")</f>
        <v>3099</v>
      </c>
      <c r="AT7" cm="1">
        <f t="array" ref="AT7">_xll.RssMarket(A2, "後場安値")</f>
        <v>3081</v>
      </c>
      <c r="AU7" t="str" cm="1">
        <f t="array" ref="AU7">_xll.RssMarket(A2, "前場始値時刻")</f>
        <v>09:00</v>
      </c>
      <c r="AV7" t="str" cm="1">
        <f t="array" ref="AV7">_xll.RssMarket(A2, "前場高値時刻")</f>
        <v>09:00</v>
      </c>
      <c r="AW7" t="str" cm="1">
        <f t="array" ref="AW7">_xll.RssMarket(A2, "前場安値時刻")</f>
        <v>10:31</v>
      </c>
      <c r="AX7" t="str" cm="1">
        <f t="array" ref="AX7">_xll.RssMarket(A2, "前場終値時刻")</f>
        <v>11:30</v>
      </c>
      <c r="AY7" t="str" cm="1">
        <f t="array" ref="AY7">_xll.RssMarket(A2, "前場出来高時刻")</f>
        <v>11:30</v>
      </c>
      <c r="AZ7" t="str" cm="1">
        <f t="array" ref="AZ7">_xll.RssMarket(A2, "後場始値時刻")</f>
        <v>12:30</v>
      </c>
      <c r="BA7" t="str" cm="1">
        <f t="array" ref="BA7">_xll.RssMarket(A2, "後場高値時刻")</f>
        <v>13:13</v>
      </c>
      <c r="BB7" t="str" cm="1">
        <f t="array" ref="BB7">_xll.RssMarket(A2, "後場安値時刻")</f>
        <v>15:30</v>
      </c>
      <c r="BC7" cm="1">
        <f t="array" ref="BC7">_xll.RssMarket(A2, "最良売気配値")</f>
        <v>3082</v>
      </c>
      <c r="BD7" cm="1">
        <f t="array" ref="BD7">_xll.RssMarket(A2, "最良買気配値")</f>
        <v>3081</v>
      </c>
      <c r="BE7" cm="1">
        <f t="array" ref="BE7">_xll.RssMarket(A2, "最良売気配数量")</f>
        <v>100</v>
      </c>
      <c r="BF7" cm="1">
        <f t="array" ref="BF7">_xll.RssMarket(A2, "最良買気配数量")</f>
        <v>53800</v>
      </c>
      <c r="BG7" t="str" cm="1">
        <f t="array" ref="BG7">_xll.RssMarket(A2, "最良売気配時刻")</f>
        <v>15:30</v>
      </c>
      <c r="BH7" t="str" cm="1">
        <f t="array" ref="BH7">_xll.RssMarket(A2, "最良買気配時刻")</f>
        <v>15:30</v>
      </c>
      <c r="BI7" t="str" cm="1">
        <f t="array" ref="BI7">_xll.RssMarket(A2, "最良売気配詳細時刻")</f>
        <v>15:30:00</v>
      </c>
      <c r="BJ7" t="str" cm="1">
        <f t="array" ref="BJ7">_xll.RssMarket(A2, "最良買気配詳細時刻")</f>
        <v>15:30:00</v>
      </c>
      <c r="BK7" t="str" cm="1">
        <f t="array" ref="BK7">_xll.RssMarket(A2, "特別売気配フラグ")</f>
        <v xml:space="preserve"> </v>
      </c>
      <c r="BL7" t="str" cm="1">
        <f t="array" ref="BL7">_xll.RssMarket(A2, "特別買気配フラグ")</f>
        <v xml:space="preserve"> </v>
      </c>
      <c r="BM7" cm="1">
        <f t="array" ref="BM7">_xll.RssMarket(A2, "信用貸借区分")</f>
        <v>1</v>
      </c>
      <c r="BN7" cm="1">
        <f t="array" ref="BN7">_xll.RssMarket(A2, "逆日歩")</f>
        <v>0</v>
      </c>
      <c r="BO7" t="str" cm="1">
        <f t="array" ref="BO7">_xll.RssMarket(A2, "逆日歩更新日付")</f>
        <v/>
      </c>
      <c r="BP7" cm="1">
        <f t="array" ref="BP7">_xll.RssMarket(A2, "信用売残")</f>
        <v>2343700</v>
      </c>
      <c r="BQ7" cm="1">
        <f t="array" ref="BQ7">_xll.RssMarket(A2, "信用売残前週比")</f>
        <v>-102600</v>
      </c>
      <c r="BR7" cm="1">
        <f t="array" ref="BR7">_xll.RssMarket(A2, "信用買残")</f>
        <v>16853200</v>
      </c>
      <c r="BS7" cm="1">
        <f t="array" ref="BS7">_xll.RssMarket(A2, "信用買残前週比")</f>
        <v>-604500</v>
      </c>
      <c r="BT7" cm="1">
        <f t="array" ref="BT7">_xll.RssMarket(A2, "信用倍率")</f>
        <v>7.19</v>
      </c>
      <c r="BU7" t="str" cm="1">
        <f t="array" ref="BU7">_xll.RssMarket(A2, "証金残更新日付")</f>
        <v>2026/09/04</v>
      </c>
      <c r="BV7" cm="1">
        <f t="array" ref="BV7">_xll.RssMarket(A2, "新規貸株")</f>
        <v>0</v>
      </c>
      <c r="BW7" cm="1">
        <f t="array" ref="BW7">_xll.RssMarket(A2, "新規融資")</f>
        <v>700</v>
      </c>
      <c r="BX7" cm="1">
        <f t="array" ref="BX7">_xll.RssMarket(A2, "返済貸株")</f>
        <v>15900</v>
      </c>
      <c r="BY7" cm="1">
        <f t="array" ref="BY7">_xll.RssMarket(A2, "返済融資")</f>
        <v>32500</v>
      </c>
      <c r="BZ7" cm="1">
        <f t="array" ref="BZ7">_xll.RssMarket(A2, "残高貸株")</f>
        <v>6900</v>
      </c>
      <c r="CA7" cm="1">
        <f t="array" ref="CA7">_xll.RssMarket(A2, "残高融資")</f>
        <v>246800</v>
      </c>
      <c r="CB7" cm="1">
        <f t="array" ref="CB7">_xll.RssMarket(A2, "残高差引")</f>
        <v>239900</v>
      </c>
      <c r="CC7" cm="1">
        <f t="array" ref="CC7">_xll.RssMarket(A2, "前日比貸株")</f>
        <v>-15900</v>
      </c>
      <c r="CD7" cm="1">
        <f t="array" ref="CD7">_xll.RssMarket(A2, "前日比融資")</f>
        <v>-31800</v>
      </c>
      <c r="CE7" cm="1">
        <f t="array" ref="CE7">_xll.RssMarket(A2, "前日比差引")</f>
        <v>-15900</v>
      </c>
      <c r="CF7" cm="1">
        <f t="array" ref="CF7">_xll.RssMarket(A2, "回転日数")</f>
        <v>11.5</v>
      </c>
      <c r="CG7" cm="1">
        <f t="array" ref="CG7">_xll.RssMarket(A2, "貸借倍率")</f>
        <v>35.770000000000003</v>
      </c>
      <c r="CH7" cm="1">
        <f t="array" ref="CH7">_xll.RssMarket(A2, "最良売気配値1")</f>
        <v>3082</v>
      </c>
      <c r="CI7" cm="1">
        <f t="array" ref="CI7">_xll.RssMarket(A2, "最良売気配値2")</f>
        <v>3088</v>
      </c>
      <c r="CJ7" cm="1">
        <f t="array" ref="CJ7">_xll.RssMarket(A2, "最良売気配値3")</f>
        <v>3090</v>
      </c>
      <c r="CK7" cm="1">
        <f t="array" ref="CK7">_xll.RssMarket(A2, "最良売気配値4")</f>
        <v>3091</v>
      </c>
      <c r="CL7" cm="1">
        <f t="array" ref="CL7">_xll.RssMarket(A2, "最良売気配値5")</f>
        <v>3092</v>
      </c>
      <c r="CM7" cm="1">
        <f t="array" ref="CM7">_xll.RssMarket(A2, "最良売気配値6")</f>
        <v>3093</v>
      </c>
      <c r="CN7" cm="1">
        <f t="array" ref="CN7">_xll.RssMarket(A2, "最良売気配値7")</f>
        <v>3094</v>
      </c>
      <c r="CO7" cm="1">
        <f t="array" ref="CO7">_xll.RssMarket(A2, "最良売気配値8")</f>
        <v>3095</v>
      </c>
      <c r="CP7" cm="1">
        <f t="array" ref="CP7">_xll.RssMarket(A2, "最良売気配値9")</f>
        <v>3096</v>
      </c>
      <c r="CQ7" cm="1">
        <f t="array" ref="CQ7">_xll.RssMarket(A2, "最良売気配値10")</f>
        <v>3097</v>
      </c>
      <c r="CR7" cm="1">
        <f t="array" ref="CR7">_xll.RssMarket(A2, "最良買気配値1")</f>
        <v>3081</v>
      </c>
      <c r="CS7" cm="1">
        <f t="array" ref="CS7">_xll.RssMarket(A2, "最良買気配値2")</f>
        <v>3080</v>
      </c>
      <c r="CT7" cm="1">
        <f t="array" ref="CT7">_xll.RssMarket(A2, "最良買気配値3")</f>
        <v>3079</v>
      </c>
      <c r="CU7" cm="1">
        <f t="array" ref="CU7">_xll.RssMarket(A2, "最良買気配値4")</f>
        <v>3078</v>
      </c>
      <c r="CV7" cm="1">
        <f t="array" ref="CV7">_xll.RssMarket(A2, "最良買気配値5")</f>
        <v>3077</v>
      </c>
      <c r="CW7" cm="1">
        <f t="array" ref="CW7">_xll.RssMarket(A2, "最良買気配値6")</f>
        <v>3076</v>
      </c>
      <c r="CX7" cm="1">
        <f t="array" ref="CX7">_xll.RssMarket(A2, "最良買気配値7")</f>
        <v>3075</v>
      </c>
      <c r="CY7" cm="1">
        <f t="array" ref="CY7">_xll.RssMarket(A2, "最良買気配値8")</f>
        <v>3074</v>
      </c>
      <c r="CZ7" cm="1">
        <f t="array" ref="CZ7">_xll.RssMarket(A2, "最良買気配値9")</f>
        <v>3073</v>
      </c>
      <c r="DA7" cm="1">
        <f t="array" ref="DA7">_xll.RssMarket(A2, "最良買気配値10")</f>
        <v>3072</v>
      </c>
      <c r="DB7" cm="1">
        <f t="array" ref="DB7">_xll.RssMarket(A2, "最良売気配数量1")</f>
        <v>100</v>
      </c>
      <c r="DC7" cm="1">
        <f t="array" ref="DC7">_xll.RssMarket(A2, "最良売気配数量2")</f>
        <v>1000</v>
      </c>
      <c r="DD7" cm="1">
        <f t="array" ref="DD7">_xll.RssMarket(A2, "最良売気配数量3")</f>
        <v>1000</v>
      </c>
      <c r="DE7" cm="1">
        <f t="array" ref="DE7">_xll.RssMarket(A2, "最良売気配数量4")</f>
        <v>1000</v>
      </c>
      <c r="DF7" cm="1">
        <f t="array" ref="DF7">_xll.RssMarket(A2, "最良売気配数量5")</f>
        <v>2400</v>
      </c>
      <c r="DG7" cm="1">
        <f t="array" ref="DG7">_xll.RssMarket(A2, "最良売気配数量6")</f>
        <v>5100</v>
      </c>
      <c r="DH7" cm="1">
        <f t="array" ref="DH7">_xll.RssMarket(A2, "最良売気配数量7")</f>
        <v>3100</v>
      </c>
      <c r="DI7" cm="1">
        <f t="array" ref="DI7">_xll.RssMarket(A2, "最良売気配数量8")</f>
        <v>6100</v>
      </c>
      <c r="DJ7" cm="1">
        <f t="array" ref="DJ7">_xll.RssMarket(A2, "最良売気配数量9")</f>
        <v>46300</v>
      </c>
      <c r="DK7" cm="1">
        <f t="array" ref="DK7">_xll.RssMarket(A2, "最良売気配数量10")</f>
        <v>5300</v>
      </c>
      <c r="DL7" cm="1">
        <f t="array" ref="DL7">_xll.RssMarket(A2, "最良買気配数量1")</f>
        <v>53800</v>
      </c>
      <c r="DM7" cm="1">
        <f t="array" ref="DM7">_xll.RssMarket(A2, "最良買気配数量2")</f>
        <v>125300</v>
      </c>
      <c r="DN7" cm="1">
        <f t="array" ref="DN7">_xll.RssMarket(A2, "最良買気配数量3")</f>
        <v>88100</v>
      </c>
      <c r="DO7" cm="1">
        <f t="array" ref="DO7">_xll.RssMarket(A2, "最良買気配数量4")</f>
        <v>8800</v>
      </c>
      <c r="DP7" cm="1">
        <f t="array" ref="DP7">_xll.RssMarket(A2, "最良買気配数量5")</f>
        <v>11900</v>
      </c>
      <c r="DQ7" cm="1">
        <f t="array" ref="DQ7">_xll.RssMarket(A2, "最良買気配数量6")</f>
        <v>31300</v>
      </c>
      <c r="DR7" cm="1">
        <f t="array" ref="DR7">_xll.RssMarket(A2, "最良買気配数量7")</f>
        <v>48100</v>
      </c>
      <c r="DS7" cm="1">
        <f t="array" ref="DS7">_xll.RssMarket(A2, "最良買気配数量8")</f>
        <v>48100</v>
      </c>
      <c r="DT7" cm="1">
        <f t="array" ref="DT7">_xll.RssMarket(A2, "最良買気配数量9")</f>
        <v>17700</v>
      </c>
      <c r="DU7" cm="1">
        <f t="array" ref="DU7">_xll.RssMarket(A2, "最良買気配数量10")</f>
        <v>13100</v>
      </c>
      <c r="DV7" cm="1">
        <f t="array" ref="DV7">_xll.RssMarket(A2, "売成行数量")</f>
        <v>0</v>
      </c>
      <c r="DW7" cm="1">
        <f t="array" ref="DW7">_xll.RssMarket(A2, "買成行数量")</f>
        <v>0</v>
      </c>
      <c r="DX7" cm="1">
        <f t="array" ref="DX7">_xll.RssMarket(A2, "OVER気配数量")</f>
        <v>5205400</v>
      </c>
      <c r="DY7" cm="1">
        <f t="array" ref="DY7">_xll.RssMarket(A2, "UNDER気配数量")</f>
        <v>3633900</v>
      </c>
      <c r="DZ7" cm="1">
        <f t="array" ref="DZ7">_xll.RssMarket(A2, "単位株数")</f>
        <v>100</v>
      </c>
      <c r="EA7" cm="1">
        <f t="array" ref="EA7">_xll.RssMarket(A2, "配当")</f>
        <v>100</v>
      </c>
      <c r="EB7" t="str" cm="1">
        <f t="array" ref="EB7">_xll.RssMarket(A2, "配当落日")</f>
        <v>2027/03/30</v>
      </c>
      <c r="EC7" t="str" cm="1">
        <f t="array" ref="EC7">_xll.RssMarket(A2, "中配落日")</f>
        <v>2026/09/29</v>
      </c>
      <c r="ED7" t="str" cm="1">
        <f t="array" ref="ED7">_xll.RssMarket(A2, "権利落日")</f>
        <v>2021/09/29</v>
      </c>
      <c r="EE7" t="str" cm="1">
        <f t="array" ref="EE7">_xll.RssMarket(A2, "決算発表日")</f>
        <v>2026/08/04</v>
      </c>
      <c r="EF7" cm="1">
        <f t="array" ref="EF7">_xll.RssMarket(A2, "PER")</f>
        <v>10.1</v>
      </c>
      <c r="EG7" cm="1">
        <f t="array" ref="EG7">_xll.RssMarket(A2, "PBR")</f>
        <v>1</v>
      </c>
      <c r="EH7" cm="1">
        <f t="array" ref="EH7">_xll.RssMarket(A2, "当日基準値")</f>
        <v>3117</v>
      </c>
      <c r="EI7" cm="1">
        <f t="array" ref="EI7">_xll.RssMarket(A2, "年初来高値")</f>
        <v>4000</v>
      </c>
      <c r="EJ7" cm="1">
        <f t="array" ref="EJ7">_xll.RssMarket(A2, "年初来安値")</f>
        <v>2686</v>
      </c>
      <c r="EK7" t="str" cm="1">
        <f t="array" ref="EK7">_xll.RssMarket(A2, "年初来高値日付")</f>
        <v>2026/02/09</v>
      </c>
      <c r="EL7" t="str" cm="1">
        <f t="array" ref="EL7">_xll.RssMarket(A2, "年初来安値日付")</f>
        <v>2026/06/24</v>
      </c>
      <c r="EM7" cm="1">
        <f t="array" ref="EM7">_xll.RssMarket(A2, "上場来高値")</f>
        <v>10460</v>
      </c>
      <c r="EN7" cm="1">
        <f t="array" ref="EN7">_xll.RssMarket(A2, "上場来安値")</f>
        <v>21</v>
      </c>
      <c r="EO7" t="str" cm="1">
        <f t="array" ref="EO7">_xll.RssMarket(A2, "上場来高値日付")</f>
        <v>2021/09/28</v>
      </c>
      <c r="EP7" t="str" cm="1">
        <f t="array" ref="EP7">_xll.RssMarket(A2, "上場来安値日付")</f>
        <v>1950/06/01</v>
      </c>
      <c r="EQ7" cm="1">
        <f t="array" ref="EQ7">_xll.RssMarket(A2, "貸株金利")</f>
        <v>0.1</v>
      </c>
      <c r="ER7" t="str" cm="1">
        <f t="array" ref="ER7">_xll.RssMarket(A2, "貸株金利適用日")</f>
        <v>2026/09/07</v>
      </c>
    </row>
    <row r="8" spans="1:148">
      <c r="A8" t="str" cm="1">
        <f t="array" ref="A8">_xll.RssMarket(A3, "銘柄コード")</f>
        <v/>
      </c>
      <c r="B8" t="str" cm="1">
        <f t="array" ref="B8">_xll.RssMarket(A3, "市場コード")</f>
        <v/>
      </c>
      <c r="C8" t="str" cm="1">
        <f t="array" ref="C8">_xll.RssMarket(A3, "銘柄名称")</f>
        <v/>
      </c>
      <c r="D8" t="str" cm="1">
        <f t="array" ref="D8">_xll.RssMarket(A3, "市場名称")</f>
        <v/>
      </c>
      <c r="E8" t="str" cm="1">
        <f t="array" ref="E8">_xll.RssMarket(A3, "市場部名称")</f>
        <v/>
      </c>
      <c r="F8" t="str" cm="1">
        <f t="array" ref="F8">_xll.RssMarket(A3, "市場部略称")</f>
        <v/>
      </c>
      <c r="G8" t="str" cm="1">
        <f t="array" ref="G8">_xll.RssMarket(A3, "現在日付")</f>
        <v/>
      </c>
      <c r="H8" t="str" cm="1">
        <f t="array" ref="H8">_xll.RssMarket(A3, "現在値")</f>
        <v/>
      </c>
      <c r="I8" t="str" cm="1">
        <f t="array" ref="I8">_xll.RssMarket(A3, "現在値時刻")</f>
        <v/>
      </c>
      <c r="J8" t="str" cm="1">
        <f t="array" ref="J8">_xll.RssMarket(A3, "現在値詳細時刻")</f>
        <v/>
      </c>
      <c r="K8" t="str" cm="1">
        <f t="array" ref="K8">_xll.RssMarket(A3, "現在値ティック")</f>
        <v/>
      </c>
      <c r="L8" t="str" cm="1">
        <f t="array" ref="L8">_xll.RssMarket(A3, "現在値フラグ")</f>
        <v/>
      </c>
      <c r="M8" t="str" cm="1">
        <f t="array" ref="M8">_xll.RssMarket(A3, "前日比")</f>
        <v/>
      </c>
      <c r="N8" t="str" cm="1">
        <f t="array" ref="N8">_xll.RssMarket(A3, "前日比率")</f>
        <v/>
      </c>
      <c r="O8" t="str" cm="1">
        <f t="array" ref="O8">_xll.RssMarket(A3, "前日終値")</f>
        <v/>
      </c>
      <c r="P8" t="str" cm="1">
        <f t="array" ref="P8">_xll.RssMarket(A3, "前日日付")</f>
        <v/>
      </c>
      <c r="Q8" t="str" cm="1">
        <f t="array" ref="Q8">_xll.RssMarket(A3, "前日終値フラグ")</f>
        <v/>
      </c>
      <c r="R8" t="str" cm="1">
        <f t="array" ref="R8">_xll.RssMarket(A3, "歩み1")</f>
        <v/>
      </c>
      <c r="S8" t="str" cm="1">
        <f t="array" ref="S8">_xll.RssMarket(A3, "歩み2")</f>
        <v/>
      </c>
      <c r="T8" t="str" cm="1">
        <f t="array" ref="T8">_xll.RssMarket(A3, "歩み3")</f>
        <v/>
      </c>
      <c r="U8" t="str" cm="1">
        <f t="array" ref="U8">_xll.RssMarket(A3, "歩み4")</f>
        <v/>
      </c>
      <c r="V8" t="str" cm="1">
        <f t="array" ref="V8">_xll.RssMarket(A3, "歩み1詳細時刻")</f>
        <v/>
      </c>
      <c r="W8" t="str" cm="1">
        <f t="array" ref="W8">_xll.RssMarket(A3, "歩み2詳細時刻")</f>
        <v/>
      </c>
      <c r="X8" t="str" cm="1">
        <f t="array" ref="X8">_xll.RssMarket(A3, "歩み3詳細時刻")</f>
        <v/>
      </c>
      <c r="Y8" t="str" cm="1">
        <f t="array" ref="Y8">_xll.RssMarket(A3, "歩み4詳細時刻")</f>
        <v/>
      </c>
      <c r="Z8" t="str" cm="1">
        <f t="array" ref="Z8">_xll.RssMarket(A3, "出来高")</f>
        <v/>
      </c>
      <c r="AA8" t="str" cm="1">
        <f t="array" ref="AA8">_xll.RssMarket(A3, "売買代金")</f>
        <v/>
      </c>
      <c r="AB8" t="str" cm="1">
        <f t="array" ref="AB8">_xll.RssMarket(A3, "出来高加重平均")</f>
        <v/>
      </c>
      <c r="AC8" t="str" cm="1">
        <f t="array" ref="AC8">_xll.RssMarket(A3, "時価総額")</f>
        <v/>
      </c>
      <c r="AD8" t="str" cm="1">
        <f t="array" ref="AD8">_xll.RssMarket(A3, "始値")</f>
        <v/>
      </c>
      <c r="AE8" t="str" cm="1">
        <f t="array" ref="AE8">_xll.RssMarket(A3, "高値")</f>
        <v/>
      </c>
      <c r="AF8" t="str" cm="1">
        <f t="array" ref="AF8">_xll.RssMarket(A3, "安値")</f>
        <v/>
      </c>
      <c r="AG8" t="str" cm="1">
        <f t="array" ref="AG8">_xll.RssMarket(A3, "始値時刻")</f>
        <v/>
      </c>
      <c r="AH8" t="str" cm="1">
        <f t="array" ref="AH8">_xll.RssMarket(A3, "高値時刻")</f>
        <v/>
      </c>
      <c r="AI8" t="str" cm="1">
        <f t="array" ref="AI8">_xll.RssMarket(A3, "安値時刻")</f>
        <v/>
      </c>
      <c r="AJ8" t="str" cm="1">
        <f t="array" ref="AJ8">_xll.RssMarket(A3, "始値詳細時刻")</f>
        <v/>
      </c>
      <c r="AK8" t="str" cm="1">
        <f t="array" ref="AK8">_xll.RssMarket(A3, "高値詳細時刻")</f>
        <v/>
      </c>
      <c r="AL8" t="str" cm="1">
        <f t="array" ref="AL8">_xll.RssMarket(A3, "安値詳細時刻")</f>
        <v/>
      </c>
      <c r="AM8" t="str" cm="1">
        <f t="array" ref="AM8">_xll.RssMarket(A3, "前場始値")</f>
        <v/>
      </c>
      <c r="AN8" t="str" cm="1">
        <f t="array" ref="AN8">_xll.RssMarket(A3, "前場高値")</f>
        <v/>
      </c>
      <c r="AO8" t="str" cm="1">
        <f t="array" ref="AO8">_xll.RssMarket(A3, "前場安値")</f>
        <v/>
      </c>
      <c r="AP8" t="str" cm="1">
        <f t="array" ref="AP8">_xll.RssMarket(A3, "前場終値")</f>
        <v/>
      </c>
      <c r="AQ8" t="str" cm="1">
        <f t="array" ref="AQ8">_xll.RssMarket(A3, "前場出来高")</f>
        <v/>
      </c>
      <c r="AR8" t="str" cm="1">
        <f t="array" ref="AR8">_xll.RssMarket(A3, "後場始値")</f>
        <v/>
      </c>
      <c r="AS8" t="str" cm="1">
        <f t="array" ref="AS8">_xll.RssMarket(A3, "後場高値")</f>
        <v/>
      </c>
      <c r="AT8" t="str" cm="1">
        <f t="array" ref="AT8">_xll.RssMarket(A3, "後場安値")</f>
        <v/>
      </c>
      <c r="AU8" t="str" cm="1">
        <f t="array" ref="AU8">_xll.RssMarket(A3, "前場始値時刻")</f>
        <v/>
      </c>
      <c r="AV8" t="str" cm="1">
        <f t="array" ref="AV8">_xll.RssMarket(A3, "前場高値時刻")</f>
        <v/>
      </c>
      <c r="AW8" t="str" cm="1">
        <f t="array" ref="AW8">_xll.RssMarket(A3, "前場安値時刻")</f>
        <v/>
      </c>
      <c r="AX8" t="str" cm="1">
        <f t="array" ref="AX8">_xll.RssMarket(A3, "前場終値時刻")</f>
        <v/>
      </c>
      <c r="AY8" t="str" cm="1">
        <f t="array" ref="AY8">_xll.RssMarket(A3, "前場出来高時刻")</f>
        <v/>
      </c>
      <c r="AZ8" t="str" cm="1">
        <f t="array" ref="AZ8">_xll.RssMarket(A3, "後場始値時刻")</f>
        <v/>
      </c>
      <c r="BA8" t="str" cm="1">
        <f t="array" ref="BA8">_xll.RssMarket(A3, "後場高値時刻")</f>
        <v/>
      </c>
      <c r="BB8" t="str" cm="1">
        <f t="array" ref="BB8">_xll.RssMarket(A3, "後場安値時刻")</f>
        <v/>
      </c>
      <c r="BC8" t="str" cm="1">
        <f t="array" ref="BC8">_xll.RssMarket(A3, "最良売気配値")</f>
        <v/>
      </c>
      <c r="BD8" t="str" cm="1">
        <f t="array" ref="BD8">_xll.RssMarket(A3, "最良買気配値")</f>
        <v/>
      </c>
      <c r="BE8" t="str" cm="1">
        <f t="array" ref="BE8">_xll.RssMarket(A3, "最良売気配数量")</f>
        <v/>
      </c>
      <c r="BF8" t="str" cm="1">
        <f t="array" ref="BF8">_xll.RssMarket(A3, "最良買気配数量")</f>
        <v/>
      </c>
      <c r="BG8" t="str" cm="1">
        <f t="array" ref="BG8">_xll.RssMarket(A3, "最良売気配時刻")</f>
        <v/>
      </c>
      <c r="BH8" t="str" cm="1">
        <f t="array" ref="BH8">_xll.RssMarket(A3, "最良買気配時刻")</f>
        <v/>
      </c>
      <c r="BI8" t="str" cm="1">
        <f t="array" ref="BI8">_xll.RssMarket(A3, "最良売気配詳細時刻")</f>
        <v/>
      </c>
      <c r="BJ8" t="str" cm="1">
        <f t="array" ref="BJ8">_xll.RssMarket(A3, "最良買気配詳細時刻")</f>
        <v/>
      </c>
      <c r="BK8" t="str" cm="1">
        <f t="array" ref="BK8">_xll.RssMarket(A3, "特別売気配フラグ")</f>
        <v/>
      </c>
      <c r="BL8" t="str" cm="1">
        <f t="array" ref="BL8">_xll.RssMarket(A3, "特別買気配フラグ")</f>
        <v/>
      </c>
      <c r="BM8" t="str" cm="1">
        <f t="array" ref="BM8">_xll.RssMarket(A3, "信用貸借区分")</f>
        <v/>
      </c>
      <c r="BN8" t="str" cm="1">
        <f t="array" ref="BN8">_xll.RssMarket(A3, "逆日歩")</f>
        <v/>
      </c>
      <c r="BO8" t="str" cm="1">
        <f t="array" ref="BO8">_xll.RssMarket(A3, "逆日歩更新日付")</f>
        <v/>
      </c>
      <c r="BP8" t="str" cm="1">
        <f t="array" ref="BP8">_xll.RssMarket(A3, "信用売残")</f>
        <v/>
      </c>
      <c r="BQ8" t="str" cm="1">
        <f t="array" ref="BQ8">_xll.RssMarket(A3, "信用売残前週比")</f>
        <v/>
      </c>
      <c r="BR8" t="str" cm="1">
        <f t="array" ref="BR8">_xll.RssMarket(A3, "信用買残")</f>
        <v/>
      </c>
      <c r="BS8" t="str" cm="1">
        <f t="array" ref="BS8">_xll.RssMarket(A3, "信用買残前週比")</f>
        <v/>
      </c>
      <c r="BT8" t="str" cm="1">
        <f t="array" ref="BT8">_xll.RssMarket(A3, "信用倍率")</f>
        <v/>
      </c>
      <c r="BU8" t="str" cm="1">
        <f t="array" ref="BU8">_xll.RssMarket(A3, "証金残更新日付")</f>
        <v/>
      </c>
      <c r="BV8" t="str" cm="1">
        <f t="array" ref="BV8">_xll.RssMarket(A3, "新規貸株")</f>
        <v/>
      </c>
      <c r="BW8" t="str" cm="1">
        <f t="array" ref="BW8">_xll.RssMarket(A3, "新規融資")</f>
        <v/>
      </c>
      <c r="BX8" t="str" cm="1">
        <f t="array" ref="BX8">_xll.RssMarket(A3, "返済貸株")</f>
        <v/>
      </c>
      <c r="BY8" t="str" cm="1">
        <f t="array" ref="BY8">_xll.RssMarket(A3, "返済融資")</f>
        <v/>
      </c>
      <c r="BZ8" t="str" cm="1">
        <f t="array" ref="BZ8">_xll.RssMarket(A3, "残高貸株")</f>
        <v/>
      </c>
      <c r="CA8" t="str" cm="1">
        <f t="array" ref="CA8">_xll.RssMarket(A3, "残高融資")</f>
        <v/>
      </c>
      <c r="CB8" t="str" cm="1">
        <f t="array" ref="CB8">_xll.RssMarket(A3, "残高差引")</f>
        <v/>
      </c>
      <c r="CC8" t="str" cm="1">
        <f t="array" ref="CC8">_xll.RssMarket(A3, "前日比貸株")</f>
        <v/>
      </c>
      <c r="CD8" t="str" cm="1">
        <f t="array" ref="CD8">_xll.RssMarket(A3, "前日比融資")</f>
        <v/>
      </c>
      <c r="CE8" t="str" cm="1">
        <f t="array" ref="CE8">_xll.RssMarket(A3, "前日比差引")</f>
        <v/>
      </c>
      <c r="CF8" t="str" cm="1">
        <f t="array" ref="CF8">_xll.RssMarket(A3, "回転日数")</f>
        <v/>
      </c>
      <c r="CG8" t="str" cm="1">
        <f t="array" ref="CG8">_xll.RssMarket(A3, "貸借倍率")</f>
        <v/>
      </c>
      <c r="CH8" t="str" cm="1">
        <f t="array" ref="CH8">_xll.RssMarket(A3, "最良売気配値1")</f>
        <v/>
      </c>
      <c r="CI8" t="str" cm="1">
        <f t="array" ref="CI8">_xll.RssMarket(A3, "最良売気配値2")</f>
        <v/>
      </c>
      <c r="CJ8" t="str" cm="1">
        <f t="array" ref="CJ8">_xll.RssMarket(A3, "最良売気配値3")</f>
        <v/>
      </c>
      <c r="CK8" t="str" cm="1">
        <f t="array" ref="CK8">_xll.RssMarket(A3, "最良売気配値4")</f>
        <v/>
      </c>
      <c r="CL8" t="str" cm="1">
        <f t="array" ref="CL8">_xll.RssMarket(A3, "最良売気配値5")</f>
        <v/>
      </c>
      <c r="CM8" t="str" cm="1">
        <f t="array" ref="CM8">_xll.RssMarket(A3, "最良売気配値6")</f>
        <v/>
      </c>
      <c r="CN8" t="str" cm="1">
        <f t="array" ref="CN8">_xll.RssMarket(A3, "最良売気配値7")</f>
        <v/>
      </c>
      <c r="CO8" t="str" cm="1">
        <f t="array" ref="CO8">_xll.RssMarket(A3, "最良売気配値8")</f>
        <v/>
      </c>
      <c r="CP8" t="str" cm="1">
        <f t="array" ref="CP8">_xll.RssMarket(A3, "最良売気配値9")</f>
        <v/>
      </c>
      <c r="CQ8" t="str" cm="1">
        <f t="array" ref="CQ8">_xll.RssMarket(A3, "最良売気配値10")</f>
        <v/>
      </c>
      <c r="CR8" t="str" cm="1">
        <f t="array" ref="CR8">_xll.RssMarket(A3, "最良買気配値1")</f>
        <v/>
      </c>
      <c r="CS8" t="str" cm="1">
        <f t="array" ref="CS8">_xll.RssMarket(A3, "最良買気配値2")</f>
        <v/>
      </c>
      <c r="CT8" t="str" cm="1">
        <f t="array" ref="CT8">_xll.RssMarket(A3, "最良買気配値3")</f>
        <v/>
      </c>
      <c r="CU8" t="str" cm="1">
        <f t="array" ref="CU8">_xll.RssMarket(A3, "最良買気配値4")</f>
        <v/>
      </c>
      <c r="CV8" t="str" cm="1">
        <f t="array" ref="CV8">_xll.RssMarket(A3, "最良買気配値5")</f>
        <v/>
      </c>
      <c r="CW8" t="str" cm="1">
        <f t="array" ref="CW8">_xll.RssMarket(A3, "最良買気配値6")</f>
        <v/>
      </c>
      <c r="CX8" t="str" cm="1">
        <f t="array" ref="CX8">_xll.RssMarket(A3, "最良買気配値7")</f>
        <v/>
      </c>
      <c r="CY8" t="str" cm="1">
        <f t="array" ref="CY8">_xll.RssMarket(A3, "最良買気配値8")</f>
        <v/>
      </c>
      <c r="CZ8" t="str" cm="1">
        <f t="array" ref="CZ8">_xll.RssMarket(A3, "最良買気配値9")</f>
        <v/>
      </c>
      <c r="DA8" t="str" cm="1">
        <f t="array" ref="DA8">_xll.RssMarket(A3, "最良買気配値10")</f>
        <v/>
      </c>
      <c r="DB8" t="str" cm="1">
        <f t="array" ref="DB8">_xll.RssMarket(A3, "最良売気配数量1")</f>
        <v/>
      </c>
      <c r="DC8" t="str" cm="1">
        <f t="array" ref="DC8">_xll.RssMarket(A3, "最良売気配数量2")</f>
        <v/>
      </c>
      <c r="DD8" t="str" cm="1">
        <f t="array" ref="DD8">_xll.RssMarket(A3, "最良売気配数量3")</f>
        <v/>
      </c>
      <c r="DE8" t="str" cm="1">
        <f t="array" ref="DE8">_xll.RssMarket(A3, "最良売気配数量4")</f>
        <v/>
      </c>
      <c r="DF8" t="str" cm="1">
        <f t="array" ref="DF8">_xll.RssMarket(A3, "最良売気配数量5")</f>
        <v/>
      </c>
      <c r="DG8" t="str" cm="1">
        <f t="array" ref="DG8">_xll.RssMarket(A3, "最良売気配数量6")</f>
        <v/>
      </c>
      <c r="DH8" t="str" cm="1">
        <f t="array" ref="DH8">_xll.RssMarket(A3, "最良売気配数量7")</f>
        <v/>
      </c>
      <c r="DI8" t="str" cm="1">
        <f t="array" ref="DI8">_xll.RssMarket(A3, "最良売気配数量8")</f>
        <v/>
      </c>
      <c r="DJ8" t="str" cm="1">
        <f t="array" ref="DJ8">_xll.RssMarket(A3, "最良売気配数量9")</f>
        <v/>
      </c>
      <c r="DK8" t="str" cm="1">
        <f t="array" ref="DK8">_xll.RssMarket(A3, "最良売気配数量10")</f>
        <v/>
      </c>
      <c r="DL8" t="str" cm="1">
        <f t="array" ref="DL8">_xll.RssMarket(A3, "最良買気配数量1")</f>
        <v/>
      </c>
      <c r="DM8" t="str" cm="1">
        <f t="array" ref="DM8">_xll.RssMarket(A3, "最良買気配数量2")</f>
        <v/>
      </c>
      <c r="DN8" t="str" cm="1">
        <f t="array" ref="DN8">_xll.RssMarket(A3, "最良買気配数量3")</f>
        <v/>
      </c>
      <c r="DO8" t="str" cm="1">
        <f t="array" ref="DO8">_xll.RssMarket(A3, "最良買気配数量4")</f>
        <v/>
      </c>
      <c r="DP8" t="str" cm="1">
        <f t="array" ref="DP8">_xll.RssMarket(A3, "最良買気配数量5")</f>
        <v/>
      </c>
      <c r="DQ8" t="str" cm="1">
        <f t="array" ref="DQ8">_xll.RssMarket(A3, "最良買気配数量6")</f>
        <v/>
      </c>
      <c r="DR8" t="str" cm="1">
        <f t="array" ref="DR8">_xll.RssMarket(A3, "最良買気配数量7")</f>
        <v/>
      </c>
      <c r="DS8" t="str" cm="1">
        <f t="array" ref="DS8">_xll.RssMarket(A3, "最良買気配数量8")</f>
        <v/>
      </c>
      <c r="DT8" t="str" cm="1">
        <f t="array" ref="DT8">_xll.RssMarket(A3, "最良買気配数量9")</f>
        <v/>
      </c>
      <c r="DU8" t="str" cm="1">
        <f t="array" ref="DU8">_xll.RssMarket(A3, "最良買気配数量10")</f>
        <v/>
      </c>
      <c r="DV8" t="str" cm="1">
        <f t="array" ref="DV8">_xll.RssMarket(A3, "売成行数量")</f>
        <v/>
      </c>
      <c r="DW8" t="str" cm="1">
        <f t="array" ref="DW8">_xll.RssMarket(A3, "買成行数量")</f>
        <v/>
      </c>
      <c r="DX8" t="str" cm="1">
        <f t="array" ref="DX8">_xll.RssMarket(A3, "OVER気配数量")</f>
        <v/>
      </c>
      <c r="DY8" t="str" cm="1">
        <f t="array" ref="DY8">_xll.RssMarket(A3, "UNDER気配数量")</f>
        <v/>
      </c>
      <c r="DZ8" t="str" cm="1">
        <f t="array" ref="DZ8">_xll.RssMarket(A3, "単位株数")</f>
        <v/>
      </c>
      <c r="EA8" t="str" cm="1">
        <f t="array" ref="EA8">_xll.RssMarket(A3, "配当")</f>
        <v/>
      </c>
      <c r="EB8" t="str" cm="1">
        <f t="array" ref="EB8">_xll.RssMarket(A3, "配当落日")</f>
        <v/>
      </c>
      <c r="EC8" t="str" cm="1">
        <f t="array" ref="EC8">_xll.RssMarket(A3, "中配落日")</f>
        <v/>
      </c>
      <c r="ED8" t="str" cm="1">
        <f t="array" ref="ED8">_xll.RssMarket(A3, "権利落日")</f>
        <v/>
      </c>
      <c r="EE8" t="str" cm="1">
        <f t="array" ref="EE8">_xll.RssMarket(A3, "決算発表日")</f>
        <v/>
      </c>
      <c r="EF8" t="str" cm="1">
        <f t="array" ref="EF8">_xll.RssMarket(A3, "PER")</f>
        <v/>
      </c>
      <c r="EG8" t="str" cm="1">
        <f t="array" ref="EG8">_xll.RssMarket(A3, "PBR")</f>
        <v/>
      </c>
      <c r="EH8" t="str" cm="1">
        <f t="array" ref="EH8">_xll.RssMarket(A3, "当日基準値")</f>
        <v/>
      </c>
      <c r="EI8" t="str" cm="1">
        <f t="array" ref="EI8">_xll.RssMarket(A3, "年初来高値")</f>
        <v/>
      </c>
      <c r="EJ8" t="str" cm="1">
        <f t="array" ref="EJ8">_xll.RssMarket(A3, "年初来安値")</f>
        <v/>
      </c>
      <c r="EK8" t="str" cm="1">
        <f t="array" ref="EK8">_xll.RssMarket(A3, "年初来高値日付")</f>
        <v/>
      </c>
      <c r="EL8" t="str" cm="1">
        <f t="array" ref="EL8">_xll.RssMarket(A3, "年初来安値日付")</f>
        <v/>
      </c>
      <c r="EM8" t="str" cm="1">
        <f t="array" ref="EM8">_xll.RssMarket(A3, "上場来高値")</f>
        <v/>
      </c>
      <c r="EN8" t="str" cm="1">
        <f t="array" ref="EN8">_xll.RssMarket(A3, "上場来安値")</f>
        <v/>
      </c>
      <c r="EO8" t="str" cm="1">
        <f t="array" ref="EO8">_xll.RssMarket(A3, "上場来高値日付")</f>
        <v/>
      </c>
      <c r="EP8" t="str" cm="1">
        <f t="array" ref="EP8">_xll.RssMarket(A3, "上場来安値日付")</f>
        <v/>
      </c>
      <c r="EQ8" t="str" cm="1">
        <f t="array" ref="EQ8">_xll.RssMarket(A3, "貸株金利")</f>
        <v/>
      </c>
      <c r="ER8" t="str" cm="1">
        <f t="array" ref="ER8">_xll.RssMarket(A3, "貸株金利適用日")</f>
        <v/>
      </c>
    </row>
  </sheetData>
  <phoneticPr fontId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AC3D-8749-472A-8B6D-0E46213B6B4B}">
  <dimension ref="A1:J1503"/>
  <sheetViews>
    <sheetView workbookViewId="0">
      <selection activeCell="A2" sqref="A2"/>
    </sheetView>
  </sheetViews>
  <sheetFormatPr defaultRowHeight="18.75"/>
  <sheetData>
    <row r="1" spans="1:10">
      <c r="A1" t="s">
        <v>861</v>
      </c>
    </row>
    <row r="2" spans="1:10">
      <c r="A2" t="s">
        <v>11</v>
      </c>
      <c r="B2" t="s">
        <v>13</v>
      </c>
      <c r="C2" t="s">
        <v>531</v>
      </c>
      <c r="D2" t="s">
        <v>532</v>
      </c>
      <c r="E2" t="s">
        <v>533</v>
      </c>
      <c r="F2" t="s">
        <v>519</v>
      </c>
      <c r="G2" t="s">
        <v>520</v>
      </c>
      <c r="H2" t="s">
        <v>521</v>
      </c>
      <c r="I2" t="s">
        <v>534</v>
      </c>
      <c r="J2" t="s">
        <v>522</v>
      </c>
    </row>
    <row r="3" spans="1:10">
      <c r="A3" t="s">
        <v>172</v>
      </c>
      <c r="B3" t="s">
        <v>130</v>
      </c>
      <c r="C3" t="s">
        <v>631</v>
      </c>
      <c r="D3" t="s">
        <v>638</v>
      </c>
      <c r="E3" t="s">
        <v>699</v>
      </c>
      <c r="F3">
        <v>1300.5</v>
      </c>
      <c r="G3">
        <v>1302</v>
      </c>
      <c r="H3">
        <v>1300</v>
      </c>
      <c r="I3">
        <v>1300.5</v>
      </c>
      <c r="J3">
        <v>287100</v>
      </c>
    </row>
    <row r="4" spans="1:10">
      <c r="D4" t="s">
        <v>638</v>
      </c>
      <c r="E4" t="s">
        <v>700</v>
      </c>
      <c r="F4">
        <v>1301</v>
      </c>
      <c r="G4">
        <v>1301.5</v>
      </c>
      <c r="H4">
        <v>1293.5</v>
      </c>
      <c r="I4">
        <v>1294.5</v>
      </c>
      <c r="J4">
        <v>476300</v>
      </c>
    </row>
    <row r="5" spans="1:10">
      <c r="D5" t="s">
        <v>638</v>
      </c>
      <c r="E5" t="s">
        <v>633</v>
      </c>
      <c r="F5">
        <v>1294</v>
      </c>
      <c r="G5">
        <v>1295</v>
      </c>
      <c r="H5">
        <v>1292</v>
      </c>
      <c r="I5">
        <v>1294</v>
      </c>
      <c r="J5">
        <v>362800</v>
      </c>
    </row>
    <row r="6" spans="1:10">
      <c r="D6" t="s">
        <v>638</v>
      </c>
      <c r="E6" t="s">
        <v>634</v>
      </c>
      <c r="F6">
        <v>1294</v>
      </c>
      <c r="G6">
        <v>1294.5</v>
      </c>
      <c r="H6">
        <v>1291</v>
      </c>
      <c r="I6">
        <v>1292.5</v>
      </c>
      <c r="J6">
        <v>307700</v>
      </c>
    </row>
    <row r="7" spans="1:10">
      <c r="D7" t="s">
        <v>638</v>
      </c>
      <c r="E7" t="s">
        <v>635</v>
      </c>
      <c r="F7">
        <v>1292</v>
      </c>
      <c r="G7">
        <v>1293.5</v>
      </c>
      <c r="H7">
        <v>1292</v>
      </c>
      <c r="I7">
        <v>1293</v>
      </c>
      <c r="J7">
        <v>299100</v>
      </c>
    </row>
    <row r="8" spans="1:10">
      <c r="D8" t="s">
        <v>638</v>
      </c>
      <c r="E8" t="s">
        <v>614</v>
      </c>
      <c r="F8">
        <v>1293.5</v>
      </c>
      <c r="G8">
        <v>1297.5</v>
      </c>
      <c r="H8">
        <v>1291.5</v>
      </c>
      <c r="I8">
        <v>1295.5</v>
      </c>
      <c r="J8">
        <v>736800</v>
      </c>
    </row>
    <row r="9" spans="1:10">
      <c r="D9" t="s">
        <v>638</v>
      </c>
      <c r="E9" t="s">
        <v>636</v>
      </c>
      <c r="F9" t="s">
        <v>35</v>
      </c>
      <c r="G9" t="s">
        <v>35</v>
      </c>
      <c r="H9" t="s">
        <v>35</v>
      </c>
      <c r="I9" t="s">
        <v>35</v>
      </c>
      <c r="J9">
        <v>0</v>
      </c>
    </row>
    <row r="10" spans="1:10">
      <c r="D10" t="s">
        <v>638</v>
      </c>
      <c r="E10" t="s">
        <v>637</v>
      </c>
      <c r="F10">
        <v>1290.5</v>
      </c>
      <c r="G10">
        <v>1290.5</v>
      </c>
      <c r="H10">
        <v>1290.5</v>
      </c>
      <c r="I10">
        <v>1290.5</v>
      </c>
      <c r="J10">
        <v>2447800</v>
      </c>
    </row>
    <row r="11" spans="1:10">
      <c r="D11" t="s">
        <v>701</v>
      </c>
      <c r="E11" t="s">
        <v>639</v>
      </c>
      <c r="F11">
        <v>1281.5</v>
      </c>
      <c r="G11">
        <v>1310</v>
      </c>
      <c r="H11">
        <v>1277</v>
      </c>
      <c r="I11">
        <v>1286</v>
      </c>
      <c r="J11">
        <v>2593000</v>
      </c>
    </row>
    <row r="12" spans="1:10">
      <c r="D12" t="s">
        <v>701</v>
      </c>
      <c r="E12" t="s">
        <v>640</v>
      </c>
      <c r="F12">
        <v>1285</v>
      </c>
      <c r="G12">
        <v>1286</v>
      </c>
      <c r="H12">
        <v>1271.5</v>
      </c>
      <c r="I12">
        <v>1273.5</v>
      </c>
      <c r="J12">
        <v>633000</v>
      </c>
    </row>
    <row r="13" spans="1:10">
      <c r="D13" t="s">
        <v>701</v>
      </c>
      <c r="E13" t="s">
        <v>641</v>
      </c>
      <c r="F13">
        <v>1273.5</v>
      </c>
      <c r="G13">
        <v>1275</v>
      </c>
      <c r="H13">
        <v>1261.5</v>
      </c>
      <c r="I13">
        <v>1269</v>
      </c>
      <c r="J13">
        <v>958500</v>
      </c>
    </row>
    <row r="14" spans="1:10">
      <c r="D14" t="s">
        <v>701</v>
      </c>
      <c r="E14" t="s">
        <v>642</v>
      </c>
      <c r="F14">
        <v>1270</v>
      </c>
      <c r="G14">
        <v>1272</v>
      </c>
      <c r="H14">
        <v>1255.5</v>
      </c>
      <c r="I14">
        <v>1260.5</v>
      </c>
      <c r="J14">
        <v>727800</v>
      </c>
    </row>
    <row r="15" spans="1:10">
      <c r="D15" t="s">
        <v>701</v>
      </c>
      <c r="E15" t="s">
        <v>643</v>
      </c>
      <c r="F15">
        <v>1260.5</v>
      </c>
      <c r="G15">
        <v>1262.5</v>
      </c>
      <c r="H15">
        <v>1257</v>
      </c>
      <c r="I15">
        <v>1262.5</v>
      </c>
      <c r="J15">
        <v>417300</v>
      </c>
    </row>
    <row r="16" spans="1:10">
      <c r="D16" t="s">
        <v>701</v>
      </c>
      <c r="E16" t="s">
        <v>644</v>
      </c>
      <c r="F16">
        <v>1263</v>
      </c>
      <c r="G16">
        <v>1274.5</v>
      </c>
      <c r="H16">
        <v>1259.5</v>
      </c>
      <c r="I16">
        <v>1272</v>
      </c>
      <c r="J16">
        <v>576600</v>
      </c>
    </row>
    <row r="17" spans="4:10">
      <c r="D17" t="s">
        <v>701</v>
      </c>
      <c r="E17" t="s">
        <v>645</v>
      </c>
      <c r="F17">
        <v>1272</v>
      </c>
      <c r="G17">
        <v>1274</v>
      </c>
      <c r="H17">
        <v>1264</v>
      </c>
      <c r="I17">
        <v>1267</v>
      </c>
      <c r="J17">
        <v>409000</v>
      </c>
    </row>
    <row r="18" spans="4:10">
      <c r="D18" t="s">
        <v>701</v>
      </c>
      <c r="E18" t="s">
        <v>646</v>
      </c>
      <c r="F18">
        <v>1267.5</v>
      </c>
      <c r="G18">
        <v>1277</v>
      </c>
      <c r="H18">
        <v>1267</v>
      </c>
      <c r="I18">
        <v>1275.5</v>
      </c>
      <c r="J18">
        <v>434900</v>
      </c>
    </row>
    <row r="19" spans="4:10">
      <c r="D19" t="s">
        <v>701</v>
      </c>
      <c r="E19" t="s">
        <v>647</v>
      </c>
      <c r="F19">
        <v>1275</v>
      </c>
      <c r="G19">
        <v>1288</v>
      </c>
      <c r="H19">
        <v>1273</v>
      </c>
      <c r="I19">
        <v>1288</v>
      </c>
      <c r="J19">
        <v>472000</v>
      </c>
    </row>
    <row r="20" spans="4:10">
      <c r="D20" t="s">
        <v>701</v>
      </c>
      <c r="E20" t="s">
        <v>648</v>
      </c>
      <c r="F20">
        <v>1288</v>
      </c>
      <c r="G20">
        <v>1289.5</v>
      </c>
      <c r="H20">
        <v>1284.5</v>
      </c>
      <c r="I20">
        <v>1286.5</v>
      </c>
      <c r="J20">
        <v>442500</v>
      </c>
    </row>
    <row r="21" spans="4:10">
      <c r="D21" t="s">
        <v>701</v>
      </c>
      <c r="E21" t="s">
        <v>649</v>
      </c>
      <c r="F21">
        <v>1286</v>
      </c>
      <c r="G21">
        <v>1289</v>
      </c>
      <c r="H21">
        <v>1285</v>
      </c>
      <c r="I21">
        <v>1287</v>
      </c>
      <c r="J21">
        <v>245400</v>
      </c>
    </row>
    <row r="22" spans="4:10">
      <c r="D22" t="s">
        <v>701</v>
      </c>
      <c r="E22" t="s">
        <v>650</v>
      </c>
      <c r="F22">
        <v>1286.5</v>
      </c>
      <c r="G22">
        <v>1291.5</v>
      </c>
      <c r="H22">
        <v>1284.5</v>
      </c>
      <c r="I22">
        <v>1289</v>
      </c>
      <c r="J22">
        <v>492900</v>
      </c>
    </row>
    <row r="23" spans="4:10">
      <c r="D23" t="s">
        <v>701</v>
      </c>
      <c r="E23" t="s">
        <v>651</v>
      </c>
      <c r="F23">
        <v>1289</v>
      </c>
      <c r="G23">
        <v>1294</v>
      </c>
      <c r="H23">
        <v>1288</v>
      </c>
      <c r="I23">
        <v>1293.5</v>
      </c>
      <c r="J23">
        <v>360500</v>
      </c>
    </row>
    <row r="24" spans="4:10">
      <c r="D24" t="s">
        <v>701</v>
      </c>
      <c r="E24" t="s">
        <v>652</v>
      </c>
      <c r="F24">
        <v>1293.5</v>
      </c>
      <c r="G24">
        <v>1297.5</v>
      </c>
      <c r="H24">
        <v>1291</v>
      </c>
      <c r="I24">
        <v>1296</v>
      </c>
      <c r="J24">
        <v>361100</v>
      </c>
    </row>
    <row r="25" spans="4:10">
      <c r="D25" t="s">
        <v>701</v>
      </c>
      <c r="E25" t="s">
        <v>653</v>
      </c>
      <c r="F25">
        <v>1295.5</v>
      </c>
      <c r="G25">
        <v>1296.5</v>
      </c>
      <c r="H25">
        <v>1292</v>
      </c>
      <c r="I25">
        <v>1294</v>
      </c>
      <c r="J25">
        <v>292800</v>
      </c>
    </row>
    <row r="26" spans="4:10">
      <c r="D26" t="s">
        <v>701</v>
      </c>
      <c r="E26" t="s">
        <v>654</v>
      </c>
      <c r="F26">
        <v>1294</v>
      </c>
      <c r="G26">
        <v>1302.5</v>
      </c>
      <c r="H26">
        <v>1292.5</v>
      </c>
      <c r="I26">
        <v>1301.5</v>
      </c>
      <c r="J26">
        <v>686900</v>
      </c>
    </row>
    <row r="27" spans="4:10">
      <c r="D27" t="s">
        <v>701</v>
      </c>
      <c r="E27" t="s">
        <v>655</v>
      </c>
      <c r="F27">
        <v>1300.5</v>
      </c>
      <c r="G27">
        <v>1301.5</v>
      </c>
      <c r="H27">
        <v>1294</v>
      </c>
      <c r="I27">
        <v>1294.5</v>
      </c>
      <c r="J27">
        <v>267600</v>
      </c>
    </row>
    <row r="28" spans="4:10">
      <c r="D28" t="s">
        <v>701</v>
      </c>
      <c r="E28" t="s">
        <v>656</v>
      </c>
      <c r="F28">
        <v>1294</v>
      </c>
      <c r="G28">
        <v>1299.5</v>
      </c>
      <c r="H28">
        <v>1291.5</v>
      </c>
      <c r="I28">
        <v>1297</v>
      </c>
      <c r="J28">
        <v>456800</v>
      </c>
    </row>
    <row r="29" spans="4:10">
      <c r="D29" t="s">
        <v>701</v>
      </c>
      <c r="E29" t="s">
        <v>657</v>
      </c>
      <c r="F29">
        <v>1297</v>
      </c>
      <c r="G29">
        <v>1299</v>
      </c>
      <c r="H29">
        <v>1295.5</v>
      </c>
      <c r="I29">
        <v>1296.5</v>
      </c>
      <c r="J29">
        <v>126000</v>
      </c>
    </row>
    <row r="30" spans="4:10">
      <c r="D30" t="s">
        <v>701</v>
      </c>
      <c r="E30" t="s">
        <v>658</v>
      </c>
      <c r="F30">
        <v>1296.5</v>
      </c>
      <c r="G30">
        <v>1303</v>
      </c>
      <c r="H30">
        <v>1296.5</v>
      </c>
      <c r="I30">
        <v>1303</v>
      </c>
      <c r="J30">
        <v>419700</v>
      </c>
    </row>
    <row r="31" spans="4:10">
      <c r="D31" t="s">
        <v>701</v>
      </c>
      <c r="E31" t="s">
        <v>659</v>
      </c>
      <c r="F31">
        <v>1303</v>
      </c>
      <c r="G31">
        <v>1313.5</v>
      </c>
      <c r="H31">
        <v>1298</v>
      </c>
      <c r="I31">
        <v>1304</v>
      </c>
      <c r="J31">
        <v>1380400</v>
      </c>
    </row>
    <row r="32" spans="4:10">
      <c r="D32" t="s">
        <v>701</v>
      </c>
      <c r="E32" t="s">
        <v>660</v>
      </c>
      <c r="F32">
        <v>1304</v>
      </c>
      <c r="G32">
        <v>1306.5</v>
      </c>
      <c r="H32">
        <v>1299.5</v>
      </c>
      <c r="I32">
        <v>1306</v>
      </c>
      <c r="J32">
        <v>367200</v>
      </c>
    </row>
    <row r="33" spans="4:10">
      <c r="D33" t="s">
        <v>701</v>
      </c>
      <c r="E33" t="s">
        <v>661</v>
      </c>
      <c r="F33">
        <v>1305.5</v>
      </c>
      <c r="G33">
        <v>1309.5</v>
      </c>
      <c r="H33">
        <v>1304</v>
      </c>
      <c r="I33">
        <v>1309</v>
      </c>
      <c r="J33">
        <v>297300</v>
      </c>
    </row>
    <row r="34" spans="4:10">
      <c r="D34" t="s">
        <v>701</v>
      </c>
      <c r="E34" t="s">
        <v>662</v>
      </c>
      <c r="F34">
        <v>1309</v>
      </c>
      <c r="G34">
        <v>1319.5</v>
      </c>
      <c r="H34">
        <v>1308.5</v>
      </c>
      <c r="I34">
        <v>1317.5</v>
      </c>
      <c r="J34">
        <v>805200</v>
      </c>
    </row>
    <row r="35" spans="4:10">
      <c r="D35" t="s">
        <v>701</v>
      </c>
      <c r="E35" t="s">
        <v>663</v>
      </c>
      <c r="F35">
        <v>1317.5</v>
      </c>
      <c r="G35">
        <v>1321</v>
      </c>
      <c r="H35">
        <v>1310</v>
      </c>
      <c r="I35">
        <v>1316</v>
      </c>
      <c r="J35">
        <v>904100</v>
      </c>
    </row>
    <row r="36" spans="4:10">
      <c r="D36" t="s">
        <v>701</v>
      </c>
      <c r="E36" t="s">
        <v>664</v>
      </c>
      <c r="F36">
        <v>1316</v>
      </c>
      <c r="G36">
        <v>1318</v>
      </c>
      <c r="H36">
        <v>1313.5</v>
      </c>
      <c r="I36">
        <v>1314</v>
      </c>
      <c r="J36">
        <v>292600</v>
      </c>
    </row>
    <row r="37" spans="4:10">
      <c r="D37" t="s">
        <v>701</v>
      </c>
      <c r="E37" t="s">
        <v>665</v>
      </c>
      <c r="F37">
        <v>1314.5</v>
      </c>
      <c r="G37">
        <v>1318</v>
      </c>
      <c r="H37">
        <v>1313</v>
      </c>
      <c r="I37">
        <v>1317</v>
      </c>
      <c r="J37">
        <v>404600</v>
      </c>
    </row>
    <row r="38" spans="4:10">
      <c r="D38" t="s">
        <v>701</v>
      </c>
      <c r="E38" t="s">
        <v>666</v>
      </c>
      <c r="F38">
        <v>1316.5</v>
      </c>
      <c r="G38">
        <v>1321</v>
      </c>
      <c r="H38">
        <v>1315.5</v>
      </c>
      <c r="I38">
        <v>1320.5</v>
      </c>
      <c r="J38">
        <v>481700</v>
      </c>
    </row>
    <row r="39" spans="4:10">
      <c r="D39" t="s">
        <v>701</v>
      </c>
      <c r="E39" t="s">
        <v>667</v>
      </c>
      <c r="F39">
        <v>1320</v>
      </c>
      <c r="G39">
        <v>1326.5</v>
      </c>
      <c r="H39">
        <v>1320</v>
      </c>
      <c r="I39">
        <v>1320</v>
      </c>
      <c r="J39">
        <v>1039700</v>
      </c>
    </row>
    <row r="40" spans="4:10">
      <c r="D40" t="s">
        <v>701</v>
      </c>
      <c r="E40" t="s">
        <v>668</v>
      </c>
      <c r="F40">
        <v>1320</v>
      </c>
      <c r="G40">
        <v>1323</v>
      </c>
      <c r="H40">
        <v>1318.5</v>
      </c>
      <c r="I40">
        <v>1320.5</v>
      </c>
      <c r="J40">
        <v>302100</v>
      </c>
    </row>
    <row r="41" spans="4:10">
      <c r="D41" t="s">
        <v>701</v>
      </c>
      <c r="E41" t="s">
        <v>669</v>
      </c>
      <c r="F41">
        <v>1319.5</v>
      </c>
      <c r="G41">
        <v>1319.5</v>
      </c>
      <c r="H41">
        <v>1319.5</v>
      </c>
      <c r="I41">
        <v>1319.5</v>
      </c>
      <c r="J41">
        <v>17900</v>
      </c>
    </row>
    <row r="42" spans="4:10">
      <c r="D42" t="s">
        <v>701</v>
      </c>
      <c r="E42" t="s">
        <v>670</v>
      </c>
      <c r="F42">
        <v>1320.5</v>
      </c>
      <c r="G42">
        <v>1335</v>
      </c>
      <c r="H42">
        <v>1320</v>
      </c>
      <c r="I42">
        <v>1327.5</v>
      </c>
      <c r="J42">
        <v>1671400</v>
      </c>
    </row>
    <row r="43" spans="4:10">
      <c r="D43" t="s">
        <v>701</v>
      </c>
      <c r="E43" t="s">
        <v>671</v>
      </c>
      <c r="F43">
        <v>1327</v>
      </c>
      <c r="G43">
        <v>1336.5</v>
      </c>
      <c r="H43">
        <v>1324</v>
      </c>
      <c r="I43">
        <v>1334</v>
      </c>
      <c r="J43">
        <v>1033400</v>
      </c>
    </row>
    <row r="44" spans="4:10">
      <c r="D44" t="s">
        <v>701</v>
      </c>
      <c r="E44" t="s">
        <v>672</v>
      </c>
      <c r="F44">
        <v>1334</v>
      </c>
      <c r="G44">
        <v>1336</v>
      </c>
      <c r="H44">
        <v>1330.5</v>
      </c>
      <c r="I44">
        <v>1334</v>
      </c>
      <c r="J44">
        <v>666000</v>
      </c>
    </row>
    <row r="45" spans="4:10">
      <c r="D45" t="s">
        <v>701</v>
      </c>
      <c r="E45" t="s">
        <v>673</v>
      </c>
      <c r="F45">
        <v>1333.5</v>
      </c>
      <c r="G45">
        <v>1337.5</v>
      </c>
      <c r="H45">
        <v>1329.5</v>
      </c>
      <c r="I45">
        <v>1333</v>
      </c>
      <c r="J45">
        <v>685600</v>
      </c>
    </row>
    <row r="46" spans="4:10">
      <c r="D46" t="s">
        <v>701</v>
      </c>
      <c r="E46" t="s">
        <v>674</v>
      </c>
      <c r="F46">
        <v>1333.5</v>
      </c>
      <c r="G46">
        <v>1345</v>
      </c>
      <c r="H46">
        <v>1333</v>
      </c>
      <c r="I46">
        <v>1342.5</v>
      </c>
      <c r="J46">
        <v>1027200</v>
      </c>
    </row>
    <row r="47" spans="4:10">
      <c r="D47" t="s">
        <v>701</v>
      </c>
      <c r="E47" t="s">
        <v>675</v>
      </c>
      <c r="F47">
        <v>1342.5</v>
      </c>
      <c r="G47">
        <v>1354</v>
      </c>
      <c r="H47">
        <v>1341.5</v>
      </c>
      <c r="I47">
        <v>1351</v>
      </c>
      <c r="J47">
        <v>2256100</v>
      </c>
    </row>
    <row r="48" spans="4:10">
      <c r="D48" t="s">
        <v>701</v>
      </c>
      <c r="E48" t="s">
        <v>676</v>
      </c>
      <c r="F48">
        <v>1351.5</v>
      </c>
      <c r="G48">
        <v>1356</v>
      </c>
      <c r="H48">
        <v>1350</v>
      </c>
      <c r="I48">
        <v>1353.5</v>
      </c>
      <c r="J48">
        <v>639800</v>
      </c>
    </row>
    <row r="49" spans="4:10">
      <c r="D49" t="s">
        <v>701</v>
      </c>
      <c r="E49" t="s">
        <v>677</v>
      </c>
      <c r="F49">
        <v>1353.5</v>
      </c>
      <c r="G49">
        <v>1354.5</v>
      </c>
      <c r="H49">
        <v>1347.5</v>
      </c>
      <c r="I49">
        <v>1352</v>
      </c>
      <c r="J49">
        <v>462200</v>
      </c>
    </row>
    <row r="50" spans="4:10">
      <c r="D50" t="s">
        <v>701</v>
      </c>
      <c r="E50" t="s">
        <v>678</v>
      </c>
      <c r="F50">
        <v>1352</v>
      </c>
      <c r="G50">
        <v>1361.5</v>
      </c>
      <c r="H50">
        <v>1350.5</v>
      </c>
      <c r="I50">
        <v>1358.5</v>
      </c>
      <c r="J50">
        <v>987000</v>
      </c>
    </row>
    <row r="51" spans="4:10">
      <c r="D51" t="s">
        <v>701</v>
      </c>
      <c r="E51" t="s">
        <v>679</v>
      </c>
      <c r="F51">
        <v>1358</v>
      </c>
      <c r="G51">
        <v>1361</v>
      </c>
      <c r="H51">
        <v>1355</v>
      </c>
      <c r="I51">
        <v>1355.5</v>
      </c>
      <c r="J51">
        <v>447300</v>
      </c>
    </row>
    <row r="52" spans="4:10">
      <c r="D52" t="s">
        <v>701</v>
      </c>
      <c r="E52" t="s">
        <v>680</v>
      </c>
      <c r="F52">
        <v>1355</v>
      </c>
      <c r="G52">
        <v>1357.5</v>
      </c>
      <c r="H52">
        <v>1352</v>
      </c>
      <c r="I52">
        <v>1352</v>
      </c>
      <c r="J52">
        <v>386500</v>
      </c>
    </row>
    <row r="53" spans="4:10">
      <c r="D53" t="s">
        <v>701</v>
      </c>
      <c r="E53" t="s">
        <v>681</v>
      </c>
      <c r="F53">
        <v>1353</v>
      </c>
      <c r="G53">
        <v>1353</v>
      </c>
      <c r="H53">
        <v>1345</v>
      </c>
      <c r="I53">
        <v>1347</v>
      </c>
      <c r="J53">
        <v>433100</v>
      </c>
    </row>
    <row r="54" spans="4:10">
      <c r="D54" t="s">
        <v>701</v>
      </c>
      <c r="E54" t="s">
        <v>682</v>
      </c>
      <c r="F54">
        <v>1347</v>
      </c>
      <c r="G54">
        <v>1351.5</v>
      </c>
      <c r="H54">
        <v>1347</v>
      </c>
      <c r="I54">
        <v>1351</v>
      </c>
      <c r="J54">
        <v>288300</v>
      </c>
    </row>
    <row r="55" spans="4:10">
      <c r="D55" t="s">
        <v>701</v>
      </c>
      <c r="E55" t="s">
        <v>683</v>
      </c>
      <c r="F55">
        <v>1351</v>
      </c>
      <c r="G55">
        <v>1352.5</v>
      </c>
      <c r="H55">
        <v>1349.5</v>
      </c>
      <c r="I55">
        <v>1349.5</v>
      </c>
      <c r="J55">
        <v>272900</v>
      </c>
    </row>
    <row r="56" spans="4:10">
      <c r="D56" t="s">
        <v>701</v>
      </c>
      <c r="E56" t="s">
        <v>684</v>
      </c>
      <c r="F56">
        <v>1349.5</v>
      </c>
      <c r="G56">
        <v>1349.5</v>
      </c>
      <c r="H56">
        <v>1343.5</v>
      </c>
      <c r="I56">
        <v>1345</v>
      </c>
      <c r="J56">
        <v>409000</v>
      </c>
    </row>
    <row r="57" spans="4:10">
      <c r="D57" t="s">
        <v>701</v>
      </c>
      <c r="E57" t="s">
        <v>685</v>
      </c>
      <c r="F57">
        <v>1345.5</v>
      </c>
      <c r="G57">
        <v>1347</v>
      </c>
      <c r="H57">
        <v>1344</v>
      </c>
      <c r="I57">
        <v>1346</v>
      </c>
      <c r="J57">
        <v>260300</v>
      </c>
    </row>
    <row r="58" spans="4:10">
      <c r="D58" t="s">
        <v>701</v>
      </c>
      <c r="E58" t="s">
        <v>686</v>
      </c>
      <c r="F58">
        <v>1346</v>
      </c>
      <c r="G58">
        <v>1346</v>
      </c>
      <c r="H58">
        <v>1337</v>
      </c>
      <c r="I58">
        <v>1337</v>
      </c>
      <c r="J58">
        <v>625400</v>
      </c>
    </row>
    <row r="59" spans="4:10">
      <c r="D59" t="s">
        <v>701</v>
      </c>
      <c r="E59" t="s">
        <v>687</v>
      </c>
      <c r="F59">
        <v>1337</v>
      </c>
      <c r="G59">
        <v>1338</v>
      </c>
      <c r="H59">
        <v>1333.5</v>
      </c>
      <c r="I59">
        <v>1335.5</v>
      </c>
      <c r="J59">
        <v>526700</v>
      </c>
    </row>
    <row r="60" spans="4:10">
      <c r="D60" t="s">
        <v>701</v>
      </c>
      <c r="E60" t="s">
        <v>688</v>
      </c>
      <c r="F60">
        <v>1335.5</v>
      </c>
      <c r="G60">
        <v>1339</v>
      </c>
      <c r="H60">
        <v>1334</v>
      </c>
      <c r="I60">
        <v>1336</v>
      </c>
      <c r="J60">
        <v>271100</v>
      </c>
    </row>
    <row r="61" spans="4:10">
      <c r="D61" t="s">
        <v>701</v>
      </c>
      <c r="E61" t="s">
        <v>689</v>
      </c>
      <c r="F61">
        <v>1336.5</v>
      </c>
      <c r="G61">
        <v>1336.5</v>
      </c>
      <c r="H61">
        <v>1329</v>
      </c>
      <c r="I61">
        <v>1333.5</v>
      </c>
      <c r="J61">
        <v>576400</v>
      </c>
    </row>
    <row r="62" spans="4:10">
      <c r="D62" t="s">
        <v>701</v>
      </c>
      <c r="E62" t="s">
        <v>690</v>
      </c>
      <c r="F62">
        <v>1333</v>
      </c>
      <c r="G62">
        <v>1342.5</v>
      </c>
      <c r="H62">
        <v>1332.5</v>
      </c>
      <c r="I62">
        <v>1342</v>
      </c>
      <c r="J62">
        <v>403900</v>
      </c>
    </row>
    <row r="63" spans="4:10">
      <c r="D63" t="s">
        <v>701</v>
      </c>
      <c r="E63" t="s">
        <v>691</v>
      </c>
      <c r="F63">
        <v>1342</v>
      </c>
      <c r="G63">
        <v>1344</v>
      </c>
      <c r="H63">
        <v>1340</v>
      </c>
      <c r="I63">
        <v>1343.5</v>
      </c>
      <c r="J63">
        <v>308900</v>
      </c>
    </row>
    <row r="64" spans="4:10">
      <c r="D64" t="s">
        <v>701</v>
      </c>
      <c r="E64" t="s">
        <v>692</v>
      </c>
      <c r="F64">
        <v>1344</v>
      </c>
      <c r="G64">
        <v>1348</v>
      </c>
      <c r="H64">
        <v>1342</v>
      </c>
      <c r="I64">
        <v>1343</v>
      </c>
      <c r="J64">
        <v>348500</v>
      </c>
    </row>
    <row r="65" spans="4:10">
      <c r="D65" t="s">
        <v>701</v>
      </c>
      <c r="E65" t="s">
        <v>693</v>
      </c>
      <c r="F65">
        <v>1343</v>
      </c>
      <c r="G65">
        <v>1343</v>
      </c>
      <c r="H65">
        <v>1339</v>
      </c>
      <c r="I65">
        <v>1341</v>
      </c>
      <c r="J65">
        <v>272500</v>
      </c>
    </row>
    <row r="66" spans="4:10">
      <c r="D66" t="s">
        <v>701</v>
      </c>
      <c r="E66" t="s">
        <v>694</v>
      </c>
      <c r="F66">
        <v>1341</v>
      </c>
      <c r="G66">
        <v>1342</v>
      </c>
      <c r="H66">
        <v>1339.5</v>
      </c>
      <c r="I66">
        <v>1341.5</v>
      </c>
      <c r="J66">
        <v>198800</v>
      </c>
    </row>
    <row r="67" spans="4:10">
      <c r="D67" t="s">
        <v>701</v>
      </c>
      <c r="E67" t="s">
        <v>695</v>
      </c>
      <c r="F67">
        <v>1341.5</v>
      </c>
      <c r="G67">
        <v>1342.5</v>
      </c>
      <c r="H67">
        <v>1339</v>
      </c>
      <c r="I67">
        <v>1340</v>
      </c>
      <c r="J67">
        <v>214500</v>
      </c>
    </row>
    <row r="68" spans="4:10">
      <c r="D68" t="s">
        <v>701</v>
      </c>
      <c r="E68" t="s">
        <v>696</v>
      </c>
      <c r="F68">
        <v>1340</v>
      </c>
      <c r="G68">
        <v>1345</v>
      </c>
      <c r="H68">
        <v>1339</v>
      </c>
      <c r="I68">
        <v>1345</v>
      </c>
      <c r="J68">
        <v>320200</v>
      </c>
    </row>
    <row r="69" spans="4:10">
      <c r="D69" t="s">
        <v>701</v>
      </c>
      <c r="E69" t="s">
        <v>697</v>
      </c>
      <c r="F69">
        <v>1345</v>
      </c>
      <c r="G69">
        <v>1346.5</v>
      </c>
      <c r="H69">
        <v>1337</v>
      </c>
      <c r="I69">
        <v>1338.5</v>
      </c>
      <c r="J69">
        <v>471200</v>
      </c>
    </row>
    <row r="70" spans="4:10">
      <c r="D70" t="s">
        <v>701</v>
      </c>
      <c r="E70" t="s">
        <v>698</v>
      </c>
      <c r="F70">
        <v>1338.5</v>
      </c>
      <c r="G70">
        <v>1341.5</v>
      </c>
      <c r="H70">
        <v>1333.5</v>
      </c>
      <c r="I70">
        <v>1336</v>
      </c>
      <c r="J70">
        <v>322800</v>
      </c>
    </row>
    <row r="71" spans="4:10">
      <c r="D71" t="s">
        <v>701</v>
      </c>
      <c r="E71" t="s">
        <v>699</v>
      </c>
      <c r="F71">
        <v>1336</v>
      </c>
      <c r="G71">
        <v>1340.5</v>
      </c>
      <c r="H71">
        <v>1336</v>
      </c>
      <c r="I71">
        <v>1339.5</v>
      </c>
      <c r="J71">
        <v>252400</v>
      </c>
    </row>
    <row r="72" spans="4:10">
      <c r="D72" t="s">
        <v>701</v>
      </c>
      <c r="E72" t="s">
        <v>700</v>
      </c>
      <c r="F72">
        <v>1339.5</v>
      </c>
      <c r="G72">
        <v>1344</v>
      </c>
      <c r="H72">
        <v>1338.5</v>
      </c>
      <c r="I72">
        <v>1339</v>
      </c>
      <c r="J72">
        <v>300300</v>
      </c>
    </row>
    <row r="73" spans="4:10">
      <c r="D73" t="s">
        <v>701</v>
      </c>
      <c r="E73" t="s">
        <v>633</v>
      </c>
      <c r="F73">
        <v>1338.5</v>
      </c>
      <c r="G73">
        <v>1341</v>
      </c>
      <c r="H73">
        <v>1337.5</v>
      </c>
      <c r="I73">
        <v>1340.5</v>
      </c>
      <c r="J73">
        <v>324500</v>
      </c>
    </row>
    <row r="74" spans="4:10">
      <c r="D74" t="s">
        <v>701</v>
      </c>
      <c r="E74" t="s">
        <v>634</v>
      </c>
      <c r="F74">
        <v>1341</v>
      </c>
      <c r="G74">
        <v>1341.5</v>
      </c>
      <c r="H74">
        <v>1338</v>
      </c>
      <c r="I74">
        <v>1341.5</v>
      </c>
      <c r="J74">
        <v>275900</v>
      </c>
    </row>
    <row r="75" spans="4:10">
      <c r="D75" t="s">
        <v>701</v>
      </c>
      <c r="E75" t="s">
        <v>635</v>
      </c>
      <c r="F75">
        <v>1341.5</v>
      </c>
      <c r="G75">
        <v>1343</v>
      </c>
      <c r="H75">
        <v>1341</v>
      </c>
      <c r="I75">
        <v>1342.5</v>
      </c>
      <c r="J75">
        <v>362600</v>
      </c>
    </row>
    <row r="76" spans="4:10">
      <c r="D76" t="s">
        <v>701</v>
      </c>
      <c r="E76" t="s">
        <v>614</v>
      </c>
      <c r="F76">
        <v>1343</v>
      </c>
      <c r="G76">
        <v>1345.5</v>
      </c>
      <c r="H76">
        <v>1339.5</v>
      </c>
      <c r="I76">
        <v>1343</v>
      </c>
      <c r="J76">
        <v>554500</v>
      </c>
    </row>
    <row r="77" spans="4:10">
      <c r="D77" t="s">
        <v>701</v>
      </c>
      <c r="E77" t="s">
        <v>636</v>
      </c>
      <c r="F77" t="s">
        <v>35</v>
      </c>
      <c r="G77" t="s">
        <v>35</v>
      </c>
      <c r="H77" t="s">
        <v>35</v>
      </c>
      <c r="I77" t="s">
        <v>35</v>
      </c>
      <c r="J77">
        <v>0</v>
      </c>
    </row>
    <row r="78" spans="4:10">
      <c r="D78" t="s">
        <v>701</v>
      </c>
      <c r="E78" t="s">
        <v>637</v>
      </c>
      <c r="F78">
        <v>1343</v>
      </c>
      <c r="G78">
        <v>1343</v>
      </c>
      <c r="H78">
        <v>1343</v>
      </c>
      <c r="I78">
        <v>1343</v>
      </c>
      <c r="J78">
        <v>2709300</v>
      </c>
    </row>
    <row r="79" spans="4:10">
      <c r="D79" t="s">
        <v>702</v>
      </c>
      <c r="E79" t="s">
        <v>639</v>
      </c>
      <c r="F79">
        <v>1355</v>
      </c>
      <c r="G79">
        <v>1387</v>
      </c>
      <c r="H79">
        <v>1344</v>
      </c>
      <c r="I79">
        <v>1382.5</v>
      </c>
      <c r="J79">
        <v>3807700</v>
      </c>
    </row>
    <row r="80" spans="4:10">
      <c r="D80" t="s">
        <v>702</v>
      </c>
      <c r="E80" t="s">
        <v>640</v>
      </c>
      <c r="F80">
        <v>1383</v>
      </c>
      <c r="G80">
        <v>1389.5</v>
      </c>
      <c r="H80">
        <v>1370.5</v>
      </c>
      <c r="I80">
        <v>1372.5</v>
      </c>
      <c r="J80">
        <v>1485000</v>
      </c>
    </row>
    <row r="81" spans="4:10">
      <c r="D81" t="s">
        <v>702</v>
      </c>
      <c r="E81" t="s">
        <v>641</v>
      </c>
      <c r="F81">
        <v>1373</v>
      </c>
      <c r="G81">
        <v>1373</v>
      </c>
      <c r="H81">
        <v>1345.5</v>
      </c>
      <c r="I81">
        <v>1345.5</v>
      </c>
      <c r="J81">
        <v>1189100</v>
      </c>
    </row>
    <row r="82" spans="4:10">
      <c r="D82" t="s">
        <v>702</v>
      </c>
      <c r="E82" t="s">
        <v>642</v>
      </c>
      <c r="F82">
        <v>1345</v>
      </c>
      <c r="G82">
        <v>1345</v>
      </c>
      <c r="H82">
        <v>1321</v>
      </c>
      <c r="I82">
        <v>1333</v>
      </c>
      <c r="J82">
        <v>1510100</v>
      </c>
    </row>
    <row r="83" spans="4:10">
      <c r="D83" t="s">
        <v>702</v>
      </c>
      <c r="E83" t="s">
        <v>643</v>
      </c>
      <c r="F83">
        <v>1333</v>
      </c>
      <c r="G83">
        <v>1338</v>
      </c>
      <c r="H83">
        <v>1324.5</v>
      </c>
      <c r="I83">
        <v>1332</v>
      </c>
      <c r="J83">
        <v>715500</v>
      </c>
    </row>
    <row r="84" spans="4:10">
      <c r="D84" t="s">
        <v>702</v>
      </c>
      <c r="E84" t="s">
        <v>644</v>
      </c>
      <c r="F84">
        <v>1332</v>
      </c>
      <c r="G84">
        <v>1338</v>
      </c>
      <c r="H84">
        <v>1325</v>
      </c>
      <c r="I84">
        <v>1331.5</v>
      </c>
      <c r="J84">
        <v>665200</v>
      </c>
    </row>
    <row r="85" spans="4:10">
      <c r="D85" t="s">
        <v>702</v>
      </c>
      <c r="E85" t="s">
        <v>645</v>
      </c>
      <c r="F85">
        <v>1332</v>
      </c>
      <c r="G85">
        <v>1336</v>
      </c>
      <c r="H85">
        <v>1318</v>
      </c>
      <c r="I85">
        <v>1328.5</v>
      </c>
      <c r="J85">
        <v>683300</v>
      </c>
    </row>
    <row r="86" spans="4:10">
      <c r="D86" t="s">
        <v>702</v>
      </c>
      <c r="E86" t="s">
        <v>646</v>
      </c>
      <c r="F86">
        <v>1328.5</v>
      </c>
      <c r="G86">
        <v>1329.5</v>
      </c>
      <c r="H86">
        <v>1323.5</v>
      </c>
      <c r="I86">
        <v>1326.5</v>
      </c>
      <c r="J86">
        <v>355400</v>
      </c>
    </row>
    <row r="87" spans="4:10">
      <c r="D87" t="s">
        <v>702</v>
      </c>
      <c r="E87" t="s">
        <v>647</v>
      </c>
      <c r="F87">
        <v>1326.5</v>
      </c>
      <c r="G87">
        <v>1328.5</v>
      </c>
      <c r="H87">
        <v>1321.5</v>
      </c>
      <c r="I87">
        <v>1324</v>
      </c>
      <c r="J87">
        <v>474300</v>
      </c>
    </row>
    <row r="88" spans="4:10">
      <c r="D88" t="s">
        <v>702</v>
      </c>
      <c r="E88" t="s">
        <v>648</v>
      </c>
      <c r="F88">
        <v>1324.5</v>
      </c>
      <c r="G88">
        <v>1332</v>
      </c>
      <c r="H88">
        <v>1324.5</v>
      </c>
      <c r="I88">
        <v>1328</v>
      </c>
      <c r="J88">
        <v>311100</v>
      </c>
    </row>
    <row r="89" spans="4:10">
      <c r="D89" t="s">
        <v>702</v>
      </c>
      <c r="E89" t="s">
        <v>649</v>
      </c>
      <c r="F89">
        <v>1328</v>
      </c>
      <c r="G89">
        <v>1333</v>
      </c>
      <c r="H89">
        <v>1323.5</v>
      </c>
      <c r="I89">
        <v>1330.5</v>
      </c>
      <c r="J89">
        <v>358100</v>
      </c>
    </row>
    <row r="90" spans="4:10">
      <c r="D90" t="s">
        <v>702</v>
      </c>
      <c r="E90" t="s">
        <v>650</v>
      </c>
      <c r="F90">
        <v>1330.5</v>
      </c>
      <c r="G90">
        <v>1342</v>
      </c>
      <c r="H90">
        <v>1329.5</v>
      </c>
      <c r="I90">
        <v>1340.5</v>
      </c>
      <c r="J90">
        <v>647600</v>
      </c>
    </row>
    <row r="91" spans="4:10">
      <c r="D91" t="s">
        <v>702</v>
      </c>
      <c r="E91" t="s">
        <v>651</v>
      </c>
      <c r="F91">
        <v>1340.5</v>
      </c>
      <c r="G91">
        <v>1345.5</v>
      </c>
      <c r="H91">
        <v>1335</v>
      </c>
      <c r="I91">
        <v>1335.5</v>
      </c>
      <c r="J91">
        <v>403800</v>
      </c>
    </row>
    <row r="92" spans="4:10">
      <c r="D92" t="s">
        <v>702</v>
      </c>
      <c r="E92" t="s">
        <v>652</v>
      </c>
      <c r="F92">
        <v>1335.5</v>
      </c>
      <c r="G92">
        <v>1339</v>
      </c>
      <c r="H92">
        <v>1335</v>
      </c>
      <c r="I92">
        <v>1337.5</v>
      </c>
      <c r="J92">
        <v>219600</v>
      </c>
    </row>
    <row r="93" spans="4:10">
      <c r="D93" t="s">
        <v>702</v>
      </c>
      <c r="E93" t="s">
        <v>653</v>
      </c>
      <c r="F93">
        <v>1337.5</v>
      </c>
      <c r="G93">
        <v>1338.5</v>
      </c>
      <c r="H93">
        <v>1330.5</v>
      </c>
      <c r="I93">
        <v>1337</v>
      </c>
      <c r="J93">
        <v>293500</v>
      </c>
    </row>
    <row r="94" spans="4:10">
      <c r="D94" t="s">
        <v>702</v>
      </c>
      <c r="E94" t="s">
        <v>654</v>
      </c>
      <c r="F94">
        <v>1337</v>
      </c>
      <c r="G94">
        <v>1345</v>
      </c>
      <c r="H94">
        <v>1336.5</v>
      </c>
      <c r="I94">
        <v>1343</v>
      </c>
      <c r="J94">
        <v>397900</v>
      </c>
    </row>
    <row r="95" spans="4:10">
      <c r="D95" t="s">
        <v>702</v>
      </c>
      <c r="E95" t="s">
        <v>655</v>
      </c>
      <c r="F95">
        <v>1342.5</v>
      </c>
      <c r="G95">
        <v>1349.5</v>
      </c>
      <c r="H95">
        <v>1341.5</v>
      </c>
      <c r="I95">
        <v>1346.5</v>
      </c>
      <c r="J95">
        <v>392200</v>
      </c>
    </row>
    <row r="96" spans="4:10">
      <c r="D96" t="s">
        <v>702</v>
      </c>
      <c r="E96" t="s">
        <v>656</v>
      </c>
      <c r="F96">
        <v>1347</v>
      </c>
      <c r="G96">
        <v>1348.5</v>
      </c>
      <c r="H96">
        <v>1344.5</v>
      </c>
      <c r="I96">
        <v>1347</v>
      </c>
      <c r="J96">
        <v>305100</v>
      </c>
    </row>
    <row r="97" spans="4:10">
      <c r="D97" t="s">
        <v>702</v>
      </c>
      <c r="E97" t="s">
        <v>657</v>
      </c>
      <c r="F97">
        <v>1346.5</v>
      </c>
      <c r="G97">
        <v>1355</v>
      </c>
      <c r="H97">
        <v>1345.5</v>
      </c>
      <c r="I97">
        <v>1354</v>
      </c>
      <c r="J97">
        <v>579300</v>
      </c>
    </row>
    <row r="98" spans="4:10">
      <c r="D98" t="s">
        <v>702</v>
      </c>
      <c r="E98" t="s">
        <v>658</v>
      </c>
      <c r="F98">
        <v>1353</v>
      </c>
      <c r="G98">
        <v>1355</v>
      </c>
      <c r="H98">
        <v>1350.5</v>
      </c>
      <c r="I98">
        <v>1352.5</v>
      </c>
      <c r="J98">
        <v>429100</v>
      </c>
    </row>
    <row r="99" spans="4:10">
      <c r="D99" t="s">
        <v>702</v>
      </c>
      <c r="E99" t="s">
        <v>659</v>
      </c>
      <c r="F99">
        <v>1352.5</v>
      </c>
      <c r="G99">
        <v>1353</v>
      </c>
      <c r="H99">
        <v>1344</v>
      </c>
      <c r="I99">
        <v>1346</v>
      </c>
      <c r="J99">
        <v>441400</v>
      </c>
    </row>
    <row r="100" spans="4:10">
      <c r="D100" t="s">
        <v>702</v>
      </c>
      <c r="E100" t="s">
        <v>660</v>
      </c>
      <c r="F100">
        <v>1345.5</v>
      </c>
      <c r="G100">
        <v>1353.5</v>
      </c>
      <c r="H100">
        <v>1344.5</v>
      </c>
      <c r="I100">
        <v>1353</v>
      </c>
      <c r="J100">
        <v>350300</v>
      </c>
    </row>
    <row r="101" spans="4:10">
      <c r="D101" t="s">
        <v>702</v>
      </c>
      <c r="E101" t="s">
        <v>661</v>
      </c>
      <c r="F101">
        <v>1353</v>
      </c>
      <c r="G101">
        <v>1359.5</v>
      </c>
      <c r="H101">
        <v>1350</v>
      </c>
      <c r="I101">
        <v>1351.5</v>
      </c>
      <c r="J101">
        <v>398900</v>
      </c>
    </row>
    <row r="102" spans="4:10">
      <c r="D102" t="s">
        <v>702</v>
      </c>
      <c r="E102" t="s">
        <v>662</v>
      </c>
      <c r="F102">
        <v>1351.5</v>
      </c>
      <c r="G102">
        <v>1353</v>
      </c>
      <c r="H102">
        <v>1349</v>
      </c>
      <c r="I102">
        <v>1349</v>
      </c>
      <c r="J102">
        <v>278200</v>
      </c>
    </row>
    <row r="103" spans="4:10">
      <c r="D103" t="s">
        <v>702</v>
      </c>
      <c r="E103" t="s">
        <v>663</v>
      </c>
      <c r="F103">
        <v>1349</v>
      </c>
      <c r="G103">
        <v>1351.5</v>
      </c>
      <c r="H103">
        <v>1349</v>
      </c>
      <c r="I103">
        <v>1349</v>
      </c>
      <c r="J103">
        <v>253300</v>
      </c>
    </row>
    <row r="104" spans="4:10">
      <c r="D104" t="s">
        <v>702</v>
      </c>
      <c r="E104" t="s">
        <v>664</v>
      </c>
      <c r="F104">
        <v>1348.5</v>
      </c>
      <c r="G104">
        <v>1353.5</v>
      </c>
      <c r="H104">
        <v>1347.5</v>
      </c>
      <c r="I104">
        <v>1352</v>
      </c>
      <c r="J104">
        <v>257600</v>
      </c>
    </row>
    <row r="105" spans="4:10">
      <c r="D105" t="s">
        <v>702</v>
      </c>
      <c r="E105" t="s">
        <v>665</v>
      </c>
      <c r="F105">
        <v>1352</v>
      </c>
      <c r="G105">
        <v>1353.5</v>
      </c>
      <c r="H105">
        <v>1347.5</v>
      </c>
      <c r="I105">
        <v>1352</v>
      </c>
      <c r="J105">
        <v>295300</v>
      </c>
    </row>
    <row r="106" spans="4:10">
      <c r="D106" t="s">
        <v>702</v>
      </c>
      <c r="E106" t="s">
        <v>666</v>
      </c>
      <c r="F106">
        <v>1352.5</v>
      </c>
      <c r="G106">
        <v>1354.5</v>
      </c>
      <c r="H106">
        <v>1350.5</v>
      </c>
      <c r="I106">
        <v>1353.5</v>
      </c>
      <c r="J106">
        <v>339400</v>
      </c>
    </row>
    <row r="107" spans="4:10">
      <c r="D107" t="s">
        <v>702</v>
      </c>
      <c r="E107" t="s">
        <v>667</v>
      </c>
      <c r="F107">
        <v>1354</v>
      </c>
      <c r="G107">
        <v>1356</v>
      </c>
      <c r="H107">
        <v>1353.5</v>
      </c>
      <c r="I107">
        <v>1354.5</v>
      </c>
      <c r="J107">
        <v>174500</v>
      </c>
    </row>
    <row r="108" spans="4:10">
      <c r="D108" t="s">
        <v>702</v>
      </c>
      <c r="E108" t="s">
        <v>668</v>
      </c>
      <c r="F108">
        <v>1354.5</v>
      </c>
      <c r="G108">
        <v>1359</v>
      </c>
      <c r="H108">
        <v>1354.5</v>
      </c>
      <c r="I108">
        <v>1358</v>
      </c>
      <c r="J108">
        <v>236100</v>
      </c>
    </row>
    <row r="109" spans="4:10">
      <c r="D109" t="s">
        <v>702</v>
      </c>
      <c r="E109" t="s">
        <v>669</v>
      </c>
      <c r="F109">
        <v>1358</v>
      </c>
      <c r="G109">
        <v>1358</v>
      </c>
      <c r="H109">
        <v>1358</v>
      </c>
      <c r="I109">
        <v>1358</v>
      </c>
      <c r="J109">
        <v>11200</v>
      </c>
    </row>
    <row r="110" spans="4:10">
      <c r="D110" t="s">
        <v>702</v>
      </c>
      <c r="E110" t="s">
        <v>670</v>
      </c>
      <c r="F110">
        <v>1359</v>
      </c>
      <c r="G110">
        <v>1366</v>
      </c>
      <c r="H110">
        <v>1355</v>
      </c>
      <c r="I110">
        <v>1360</v>
      </c>
      <c r="J110">
        <v>1133000</v>
      </c>
    </row>
    <row r="111" spans="4:10">
      <c r="D111" t="s">
        <v>702</v>
      </c>
      <c r="E111" t="s">
        <v>671</v>
      </c>
      <c r="F111">
        <v>1360</v>
      </c>
      <c r="G111">
        <v>1361.5</v>
      </c>
      <c r="H111">
        <v>1355</v>
      </c>
      <c r="I111">
        <v>1360</v>
      </c>
      <c r="J111">
        <v>428100</v>
      </c>
    </row>
    <row r="112" spans="4:10">
      <c r="D112" t="s">
        <v>702</v>
      </c>
      <c r="E112" t="s">
        <v>672</v>
      </c>
      <c r="F112">
        <v>1359.5</v>
      </c>
      <c r="G112">
        <v>1361.5</v>
      </c>
      <c r="H112">
        <v>1356</v>
      </c>
      <c r="I112">
        <v>1356</v>
      </c>
      <c r="J112">
        <v>309400</v>
      </c>
    </row>
    <row r="113" spans="4:10">
      <c r="D113" t="s">
        <v>702</v>
      </c>
      <c r="E113" t="s">
        <v>673</v>
      </c>
      <c r="F113">
        <v>1356</v>
      </c>
      <c r="G113">
        <v>1357</v>
      </c>
      <c r="H113">
        <v>1354</v>
      </c>
      <c r="I113">
        <v>1355.5</v>
      </c>
      <c r="J113">
        <v>243300</v>
      </c>
    </row>
    <row r="114" spans="4:10">
      <c r="D114" t="s">
        <v>702</v>
      </c>
      <c r="E114" t="s">
        <v>674</v>
      </c>
      <c r="F114">
        <v>1355.5</v>
      </c>
      <c r="G114">
        <v>1359</v>
      </c>
      <c r="H114">
        <v>1354.5</v>
      </c>
      <c r="I114">
        <v>1358.5</v>
      </c>
      <c r="J114">
        <v>215800</v>
      </c>
    </row>
    <row r="115" spans="4:10">
      <c r="D115" t="s">
        <v>702</v>
      </c>
      <c r="E115" t="s">
        <v>675</v>
      </c>
      <c r="F115">
        <v>1358.5</v>
      </c>
      <c r="G115">
        <v>1359.5</v>
      </c>
      <c r="H115">
        <v>1354.5</v>
      </c>
      <c r="I115">
        <v>1356</v>
      </c>
      <c r="J115">
        <v>250800</v>
      </c>
    </row>
    <row r="116" spans="4:10">
      <c r="D116" t="s">
        <v>702</v>
      </c>
      <c r="E116" t="s">
        <v>676</v>
      </c>
      <c r="F116">
        <v>1356.5</v>
      </c>
      <c r="G116">
        <v>1356.5</v>
      </c>
      <c r="H116">
        <v>1347</v>
      </c>
      <c r="I116">
        <v>1350</v>
      </c>
      <c r="J116">
        <v>424300</v>
      </c>
    </row>
    <row r="117" spans="4:10">
      <c r="D117" t="s">
        <v>702</v>
      </c>
      <c r="E117" t="s">
        <v>677</v>
      </c>
      <c r="F117">
        <v>1350</v>
      </c>
      <c r="G117">
        <v>1352.5</v>
      </c>
      <c r="H117">
        <v>1348</v>
      </c>
      <c r="I117">
        <v>1349.5</v>
      </c>
      <c r="J117">
        <v>224200</v>
      </c>
    </row>
    <row r="118" spans="4:10">
      <c r="D118" t="s">
        <v>702</v>
      </c>
      <c r="E118" t="s">
        <v>678</v>
      </c>
      <c r="F118">
        <v>1349.5</v>
      </c>
      <c r="G118">
        <v>1354.5</v>
      </c>
      <c r="H118">
        <v>1348</v>
      </c>
      <c r="I118">
        <v>1353.5</v>
      </c>
      <c r="J118">
        <v>231000</v>
      </c>
    </row>
    <row r="119" spans="4:10">
      <c r="D119" t="s">
        <v>702</v>
      </c>
      <c r="E119" t="s">
        <v>679</v>
      </c>
      <c r="F119">
        <v>1353.5</v>
      </c>
      <c r="G119">
        <v>1355.5</v>
      </c>
      <c r="H119">
        <v>1352</v>
      </c>
      <c r="I119">
        <v>1355</v>
      </c>
      <c r="J119">
        <v>247500</v>
      </c>
    </row>
    <row r="120" spans="4:10">
      <c r="D120" t="s">
        <v>702</v>
      </c>
      <c r="E120" t="s">
        <v>680</v>
      </c>
      <c r="F120">
        <v>1355</v>
      </c>
      <c r="G120">
        <v>1356.5</v>
      </c>
      <c r="H120">
        <v>1353</v>
      </c>
      <c r="I120">
        <v>1355</v>
      </c>
      <c r="J120">
        <v>199200</v>
      </c>
    </row>
    <row r="121" spans="4:10">
      <c r="D121" t="s">
        <v>702</v>
      </c>
      <c r="E121" t="s">
        <v>681</v>
      </c>
      <c r="F121">
        <v>1355</v>
      </c>
      <c r="G121">
        <v>1358</v>
      </c>
      <c r="H121">
        <v>1354.5</v>
      </c>
      <c r="I121">
        <v>1358</v>
      </c>
      <c r="J121">
        <v>114300</v>
      </c>
    </row>
    <row r="122" spans="4:10">
      <c r="D122" t="s">
        <v>702</v>
      </c>
      <c r="E122" t="s">
        <v>682</v>
      </c>
      <c r="F122">
        <v>1358</v>
      </c>
      <c r="G122">
        <v>1358</v>
      </c>
      <c r="H122">
        <v>1354</v>
      </c>
      <c r="I122">
        <v>1355</v>
      </c>
      <c r="J122">
        <v>193200</v>
      </c>
    </row>
    <row r="123" spans="4:10">
      <c r="D123" t="s">
        <v>702</v>
      </c>
      <c r="E123" t="s">
        <v>683</v>
      </c>
      <c r="F123">
        <v>1355.5</v>
      </c>
      <c r="G123">
        <v>1356.5</v>
      </c>
      <c r="H123">
        <v>1351.5</v>
      </c>
      <c r="I123">
        <v>1354.5</v>
      </c>
      <c r="J123">
        <v>267000</v>
      </c>
    </row>
    <row r="124" spans="4:10">
      <c r="D124" t="s">
        <v>702</v>
      </c>
      <c r="E124" t="s">
        <v>684</v>
      </c>
      <c r="F124">
        <v>1355</v>
      </c>
      <c r="G124">
        <v>1355.5</v>
      </c>
      <c r="H124">
        <v>1351.5</v>
      </c>
      <c r="I124">
        <v>1353.5</v>
      </c>
      <c r="J124">
        <v>125400</v>
      </c>
    </row>
    <row r="125" spans="4:10">
      <c r="D125" t="s">
        <v>702</v>
      </c>
      <c r="E125" t="s">
        <v>685</v>
      </c>
      <c r="F125">
        <v>1353.5</v>
      </c>
      <c r="G125">
        <v>1355</v>
      </c>
      <c r="H125">
        <v>1352.5</v>
      </c>
      <c r="I125">
        <v>1354.5</v>
      </c>
      <c r="J125">
        <v>125400</v>
      </c>
    </row>
    <row r="126" spans="4:10">
      <c r="D126" t="s">
        <v>702</v>
      </c>
      <c r="E126" t="s">
        <v>686</v>
      </c>
      <c r="F126">
        <v>1354.5</v>
      </c>
      <c r="G126">
        <v>1356</v>
      </c>
      <c r="H126">
        <v>1354</v>
      </c>
      <c r="I126">
        <v>1355</v>
      </c>
      <c r="J126">
        <v>283800</v>
      </c>
    </row>
    <row r="127" spans="4:10">
      <c r="D127" t="s">
        <v>702</v>
      </c>
      <c r="E127" t="s">
        <v>687</v>
      </c>
      <c r="F127">
        <v>1354.5</v>
      </c>
      <c r="G127">
        <v>1355.5</v>
      </c>
      <c r="H127">
        <v>1353.5</v>
      </c>
      <c r="I127">
        <v>1355</v>
      </c>
      <c r="J127">
        <v>93300</v>
      </c>
    </row>
    <row r="128" spans="4:10">
      <c r="D128" t="s">
        <v>702</v>
      </c>
      <c r="E128" t="s">
        <v>688</v>
      </c>
      <c r="F128">
        <v>1355</v>
      </c>
      <c r="G128">
        <v>1357</v>
      </c>
      <c r="H128">
        <v>1354</v>
      </c>
      <c r="I128">
        <v>1356</v>
      </c>
      <c r="J128">
        <v>143300</v>
      </c>
    </row>
    <row r="129" spans="4:10">
      <c r="D129" t="s">
        <v>702</v>
      </c>
      <c r="E129" t="s">
        <v>689</v>
      </c>
      <c r="F129">
        <v>1356</v>
      </c>
      <c r="G129">
        <v>1356</v>
      </c>
      <c r="H129">
        <v>1351</v>
      </c>
      <c r="I129">
        <v>1351</v>
      </c>
      <c r="J129">
        <v>154600</v>
      </c>
    </row>
    <row r="130" spans="4:10">
      <c r="D130" t="s">
        <v>702</v>
      </c>
      <c r="E130" t="s">
        <v>690</v>
      </c>
      <c r="F130">
        <v>1351</v>
      </c>
      <c r="G130">
        <v>1353.5</v>
      </c>
      <c r="H130">
        <v>1350</v>
      </c>
      <c r="I130">
        <v>1350.5</v>
      </c>
      <c r="J130">
        <v>333600</v>
      </c>
    </row>
    <row r="131" spans="4:10">
      <c r="D131" t="s">
        <v>702</v>
      </c>
      <c r="E131" t="s">
        <v>691</v>
      </c>
      <c r="F131">
        <v>1350</v>
      </c>
      <c r="G131">
        <v>1352</v>
      </c>
      <c r="H131">
        <v>1350</v>
      </c>
      <c r="I131">
        <v>1352</v>
      </c>
      <c r="J131">
        <v>50300</v>
      </c>
    </row>
    <row r="132" spans="4:10">
      <c r="D132" t="s">
        <v>702</v>
      </c>
      <c r="E132" t="s">
        <v>692</v>
      </c>
      <c r="F132">
        <v>1352</v>
      </c>
      <c r="G132">
        <v>1354</v>
      </c>
      <c r="H132">
        <v>1351</v>
      </c>
      <c r="I132">
        <v>1352.5</v>
      </c>
      <c r="J132">
        <v>129100</v>
      </c>
    </row>
    <row r="133" spans="4:10">
      <c r="D133" t="s">
        <v>702</v>
      </c>
      <c r="E133" t="s">
        <v>693</v>
      </c>
      <c r="F133">
        <v>1352.5</v>
      </c>
      <c r="G133">
        <v>1352.5</v>
      </c>
      <c r="H133">
        <v>1350.5</v>
      </c>
      <c r="I133">
        <v>1351.5</v>
      </c>
      <c r="J133">
        <v>123600</v>
      </c>
    </row>
    <row r="134" spans="4:10">
      <c r="D134" t="s">
        <v>702</v>
      </c>
      <c r="E134" t="s">
        <v>694</v>
      </c>
      <c r="F134">
        <v>1351.5</v>
      </c>
      <c r="G134">
        <v>1352.5</v>
      </c>
      <c r="H134">
        <v>1350.5</v>
      </c>
      <c r="I134">
        <v>1351.5</v>
      </c>
      <c r="J134">
        <v>131400</v>
      </c>
    </row>
    <row r="135" spans="4:10">
      <c r="D135" t="s">
        <v>702</v>
      </c>
      <c r="E135" t="s">
        <v>695</v>
      </c>
      <c r="F135">
        <v>1351.5</v>
      </c>
      <c r="G135">
        <v>1352</v>
      </c>
      <c r="H135">
        <v>1350</v>
      </c>
      <c r="I135">
        <v>1350.5</v>
      </c>
      <c r="J135">
        <v>129300</v>
      </c>
    </row>
    <row r="136" spans="4:10">
      <c r="D136" t="s">
        <v>702</v>
      </c>
      <c r="E136" t="s">
        <v>696</v>
      </c>
      <c r="F136">
        <v>1351</v>
      </c>
      <c r="G136">
        <v>1353</v>
      </c>
      <c r="H136">
        <v>1350.5</v>
      </c>
      <c r="I136">
        <v>1351.5</v>
      </c>
      <c r="J136">
        <v>192700</v>
      </c>
    </row>
    <row r="137" spans="4:10">
      <c r="D137" t="s">
        <v>702</v>
      </c>
      <c r="E137" t="s">
        <v>697</v>
      </c>
      <c r="F137">
        <v>1352</v>
      </c>
      <c r="G137">
        <v>1354</v>
      </c>
      <c r="H137">
        <v>1351.5</v>
      </c>
      <c r="I137">
        <v>1353.5</v>
      </c>
      <c r="J137">
        <v>155200</v>
      </c>
    </row>
    <row r="138" spans="4:10">
      <c r="D138" t="s">
        <v>702</v>
      </c>
      <c r="E138" t="s">
        <v>698</v>
      </c>
      <c r="F138">
        <v>1353.5</v>
      </c>
      <c r="G138">
        <v>1354</v>
      </c>
      <c r="H138">
        <v>1350.5</v>
      </c>
      <c r="I138">
        <v>1351</v>
      </c>
      <c r="J138">
        <v>216200</v>
      </c>
    </row>
    <row r="139" spans="4:10">
      <c r="D139" t="s">
        <v>702</v>
      </c>
      <c r="E139" t="s">
        <v>699</v>
      </c>
      <c r="F139">
        <v>1351</v>
      </c>
      <c r="G139">
        <v>1351.5</v>
      </c>
      <c r="H139">
        <v>1345.5</v>
      </c>
      <c r="I139">
        <v>1347.5</v>
      </c>
      <c r="J139">
        <v>379300</v>
      </c>
    </row>
    <row r="140" spans="4:10">
      <c r="D140" t="s">
        <v>702</v>
      </c>
      <c r="E140" t="s">
        <v>700</v>
      </c>
      <c r="F140">
        <v>1347.5</v>
      </c>
      <c r="G140">
        <v>1348</v>
      </c>
      <c r="H140">
        <v>1344.5</v>
      </c>
      <c r="I140">
        <v>1348</v>
      </c>
      <c r="J140">
        <v>256200</v>
      </c>
    </row>
    <row r="141" spans="4:10">
      <c r="D141" t="s">
        <v>702</v>
      </c>
      <c r="E141" t="s">
        <v>633</v>
      </c>
      <c r="F141">
        <v>1347.5</v>
      </c>
      <c r="G141">
        <v>1349</v>
      </c>
      <c r="H141">
        <v>1346.5</v>
      </c>
      <c r="I141">
        <v>1347</v>
      </c>
      <c r="J141">
        <v>265500</v>
      </c>
    </row>
    <row r="142" spans="4:10">
      <c r="D142" t="s">
        <v>702</v>
      </c>
      <c r="E142" t="s">
        <v>634</v>
      </c>
      <c r="F142">
        <v>1346.5</v>
      </c>
      <c r="G142">
        <v>1349.5</v>
      </c>
      <c r="H142">
        <v>1346.5</v>
      </c>
      <c r="I142">
        <v>1348</v>
      </c>
      <c r="J142">
        <v>201000</v>
      </c>
    </row>
    <row r="143" spans="4:10">
      <c r="D143" t="s">
        <v>702</v>
      </c>
      <c r="E143" t="s">
        <v>635</v>
      </c>
      <c r="F143">
        <v>1348</v>
      </c>
      <c r="G143">
        <v>1349</v>
      </c>
      <c r="H143">
        <v>1347</v>
      </c>
      <c r="I143">
        <v>1348</v>
      </c>
      <c r="J143">
        <v>217200</v>
      </c>
    </row>
    <row r="144" spans="4:10">
      <c r="D144" t="s">
        <v>702</v>
      </c>
      <c r="E144" t="s">
        <v>614</v>
      </c>
      <c r="F144">
        <v>1348</v>
      </c>
      <c r="G144">
        <v>1356</v>
      </c>
      <c r="H144">
        <v>1343</v>
      </c>
      <c r="I144">
        <v>1354.5</v>
      </c>
      <c r="J144">
        <v>634500</v>
      </c>
    </row>
    <row r="145" spans="4:10">
      <c r="D145" t="s">
        <v>702</v>
      </c>
      <c r="E145" t="s">
        <v>636</v>
      </c>
      <c r="F145" t="s">
        <v>35</v>
      </c>
      <c r="G145" t="s">
        <v>35</v>
      </c>
      <c r="H145" t="s">
        <v>35</v>
      </c>
      <c r="I145" t="s">
        <v>35</v>
      </c>
      <c r="J145">
        <v>0</v>
      </c>
    </row>
    <row r="146" spans="4:10">
      <c r="D146" t="s">
        <v>702</v>
      </c>
      <c r="E146" t="s">
        <v>637</v>
      </c>
      <c r="F146">
        <v>1353.5</v>
      </c>
      <c r="G146">
        <v>1353.5</v>
      </c>
      <c r="H146">
        <v>1353.5</v>
      </c>
      <c r="I146">
        <v>1353.5</v>
      </c>
      <c r="J146">
        <v>2895600</v>
      </c>
    </row>
    <row r="147" spans="4:10">
      <c r="D147" t="s">
        <v>703</v>
      </c>
      <c r="E147" t="s">
        <v>639</v>
      </c>
      <c r="F147" t="s">
        <v>35</v>
      </c>
      <c r="G147" t="s">
        <v>35</v>
      </c>
      <c r="H147" t="s">
        <v>35</v>
      </c>
      <c r="I147" t="s">
        <v>35</v>
      </c>
      <c r="J147">
        <v>0</v>
      </c>
    </row>
    <row r="148" spans="4:10">
      <c r="D148" t="s">
        <v>703</v>
      </c>
      <c r="E148" t="s">
        <v>640</v>
      </c>
      <c r="F148">
        <v>1274</v>
      </c>
      <c r="G148">
        <v>1300.5</v>
      </c>
      <c r="H148">
        <v>1270.5</v>
      </c>
      <c r="I148">
        <v>1294.5</v>
      </c>
      <c r="J148">
        <v>3255000</v>
      </c>
    </row>
    <row r="149" spans="4:10">
      <c r="D149" t="s">
        <v>703</v>
      </c>
      <c r="E149" t="s">
        <v>641</v>
      </c>
      <c r="F149">
        <v>1294.5</v>
      </c>
      <c r="G149">
        <v>1299</v>
      </c>
      <c r="H149">
        <v>1284.5</v>
      </c>
      <c r="I149">
        <v>1299</v>
      </c>
      <c r="J149">
        <v>896700</v>
      </c>
    </row>
    <row r="150" spans="4:10">
      <c r="D150" t="s">
        <v>703</v>
      </c>
      <c r="E150" t="s">
        <v>642</v>
      </c>
      <c r="F150">
        <v>1299</v>
      </c>
      <c r="G150">
        <v>1309</v>
      </c>
      <c r="H150">
        <v>1292</v>
      </c>
      <c r="I150">
        <v>1296</v>
      </c>
      <c r="J150">
        <v>1309400</v>
      </c>
    </row>
    <row r="151" spans="4:10">
      <c r="D151" t="s">
        <v>703</v>
      </c>
      <c r="E151" t="s">
        <v>643</v>
      </c>
      <c r="F151">
        <v>1296</v>
      </c>
      <c r="G151">
        <v>1296.5</v>
      </c>
      <c r="H151">
        <v>1275</v>
      </c>
      <c r="I151">
        <v>1282.5</v>
      </c>
      <c r="J151">
        <v>1194800</v>
      </c>
    </row>
    <row r="152" spans="4:10">
      <c r="D152" t="s">
        <v>703</v>
      </c>
      <c r="E152" t="s">
        <v>644</v>
      </c>
      <c r="F152">
        <v>1282</v>
      </c>
      <c r="G152">
        <v>1295</v>
      </c>
      <c r="H152">
        <v>1280</v>
      </c>
      <c r="I152">
        <v>1287</v>
      </c>
      <c r="J152">
        <v>527500</v>
      </c>
    </row>
    <row r="153" spans="4:10">
      <c r="D153" t="s">
        <v>703</v>
      </c>
      <c r="E153" t="s">
        <v>645</v>
      </c>
      <c r="F153">
        <v>1288</v>
      </c>
      <c r="G153">
        <v>1295</v>
      </c>
      <c r="H153">
        <v>1287</v>
      </c>
      <c r="I153">
        <v>1292</v>
      </c>
      <c r="J153">
        <v>342800</v>
      </c>
    </row>
    <row r="154" spans="4:10">
      <c r="D154" t="s">
        <v>703</v>
      </c>
      <c r="E154" t="s">
        <v>646</v>
      </c>
      <c r="F154">
        <v>1292</v>
      </c>
      <c r="G154">
        <v>1295.5</v>
      </c>
      <c r="H154">
        <v>1289</v>
      </c>
      <c r="I154">
        <v>1294</v>
      </c>
      <c r="J154">
        <v>397700</v>
      </c>
    </row>
    <row r="155" spans="4:10">
      <c r="D155" t="s">
        <v>703</v>
      </c>
      <c r="E155" t="s">
        <v>647</v>
      </c>
      <c r="F155">
        <v>1294</v>
      </c>
      <c r="G155">
        <v>1304</v>
      </c>
      <c r="H155">
        <v>1292.5</v>
      </c>
      <c r="I155">
        <v>1296.5</v>
      </c>
      <c r="J155">
        <v>543900</v>
      </c>
    </row>
    <row r="156" spans="4:10">
      <c r="D156" t="s">
        <v>703</v>
      </c>
      <c r="E156" t="s">
        <v>648</v>
      </c>
      <c r="F156">
        <v>1297</v>
      </c>
      <c r="G156">
        <v>1297.5</v>
      </c>
      <c r="H156">
        <v>1291</v>
      </c>
      <c r="I156">
        <v>1293</v>
      </c>
      <c r="J156">
        <v>366300</v>
      </c>
    </row>
    <row r="157" spans="4:10">
      <c r="D157" t="s">
        <v>703</v>
      </c>
      <c r="E157" t="s">
        <v>649</v>
      </c>
      <c r="F157">
        <v>1293</v>
      </c>
      <c r="G157">
        <v>1302</v>
      </c>
      <c r="H157">
        <v>1292.5</v>
      </c>
      <c r="I157">
        <v>1301</v>
      </c>
      <c r="J157">
        <v>287300</v>
      </c>
    </row>
    <row r="158" spans="4:10">
      <c r="D158" t="s">
        <v>703</v>
      </c>
      <c r="E158" t="s">
        <v>650</v>
      </c>
      <c r="F158">
        <v>1300.5</v>
      </c>
      <c r="G158">
        <v>1309</v>
      </c>
      <c r="H158">
        <v>1297</v>
      </c>
      <c r="I158">
        <v>1305</v>
      </c>
      <c r="J158">
        <v>385200</v>
      </c>
    </row>
    <row r="159" spans="4:10">
      <c r="D159" t="s">
        <v>703</v>
      </c>
      <c r="E159" t="s">
        <v>651</v>
      </c>
      <c r="F159">
        <v>1305.5</v>
      </c>
      <c r="G159">
        <v>1308</v>
      </c>
      <c r="H159">
        <v>1297.5</v>
      </c>
      <c r="I159">
        <v>1300.5</v>
      </c>
      <c r="J159">
        <v>333200</v>
      </c>
    </row>
    <row r="160" spans="4:10">
      <c r="D160" t="s">
        <v>703</v>
      </c>
      <c r="E160" t="s">
        <v>652</v>
      </c>
      <c r="F160">
        <v>1300.5</v>
      </c>
      <c r="G160">
        <v>1303.5</v>
      </c>
      <c r="H160">
        <v>1295.5</v>
      </c>
      <c r="I160">
        <v>1297</v>
      </c>
      <c r="J160">
        <v>229400</v>
      </c>
    </row>
    <row r="161" spans="4:10">
      <c r="D161" t="s">
        <v>703</v>
      </c>
      <c r="E161" t="s">
        <v>653</v>
      </c>
      <c r="F161">
        <v>1297</v>
      </c>
      <c r="G161">
        <v>1299</v>
      </c>
      <c r="H161">
        <v>1291.5</v>
      </c>
      <c r="I161">
        <v>1293.5</v>
      </c>
      <c r="J161">
        <v>369200</v>
      </c>
    </row>
    <row r="162" spans="4:10">
      <c r="D162" t="s">
        <v>703</v>
      </c>
      <c r="E162" t="s">
        <v>654</v>
      </c>
      <c r="F162">
        <v>1293</v>
      </c>
      <c r="G162">
        <v>1296.5</v>
      </c>
      <c r="H162">
        <v>1292</v>
      </c>
      <c r="I162">
        <v>1296.5</v>
      </c>
      <c r="J162">
        <v>272400</v>
      </c>
    </row>
    <row r="163" spans="4:10">
      <c r="D163" t="s">
        <v>703</v>
      </c>
      <c r="E163" t="s">
        <v>655</v>
      </c>
      <c r="F163">
        <v>1296.5</v>
      </c>
      <c r="G163">
        <v>1301</v>
      </c>
      <c r="H163">
        <v>1294.5</v>
      </c>
      <c r="I163">
        <v>1299.5</v>
      </c>
      <c r="J163">
        <v>244000</v>
      </c>
    </row>
    <row r="164" spans="4:10">
      <c r="D164" t="s">
        <v>703</v>
      </c>
      <c r="E164" t="s">
        <v>656</v>
      </c>
      <c r="F164">
        <v>1299.5</v>
      </c>
      <c r="G164">
        <v>1300</v>
      </c>
      <c r="H164">
        <v>1292</v>
      </c>
      <c r="I164">
        <v>1295.5</v>
      </c>
      <c r="J164">
        <v>262800</v>
      </c>
    </row>
    <row r="165" spans="4:10">
      <c r="D165" t="s">
        <v>703</v>
      </c>
      <c r="E165" t="s">
        <v>657</v>
      </c>
      <c r="F165">
        <v>1295.5</v>
      </c>
      <c r="G165">
        <v>1297</v>
      </c>
      <c r="H165">
        <v>1294</v>
      </c>
      <c r="I165">
        <v>1296</v>
      </c>
      <c r="J165">
        <v>165100</v>
      </c>
    </row>
    <row r="166" spans="4:10">
      <c r="D166" t="s">
        <v>703</v>
      </c>
      <c r="E166" t="s">
        <v>658</v>
      </c>
      <c r="F166">
        <v>1295.5</v>
      </c>
      <c r="G166">
        <v>1300.5</v>
      </c>
      <c r="H166">
        <v>1293.5</v>
      </c>
      <c r="I166">
        <v>1297.5</v>
      </c>
      <c r="J166">
        <v>236300</v>
      </c>
    </row>
    <row r="167" spans="4:10">
      <c r="D167" t="s">
        <v>703</v>
      </c>
      <c r="E167" t="s">
        <v>659</v>
      </c>
      <c r="F167">
        <v>1297.5</v>
      </c>
      <c r="G167">
        <v>1297.5</v>
      </c>
      <c r="H167">
        <v>1293.5</v>
      </c>
      <c r="I167">
        <v>1294</v>
      </c>
      <c r="J167">
        <v>115800</v>
      </c>
    </row>
    <row r="168" spans="4:10">
      <c r="D168" t="s">
        <v>703</v>
      </c>
      <c r="E168" t="s">
        <v>660</v>
      </c>
      <c r="F168">
        <v>1294</v>
      </c>
      <c r="G168">
        <v>1294.5</v>
      </c>
      <c r="H168">
        <v>1289</v>
      </c>
      <c r="I168">
        <v>1290</v>
      </c>
      <c r="J168">
        <v>368400</v>
      </c>
    </row>
    <row r="169" spans="4:10">
      <c r="D169" t="s">
        <v>703</v>
      </c>
      <c r="E169" t="s">
        <v>661</v>
      </c>
      <c r="F169">
        <v>1290</v>
      </c>
      <c r="G169">
        <v>1295.5</v>
      </c>
      <c r="H169">
        <v>1289</v>
      </c>
      <c r="I169">
        <v>1292</v>
      </c>
      <c r="J169">
        <v>193600</v>
      </c>
    </row>
    <row r="170" spans="4:10">
      <c r="D170" t="s">
        <v>703</v>
      </c>
      <c r="E170" t="s">
        <v>662</v>
      </c>
      <c r="F170">
        <v>1292</v>
      </c>
      <c r="G170">
        <v>1292</v>
      </c>
      <c r="H170">
        <v>1290</v>
      </c>
      <c r="I170">
        <v>1290.5</v>
      </c>
      <c r="J170">
        <v>140300</v>
      </c>
    </row>
    <row r="171" spans="4:10">
      <c r="D171" t="s">
        <v>703</v>
      </c>
      <c r="E171" t="s">
        <v>663</v>
      </c>
      <c r="F171">
        <v>1290.5</v>
      </c>
      <c r="G171">
        <v>1296</v>
      </c>
      <c r="H171">
        <v>1290</v>
      </c>
      <c r="I171">
        <v>1295</v>
      </c>
      <c r="J171">
        <v>274000</v>
      </c>
    </row>
    <row r="172" spans="4:10">
      <c r="D172" t="s">
        <v>703</v>
      </c>
      <c r="E172" t="s">
        <v>664</v>
      </c>
      <c r="F172">
        <v>1295</v>
      </c>
      <c r="G172">
        <v>1296</v>
      </c>
      <c r="H172">
        <v>1292</v>
      </c>
      <c r="I172">
        <v>1293.5</v>
      </c>
      <c r="J172">
        <v>178000</v>
      </c>
    </row>
    <row r="173" spans="4:10">
      <c r="D173" t="s">
        <v>703</v>
      </c>
      <c r="E173" t="s">
        <v>665</v>
      </c>
      <c r="F173">
        <v>1293.5</v>
      </c>
      <c r="G173">
        <v>1296</v>
      </c>
      <c r="H173">
        <v>1292.5</v>
      </c>
      <c r="I173">
        <v>1295.5</v>
      </c>
      <c r="J173">
        <v>142700</v>
      </c>
    </row>
    <row r="174" spans="4:10">
      <c r="D174" t="s">
        <v>703</v>
      </c>
      <c r="E174" t="s">
        <v>666</v>
      </c>
      <c r="F174">
        <v>1295</v>
      </c>
      <c r="G174">
        <v>1296</v>
      </c>
      <c r="H174">
        <v>1293.5</v>
      </c>
      <c r="I174">
        <v>1294.5</v>
      </c>
      <c r="J174">
        <v>135000</v>
      </c>
    </row>
    <row r="175" spans="4:10">
      <c r="D175" t="s">
        <v>703</v>
      </c>
      <c r="E175" t="s">
        <v>667</v>
      </c>
      <c r="F175">
        <v>1294.5</v>
      </c>
      <c r="G175">
        <v>1296.5</v>
      </c>
      <c r="H175">
        <v>1289.5</v>
      </c>
      <c r="I175">
        <v>1290</v>
      </c>
      <c r="J175">
        <v>264700</v>
      </c>
    </row>
    <row r="176" spans="4:10">
      <c r="D176" t="s">
        <v>703</v>
      </c>
      <c r="E176" t="s">
        <v>668</v>
      </c>
      <c r="F176">
        <v>1289.5</v>
      </c>
      <c r="G176">
        <v>1293</v>
      </c>
      <c r="H176">
        <v>1289</v>
      </c>
      <c r="I176">
        <v>1292</v>
      </c>
      <c r="J176">
        <v>240700</v>
      </c>
    </row>
    <row r="177" spans="4:10">
      <c r="D177" t="s">
        <v>703</v>
      </c>
      <c r="E177" t="s">
        <v>669</v>
      </c>
      <c r="F177">
        <v>1292</v>
      </c>
      <c r="G177">
        <v>1292</v>
      </c>
      <c r="H177">
        <v>1292</v>
      </c>
      <c r="I177">
        <v>1292</v>
      </c>
      <c r="J177">
        <v>7200</v>
      </c>
    </row>
    <row r="178" spans="4:10">
      <c r="D178" t="s">
        <v>703</v>
      </c>
      <c r="E178" t="s">
        <v>670</v>
      </c>
      <c r="F178">
        <v>1285</v>
      </c>
      <c r="G178">
        <v>1285</v>
      </c>
      <c r="H178">
        <v>1265</v>
      </c>
      <c r="I178">
        <v>1269.5</v>
      </c>
      <c r="J178">
        <v>1490000</v>
      </c>
    </row>
    <row r="179" spans="4:10">
      <c r="D179" t="s">
        <v>703</v>
      </c>
      <c r="E179" t="s">
        <v>671</v>
      </c>
      <c r="F179">
        <v>1269.5</v>
      </c>
      <c r="G179">
        <v>1278.5</v>
      </c>
      <c r="H179">
        <v>1269</v>
      </c>
      <c r="I179">
        <v>1277.5</v>
      </c>
      <c r="J179">
        <v>373500</v>
      </c>
    </row>
    <row r="180" spans="4:10">
      <c r="D180" t="s">
        <v>703</v>
      </c>
      <c r="E180" t="s">
        <v>672</v>
      </c>
      <c r="F180">
        <v>1277.5</v>
      </c>
      <c r="G180">
        <v>1280.5</v>
      </c>
      <c r="H180">
        <v>1275</v>
      </c>
      <c r="I180">
        <v>1276.5</v>
      </c>
      <c r="J180">
        <v>377100</v>
      </c>
    </row>
    <row r="181" spans="4:10">
      <c r="D181" t="s">
        <v>703</v>
      </c>
      <c r="E181" t="s">
        <v>673</v>
      </c>
      <c r="F181">
        <v>1276.5</v>
      </c>
      <c r="G181">
        <v>1280.5</v>
      </c>
      <c r="H181">
        <v>1275.5</v>
      </c>
      <c r="I181">
        <v>1280.5</v>
      </c>
      <c r="J181">
        <v>321800</v>
      </c>
    </row>
    <row r="182" spans="4:10">
      <c r="D182" t="s">
        <v>703</v>
      </c>
      <c r="E182" t="s">
        <v>674</v>
      </c>
      <c r="F182">
        <v>1280.5</v>
      </c>
      <c r="G182">
        <v>1284.5</v>
      </c>
      <c r="H182">
        <v>1279</v>
      </c>
      <c r="I182">
        <v>1284.5</v>
      </c>
      <c r="J182">
        <v>307000</v>
      </c>
    </row>
    <row r="183" spans="4:10">
      <c r="D183" t="s">
        <v>703</v>
      </c>
      <c r="E183" t="s">
        <v>675</v>
      </c>
      <c r="F183">
        <v>1284.5</v>
      </c>
      <c r="G183">
        <v>1286.5</v>
      </c>
      <c r="H183">
        <v>1282</v>
      </c>
      <c r="I183">
        <v>1286</v>
      </c>
      <c r="J183">
        <v>254700</v>
      </c>
    </row>
    <row r="184" spans="4:10">
      <c r="D184" t="s">
        <v>703</v>
      </c>
      <c r="E184" t="s">
        <v>676</v>
      </c>
      <c r="F184">
        <v>1285.5</v>
      </c>
      <c r="G184">
        <v>1285.5</v>
      </c>
      <c r="H184">
        <v>1282</v>
      </c>
      <c r="I184">
        <v>1282</v>
      </c>
      <c r="J184">
        <v>194100</v>
      </c>
    </row>
    <row r="185" spans="4:10">
      <c r="D185" t="s">
        <v>703</v>
      </c>
      <c r="E185" t="s">
        <v>677</v>
      </c>
      <c r="F185">
        <v>1282</v>
      </c>
      <c r="G185">
        <v>1285.5</v>
      </c>
      <c r="H185">
        <v>1280.5</v>
      </c>
      <c r="I185">
        <v>1281</v>
      </c>
      <c r="J185">
        <v>262500</v>
      </c>
    </row>
    <row r="186" spans="4:10">
      <c r="D186" t="s">
        <v>703</v>
      </c>
      <c r="E186" t="s">
        <v>678</v>
      </c>
      <c r="F186">
        <v>1281.5</v>
      </c>
      <c r="G186">
        <v>1282.5</v>
      </c>
      <c r="H186">
        <v>1280</v>
      </c>
      <c r="I186">
        <v>1280.5</v>
      </c>
      <c r="J186">
        <v>300400</v>
      </c>
    </row>
    <row r="187" spans="4:10">
      <c r="D187" t="s">
        <v>703</v>
      </c>
      <c r="E187" t="s">
        <v>679</v>
      </c>
      <c r="F187">
        <v>1281</v>
      </c>
      <c r="G187">
        <v>1281</v>
      </c>
      <c r="H187">
        <v>1275.5</v>
      </c>
      <c r="I187">
        <v>1276</v>
      </c>
      <c r="J187">
        <v>257800</v>
      </c>
    </row>
    <row r="188" spans="4:10">
      <c r="D188" t="s">
        <v>703</v>
      </c>
      <c r="E188" t="s">
        <v>680</v>
      </c>
      <c r="F188">
        <v>1275.5</v>
      </c>
      <c r="G188">
        <v>1276.5</v>
      </c>
      <c r="H188">
        <v>1271</v>
      </c>
      <c r="I188">
        <v>1273</v>
      </c>
      <c r="J188">
        <v>303400</v>
      </c>
    </row>
    <row r="189" spans="4:10">
      <c r="D189" t="s">
        <v>703</v>
      </c>
      <c r="E189" t="s">
        <v>681</v>
      </c>
      <c r="F189">
        <v>1273.5</v>
      </c>
      <c r="G189">
        <v>1279</v>
      </c>
      <c r="H189">
        <v>1273.5</v>
      </c>
      <c r="I189">
        <v>1279</v>
      </c>
      <c r="J189">
        <v>141200</v>
      </c>
    </row>
    <row r="190" spans="4:10">
      <c r="D190" t="s">
        <v>703</v>
      </c>
      <c r="E190" t="s">
        <v>682</v>
      </c>
      <c r="F190">
        <v>1278.5</v>
      </c>
      <c r="G190">
        <v>1279</v>
      </c>
      <c r="H190">
        <v>1276.5</v>
      </c>
      <c r="I190">
        <v>1277</v>
      </c>
      <c r="J190">
        <v>153100</v>
      </c>
    </row>
    <row r="191" spans="4:10">
      <c r="D191" t="s">
        <v>703</v>
      </c>
      <c r="E191" t="s">
        <v>683</v>
      </c>
      <c r="F191">
        <v>1277.5</v>
      </c>
      <c r="G191">
        <v>1279</v>
      </c>
      <c r="H191">
        <v>1276.5</v>
      </c>
      <c r="I191">
        <v>1277.5</v>
      </c>
      <c r="J191">
        <v>126700</v>
      </c>
    </row>
    <row r="192" spans="4:10">
      <c r="D192" t="s">
        <v>703</v>
      </c>
      <c r="E192" t="s">
        <v>684</v>
      </c>
      <c r="F192">
        <v>1277.5</v>
      </c>
      <c r="G192">
        <v>1278.5</v>
      </c>
      <c r="H192">
        <v>1277</v>
      </c>
      <c r="I192">
        <v>1277.5</v>
      </c>
      <c r="J192">
        <v>102000</v>
      </c>
    </row>
    <row r="193" spans="4:10">
      <c r="D193" t="s">
        <v>703</v>
      </c>
      <c r="E193" t="s">
        <v>685</v>
      </c>
      <c r="F193">
        <v>1277.5</v>
      </c>
      <c r="G193">
        <v>1278</v>
      </c>
      <c r="H193">
        <v>1277</v>
      </c>
      <c r="I193">
        <v>1277.5</v>
      </c>
      <c r="J193">
        <v>86500</v>
      </c>
    </row>
    <row r="194" spans="4:10">
      <c r="D194" t="s">
        <v>703</v>
      </c>
      <c r="E194" t="s">
        <v>686</v>
      </c>
      <c r="F194">
        <v>1277</v>
      </c>
      <c r="G194">
        <v>1278.5</v>
      </c>
      <c r="H194">
        <v>1276</v>
      </c>
      <c r="I194">
        <v>1277</v>
      </c>
      <c r="J194">
        <v>204100</v>
      </c>
    </row>
    <row r="195" spans="4:10">
      <c r="D195" t="s">
        <v>703</v>
      </c>
      <c r="E195" t="s">
        <v>687</v>
      </c>
      <c r="F195">
        <v>1277</v>
      </c>
      <c r="G195">
        <v>1278.5</v>
      </c>
      <c r="H195">
        <v>1276</v>
      </c>
      <c r="I195">
        <v>1277.5</v>
      </c>
      <c r="J195">
        <v>184900</v>
      </c>
    </row>
    <row r="196" spans="4:10">
      <c r="D196" t="s">
        <v>703</v>
      </c>
      <c r="E196" t="s">
        <v>688</v>
      </c>
      <c r="F196">
        <v>1278</v>
      </c>
      <c r="G196">
        <v>1279.5</v>
      </c>
      <c r="H196">
        <v>1277.5</v>
      </c>
      <c r="I196">
        <v>1278</v>
      </c>
      <c r="J196">
        <v>146200</v>
      </c>
    </row>
    <row r="197" spans="4:10">
      <c r="D197" t="s">
        <v>703</v>
      </c>
      <c r="E197" t="s">
        <v>689</v>
      </c>
      <c r="F197">
        <v>1278</v>
      </c>
      <c r="G197">
        <v>1278</v>
      </c>
      <c r="H197">
        <v>1276</v>
      </c>
      <c r="I197">
        <v>1276</v>
      </c>
      <c r="J197">
        <v>145900</v>
      </c>
    </row>
    <row r="198" spans="4:10">
      <c r="D198" t="s">
        <v>703</v>
      </c>
      <c r="E198" t="s">
        <v>690</v>
      </c>
      <c r="F198">
        <v>1276.5</v>
      </c>
      <c r="G198">
        <v>1277.5</v>
      </c>
      <c r="H198">
        <v>1274</v>
      </c>
      <c r="I198">
        <v>1274</v>
      </c>
      <c r="J198">
        <v>217000</v>
      </c>
    </row>
    <row r="199" spans="4:10">
      <c r="D199" t="s">
        <v>703</v>
      </c>
      <c r="E199" t="s">
        <v>691</v>
      </c>
      <c r="F199">
        <v>1273.5</v>
      </c>
      <c r="G199">
        <v>1274.5</v>
      </c>
      <c r="H199">
        <v>1272</v>
      </c>
      <c r="I199">
        <v>1272.5</v>
      </c>
      <c r="J199">
        <v>203300</v>
      </c>
    </row>
    <row r="200" spans="4:10">
      <c r="D200" t="s">
        <v>703</v>
      </c>
      <c r="E200" t="s">
        <v>692</v>
      </c>
      <c r="F200">
        <v>1272.5</v>
      </c>
      <c r="G200">
        <v>1273</v>
      </c>
      <c r="H200">
        <v>1272</v>
      </c>
      <c r="I200">
        <v>1272</v>
      </c>
      <c r="J200">
        <v>178900</v>
      </c>
    </row>
    <row r="201" spans="4:10">
      <c r="D201" t="s">
        <v>703</v>
      </c>
      <c r="E201" t="s">
        <v>693</v>
      </c>
      <c r="F201">
        <v>1272.5</v>
      </c>
      <c r="G201">
        <v>1273.5</v>
      </c>
      <c r="H201">
        <v>1272</v>
      </c>
      <c r="I201">
        <v>1273</v>
      </c>
      <c r="J201">
        <v>72400</v>
      </c>
    </row>
    <row r="202" spans="4:10">
      <c r="D202" t="s">
        <v>703</v>
      </c>
      <c r="E202" t="s">
        <v>694</v>
      </c>
      <c r="F202">
        <v>1273</v>
      </c>
      <c r="G202">
        <v>1275</v>
      </c>
      <c r="H202">
        <v>1272.5</v>
      </c>
      <c r="I202">
        <v>1274.5</v>
      </c>
      <c r="J202">
        <v>155500</v>
      </c>
    </row>
    <row r="203" spans="4:10">
      <c r="D203" t="s">
        <v>703</v>
      </c>
      <c r="E203" t="s">
        <v>695</v>
      </c>
      <c r="F203">
        <v>1274</v>
      </c>
      <c r="G203">
        <v>1275.5</v>
      </c>
      <c r="H203">
        <v>1273.5</v>
      </c>
      <c r="I203">
        <v>1275.5</v>
      </c>
      <c r="J203">
        <v>172900</v>
      </c>
    </row>
    <row r="204" spans="4:10">
      <c r="D204" t="s">
        <v>703</v>
      </c>
      <c r="E204" t="s">
        <v>696</v>
      </c>
      <c r="F204">
        <v>1275.5</v>
      </c>
      <c r="G204">
        <v>1275.5</v>
      </c>
      <c r="H204">
        <v>1274</v>
      </c>
      <c r="I204">
        <v>1275</v>
      </c>
      <c r="J204">
        <v>135200</v>
      </c>
    </row>
    <row r="205" spans="4:10">
      <c r="D205" t="s">
        <v>703</v>
      </c>
      <c r="E205" t="s">
        <v>697</v>
      </c>
      <c r="F205">
        <v>1275</v>
      </c>
      <c r="G205">
        <v>1284.5</v>
      </c>
      <c r="H205">
        <v>1273</v>
      </c>
      <c r="I205">
        <v>1283</v>
      </c>
      <c r="J205">
        <v>589200</v>
      </c>
    </row>
    <row r="206" spans="4:10">
      <c r="D206" t="s">
        <v>703</v>
      </c>
      <c r="E206" t="s">
        <v>698</v>
      </c>
      <c r="F206">
        <v>1282.5</v>
      </c>
      <c r="G206">
        <v>1283</v>
      </c>
      <c r="H206">
        <v>1279.5</v>
      </c>
      <c r="I206">
        <v>1281.5</v>
      </c>
      <c r="J206">
        <v>183600</v>
      </c>
    </row>
    <row r="207" spans="4:10">
      <c r="D207" t="s">
        <v>703</v>
      </c>
      <c r="E207" t="s">
        <v>699</v>
      </c>
      <c r="F207">
        <v>1281.5</v>
      </c>
      <c r="G207">
        <v>1282</v>
      </c>
      <c r="H207">
        <v>1280</v>
      </c>
      <c r="I207">
        <v>1282</v>
      </c>
      <c r="J207">
        <v>110200</v>
      </c>
    </row>
    <row r="208" spans="4:10">
      <c r="D208" t="s">
        <v>703</v>
      </c>
      <c r="E208" t="s">
        <v>700</v>
      </c>
      <c r="F208">
        <v>1282</v>
      </c>
      <c r="G208">
        <v>1284.5</v>
      </c>
      <c r="H208">
        <v>1281.5</v>
      </c>
      <c r="I208">
        <v>1283.5</v>
      </c>
      <c r="J208">
        <v>197400</v>
      </c>
    </row>
    <row r="209" spans="4:10">
      <c r="D209" t="s">
        <v>703</v>
      </c>
      <c r="E209" t="s">
        <v>633</v>
      </c>
      <c r="F209">
        <v>1283</v>
      </c>
      <c r="G209">
        <v>1283</v>
      </c>
      <c r="H209">
        <v>1278</v>
      </c>
      <c r="I209">
        <v>1279</v>
      </c>
      <c r="J209">
        <v>216500</v>
      </c>
    </row>
    <row r="210" spans="4:10">
      <c r="D210" t="s">
        <v>703</v>
      </c>
      <c r="E210" t="s">
        <v>634</v>
      </c>
      <c r="F210">
        <v>1279</v>
      </c>
      <c r="G210">
        <v>1279.5</v>
      </c>
      <c r="H210">
        <v>1276.5</v>
      </c>
      <c r="I210">
        <v>1277</v>
      </c>
      <c r="J210">
        <v>192900</v>
      </c>
    </row>
    <row r="211" spans="4:10">
      <c r="D211" t="s">
        <v>703</v>
      </c>
      <c r="E211" t="s">
        <v>635</v>
      </c>
      <c r="F211">
        <v>1276.5</v>
      </c>
      <c r="G211">
        <v>1277.5</v>
      </c>
      <c r="H211">
        <v>1273</v>
      </c>
      <c r="I211">
        <v>1275</v>
      </c>
      <c r="J211">
        <v>268100</v>
      </c>
    </row>
    <row r="212" spans="4:10">
      <c r="D212" t="s">
        <v>703</v>
      </c>
      <c r="E212" t="s">
        <v>614</v>
      </c>
      <c r="F212">
        <v>1275</v>
      </c>
      <c r="G212">
        <v>1276.5</v>
      </c>
      <c r="H212">
        <v>1274</v>
      </c>
      <c r="I212">
        <v>1275</v>
      </c>
      <c r="J212">
        <v>295000</v>
      </c>
    </row>
    <row r="213" spans="4:10">
      <c r="D213" t="s">
        <v>703</v>
      </c>
      <c r="E213" t="s">
        <v>636</v>
      </c>
      <c r="F213" t="s">
        <v>35</v>
      </c>
      <c r="G213" t="s">
        <v>35</v>
      </c>
      <c r="H213" t="s">
        <v>35</v>
      </c>
      <c r="I213" t="s">
        <v>35</v>
      </c>
      <c r="J213">
        <v>0</v>
      </c>
    </row>
    <row r="214" spans="4:10">
      <c r="D214" t="s">
        <v>703</v>
      </c>
      <c r="E214" t="s">
        <v>637</v>
      </c>
      <c r="F214">
        <v>1272.5</v>
      </c>
      <c r="G214">
        <v>1272.5</v>
      </c>
      <c r="H214">
        <v>1272.5</v>
      </c>
      <c r="I214">
        <v>1272.5</v>
      </c>
      <c r="J214">
        <v>2247000</v>
      </c>
    </row>
    <row r="215" spans="4:10">
      <c r="D215" t="s">
        <v>704</v>
      </c>
      <c r="E215" t="s">
        <v>639</v>
      </c>
      <c r="F215">
        <v>1271</v>
      </c>
      <c r="G215">
        <v>1272</v>
      </c>
      <c r="H215">
        <v>1248</v>
      </c>
      <c r="I215">
        <v>1255.5</v>
      </c>
      <c r="J215">
        <v>1627700</v>
      </c>
    </row>
    <row r="216" spans="4:10">
      <c r="D216" t="s">
        <v>704</v>
      </c>
      <c r="E216" t="s">
        <v>640</v>
      </c>
      <c r="F216">
        <v>1255.5</v>
      </c>
      <c r="G216">
        <v>1262</v>
      </c>
      <c r="H216">
        <v>1251</v>
      </c>
      <c r="I216">
        <v>1254</v>
      </c>
      <c r="J216">
        <v>517600</v>
      </c>
    </row>
    <row r="217" spans="4:10">
      <c r="D217" t="s">
        <v>704</v>
      </c>
      <c r="E217" t="s">
        <v>641</v>
      </c>
      <c r="F217">
        <v>1254</v>
      </c>
      <c r="G217">
        <v>1268</v>
      </c>
      <c r="H217">
        <v>1249.5</v>
      </c>
      <c r="I217">
        <v>1267</v>
      </c>
      <c r="J217">
        <v>445200</v>
      </c>
    </row>
    <row r="218" spans="4:10">
      <c r="D218" t="s">
        <v>704</v>
      </c>
      <c r="E218" t="s">
        <v>642</v>
      </c>
      <c r="F218">
        <v>1266.5</v>
      </c>
      <c r="G218">
        <v>1276</v>
      </c>
      <c r="H218">
        <v>1261</v>
      </c>
      <c r="I218">
        <v>1263</v>
      </c>
      <c r="J218">
        <v>617100</v>
      </c>
    </row>
    <row r="219" spans="4:10">
      <c r="D219" t="s">
        <v>704</v>
      </c>
      <c r="E219" t="s">
        <v>643</v>
      </c>
      <c r="F219">
        <v>1263.5</v>
      </c>
      <c r="G219">
        <v>1263.5</v>
      </c>
      <c r="H219">
        <v>1246</v>
      </c>
      <c r="I219">
        <v>1246</v>
      </c>
      <c r="J219">
        <v>608100</v>
      </c>
    </row>
    <row r="220" spans="4:10">
      <c r="D220" t="s">
        <v>704</v>
      </c>
      <c r="E220" t="s">
        <v>644</v>
      </c>
      <c r="F220">
        <v>1246</v>
      </c>
      <c r="G220">
        <v>1247.5</v>
      </c>
      <c r="H220">
        <v>1241</v>
      </c>
      <c r="I220">
        <v>1243</v>
      </c>
      <c r="J220">
        <v>387900</v>
      </c>
    </row>
    <row r="221" spans="4:10">
      <c r="D221" t="s">
        <v>704</v>
      </c>
      <c r="E221" t="s">
        <v>645</v>
      </c>
      <c r="F221">
        <v>1243.5</v>
      </c>
      <c r="G221">
        <v>1248.5</v>
      </c>
      <c r="H221">
        <v>1242</v>
      </c>
      <c r="I221">
        <v>1247</v>
      </c>
      <c r="J221">
        <v>243500</v>
      </c>
    </row>
    <row r="222" spans="4:10">
      <c r="D222" t="s">
        <v>704</v>
      </c>
      <c r="E222" t="s">
        <v>646</v>
      </c>
      <c r="F222">
        <v>1247</v>
      </c>
      <c r="G222">
        <v>1250</v>
      </c>
      <c r="H222">
        <v>1241</v>
      </c>
      <c r="I222">
        <v>1248</v>
      </c>
      <c r="J222">
        <v>256400</v>
      </c>
    </row>
    <row r="223" spans="4:10">
      <c r="D223" t="s">
        <v>704</v>
      </c>
      <c r="E223" t="s">
        <v>647</v>
      </c>
      <c r="F223">
        <v>1248</v>
      </c>
      <c r="G223">
        <v>1249</v>
      </c>
      <c r="H223">
        <v>1240.5</v>
      </c>
      <c r="I223">
        <v>1242.5</v>
      </c>
      <c r="J223">
        <v>264400</v>
      </c>
    </row>
    <row r="224" spans="4:10">
      <c r="D224" t="s">
        <v>704</v>
      </c>
      <c r="E224" t="s">
        <v>648</v>
      </c>
      <c r="F224">
        <v>1242</v>
      </c>
      <c r="G224">
        <v>1247</v>
      </c>
      <c r="H224">
        <v>1241</v>
      </c>
      <c r="I224">
        <v>1243</v>
      </c>
      <c r="J224">
        <v>242800</v>
      </c>
    </row>
    <row r="225" spans="4:10">
      <c r="D225" t="s">
        <v>704</v>
      </c>
      <c r="E225" t="s">
        <v>649</v>
      </c>
      <c r="F225">
        <v>1244</v>
      </c>
      <c r="G225">
        <v>1245.5</v>
      </c>
      <c r="H225">
        <v>1240.5</v>
      </c>
      <c r="I225">
        <v>1241.5</v>
      </c>
      <c r="J225">
        <v>190000</v>
      </c>
    </row>
    <row r="226" spans="4:10">
      <c r="D226" t="s">
        <v>704</v>
      </c>
      <c r="E226" t="s">
        <v>650</v>
      </c>
      <c r="F226">
        <v>1241</v>
      </c>
      <c r="G226">
        <v>1241.5</v>
      </c>
      <c r="H226">
        <v>1234.5</v>
      </c>
      <c r="I226">
        <v>1236.5</v>
      </c>
      <c r="J226">
        <v>446100</v>
      </c>
    </row>
    <row r="227" spans="4:10">
      <c r="D227" t="s">
        <v>704</v>
      </c>
      <c r="E227" t="s">
        <v>651</v>
      </c>
      <c r="F227">
        <v>1236.5</v>
      </c>
      <c r="G227">
        <v>1240.5</v>
      </c>
      <c r="H227">
        <v>1231.5</v>
      </c>
      <c r="I227">
        <v>1239.5</v>
      </c>
      <c r="J227">
        <v>288000</v>
      </c>
    </row>
    <row r="228" spans="4:10">
      <c r="D228" t="s">
        <v>704</v>
      </c>
      <c r="E228" t="s">
        <v>652</v>
      </c>
      <c r="F228">
        <v>1239.5</v>
      </c>
      <c r="G228">
        <v>1240</v>
      </c>
      <c r="H228">
        <v>1233.5</v>
      </c>
      <c r="I228">
        <v>1234</v>
      </c>
      <c r="J228">
        <v>150100</v>
      </c>
    </row>
    <row r="229" spans="4:10">
      <c r="D229" t="s">
        <v>704</v>
      </c>
      <c r="E229" t="s">
        <v>653</v>
      </c>
      <c r="F229">
        <v>1233.5</v>
      </c>
      <c r="G229">
        <v>1238.5</v>
      </c>
      <c r="H229">
        <v>1233.5</v>
      </c>
      <c r="I229">
        <v>1238.5</v>
      </c>
      <c r="J229">
        <v>165000</v>
      </c>
    </row>
    <row r="230" spans="4:10">
      <c r="D230" t="s">
        <v>704</v>
      </c>
      <c r="E230" t="s">
        <v>654</v>
      </c>
      <c r="F230">
        <v>1238.5</v>
      </c>
      <c r="G230">
        <v>1242.5</v>
      </c>
      <c r="H230">
        <v>1238</v>
      </c>
      <c r="I230">
        <v>1238.5</v>
      </c>
      <c r="J230">
        <v>174500</v>
      </c>
    </row>
    <row r="231" spans="4:10">
      <c r="D231" t="s">
        <v>704</v>
      </c>
      <c r="E231" t="s">
        <v>655</v>
      </c>
      <c r="F231">
        <v>1238.5</v>
      </c>
      <c r="G231">
        <v>1240.5</v>
      </c>
      <c r="H231">
        <v>1234.5</v>
      </c>
      <c r="I231">
        <v>1240</v>
      </c>
      <c r="J231">
        <v>142100</v>
      </c>
    </row>
    <row r="232" spans="4:10">
      <c r="D232" t="s">
        <v>704</v>
      </c>
      <c r="E232" t="s">
        <v>656</v>
      </c>
      <c r="F232">
        <v>1239.5</v>
      </c>
      <c r="G232">
        <v>1247.5</v>
      </c>
      <c r="H232">
        <v>1239.5</v>
      </c>
      <c r="I232">
        <v>1245.5</v>
      </c>
      <c r="J232">
        <v>171500</v>
      </c>
    </row>
    <row r="233" spans="4:10">
      <c r="D233" t="s">
        <v>704</v>
      </c>
      <c r="E233" t="s">
        <v>657</v>
      </c>
      <c r="F233">
        <v>1245</v>
      </c>
      <c r="G233">
        <v>1245.5</v>
      </c>
      <c r="H233">
        <v>1242</v>
      </c>
      <c r="I233">
        <v>1245</v>
      </c>
      <c r="J233">
        <v>115000</v>
      </c>
    </row>
    <row r="234" spans="4:10">
      <c r="D234" t="s">
        <v>704</v>
      </c>
      <c r="E234" t="s">
        <v>658</v>
      </c>
      <c r="F234">
        <v>1245</v>
      </c>
      <c r="G234">
        <v>1248.5</v>
      </c>
      <c r="H234">
        <v>1244</v>
      </c>
      <c r="I234">
        <v>1245</v>
      </c>
      <c r="J234">
        <v>95700</v>
      </c>
    </row>
    <row r="235" spans="4:10">
      <c r="D235" t="s">
        <v>704</v>
      </c>
      <c r="E235" t="s">
        <v>659</v>
      </c>
      <c r="F235">
        <v>1245.5</v>
      </c>
      <c r="G235">
        <v>1249.5</v>
      </c>
      <c r="H235">
        <v>1242</v>
      </c>
      <c r="I235">
        <v>1249.5</v>
      </c>
      <c r="J235">
        <v>100900</v>
      </c>
    </row>
    <row r="236" spans="4:10">
      <c r="D236" t="s">
        <v>704</v>
      </c>
      <c r="E236" t="s">
        <v>660</v>
      </c>
      <c r="F236">
        <v>1248.5</v>
      </c>
      <c r="G236">
        <v>1248.5</v>
      </c>
      <c r="H236">
        <v>1246</v>
      </c>
      <c r="I236">
        <v>1246</v>
      </c>
      <c r="J236">
        <v>69700</v>
      </c>
    </row>
    <row r="237" spans="4:10">
      <c r="D237" t="s">
        <v>704</v>
      </c>
      <c r="E237" t="s">
        <v>661</v>
      </c>
      <c r="F237">
        <v>1246.5</v>
      </c>
      <c r="G237">
        <v>1250</v>
      </c>
      <c r="H237">
        <v>1246.5</v>
      </c>
      <c r="I237">
        <v>1249</v>
      </c>
      <c r="J237">
        <v>106100</v>
      </c>
    </row>
    <row r="238" spans="4:10">
      <c r="D238" t="s">
        <v>704</v>
      </c>
      <c r="E238" t="s">
        <v>662</v>
      </c>
      <c r="F238">
        <v>1249</v>
      </c>
      <c r="G238">
        <v>1253</v>
      </c>
      <c r="H238">
        <v>1247.5</v>
      </c>
      <c r="I238">
        <v>1251.5</v>
      </c>
      <c r="J238">
        <v>167300</v>
      </c>
    </row>
    <row r="239" spans="4:10">
      <c r="D239" t="s">
        <v>704</v>
      </c>
      <c r="E239" t="s">
        <v>663</v>
      </c>
      <c r="F239">
        <v>1251.5</v>
      </c>
      <c r="G239">
        <v>1253.5</v>
      </c>
      <c r="H239">
        <v>1249</v>
      </c>
      <c r="I239">
        <v>1253.5</v>
      </c>
      <c r="J239">
        <v>154400</v>
      </c>
    </row>
    <row r="240" spans="4:10">
      <c r="D240" t="s">
        <v>704</v>
      </c>
      <c r="E240" t="s">
        <v>664</v>
      </c>
      <c r="F240">
        <v>1253.5</v>
      </c>
      <c r="G240">
        <v>1259.5</v>
      </c>
      <c r="H240">
        <v>1253.5</v>
      </c>
      <c r="I240">
        <v>1258</v>
      </c>
      <c r="J240">
        <v>147300</v>
      </c>
    </row>
    <row r="241" spans="4:10">
      <c r="D241" t="s">
        <v>704</v>
      </c>
      <c r="E241" t="s">
        <v>665</v>
      </c>
      <c r="F241">
        <v>1258.5</v>
      </c>
      <c r="G241">
        <v>1259</v>
      </c>
      <c r="H241">
        <v>1256</v>
      </c>
      <c r="I241">
        <v>1259</v>
      </c>
      <c r="J241">
        <v>68400</v>
      </c>
    </row>
    <row r="242" spans="4:10">
      <c r="D242" t="s">
        <v>704</v>
      </c>
      <c r="E242" t="s">
        <v>666</v>
      </c>
      <c r="F242">
        <v>1258.5</v>
      </c>
      <c r="G242">
        <v>1258.5</v>
      </c>
      <c r="H242">
        <v>1255.5</v>
      </c>
      <c r="I242">
        <v>1255.5</v>
      </c>
      <c r="J242">
        <v>80600</v>
      </c>
    </row>
    <row r="243" spans="4:10">
      <c r="D243" t="s">
        <v>704</v>
      </c>
      <c r="E243" t="s">
        <v>667</v>
      </c>
      <c r="F243">
        <v>1256</v>
      </c>
      <c r="G243">
        <v>1257</v>
      </c>
      <c r="H243">
        <v>1253.5</v>
      </c>
      <c r="I243">
        <v>1255</v>
      </c>
      <c r="J243">
        <v>96900</v>
      </c>
    </row>
    <row r="244" spans="4:10">
      <c r="D244" t="s">
        <v>704</v>
      </c>
      <c r="E244" t="s">
        <v>668</v>
      </c>
      <c r="F244">
        <v>1255</v>
      </c>
      <c r="G244">
        <v>1258</v>
      </c>
      <c r="H244">
        <v>1254.5</v>
      </c>
      <c r="I244">
        <v>1255.5</v>
      </c>
      <c r="J244">
        <v>67500</v>
      </c>
    </row>
    <row r="245" spans="4:10">
      <c r="D245" t="s">
        <v>704</v>
      </c>
      <c r="E245" t="s">
        <v>669</v>
      </c>
      <c r="F245">
        <v>1255.5</v>
      </c>
      <c r="G245">
        <v>1255.5</v>
      </c>
      <c r="H245">
        <v>1255.5</v>
      </c>
      <c r="I245">
        <v>1255.5</v>
      </c>
      <c r="J245">
        <v>4700</v>
      </c>
    </row>
    <row r="246" spans="4:10">
      <c r="D246" t="s">
        <v>704</v>
      </c>
      <c r="E246" t="s">
        <v>670</v>
      </c>
      <c r="F246">
        <v>1256.5</v>
      </c>
      <c r="G246">
        <v>1286.5</v>
      </c>
      <c r="H246">
        <v>1255.5</v>
      </c>
      <c r="I246">
        <v>1284</v>
      </c>
      <c r="J246">
        <v>1023400</v>
      </c>
    </row>
    <row r="247" spans="4:10">
      <c r="D247" t="s">
        <v>704</v>
      </c>
      <c r="E247" t="s">
        <v>671</v>
      </c>
      <c r="F247">
        <v>1284</v>
      </c>
      <c r="G247">
        <v>1286.5</v>
      </c>
      <c r="H247">
        <v>1278</v>
      </c>
      <c r="I247">
        <v>1280</v>
      </c>
      <c r="J247">
        <v>368800</v>
      </c>
    </row>
    <row r="248" spans="4:10">
      <c r="D248" t="s">
        <v>704</v>
      </c>
      <c r="E248" t="s">
        <v>672</v>
      </c>
      <c r="F248">
        <v>1279.5</v>
      </c>
      <c r="G248">
        <v>1280.5</v>
      </c>
      <c r="H248">
        <v>1273</v>
      </c>
      <c r="I248">
        <v>1274</v>
      </c>
      <c r="J248">
        <v>201700</v>
      </c>
    </row>
    <row r="249" spans="4:10">
      <c r="D249" t="s">
        <v>704</v>
      </c>
      <c r="E249" t="s">
        <v>673</v>
      </c>
      <c r="F249">
        <v>1274</v>
      </c>
      <c r="G249">
        <v>1275.5</v>
      </c>
      <c r="H249">
        <v>1273</v>
      </c>
      <c r="I249">
        <v>1274.5</v>
      </c>
      <c r="J249">
        <v>129000</v>
      </c>
    </row>
    <row r="250" spans="4:10">
      <c r="D250" t="s">
        <v>704</v>
      </c>
      <c r="E250" t="s">
        <v>674</v>
      </c>
      <c r="F250">
        <v>1274.5</v>
      </c>
      <c r="G250">
        <v>1275</v>
      </c>
      <c r="H250">
        <v>1271.5</v>
      </c>
      <c r="I250">
        <v>1273</v>
      </c>
      <c r="J250">
        <v>92000</v>
      </c>
    </row>
    <row r="251" spans="4:10">
      <c r="D251" t="s">
        <v>704</v>
      </c>
      <c r="E251" t="s">
        <v>675</v>
      </c>
      <c r="F251">
        <v>1273.5</v>
      </c>
      <c r="G251">
        <v>1274</v>
      </c>
      <c r="H251">
        <v>1269</v>
      </c>
      <c r="I251">
        <v>1271</v>
      </c>
      <c r="J251">
        <v>181500</v>
      </c>
    </row>
    <row r="252" spans="4:10">
      <c r="D252" t="s">
        <v>704</v>
      </c>
      <c r="E252" t="s">
        <v>676</v>
      </c>
      <c r="F252">
        <v>1271</v>
      </c>
      <c r="G252">
        <v>1275.5</v>
      </c>
      <c r="H252">
        <v>1269.5</v>
      </c>
      <c r="I252">
        <v>1275.5</v>
      </c>
      <c r="J252">
        <v>124600</v>
      </c>
    </row>
    <row r="253" spans="4:10">
      <c r="D253" t="s">
        <v>704</v>
      </c>
      <c r="E253" t="s">
        <v>677</v>
      </c>
      <c r="F253">
        <v>1275</v>
      </c>
      <c r="G253">
        <v>1280.5</v>
      </c>
      <c r="H253">
        <v>1275</v>
      </c>
      <c r="I253">
        <v>1278</v>
      </c>
      <c r="J253">
        <v>194700</v>
      </c>
    </row>
    <row r="254" spans="4:10">
      <c r="D254" t="s">
        <v>704</v>
      </c>
      <c r="E254" t="s">
        <v>678</v>
      </c>
      <c r="F254">
        <v>1278</v>
      </c>
      <c r="G254">
        <v>1281</v>
      </c>
      <c r="H254">
        <v>1278</v>
      </c>
      <c r="I254">
        <v>1280</v>
      </c>
      <c r="J254">
        <v>108700</v>
      </c>
    </row>
    <row r="255" spans="4:10">
      <c r="D255" t="s">
        <v>704</v>
      </c>
      <c r="E255" t="s">
        <v>679</v>
      </c>
      <c r="F255">
        <v>1280</v>
      </c>
      <c r="G255">
        <v>1282.5</v>
      </c>
      <c r="H255">
        <v>1279</v>
      </c>
      <c r="I255">
        <v>1282</v>
      </c>
      <c r="J255">
        <v>126700</v>
      </c>
    </row>
    <row r="256" spans="4:10">
      <c r="D256" t="s">
        <v>704</v>
      </c>
      <c r="E256" t="s">
        <v>680</v>
      </c>
      <c r="F256">
        <v>1282.5</v>
      </c>
      <c r="G256">
        <v>1282.5</v>
      </c>
      <c r="H256">
        <v>1280</v>
      </c>
      <c r="I256">
        <v>1281.5</v>
      </c>
      <c r="J256">
        <v>158500</v>
      </c>
    </row>
    <row r="257" spans="4:10">
      <c r="D257" t="s">
        <v>704</v>
      </c>
      <c r="E257" t="s">
        <v>681</v>
      </c>
      <c r="F257">
        <v>1281.5</v>
      </c>
      <c r="G257">
        <v>1284</v>
      </c>
      <c r="H257">
        <v>1281</v>
      </c>
      <c r="I257">
        <v>1282.5</v>
      </c>
      <c r="J257">
        <v>141300</v>
      </c>
    </row>
    <row r="258" spans="4:10">
      <c r="D258" t="s">
        <v>704</v>
      </c>
      <c r="E258" t="s">
        <v>682</v>
      </c>
      <c r="F258">
        <v>1282.5</v>
      </c>
      <c r="G258">
        <v>1284</v>
      </c>
      <c r="H258">
        <v>1281</v>
      </c>
      <c r="I258">
        <v>1281.5</v>
      </c>
      <c r="J258">
        <v>137700</v>
      </c>
    </row>
    <row r="259" spans="4:10">
      <c r="D259" t="s">
        <v>704</v>
      </c>
      <c r="E259" t="s">
        <v>683</v>
      </c>
      <c r="F259">
        <v>1281.5</v>
      </c>
      <c r="G259">
        <v>1285.5</v>
      </c>
      <c r="H259">
        <v>1281.5</v>
      </c>
      <c r="I259">
        <v>1283.5</v>
      </c>
      <c r="J259">
        <v>123800</v>
      </c>
    </row>
    <row r="260" spans="4:10">
      <c r="D260" t="s">
        <v>704</v>
      </c>
      <c r="E260" t="s">
        <v>684</v>
      </c>
      <c r="F260">
        <v>1283.5</v>
      </c>
      <c r="G260">
        <v>1285.5</v>
      </c>
      <c r="H260">
        <v>1283</v>
      </c>
      <c r="I260">
        <v>1284.5</v>
      </c>
      <c r="J260">
        <v>75900</v>
      </c>
    </row>
    <row r="261" spans="4:10">
      <c r="D261" t="s">
        <v>704</v>
      </c>
      <c r="E261" t="s">
        <v>685</v>
      </c>
      <c r="F261">
        <v>1284.5</v>
      </c>
      <c r="G261">
        <v>1286</v>
      </c>
      <c r="H261">
        <v>1284</v>
      </c>
      <c r="I261">
        <v>1286</v>
      </c>
      <c r="J261">
        <v>110400</v>
      </c>
    </row>
    <row r="262" spans="4:10">
      <c r="D262" t="s">
        <v>704</v>
      </c>
      <c r="E262" t="s">
        <v>686</v>
      </c>
      <c r="F262">
        <v>1286</v>
      </c>
      <c r="G262">
        <v>1286.5</v>
      </c>
      <c r="H262">
        <v>1283.5</v>
      </c>
      <c r="I262">
        <v>1284</v>
      </c>
      <c r="J262">
        <v>154400</v>
      </c>
    </row>
    <row r="263" spans="4:10">
      <c r="D263" t="s">
        <v>704</v>
      </c>
      <c r="E263" t="s">
        <v>687</v>
      </c>
      <c r="F263">
        <v>1284</v>
      </c>
      <c r="G263">
        <v>1289</v>
      </c>
      <c r="H263">
        <v>1283.5</v>
      </c>
      <c r="I263">
        <v>1288</v>
      </c>
      <c r="J263">
        <v>199700</v>
      </c>
    </row>
    <row r="264" spans="4:10">
      <c r="D264" t="s">
        <v>704</v>
      </c>
      <c r="E264" t="s">
        <v>688</v>
      </c>
      <c r="F264">
        <v>1287.5</v>
      </c>
      <c r="G264">
        <v>1287.5</v>
      </c>
      <c r="H264">
        <v>1284.5</v>
      </c>
      <c r="I264">
        <v>1285.5</v>
      </c>
      <c r="J264">
        <v>111700</v>
      </c>
    </row>
    <row r="265" spans="4:10">
      <c r="D265" t="s">
        <v>704</v>
      </c>
      <c r="E265" t="s">
        <v>689</v>
      </c>
      <c r="F265">
        <v>1286</v>
      </c>
      <c r="G265">
        <v>1287</v>
      </c>
      <c r="H265">
        <v>1283.5</v>
      </c>
      <c r="I265">
        <v>1286</v>
      </c>
      <c r="J265">
        <v>119000</v>
      </c>
    </row>
    <row r="266" spans="4:10">
      <c r="D266" t="s">
        <v>704</v>
      </c>
      <c r="E266" t="s">
        <v>690</v>
      </c>
      <c r="F266">
        <v>1285.5</v>
      </c>
      <c r="G266">
        <v>1287.5</v>
      </c>
      <c r="H266">
        <v>1284.5</v>
      </c>
      <c r="I266">
        <v>1286.5</v>
      </c>
      <c r="J266">
        <v>132400</v>
      </c>
    </row>
    <row r="267" spans="4:10">
      <c r="D267" t="s">
        <v>704</v>
      </c>
      <c r="E267" t="s">
        <v>691</v>
      </c>
      <c r="F267">
        <v>1286.5</v>
      </c>
      <c r="G267">
        <v>1288.5</v>
      </c>
      <c r="H267">
        <v>1286.5</v>
      </c>
      <c r="I267">
        <v>1287.5</v>
      </c>
      <c r="J267">
        <v>64300</v>
      </c>
    </row>
    <row r="268" spans="4:10">
      <c r="D268" t="s">
        <v>704</v>
      </c>
      <c r="E268" t="s">
        <v>692</v>
      </c>
      <c r="F268">
        <v>1287.5</v>
      </c>
      <c r="G268">
        <v>1289.5</v>
      </c>
      <c r="H268">
        <v>1287.5</v>
      </c>
      <c r="I268">
        <v>1289.5</v>
      </c>
      <c r="J268">
        <v>76700</v>
      </c>
    </row>
    <row r="269" spans="4:10">
      <c r="D269" t="s">
        <v>704</v>
      </c>
      <c r="E269" t="s">
        <v>693</v>
      </c>
      <c r="F269">
        <v>1289</v>
      </c>
      <c r="G269">
        <v>1291</v>
      </c>
      <c r="H269">
        <v>1288.5</v>
      </c>
      <c r="I269">
        <v>1291</v>
      </c>
      <c r="J269">
        <v>128600</v>
      </c>
    </row>
    <row r="270" spans="4:10">
      <c r="D270" t="s">
        <v>704</v>
      </c>
      <c r="E270" t="s">
        <v>694</v>
      </c>
      <c r="F270">
        <v>1291</v>
      </c>
      <c r="G270">
        <v>1295</v>
      </c>
      <c r="H270">
        <v>1289.5</v>
      </c>
      <c r="I270">
        <v>1292.5</v>
      </c>
      <c r="J270">
        <v>235700</v>
      </c>
    </row>
    <row r="271" spans="4:10">
      <c r="D271" t="s">
        <v>704</v>
      </c>
      <c r="E271" t="s">
        <v>695</v>
      </c>
      <c r="F271">
        <v>1292.5</v>
      </c>
      <c r="G271">
        <v>1294</v>
      </c>
      <c r="H271">
        <v>1291</v>
      </c>
      <c r="I271">
        <v>1293</v>
      </c>
      <c r="J271">
        <v>109400</v>
      </c>
    </row>
    <row r="272" spans="4:10">
      <c r="D272" t="s">
        <v>704</v>
      </c>
      <c r="E272" t="s">
        <v>696</v>
      </c>
      <c r="F272">
        <v>1293</v>
      </c>
      <c r="G272">
        <v>1293</v>
      </c>
      <c r="H272">
        <v>1291.5</v>
      </c>
      <c r="I272">
        <v>1292.5</v>
      </c>
      <c r="J272">
        <v>91100</v>
      </c>
    </row>
    <row r="273" spans="4:10">
      <c r="D273" t="s">
        <v>704</v>
      </c>
      <c r="E273" t="s">
        <v>697</v>
      </c>
      <c r="F273">
        <v>1292.5</v>
      </c>
      <c r="G273">
        <v>1295.5</v>
      </c>
      <c r="H273">
        <v>1292</v>
      </c>
      <c r="I273">
        <v>1294</v>
      </c>
      <c r="J273">
        <v>204300</v>
      </c>
    </row>
    <row r="274" spans="4:10">
      <c r="D274" t="s">
        <v>704</v>
      </c>
      <c r="E274" t="s">
        <v>698</v>
      </c>
      <c r="F274">
        <v>1294.5</v>
      </c>
      <c r="G274">
        <v>1298.5</v>
      </c>
      <c r="H274">
        <v>1293.5</v>
      </c>
      <c r="I274">
        <v>1296.5</v>
      </c>
      <c r="J274">
        <v>340700</v>
      </c>
    </row>
    <row r="275" spans="4:10">
      <c r="D275" t="s">
        <v>704</v>
      </c>
      <c r="E275" t="s">
        <v>699</v>
      </c>
      <c r="F275">
        <v>1297</v>
      </c>
      <c r="G275">
        <v>1302</v>
      </c>
      <c r="H275">
        <v>1297</v>
      </c>
      <c r="I275">
        <v>1300</v>
      </c>
      <c r="J275">
        <v>390200</v>
      </c>
    </row>
    <row r="276" spans="4:10">
      <c r="D276" t="s">
        <v>704</v>
      </c>
      <c r="E276" t="s">
        <v>700</v>
      </c>
      <c r="F276">
        <v>1300.5</v>
      </c>
      <c r="G276">
        <v>1302</v>
      </c>
      <c r="H276">
        <v>1293.5</v>
      </c>
      <c r="I276">
        <v>1294.5</v>
      </c>
      <c r="J276">
        <v>273500</v>
      </c>
    </row>
    <row r="277" spans="4:10">
      <c r="D277" t="s">
        <v>704</v>
      </c>
      <c r="E277" t="s">
        <v>633</v>
      </c>
      <c r="F277">
        <v>1294</v>
      </c>
      <c r="G277">
        <v>1295.5</v>
      </c>
      <c r="H277">
        <v>1292.5</v>
      </c>
      <c r="I277">
        <v>1295</v>
      </c>
      <c r="J277">
        <v>220100</v>
      </c>
    </row>
    <row r="278" spans="4:10">
      <c r="D278" t="s">
        <v>704</v>
      </c>
      <c r="E278" t="s">
        <v>634</v>
      </c>
      <c r="F278">
        <v>1295</v>
      </c>
      <c r="G278">
        <v>1298</v>
      </c>
      <c r="H278">
        <v>1294.5</v>
      </c>
      <c r="I278">
        <v>1297.5</v>
      </c>
      <c r="J278">
        <v>234900</v>
      </c>
    </row>
    <row r="279" spans="4:10">
      <c r="D279" t="s">
        <v>704</v>
      </c>
      <c r="E279" t="s">
        <v>635</v>
      </c>
      <c r="F279">
        <v>1297</v>
      </c>
      <c r="G279">
        <v>1297.5</v>
      </c>
      <c r="H279">
        <v>1295.5</v>
      </c>
      <c r="I279">
        <v>1296</v>
      </c>
      <c r="J279">
        <v>174400</v>
      </c>
    </row>
    <row r="280" spans="4:10">
      <c r="D280" t="s">
        <v>704</v>
      </c>
      <c r="E280" t="s">
        <v>614</v>
      </c>
      <c r="F280">
        <v>1296</v>
      </c>
      <c r="G280">
        <v>1297</v>
      </c>
      <c r="H280">
        <v>1293</v>
      </c>
      <c r="I280">
        <v>1294</v>
      </c>
      <c r="J280">
        <v>190100</v>
      </c>
    </row>
    <row r="281" spans="4:10">
      <c r="D281" t="s">
        <v>704</v>
      </c>
      <c r="E281" t="s">
        <v>636</v>
      </c>
      <c r="F281" t="s">
        <v>35</v>
      </c>
      <c r="G281" t="s">
        <v>35</v>
      </c>
      <c r="H281" t="s">
        <v>35</v>
      </c>
      <c r="I281" t="s">
        <v>35</v>
      </c>
      <c r="J281">
        <v>0</v>
      </c>
    </row>
    <row r="282" spans="4:10">
      <c r="D282" t="s">
        <v>704</v>
      </c>
      <c r="E282" t="s">
        <v>637</v>
      </c>
      <c r="F282">
        <v>1292.5</v>
      </c>
      <c r="G282">
        <v>1292.5</v>
      </c>
      <c r="H282">
        <v>1292.5</v>
      </c>
      <c r="I282">
        <v>1292.5</v>
      </c>
      <c r="J282">
        <v>1627300</v>
      </c>
    </row>
    <row r="283" spans="4:10">
      <c r="D283" t="s">
        <v>705</v>
      </c>
      <c r="E283" t="s">
        <v>639</v>
      </c>
      <c r="F283">
        <v>1295</v>
      </c>
      <c r="G283">
        <v>1296</v>
      </c>
      <c r="H283">
        <v>1268</v>
      </c>
      <c r="I283">
        <v>1272.5</v>
      </c>
      <c r="J283">
        <v>1132900</v>
      </c>
    </row>
    <row r="284" spans="4:10">
      <c r="D284" t="s">
        <v>705</v>
      </c>
      <c r="E284" t="s">
        <v>640</v>
      </c>
      <c r="F284">
        <v>1271.5</v>
      </c>
      <c r="G284">
        <v>1273</v>
      </c>
      <c r="H284">
        <v>1261.5</v>
      </c>
      <c r="I284">
        <v>1266</v>
      </c>
      <c r="J284">
        <v>387400</v>
      </c>
    </row>
    <row r="285" spans="4:10">
      <c r="D285" t="s">
        <v>705</v>
      </c>
      <c r="E285" t="s">
        <v>641</v>
      </c>
      <c r="F285">
        <v>1266</v>
      </c>
      <c r="G285">
        <v>1275.5</v>
      </c>
      <c r="H285">
        <v>1266</v>
      </c>
      <c r="I285">
        <v>1274</v>
      </c>
      <c r="J285">
        <v>267800</v>
      </c>
    </row>
    <row r="286" spans="4:10">
      <c r="D286" t="s">
        <v>705</v>
      </c>
      <c r="E286" t="s">
        <v>642</v>
      </c>
      <c r="F286">
        <v>1273</v>
      </c>
      <c r="G286">
        <v>1274.5</v>
      </c>
      <c r="H286">
        <v>1270</v>
      </c>
      <c r="I286">
        <v>1273</v>
      </c>
      <c r="J286">
        <v>123000</v>
      </c>
    </row>
    <row r="287" spans="4:10">
      <c r="D287" t="s">
        <v>705</v>
      </c>
      <c r="E287" t="s">
        <v>643</v>
      </c>
      <c r="F287">
        <v>1273</v>
      </c>
      <c r="G287">
        <v>1278.5</v>
      </c>
      <c r="H287">
        <v>1271.5</v>
      </c>
      <c r="I287">
        <v>1272</v>
      </c>
      <c r="J287">
        <v>207100</v>
      </c>
    </row>
    <row r="288" spans="4:10">
      <c r="D288" t="s">
        <v>705</v>
      </c>
      <c r="E288" t="s">
        <v>644</v>
      </c>
      <c r="F288">
        <v>1272.5</v>
      </c>
      <c r="G288">
        <v>1274.5</v>
      </c>
      <c r="H288">
        <v>1269</v>
      </c>
      <c r="I288">
        <v>1272.5</v>
      </c>
      <c r="J288">
        <v>167200</v>
      </c>
    </row>
    <row r="289" spans="4:10">
      <c r="D289" t="s">
        <v>705</v>
      </c>
      <c r="E289" t="s">
        <v>645</v>
      </c>
      <c r="F289">
        <v>1273</v>
      </c>
      <c r="G289">
        <v>1284.5</v>
      </c>
      <c r="H289">
        <v>1273</v>
      </c>
      <c r="I289">
        <v>1284.5</v>
      </c>
      <c r="J289">
        <v>261200</v>
      </c>
    </row>
    <row r="290" spans="4:10">
      <c r="D290" t="s">
        <v>705</v>
      </c>
      <c r="E290" t="s">
        <v>646</v>
      </c>
      <c r="F290">
        <v>1284.5</v>
      </c>
      <c r="G290">
        <v>1292</v>
      </c>
      <c r="H290">
        <v>1284</v>
      </c>
      <c r="I290">
        <v>1292</v>
      </c>
      <c r="J290">
        <v>340600</v>
      </c>
    </row>
    <row r="291" spans="4:10">
      <c r="D291" t="s">
        <v>705</v>
      </c>
      <c r="E291" t="s">
        <v>647</v>
      </c>
      <c r="F291">
        <v>1291.5</v>
      </c>
      <c r="G291">
        <v>1294.5</v>
      </c>
      <c r="H291">
        <v>1286</v>
      </c>
      <c r="I291">
        <v>1287</v>
      </c>
      <c r="J291">
        <v>316400</v>
      </c>
    </row>
    <row r="292" spans="4:10">
      <c r="D292" t="s">
        <v>705</v>
      </c>
      <c r="E292" t="s">
        <v>648</v>
      </c>
      <c r="F292">
        <v>1287</v>
      </c>
      <c r="G292">
        <v>1290</v>
      </c>
      <c r="H292">
        <v>1285.5</v>
      </c>
      <c r="I292">
        <v>1286.5</v>
      </c>
      <c r="J292">
        <v>97600</v>
      </c>
    </row>
    <row r="293" spans="4:10">
      <c r="D293" t="s">
        <v>705</v>
      </c>
      <c r="E293" t="s">
        <v>649</v>
      </c>
      <c r="F293">
        <v>1286</v>
      </c>
      <c r="G293">
        <v>1286.5</v>
      </c>
      <c r="H293">
        <v>1277.5</v>
      </c>
      <c r="I293">
        <v>1278</v>
      </c>
      <c r="J293">
        <v>294200</v>
      </c>
    </row>
    <row r="294" spans="4:10">
      <c r="D294" t="s">
        <v>705</v>
      </c>
      <c r="E294" t="s">
        <v>650</v>
      </c>
      <c r="F294">
        <v>1278</v>
      </c>
      <c r="G294">
        <v>1283</v>
      </c>
      <c r="H294">
        <v>1277</v>
      </c>
      <c r="I294">
        <v>1281</v>
      </c>
      <c r="J294">
        <v>136800</v>
      </c>
    </row>
    <row r="295" spans="4:10">
      <c r="D295" t="s">
        <v>705</v>
      </c>
      <c r="E295" t="s">
        <v>651</v>
      </c>
      <c r="F295">
        <v>1280.5</v>
      </c>
      <c r="G295">
        <v>1282</v>
      </c>
      <c r="H295">
        <v>1275.5</v>
      </c>
      <c r="I295">
        <v>1277</v>
      </c>
      <c r="J295">
        <v>152200</v>
      </c>
    </row>
    <row r="296" spans="4:10">
      <c r="D296" t="s">
        <v>705</v>
      </c>
      <c r="E296" t="s">
        <v>652</v>
      </c>
      <c r="F296">
        <v>1277</v>
      </c>
      <c r="G296">
        <v>1279</v>
      </c>
      <c r="H296">
        <v>1274.5</v>
      </c>
      <c r="I296">
        <v>1275.5</v>
      </c>
      <c r="J296">
        <v>159700</v>
      </c>
    </row>
    <row r="297" spans="4:10">
      <c r="D297" t="s">
        <v>705</v>
      </c>
      <c r="E297" t="s">
        <v>653</v>
      </c>
      <c r="F297">
        <v>1275</v>
      </c>
      <c r="G297">
        <v>1276</v>
      </c>
      <c r="H297">
        <v>1265.5</v>
      </c>
      <c r="I297">
        <v>1266.5</v>
      </c>
      <c r="J297">
        <v>257000</v>
      </c>
    </row>
    <row r="298" spans="4:10">
      <c r="D298" t="s">
        <v>705</v>
      </c>
      <c r="E298" t="s">
        <v>654</v>
      </c>
      <c r="F298">
        <v>1267</v>
      </c>
      <c r="G298">
        <v>1271</v>
      </c>
      <c r="H298">
        <v>1265.5</v>
      </c>
      <c r="I298">
        <v>1269</v>
      </c>
      <c r="J298">
        <v>149400</v>
      </c>
    </row>
    <row r="299" spans="4:10">
      <c r="D299" t="s">
        <v>705</v>
      </c>
      <c r="E299" t="s">
        <v>655</v>
      </c>
      <c r="F299">
        <v>1269</v>
      </c>
      <c r="G299">
        <v>1273.5</v>
      </c>
      <c r="H299">
        <v>1267.5</v>
      </c>
      <c r="I299">
        <v>1268</v>
      </c>
      <c r="J299">
        <v>253900</v>
      </c>
    </row>
    <row r="300" spans="4:10">
      <c r="D300" t="s">
        <v>705</v>
      </c>
      <c r="E300" t="s">
        <v>656</v>
      </c>
      <c r="F300">
        <v>1268</v>
      </c>
      <c r="G300">
        <v>1268</v>
      </c>
      <c r="H300">
        <v>1262.5</v>
      </c>
      <c r="I300">
        <v>1262.5</v>
      </c>
      <c r="J300">
        <v>242600</v>
      </c>
    </row>
    <row r="301" spans="4:10">
      <c r="D301" t="s">
        <v>705</v>
      </c>
      <c r="E301" t="s">
        <v>657</v>
      </c>
      <c r="F301">
        <v>1263</v>
      </c>
      <c r="G301">
        <v>1267.5</v>
      </c>
      <c r="H301">
        <v>1261.5</v>
      </c>
      <c r="I301">
        <v>1266.5</v>
      </c>
      <c r="J301">
        <v>175800</v>
      </c>
    </row>
    <row r="302" spans="4:10">
      <c r="D302" t="s">
        <v>705</v>
      </c>
      <c r="E302" t="s">
        <v>658</v>
      </c>
      <c r="F302">
        <v>1266.5</v>
      </c>
      <c r="G302">
        <v>1269.5</v>
      </c>
      <c r="H302">
        <v>1266</v>
      </c>
      <c r="I302">
        <v>1269</v>
      </c>
      <c r="J302">
        <v>121000</v>
      </c>
    </row>
    <row r="303" spans="4:10">
      <c r="D303" t="s">
        <v>705</v>
      </c>
      <c r="E303" t="s">
        <v>659</v>
      </c>
      <c r="F303">
        <v>1269.5</v>
      </c>
      <c r="G303">
        <v>1269.5</v>
      </c>
      <c r="H303">
        <v>1264</v>
      </c>
      <c r="I303">
        <v>1266</v>
      </c>
      <c r="J303">
        <v>157100</v>
      </c>
    </row>
    <row r="304" spans="4:10">
      <c r="D304" t="s">
        <v>705</v>
      </c>
      <c r="E304" t="s">
        <v>660</v>
      </c>
      <c r="F304">
        <v>1266</v>
      </c>
      <c r="G304">
        <v>1273</v>
      </c>
      <c r="H304">
        <v>1266</v>
      </c>
      <c r="I304">
        <v>1271.5</v>
      </c>
      <c r="J304">
        <v>132300</v>
      </c>
    </row>
    <row r="305" spans="4:10">
      <c r="D305" t="s">
        <v>705</v>
      </c>
      <c r="E305" t="s">
        <v>661</v>
      </c>
      <c r="F305">
        <v>1271.5</v>
      </c>
      <c r="G305">
        <v>1272.5</v>
      </c>
      <c r="H305">
        <v>1266</v>
      </c>
      <c r="I305">
        <v>1270.5</v>
      </c>
      <c r="J305">
        <v>156000</v>
      </c>
    </row>
    <row r="306" spans="4:10">
      <c r="D306" t="s">
        <v>705</v>
      </c>
      <c r="E306" t="s">
        <v>662</v>
      </c>
      <c r="F306">
        <v>1270.5</v>
      </c>
      <c r="G306">
        <v>1272</v>
      </c>
      <c r="H306">
        <v>1269.5</v>
      </c>
      <c r="I306">
        <v>1269.5</v>
      </c>
      <c r="J306">
        <v>55400</v>
      </c>
    </row>
    <row r="307" spans="4:10">
      <c r="D307" t="s">
        <v>705</v>
      </c>
      <c r="E307" t="s">
        <v>663</v>
      </c>
      <c r="F307">
        <v>1269</v>
      </c>
      <c r="G307">
        <v>1269</v>
      </c>
      <c r="H307">
        <v>1263</v>
      </c>
      <c r="I307">
        <v>1264</v>
      </c>
      <c r="J307">
        <v>109200</v>
      </c>
    </row>
    <row r="308" spans="4:10">
      <c r="D308" t="s">
        <v>705</v>
      </c>
      <c r="E308" t="s">
        <v>664</v>
      </c>
      <c r="F308">
        <v>1264</v>
      </c>
      <c r="G308">
        <v>1267</v>
      </c>
      <c r="H308">
        <v>1262.5</v>
      </c>
      <c r="I308">
        <v>1266.5</v>
      </c>
      <c r="J308">
        <v>94000</v>
      </c>
    </row>
    <row r="309" spans="4:10">
      <c r="D309" t="s">
        <v>705</v>
      </c>
      <c r="E309" t="s">
        <v>665</v>
      </c>
      <c r="F309">
        <v>1266.5</v>
      </c>
      <c r="G309">
        <v>1267</v>
      </c>
      <c r="H309">
        <v>1264.5</v>
      </c>
      <c r="I309">
        <v>1264.5</v>
      </c>
      <c r="J309">
        <v>53200</v>
      </c>
    </row>
    <row r="310" spans="4:10">
      <c r="D310" t="s">
        <v>705</v>
      </c>
      <c r="E310" t="s">
        <v>666</v>
      </c>
      <c r="F310">
        <v>1264.5</v>
      </c>
      <c r="G310">
        <v>1264.5</v>
      </c>
      <c r="H310">
        <v>1260</v>
      </c>
      <c r="I310">
        <v>1261</v>
      </c>
      <c r="J310">
        <v>172200</v>
      </c>
    </row>
    <row r="311" spans="4:10">
      <c r="D311" t="s">
        <v>705</v>
      </c>
      <c r="E311" t="s">
        <v>667</v>
      </c>
      <c r="F311">
        <v>1261</v>
      </c>
      <c r="G311">
        <v>1263.5</v>
      </c>
      <c r="H311">
        <v>1260</v>
      </c>
      <c r="I311">
        <v>1263</v>
      </c>
      <c r="J311">
        <v>187000</v>
      </c>
    </row>
    <row r="312" spans="4:10">
      <c r="D312" t="s">
        <v>705</v>
      </c>
      <c r="E312" t="s">
        <v>668</v>
      </c>
      <c r="F312">
        <v>1263</v>
      </c>
      <c r="G312">
        <v>1264</v>
      </c>
      <c r="H312">
        <v>1261</v>
      </c>
      <c r="I312">
        <v>1261</v>
      </c>
      <c r="J312">
        <v>92400</v>
      </c>
    </row>
    <row r="313" spans="4:10">
      <c r="D313" t="s">
        <v>705</v>
      </c>
      <c r="E313" t="s">
        <v>669</v>
      </c>
      <c r="F313">
        <v>1262</v>
      </c>
      <c r="G313">
        <v>1262</v>
      </c>
      <c r="H313">
        <v>1262</v>
      </c>
      <c r="I313">
        <v>1262</v>
      </c>
      <c r="J313">
        <v>7700</v>
      </c>
    </row>
    <row r="314" spans="4:10">
      <c r="D314" t="s">
        <v>705</v>
      </c>
      <c r="E314" t="s">
        <v>670</v>
      </c>
      <c r="F314">
        <v>1260.5</v>
      </c>
      <c r="G314">
        <v>1264</v>
      </c>
      <c r="H314">
        <v>1256</v>
      </c>
      <c r="I314">
        <v>1264</v>
      </c>
      <c r="J314">
        <v>464400</v>
      </c>
    </row>
    <row r="315" spans="4:10">
      <c r="D315" t="s">
        <v>705</v>
      </c>
      <c r="E315" t="s">
        <v>671</v>
      </c>
      <c r="F315">
        <v>1264.5</v>
      </c>
      <c r="G315">
        <v>1266.5</v>
      </c>
      <c r="H315">
        <v>1263.5</v>
      </c>
      <c r="I315">
        <v>1263.5</v>
      </c>
      <c r="J315">
        <v>129600</v>
      </c>
    </row>
    <row r="316" spans="4:10">
      <c r="D316" t="s">
        <v>705</v>
      </c>
      <c r="E316" t="s">
        <v>672</v>
      </c>
      <c r="F316">
        <v>1264</v>
      </c>
      <c r="G316">
        <v>1264</v>
      </c>
      <c r="H316">
        <v>1261</v>
      </c>
      <c r="I316">
        <v>1262</v>
      </c>
      <c r="J316">
        <v>117800</v>
      </c>
    </row>
    <row r="317" spans="4:10">
      <c r="D317" t="s">
        <v>705</v>
      </c>
      <c r="E317" t="s">
        <v>673</v>
      </c>
      <c r="F317">
        <v>1262</v>
      </c>
      <c r="G317">
        <v>1264.5</v>
      </c>
      <c r="H317">
        <v>1260.5</v>
      </c>
      <c r="I317">
        <v>1260.5</v>
      </c>
      <c r="J317">
        <v>98000</v>
      </c>
    </row>
    <row r="318" spans="4:10">
      <c r="D318" t="s">
        <v>705</v>
      </c>
      <c r="E318" t="s">
        <v>674</v>
      </c>
      <c r="F318">
        <v>1260.5</v>
      </c>
      <c r="G318">
        <v>1262.5</v>
      </c>
      <c r="H318">
        <v>1260</v>
      </c>
      <c r="I318">
        <v>1260</v>
      </c>
      <c r="J318">
        <v>109700</v>
      </c>
    </row>
    <row r="319" spans="4:10">
      <c r="D319" t="s">
        <v>705</v>
      </c>
      <c r="E319" t="s">
        <v>675</v>
      </c>
      <c r="F319">
        <v>1260</v>
      </c>
      <c r="G319">
        <v>1260.5</v>
      </c>
      <c r="H319">
        <v>1257</v>
      </c>
      <c r="I319">
        <v>1257.5</v>
      </c>
      <c r="J319">
        <v>131100</v>
      </c>
    </row>
    <row r="320" spans="4:10">
      <c r="D320" t="s">
        <v>705</v>
      </c>
      <c r="E320" t="s">
        <v>676</v>
      </c>
      <c r="F320">
        <v>1257.5</v>
      </c>
      <c r="G320">
        <v>1264</v>
      </c>
      <c r="H320">
        <v>1257.5</v>
      </c>
      <c r="I320">
        <v>1264</v>
      </c>
      <c r="J320">
        <v>115300</v>
      </c>
    </row>
    <row r="321" spans="4:10">
      <c r="D321" t="s">
        <v>705</v>
      </c>
      <c r="E321" t="s">
        <v>677</v>
      </c>
      <c r="F321">
        <v>1263.5</v>
      </c>
      <c r="G321">
        <v>1267</v>
      </c>
      <c r="H321">
        <v>1263.5</v>
      </c>
      <c r="I321">
        <v>1264.5</v>
      </c>
      <c r="J321">
        <v>117600</v>
      </c>
    </row>
    <row r="322" spans="4:10">
      <c r="D322" t="s">
        <v>705</v>
      </c>
      <c r="E322" t="s">
        <v>678</v>
      </c>
      <c r="F322">
        <v>1264.5</v>
      </c>
      <c r="G322">
        <v>1268</v>
      </c>
      <c r="H322">
        <v>1264.5</v>
      </c>
      <c r="I322">
        <v>1266.5</v>
      </c>
      <c r="J322">
        <v>110900</v>
      </c>
    </row>
    <row r="323" spans="4:10">
      <c r="D323" t="s">
        <v>705</v>
      </c>
      <c r="E323" t="s">
        <v>679</v>
      </c>
      <c r="F323">
        <v>1266.5</v>
      </c>
      <c r="G323">
        <v>1268.5</v>
      </c>
      <c r="H323">
        <v>1265.5</v>
      </c>
      <c r="I323">
        <v>1268.5</v>
      </c>
      <c r="J323">
        <v>72600</v>
      </c>
    </row>
    <row r="324" spans="4:10">
      <c r="D324" t="s">
        <v>705</v>
      </c>
      <c r="E324" t="s">
        <v>680</v>
      </c>
      <c r="F324">
        <v>1268.5</v>
      </c>
      <c r="G324">
        <v>1269</v>
      </c>
      <c r="H324">
        <v>1267.5</v>
      </c>
      <c r="I324">
        <v>1268</v>
      </c>
      <c r="J324">
        <v>67000</v>
      </c>
    </row>
    <row r="325" spans="4:10">
      <c r="D325" t="s">
        <v>705</v>
      </c>
      <c r="E325" t="s">
        <v>681</v>
      </c>
      <c r="F325">
        <v>1268.5</v>
      </c>
      <c r="G325">
        <v>1270.5</v>
      </c>
      <c r="H325">
        <v>1267.5</v>
      </c>
      <c r="I325">
        <v>1267.5</v>
      </c>
      <c r="J325">
        <v>108400</v>
      </c>
    </row>
    <row r="326" spans="4:10">
      <c r="D326" t="s">
        <v>705</v>
      </c>
      <c r="E326" t="s">
        <v>682</v>
      </c>
      <c r="F326">
        <v>1267.5</v>
      </c>
      <c r="G326">
        <v>1268</v>
      </c>
      <c r="H326">
        <v>1265.5</v>
      </c>
      <c r="I326">
        <v>1266.5</v>
      </c>
      <c r="J326">
        <v>87500</v>
      </c>
    </row>
    <row r="327" spans="4:10">
      <c r="D327" t="s">
        <v>705</v>
      </c>
      <c r="E327" t="s">
        <v>683</v>
      </c>
      <c r="F327">
        <v>1266.5</v>
      </c>
      <c r="G327">
        <v>1267</v>
      </c>
      <c r="H327">
        <v>1263</v>
      </c>
      <c r="I327">
        <v>1263.5</v>
      </c>
      <c r="J327">
        <v>90600</v>
      </c>
    </row>
    <row r="328" spans="4:10">
      <c r="D328" t="s">
        <v>705</v>
      </c>
      <c r="E328" t="s">
        <v>684</v>
      </c>
      <c r="F328">
        <v>1264</v>
      </c>
      <c r="G328">
        <v>1264</v>
      </c>
      <c r="H328">
        <v>1260.5</v>
      </c>
      <c r="I328">
        <v>1262</v>
      </c>
      <c r="J328">
        <v>182500</v>
      </c>
    </row>
    <row r="329" spans="4:10">
      <c r="D329" t="s">
        <v>705</v>
      </c>
      <c r="E329" t="s">
        <v>685</v>
      </c>
      <c r="F329">
        <v>1262</v>
      </c>
      <c r="G329">
        <v>1265</v>
      </c>
      <c r="H329">
        <v>1261</v>
      </c>
      <c r="I329">
        <v>1264</v>
      </c>
      <c r="J329">
        <v>98300</v>
      </c>
    </row>
    <row r="330" spans="4:10">
      <c r="D330" t="s">
        <v>705</v>
      </c>
      <c r="E330" t="s">
        <v>686</v>
      </c>
      <c r="F330">
        <v>1264.5</v>
      </c>
      <c r="G330">
        <v>1269</v>
      </c>
      <c r="H330">
        <v>1264.5</v>
      </c>
      <c r="I330">
        <v>1269</v>
      </c>
      <c r="J330">
        <v>139600</v>
      </c>
    </row>
    <row r="331" spans="4:10">
      <c r="D331" t="s">
        <v>705</v>
      </c>
      <c r="E331" t="s">
        <v>687</v>
      </c>
      <c r="F331">
        <v>1268.5</v>
      </c>
      <c r="G331">
        <v>1269</v>
      </c>
      <c r="H331">
        <v>1267.5</v>
      </c>
      <c r="I331">
        <v>1268.5</v>
      </c>
      <c r="J331">
        <v>62500</v>
      </c>
    </row>
    <row r="332" spans="4:10">
      <c r="D332" t="s">
        <v>705</v>
      </c>
      <c r="E332" t="s">
        <v>688</v>
      </c>
      <c r="F332">
        <v>1269</v>
      </c>
      <c r="G332">
        <v>1269</v>
      </c>
      <c r="H332">
        <v>1266.5</v>
      </c>
      <c r="I332">
        <v>1268</v>
      </c>
      <c r="J332">
        <v>99800</v>
      </c>
    </row>
    <row r="333" spans="4:10">
      <c r="D333" t="s">
        <v>705</v>
      </c>
      <c r="E333" t="s">
        <v>689</v>
      </c>
      <c r="F333">
        <v>1268</v>
      </c>
      <c r="G333">
        <v>1270.5</v>
      </c>
      <c r="H333">
        <v>1267.5</v>
      </c>
      <c r="I333">
        <v>1270.5</v>
      </c>
      <c r="J333">
        <v>63600</v>
      </c>
    </row>
    <row r="334" spans="4:10">
      <c r="D334" t="s">
        <v>705</v>
      </c>
      <c r="E334" t="s">
        <v>690</v>
      </c>
      <c r="F334">
        <v>1270</v>
      </c>
      <c r="G334">
        <v>1270.5</v>
      </c>
      <c r="H334">
        <v>1268.5</v>
      </c>
      <c r="I334">
        <v>1269</v>
      </c>
      <c r="J334">
        <v>57200</v>
      </c>
    </row>
    <row r="335" spans="4:10">
      <c r="D335" t="s">
        <v>705</v>
      </c>
      <c r="E335" t="s">
        <v>691</v>
      </c>
      <c r="F335">
        <v>1269</v>
      </c>
      <c r="G335">
        <v>1269</v>
      </c>
      <c r="H335">
        <v>1266.5</v>
      </c>
      <c r="I335">
        <v>1267.5</v>
      </c>
      <c r="J335">
        <v>52900</v>
      </c>
    </row>
    <row r="336" spans="4:10">
      <c r="D336" t="s">
        <v>705</v>
      </c>
      <c r="E336" t="s">
        <v>692</v>
      </c>
      <c r="F336">
        <v>1267</v>
      </c>
      <c r="G336">
        <v>1268</v>
      </c>
      <c r="H336">
        <v>1266.5</v>
      </c>
      <c r="I336">
        <v>1268</v>
      </c>
      <c r="J336">
        <v>50000</v>
      </c>
    </row>
    <row r="337" spans="4:10">
      <c r="D337" t="s">
        <v>705</v>
      </c>
      <c r="E337" t="s">
        <v>693</v>
      </c>
      <c r="F337">
        <v>1268</v>
      </c>
      <c r="G337">
        <v>1268</v>
      </c>
      <c r="H337">
        <v>1264.5</v>
      </c>
      <c r="I337">
        <v>1265.5</v>
      </c>
      <c r="J337">
        <v>73700</v>
      </c>
    </row>
    <row r="338" spans="4:10">
      <c r="D338" t="s">
        <v>705</v>
      </c>
      <c r="E338" t="s">
        <v>694</v>
      </c>
      <c r="F338">
        <v>1265</v>
      </c>
      <c r="G338">
        <v>1265</v>
      </c>
      <c r="H338">
        <v>1261</v>
      </c>
      <c r="I338">
        <v>1262</v>
      </c>
      <c r="J338">
        <v>83600</v>
      </c>
    </row>
    <row r="339" spans="4:10">
      <c r="D339" t="s">
        <v>705</v>
      </c>
      <c r="E339" t="s">
        <v>695</v>
      </c>
      <c r="F339">
        <v>1262.5</v>
      </c>
      <c r="G339">
        <v>1263.5</v>
      </c>
      <c r="H339">
        <v>1260</v>
      </c>
      <c r="I339">
        <v>1260</v>
      </c>
      <c r="J339">
        <v>85700</v>
      </c>
    </row>
    <row r="340" spans="4:10">
      <c r="D340" t="s">
        <v>705</v>
      </c>
      <c r="E340" t="s">
        <v>696</v>
      </c>
      <c r="F340">
        <v>1260</v>
      </c>
      <c r="G340">
        <v>1261.5</v>
      </c>
      <c r="H340">
        <v>1259</v>
      </c>
      <c r="I340">
        <v>1261.5</v>
      </c>
      <c r="J340">
        <v>121100</v>
      </c>
    </row>
    <row r="341" spans="4:10">
      <c r="D341" t="s">
        <v>705</v>
      </c>
      <c r="E341" t="s">
        <v>697</v>
      </c>
      <c r="F341">
        <v>1261.5</v>
      </c>
      <c r="G341">
        <v>1263.5</v>
      </c>
      <c r="H341">
        <v>1260</v>
      </c>
      <c r="I341">
        <v>1262.5</v>
      </c>
      <c r="J341">
        <v>88300</v>
      </c>
    </row>
    <row r="342" spans="4:10">
      <c r="D342" t="s">
        <v>705</v>
      </c>
      <c r="E342" t="s">
        <v>698</v>
      </c>
      <c r="F342">
        <v>1262</v>
      </c>
      <c r="G342">
        <v>1263.5</v>
      </c>
      <c r="H342">
        <v>1261.5</v>
      </c>
      <c r="I342">
        <v>1263</v>
      </c>
      <c r="J342">
        <v>57800</v>
      </c>
    </row>
    <row r="343" spans="4:10">
      <c r="D343" t="s">
        <v>705</v>
      </c>
      <c r="E343" t="s">
        <v>699</v>
      </c>
      <c r="F343">
        <v>1262.5</v>
      </c>
      <c r="G343">
        <v>1264.5</v>
      </c>
      <c r="H343">
        <v>1262.5</v>
      </c>
      <c r="I343">
        <v>1263.5</v>
      </c>
      <c r="J343">
        <v>78400</v>
      </c>
    </row>
    <row r="344" spans="4:10">
      <c r="D344" t="s">
        <v>705</v>
      </c>
      <c r="E344" t="s">
        <v>700</v>
      </c>
      <c r="F344">
        <v>1263.5</v>
      </c>
      <c r="G344">
        <v>1265.5</v>
      </c>
      <c r="H344">
        <v>1263</v>
      </c>
      <c r="I344">
        <v>1264.5</v>
      </c>
      <c r="J344">
        <v>112800</v>
      </c>
    </row>
    <row r="345" spans="4:10">
      <c r="D345" t="s">
        <v>705</v>
      </c>
      <c r="E345" t="s">
        <v>633</v>
      </c>
      <c r="F345">
        <v>1264.5</v>
      </c>
      <c r="G345">
        <v>1264.5</v>
      </c>
      <c r="H345">
        <v>1260</v>
      </c>
      <c r="I345">
        <v>1260.5</v>
      </c>
      <c r="J345">
        <v>125100</v>
      </c>
    </row>
    <row r="346" spans="4:10">
      <c r="D346" t="s">
        <v>705</v>
      </c>
      <c r="E346" t="s">
        <v>634</v>
      </c>
      <c r="F346">
        <v>1260.5</v>
      </c>
      <c r="G346">
        <v>1260.5</v>
      </c>
      <c r="H346">
        <v>1257</v>
      </c>
      <c r="I346">
        <v>1257</v>
      </c>
      <c r="J346">
        <v>415900</v>
      </c>
    </row>
    <row r="347" spans="4:10">
      <c r="D347" t="s">
        <v>705</v>
      </c>
      <c r="E347" t="s">
        <v>635</v>
      </c>
      <c r="F347">
        <v>1258</v>
      </c>
      <c r="G347">
        <v>1258.5</v>
      </c>
      <c r="H347">
        <v>1256.5</v>
      </c>
      <c r="I347">
        <v>1258.5</v>
      </c>
      <c r="J347">
        <v>284000</v>
      </c>
    </row>
    <row r="348" spans="4:10">
      <c r="D348" t="s">
        <v>705</v>
      </c>
      <c r="E348" t="s">
        <v>614</v>
      </c>
      <c r="F348">
        <v>1259</v>
      </c>
      <c r="G348">
        <v>1262</v>
      </c>
      <c r="H348">
        <v>1256.5</v>
      </c>
      <c r="I348">
        <v>1258.5</v>
      </c>
      <c r="J348">
        <v>385600</v>
      </c>
    </row>
    <row r="349" spans="4:10">
      <c r="D349" t="s">
        <v>705</v>
      </c>
      <c r="E349" t="s">
        <v>636</v>
      </c>
      <c r="F349" t="s">
        <v>35</v>
      </c>
      <c r="G349" t="s">
        <v>35</v>
      </c>
      <c r="H349" t="s">
        <v>35</v>
      </c>
      <c r="I349" t="s">
        <v>35</v>
      </c>
      <c r="J349">
        <v>0</v>
      </c>
    </row>
    <row r="350" spans="4:10">
      <c r="D350" t="s">
        <v>705</v>
      </c>
      <c r="E350" t="s">
        <v>637</v>
      </c>
      <c r="F350">
        <v>1259</v>
      </c>
      <c r="G350">
        <v>1259</v>
      </c>
      <c r="H350">
        <v>1259</v>
      </c>
      <c r="I350">
        <v>1259</v>
      </c>
      <c r="J350">
        <v>2042500</v>
      </c>
    </row>
    <row r="351" spans="4:10">
      <c r="D351" t="s">
        <v>706</v>
      </c>
      <c r="E351" t="s">
        <v>639</v>
      </c>
      <c r="F351">
        <v>1250.5</v>
      </c>
      <c r="G351">
        <v>1260</v>
      </c>
      <c r="H351">
        <v>1236.5</v>
      </c>
      <c r="I351">
        <v>1256.5</v>
      </c>
      <c r="J351">
        <v>1471000</v>
      </c>
    </row>
    <row r="352" spans="4:10">
      <c r="D352" t="s">
        <v>706</v>
      </c>
      <c r="E352" t="s">
        <v>640</v>
      </c>
      <c r="F352">
        <v>1257</v>
      </c>
      <c r="G352">
        <v>1260.5</v>
      </c>
      <c r="H352">
        <v>1249</v>
      </c>
      <c r="I352">
        <v>1251</v>
      </c>
      <c r="J352">
        <v>279500</v>
      </c>
    </row>
    <row r="353" spans="4:10">
      <c r="D353" t="s">
        <v>706</v>
      </c>
      <c r="E353" t="s">
        <v>641</v>
      </c>
      <c r="F353">
        <v>1251</v>
      </c>
      <c r="G353">
        <v>1264</v>
      </c>
      <c r="H353">
        <v>1250.5</v>
      </c>
      <c r="I353">
        <v>1264</v>
      </c>
      <c r="J353">
        <v>355100</v>
      </c>
    </row>
    <row r="354" spans="4:10">
      <c r="D354" t="s">
        <v>706</v>
      </c>
      <c r="E354" t="s">
        <v>642</v>
      </c>
      <c r="F354">
        <v>1263</v>
      </c>
      <c r="G354">
        <v>1271.5</v>
      </c>
      <c r="H354">
        <v>1262</v>
      </c>
      <c r="I354">
        <v>1269</v>
      </c>
      <c r="J354">
        <v>386900</v>
      </c>
    </row>
    <row r="355" spans="4:10">
      <c r="D355" t="s">
        <v>706</v>
      </c>
      <c r="E355" t="s">
        <v>643</v>
      </c>
      <c r="F355">
        <v>1269</v>
      </c>
      <c r="G355">
        <v>1269.5</v>
      </c>
      <c r="H355">
        <v>1265.5</v>
      </c>
      <c r="I355">
        <v>1266.5</v>
      </c>
      <c r="J355">
        <v>204300</v>
      </c>
    </row>
    <row r="356" spans="4:10">
      <c r="D356" t="s">
        <v>706</v>
      </c>
      <c r="E356" t="s">
        <v>644</v>
      </c>
      <c r="F356">
        <v>1266.5</v>
      </c>
      <c r="G356">
        <v>1277</v>
      </c>
      <c r="H356">
        <v>1265</v>
      </c>
      <c r="I356">
        <v>1275</v>
      </c>
      <c r="J356">
        <v>482800</v>
      </c>
    </row>
    <row r="357" spans="4:10">
      <c r="D357" t="s">
        <v>706</v>
      </c>
      <c r="E357" t="s">
        <v>645</v>
      </c>
      <c r="F357">
        <v>1275</v>
      </c>
      <c r="G357">
        <v>1285</v>
      </c>
      <c r="H357">
        <v>1272</v>
      </c>
      <c r="I357">
        <v>1277</v>
      </c>
      <c r="J357">
        <v>585300</v>
      </c>
    </row>
    <row r="358" spans="4:10">
      <c r="D358" t="s">
        <v>706</v>
      </c>
      <c r="E358" t="s">
        <v>646</v>
      </c>
      <c r="F358">
        <v>1278</v>
      </c>
      <c r="G358">
        <v>1278.5</v>
      </c>
      <c r="H358">
        <v>1270.5</v>
      </c>
      <c r="I358">
        <v>1271.5</v>
      </c>
      <c r="J358">
        <v>185500</v>
      </c>
    </row>
    <row r="359" spans="4:10">
      <c r="D359" t="s">
        <v>706</v>
      </c>
      <c r="E359" t="s">
        <v>647</v>
      </c>
      <c r="F359">
        <v>1271.5</v>
      </c>
      <c r="G359">
        <v>1272.5</v>
      </c>
      <c r="H359">
        <v>1266.5</v>
      </c>
      <c r="I359">
        <v>1270.5</v>
      </c>
      <c r="J359">
        <v>163000</v>
      </c>
    </row>
    <row r="360" spans="4:10">
      <c r="D360" t="s">
        <v>706</v>
      </c>
      <c r="E360" t="s">
        <v>648</v>
      </c>
      <c r="F360">
        <v>1270</v>
      </c>
      <c r="G360">
        <v>1275.5</v>
      </c>
      <c r="H360">
        <v>1267</v>
      </c>
      <c r="I360">
        <v>1274.5</v>
      </c>
      <c r="J360">
        <v>152400</v>
      </c>
    </row>
    <row r="361" spans="4:10">
      <c r="D361" t="s">
        <v>706</v>
      </c>
      <c r="E361" t="s">
        <v>649</v>
      </c>
      <c r="F361">
        <v>1275</v>
      </c>
      <c r="G361">
        <v>1275</v>
      </c>
      <c r="H361">
        <v>1270</v>
      </c>
      <c r="I361">
        <v>1271</v>
      </c>
      <c r="J361">
        <v>126700</v>
      </c>
    </row>
    <row r="362" spans="4:10">
      <c r="D362" t="s">
        <v>706</v>
      </c>
      <c r="E362" t="s">
        <v>650</v>
      </c>
      <c r="F362">
        <v>1271</v>
      </c>
      <c r="G362">
        <v>1271.5</v>
      </c>
      <c r="H362">
        <v>1268</v>
      </c>
      <c r="I362">
        <v>1269</v>
      </c>
      <c r="J362">
        <v>89600</v>
      </c>
    </row>
    <row r="363" spans="4:10">
      <c r="D363" t="s">
        <v>706</v>
      </c>
      <c r="E363" t="s">
        <v>651</v>
      </c>
      <c r="F363">
        <v>1269.5</v>
      </c>
      <c r="G363">
        <v>1273.5</v>
      </c>
      <c r="H363">
        <v>1268.5</v>
      </c>
      <c r="I363">
        <v>1273.5</v>
      </c>
      <c r="J363">
        <v>116100</v>
      </c>
    </row>
    <row r="364" spans="4:10">
      <c r="D364" t="s">
        <v>706</v>
      </c>
      <c r="E364" t="s">
        <v>652</v>
      </c>
      <c r="F364">
        <v>1273</v>
      </c>
      <c r="G364">
        <v>1273.5</v>
      </c>
      <c r="H364">
        <v>1271</v>
      </c>
      <c r="I364">
        <v>1273</v>
      </c>
      <c r="J364">
        <v>81600</v>
      </c>
    </row>
    <row r="365" spans="4:10">
      <c r="D365" t="s">
        <v>706</v>
      </c>
      <c r="E365" t="s">
        <v>653</v>
      </c>
      <c r="F365">
        <v>1273</v>
      </c>
      <c r="G365">
        <v>1274</v>
      </c>
      <c r="H365">
        <v>1269.5</v>
      </c>
      <c r="I365">
        <v>1273.5</v>
      </c>
      <c r="J365">
        <v>105400</v>
      </c>
    </row>
    <row r="366" spans="4:10">
      <c r="D366" t="s">
        <v>706</v>
      </c>
      <c r="E366" t="s">
        <v>654</v>
      </c>
      <c r="F366">
        <v>1273.5</v>
      </c>
      <c r="G366">
        <v>1274</v>
      </c>
      <c r="H366">
        <v>1270</v>
      </c>
      <c r="I366">
        <v>1270.5</v>
      </c>
      <c r="J366">
        <v>72300</v>
      </c>
    </row>
    <row r="367" spans="4:10">
      <c r="D367" t="s">
        <v>706</v>
      </c>
      <c r="E367" t="s">
        <v>655</v>
      </c>
      <c r="F367">
        <v>1271</v>
      </c>
      <c r="G367">
        <v>1272</v>
      </c>
      <c r="H367">
        <v>1269.5</v>
      </c>
      <c r="I367">
        <v>1271.5</v>
      </c>
      <c r="J367">
        <v>59400</v>
      </c>
    </row>
    <row r="368" spans="4:10">
      <c r="D368" t="s">
        <v>706</v>
      </c>
      <c r="E368" t="s">
        <v>656</v>
      </c>
      <c r="F368">
        <v>1271.5</v>
      </c>
      <c r="G368">
        <v>1272</v>
      </c>
      <c r="H368">
        <v>1269.5</v>
      </c>
      <c r="I368">
        <v>1272</v>
      </c>
      <c r="J368">
        <v>75700</v>
      </c>
    </row>
    <row r="369" spans="4:10">
      <c r="D369" t="s">
        <v>706</v>
      </c>
      <c r="E369" t="s">
        <v>657</v>
      </c>
      <c r="F369">
        <v>1272.5</v>
      </c>
      <c r="G369">
        <v>1276.5</v>
      </c>
      <c r="H369">
        <v>1271</v>
      </c>
      <c r="I369">
        <v>1273.5</v>
      </c>
      <c r="J369">
        <v>141000</v>
      </c>
    </row>
    <row r="370" spans="4:10">
      <c r="D370" t="s">
        <v>706</v>
      </c>
      <c r="E370" t="s">
        <v>658</v>
      </c>
      <c r="F370">
        <v>1273.5</v>
      </c>
      <c r="G370">
        <v>1273.5</v>
      </c>
      <c r="H370">
        <v>1270.5</v>
      </c>
      <c r="I370">
        <v>1273</v>
      </c>
      <c r="J370">
        <v>64600</v>
      </c>
    </row>
    <row r="371" spans="4:10">
      <c r="D371" t="s">
        <v>706</v>
      </c>
      <c r="E371" t="s">
        <v>659</v>
      </c>
      <c r="F371">
        <v>1272.5</v>
      </c>
      <c r="G371">
        <v>1273.5</v>
      </c>
      <c r="H371">
        <v>1270.5</v>
      </c>
      <c r="I371">
        <v>1270.5</v>
      </c>
      <c r="J371">
        <v>74900</v>
      </c>
    </row>
    <row r="372" spans="4:10">
      <c r="D372" t="s">
        <v>706</v>
      </c>
      <c r="E372" t="s">
        <v>660</v>
      </c>
      <c r="F372">
        <v>1270.5</v>
      </c>
      <c r="G372">
        <v>1273</v>
      </c>
      <c r="H372">
        <v>1270</v>
      </c>
      <c r="I372">
        <v>1272</v>
      </c>
      <c r="J372">
        <v>82100</v>
      </c>
    </row>
    <row r="373" spans="4:10">
      <c r="D373" t="s">
        <v>706</v>
      </c>
      <c r="E373" t="s">
        <v>661</v>
      </c>
      <c r="F373">
        <v>1272.5</v>
      </c>
      <c r="G373">
        <v>1275</v>
      </c>
      <c r="H373">
        <v>1272</v>
      </c>
      <c r="I373">
        <v>1273</v>
      </c>
      <c r="J373">
        <v>97900</v>
      </c>
    </row>
    <row r="374" spans="4:10">
      <c r="D374" t="s">
        <v>706</v>
      </c>
      <c r="E374" t="s">
        <v>662</v>
      </c>
      <c r="F374">
        <v>1273.5</v>
      </c>
      <c r="G374">
        <v>1273.5</v>
      </c>
      <c r="H374">
        <v>1271.5</v>
      </c>
      <c r="I374">
        <v>1272.5</v>
      </c>
      <c r="J374">
        <v>72600</v>
      </c>
    </row>
    <row r="375" spans="4:10">
      <c r="D375" t="s">
        <v>706</v>
      </c>
      <c r="E375" t="s">
        <v>663</v>
      </c>
      <c r="F375">
        <v>1272.5</v>
      </c>
      <c r="G375">
        <v>1273.5</v>
      </c>
      <c r="H375">
        <v>1272</v>
      </c>
      <c r="I375">
        <v>1272.5</v>
      </c>
      <c r="J375">
        <v>70400</v>
      </c>
    </row>
    <row r="376" spans="4:10">
      <c r="D376" t="s">
        <v>706</v>
      </c>
      <c r="E376" t="s">
        <v>664</v>
      </c>
      <c r="F376">
        <v>1272.5</v>
      </c>
      <c r="G376">
        <v>1274.5</v>
      </c>
      <c r="H376">
        <v>1271</v>
      </c>
      <c r="I376">
        <v>1272</v>
      </c>
      <c r="J376">
        <v>124600</v>
      </c>
    </row>
    <row r="377" spans="4:10">
      <c r="D377" t="s">
        <v>706</v>
      </c>
      <c r="E377" t="s">
        <v>665</v>
      </c>
      <c r="F377">
        <v>1272</v>
      </c>
      <c r="G377">
        <v>1275.5</v>
      </c>
      <c r="H377">
        <v>1271.5</v>
      </c>
      <c r="I377">
        <v>1274</v>
      </c>
      <c r="J377">
        <v>64000</v>
      </c>
    </row>
    <row r="378" spans="4:10">
      <c r="D378" t="s">
        <v>706</v>
      </c>
      <c r="E378" t="s">
        <v>666</v>
      </c>
      <c r="F378">
        <v>1274</v>
      </c>
      <c r="G378">
        <v>1280.5</v>
      </c>
      <c r="H378">
        <v>1274</v>
      </c>
      <c r="I378">
        <v>1278.5</v>
      </c>
      <c r="J378">
        <v>245300</v>
      </c>
    </row>
    <row r="379" spans="4:10">
      <c r="D379" t="s">
        <v>706</v>
      </c>
      <c r="E379" t="s">
        <v>667</v>
      </c>
      <c r="F379">
        <v>1278.5</v>
      </c>
      <c r="G379">
        <v>1280.5</v>
      </c>
      <c r="H379">
        <v>1278</v>
      </c>
      <c r="I379">
        <v>1280</v>
      </c>
      <c r="J379">
        <v>65600</v>
      </c>
    </row>
    <row r="380" spans="4:10">
      <c r="D380" t="s">
        <v>706</v>
      </c>
      <c r="E380" t="s">
        <v>668</v>
      </c>
      <c r="F380">
        <v>1280.5</v>
      </c>
      <c r="G380">
        <v>1283.5</v>
      </c>
      <c r="H380">
        <v>1279</v>
      </c>
      <c r="I380">
        <v>1283</v>
      </c>
      <c r="J380">
        <v>234300</v>
      </c>
    </row>
    <row r="381" spans="4:10">
      <c r="D381" t="s">
        <v>706</v>
      </c>
      <c r="E381" t="s">
        <v>669</v>
      </c>
      <c r="F381">
        <v>1283</v>
      </c>
      <c r="G381">
        <v>1283</v>
      </c>
      <c r="H381">
        <v>1283</v>
      </c>
      <c r="I381">
        <v>1283</v>
      </c>
      <c r="J381">
        <v>9200</v>
      </c>
    </row>
    <row r="382" spans="4:10">
      <c r="D382" t="s">
        <v>706</v>
      </c>
      <c r="E382" t="s">
        <v>670</v>
      </c>
      <c r="F382">
        <v>1282</v>
      </c>
      <c r="G382">
        <v>1285</v>
      </c>
      <c r="H382">
        <v>1275</v>
      </c>
      <c r="I382">
        <v>1275</v>
      </c>
      <c r="J382">
        <v>496600</v>
      </c>
    </row>
    <row r="383" spans="4:10">
      <c r="D383" t="s">
        <v>706</v>
      </c>
      <c r="E383" t="s">
        <v>671</v>
      </c>
      <c r="F383">
        <v>1275</v>
      </c>
      <c r="G383">
        <v>1275.5</v>
      </c>
      <c r="H383">
        <v>1272.5</v>
      </c>
      <c r="I383">
        <v>1272.5</v>
      </c>
      <c r="J383">
        <v>111000</v>
      </c>
    </row>
    <row r="384" spans="4:10">
      <c r="D384" t="s">
        <v>706</v>
      </c>
      <c r="E384" t="s">
        <v>672</v>
      </c>
      <c r="F384">
        <v>1272.5</v>
      </c>
      <c r="G384">
        <v>1274</v>
      </c>
      <c r="H384">
        <v>1270</v>
      </c>
      <c r="I384">
        <v>1270</v>
      </c>
      <c r="J384">
        <v>153700</v>
      </c>
    </row>
    <row r="385" spans="4:10">
      <c r="D385" t="s">
        <v>706</v>
      </c>
      <c r="E385" t="s">
        <v>673</v>
      </c>
      <c r="F385">
        <v>1270.5</v>
      </c>
      <c r="G385">
        <v>1274.5</v>
      </c>
      <c r="H385">
        <v>1270.5</v>
      </c>
      <c r="I385">
        <v>1274</v>
      </c>
      <c r="J385">
        <v>144400</v>
      </c>
    </row>
    <row r="386" spans="4:10">
      <c r="D386" t="s">
        <v>706</v>
      </c>
      <c r="E386" t="s">
        <v>674</v>
      </c>
      <c r="F386">
        <v>1274</v>
      </c>
      <c r="G386">
        <v>1275</v>
      </c>
      <c r="H386">
        <v>1272</v>
      </c>
      <c r="I386">
        <v>1272.5</v>
      </c>
      <c r="J386">
        <v>91700</v>
      </c>
    </row>
    <row r="387" spans="4:10">
      <c r="D387" t="s">
        <v>706</v>
      </c>
      <c r="E387" t="s">
        <v>675</v>
      </c>
      <c r="F387">
        <v>1272</v>
      </c>
      <c r="G387">
        <v>1273</v>
      </c>
      <c r="H387">
        <v>1270</v>
      </c>
      <c r="I387">
        <v>1272.5</v>
      </c>
      <c r="J387">
        <v>103600</v>
      </c>
    </row>
    <row r="388" spans="4:10">
      <c r="D388" t="s">
        <v>706</v>
      </c>
      <c r="E388" t="s">
        <v>676</v>
      </c>
      <c r="F388">
        <v>1272.5</v>
      </c>
      <c r="G388">
        <v>1273</v>
      </c>
      <c r="H388">
        <v>1270.5</v>
      </c>
      <c r="I388">
        <v>1272.5</v>
      </c>
      <c r="J388">
        <v>61900</v>
      </c>
    </row>
    <row r="389" spans="4:10">
      <c r="D389" t="s">
        <v>706</v>
      </c>
      <c r="E389" t="s">
        <v>677</v>
      </c>
      <c r="F389">
        <v>1272.5</v>
      </c>
      <c r="G389">
        <v>1274</v>
      </c>
      <c r="H389">
        <v>1272</v>
      </c>
      <c r="I389">
        <v>1274</v>
      </c>
      <c r="J389">
        <v>30800</v>
      </c>
    </row>
    <row r="390" spans="4:10">
      <c r="D390" t="s">
        <v>706</v>
      </c>
      <c r="E390" t="s">
        <v>678</v>
      </c>
      <c r="F390">
        <v>1274</v>
      </c>
      <c r="G390">
        <v>1274</v>
      </c>
      <c r="H390">
        <v>1271</v>
      </c>
      <c r="I390">
        <v>1272.5</v>
      </c>
      <c r="J390">
        <v>63800</v>
      </c>
    </row>
    <row r="391" spans="4:10">
      <c r="D391" t="s">
        <v>706</v>
      </c>
      <c r="E391" t="s">
        <v>679</v>
      </c>
      <c r="F391">
        <v>1272.5</v>
      </c>
      <c r="G391">
        <v>1277</v>
      </c>
      <c r="H391">
        <v>1272</v>
      </c>
      <c r="I391">
        <v>1275.5</v>
      </c>
      <c r="J391">
        <v>158400</v>
      </c>
    </row>
    <row r="392" spans="4:10">
      <c r="D392" t="s">
        <v>706</v>
      </c>
      <c r="E392" t="s">
        <v>680</v>
      </c>
      <c r="F392">
        <v>1275.5</v>
      </c>
      <c r="G392">
        <v>1278</v>
      </c>
      <c r="H392">
        <v>1275</v>
      </c>
      <c r="I392">
        <v>1275.5</v>
      </c>
      <c r="J392">
        <v>104300</v>
      </c>
    </row>
    <row r="393" spans="4:10">
      <c r="D393" t="s">
        <v>706</v>
      </c>
      <c r="E393" t="s">
        <v>681</v>
      </c>
      <c r="F393">
        <v>1275.5</v>
      </c>
      <c r="G393">
        <v>1277.5</v>
      </c>
      <c r="H393">
        <v>1275</v>
      </c>
      <c r="I393">
        <v>1277</v>
      </c>
      <c r="J393">
        <v>100700</v>
      </c>
    </row>
    <row r="394" spans="4:10">
      <c r="D394" t="s">
        <v>706</v>
      </c>
      <c r="E394" t="s">
        <v>682</v>
      </c>
      <c r="F394">
        <v>1277.5</v>
      </c>
      <c r="G394">
        <v>1281.5</v>
      </c>
      <c r="H394">
        <v>1276.5</v>
      </c>
      <c r="I394">
        <v>1276.5</v>
      </c>
      <c r="J394">
        <v>250800</v>
      </c>
    </row>
    <row r="395" spans="4:10">
      <c r="D395" t="s">
        <v>706</v>
      </c>
      <c r="E395" t="s">
        <v>683</v>
      </c>
      <c r="F395">
        <v>1277</v>
      </c>
      <c r="G395">
        <v>1278</v>
      </c>
      <c r="H395">
        <v>1274</v>
      </c>
      <c r="I395">
        <v>1276</v>
      </c>
      <c r="J395">
        <v>97400</v>
      </c>
    </row>
    <row r="396" spans="4:10">
      <c r="D396" t="s">
        <v>706</v>
      </c>
      <c r="E396" t="s">
        <v>684</v>
      </c>
      <c r="F396">
        <v>1276.5</v>
      </c>
      <c r="G396">
        <v>1276.5</v>
      </c>
      <c r="H396">
        <v>1273</v>
      </c>
      <c r="I396">
        <v>1274</v>
      </c>
      <c r="J396">
        <v>61800</v>
      </c>
    </row>
    <row r="397" spans="4:10">
      <c r="D397" t="s">
        <v>706</v>
      </c>
      <c r="E397" t="s">
        <v>685</v>
      </c>
      <c r="F397">
        <v>1274.5</v>
      </c>
      <c r="G397">
        <v>1275</v>
      </c>
      <c r="H397">
        <v>1272.5</v>
      </c>
      <c r="I397">
        <v>1273</v>
      </c>
      <c r="J397">
        <v>59000</v>
      </c>
    </row>
    <row r="398" spans="4:10">
      <c r="D398" t="s">
        <v>706</v>
      </c>
      <c r="E398" t="s">
        <v>686</v>
      </c>
      <c r="F398">
        <v>1273.5</v>
      </c>
      <c r="G398">
        <v>1273.5</v>
      </c>
      <c r="H398">
        <v>1270.5</v>
      </c>
      <c r="I398">
        <v>1271.5</v>
      </c>
      <c r="J398">
        <v>76200</v>
      </c>
    </row>
    <row r="399" spans="4:10">
      <c r="D399" t="s">
        <v>706</v>
      </c>
      <c r="E399" t="s">
        <v>687</v>
      </c>
      <c r="F399">
        <v>1271.5</v>
      </c>
      <c r="G399">
        <v>1273</v>
      </c>
      <c r="H399">
        <v>1271.5</v>
      </c>
      <c r="I399">
        <v>1272.5</v>
      </c>
      <c r="J399">
        <v>42600</v>
      </c>
    </row>
    <row r="400" spans="4:10">
      <c r="D400" t="s">
        <v>706</v>
      </c>
      <c r="E400" t="s">
        <v>688</v>
      </c>
      <c r="F400">
        <v>1273</v>
      </c>
      <c r="G400">
        <v>1273.5</v>
      </c>
      <c r="H400">
        <v>1271.5</v>
      </c>
      <c r="I400">
        <v>1271.5</v>
      </c>
      <c r="J400">
        <v>55500</v>
      </c>
    </row>
    <row r="401" spans="4:10">
      <c r="D401" t="s">
        <v>706</v>
      </c>
      <c r="E401" t="s">
        <v>689</v>
      </c>
      <c r="F401">
        <v>1271.5</v>
      </c>
      <c r="G401">
        <v>1274.5</v>
      </c>
      <c r="H401">
        <v>1271.5</v>
      </c>
      <c r="I401">
        <v>1274</v>
      </c>
      <c r="J401">
        <v>46100</v>
      </c>
    </row>
    <row r="402" spans="4:10">
      <c r="D402" t="s">
        <v>706</v>
      </c>
      <c r="E402" t="s">
        <v>690</v>
      </c>
      <c r="F402">
        <v>1274.5</v>
      </c>
      <c r="G402">
        <v>1275</v>
      </c>
      <c r="H402">
        <v>1273</v>
      </c>
      <c r="I402">
        <v>1273</v>
      </c>
      <c r="J402">
        <v>74800</v>
      </c>
    </row>
    <row r="403" spans="4:10">
      <c r="D403" t="s">
        <v>706</v>
      </c>
      <c r="E403" t="s">
        <v>691</v>
      </c>
      <c r="F403">
        <v>1273.5</v>
      </c>
      <c r="G403">
        <v>1273.5</v>
      </c>
      <c r="H403">
        <v>1272</v>
      </c>
      <c r="I403">
        <v>1272.5</v>
      </c>
      <c r="J403">
        <v>29100</v>
      </c>
    </row>
    <row r="404" spans="4:10">
      <c r="D404" t="s">
        <v>706</v>
      </c>
      <c r="E404" t="s">
        <v>692</v>
      </c>
      <c r="F404">
        <v>1272.5</v>
      </c>
      <c r="G404">
        <v>1273.5</v>
      </c>
      <c r="H404">
        <v>1271.5</v>
      </c>
      <c r="I404">
        <v>1272.5</v>
      </c>
      <c r="J404">
        <v>81200</v>
      </c>
    </row>
    <row r="405" spans="4:10">
      <c r="D405" t="s">
        <v>706</v>
      </c>
      <c r="E405" t="s">
        <v>693</v>
      </c>
      <c r="F405">
        <v>1273</v>
      </c>
      <c r="G405">
        <v>1275</v>
      </c>
      <c r="H405">
        <v>1272.5</v>
      </c>
      <c r="I405">
        <v>1275</v>
      </c>
      <c r="J405">
        <v>41400</v>
      </c>
    </row>
    <row r="406" spans="4:10">
      <c r="D406" t="s">
        <v>706</v>
      </c>
      <c r="E406" t="s">
        <v>694</v>
      </c>
      <c r="F406">
        <v>1274.5</v>
      </c>
      <c r="G406">
        <v>1275</v>
      </c>
      <c r="H406">
        <v>1272.5</v>
      </c>
      <c r="I406">
        <v>1273</v>
      </c>
      <c r="J406">
        <v>70300</v>
      </c>
    </row>
    <row r="407" spans="4:10">
      <c r="D407" t="s">
        <v>706</v>
      </c>
      <c r="E407" t="s">
        <v>695</v>
      </c>
      <c r="F407">
        <v>1273</v>
      </c>
      <c r="G407">
        <v>1274</v>
      </c>
      <c r="H407">
        <v>1273</v>
      </c>
      <c r="I407">
        <v>1273.5</v>
      </c>
      <c r="J407">
        <v>32900</v>
      </c>
    </row>
    <row r="408" spans="4:10">
      <c r="D408" t="s">
        <v>706</v>
      </c>
      <c r="E408" t="s">
        <v>696</v>
      </c>
      <c r="F408">
        <v>1273.5</v>
      </c>
      <c r="G408">
        <v>1274</v>
      </c>
      <c r="H408">
        <v>1272</v>
      </c>
      <c r="I408">
        <v>1273.5</v>
      </c>
      <c r="J408">
        <v>62100</v>
      </c>
    </row>
    <row r="409" spans="4:10">
      <c r="D409" t="s">
        <v>706</v>
      </c>
      <c r="E409" t="s">
        <v>697</v>
      </c>
      <c r="F409">
        <v>1272.5</v>
      </c>
      <c r="G409">
        <v>1273</v>
      </c>
      <c r="H409">
        <v>1271.5</v>
      </c>
      <c r="I409">
        <v>1273</v>
      </c>
      <c r="J409">
        <v>73200</v>
      </c>
    </row>
    <row r="410" spans="4:10">
      <c r="D410" t="s">
        <v>706</v>
      </c>
      <c r="E410" t="s">
        <v>698</v>
      </c>
      <c r="F410">
        <v>1273</v>
      </c>
      <c r="G410">
        <v>1273</v>
      </c>
      <c r="H410">
        <v>1271.5</v>
      </c>
      <c r="I410">
        <v>1273</v>
      </c>
      <c r="J410">
        <v>68700</v>
      </c>
    </row>
    <row r="411" spans="4:10">
      <c r="D411" t="s">
        <v>706</v>
      </c>
      <c r="E411" t="s">
        <v>699</v>
      </c>
      <c r="F411">
        <v>1272</v>
      </c>
      <c r="G411">
        <v>1272.5</v>
      </c>
      <c r="H411">
        <v>1270.5</v>
      </c>
      <c r="I411">
        <v>1270.5</v>
      </c>
      <c r="J411">
        <v>121800</v>
      </c>
    </row>
    <row r="412" spans="4:10">
      <c r="D412" t="s">
        <v>706</v>
      </c>
      <c r="E412" t="s">
        <v>700</v>
      </c>
      <c r="F412">
        <v>1271</v>
      </c>
      <c r="G412">
        <v>1272.5</v>
      </c>
      <c r="H412">
        <v>1271</v>
      </c>
      <c r="I412">
        <v>1272</v>
      </c>
      <c r="J412">
        <v>66500</v>
      </c>
    </row>
    <row r="413" spans="4:10">
      <c r="D413" t="s">
        <v>706</v>
      </c>
      <c r="E413" t="s">
        <v>633</v>
      </c>
      <c r="F413">
        <v>1272</v>
      </c>
      <c r="G413">
        <v>1272</v>
      </c>
      <c r="H413">
        <v>1269.5</v>
      </c>
      <c r="I413">
        <v>1270</v>
      </c>
      <c r="J413">
        <v>103200</v>
      </c>
    </row>
    <row r="414" spans="4:10">
      <c r="D414" t="s">
        <v>706</v>
      </c>
      <c r="E414" t="s">
        <v>634</v>
      </c>
      <c r="F414">
        <v>1270</v>
      </c>
      <c r="G414">
        <v>1273.5</v>
      </c>
      <c r="H414">
        <v>1269.5</v>
      </c>
      <c r="I414">
        <v>1273</v>
      </c>
      <c r="J414">
        <v>128400</v>
      </c>
    </row>
    <row r="415" spans="4:10">
      <c r="D415" t="s">
        <v>706</v>
      </c>
      <c r="E415" t="s">
        <v>635</v>
      </c>
      <c r="F415">
        <v>1273.5</v>
      </c>
      <c r="G415">
        <v>1274</v>
      </c>
      <c r="H415">
        <v>1271</v>
      </c>
      <c r="I415">
        <v>1271</v>
      </c>
      <c r="J415">
        <v>123000</v>
      </c>
    </row>
    <row r="416" spans="4:10">
      <c r="D416" t="s">
        <v>706</v>
      </c>
      <c r="E416" t="s">
        <v>614</v>
      </c>
      <c r="F416">
        <v>1271</v>
      </c>
      <c r="G416">
        <v>1273</v>
      </c>
      <c r="H416">
        <v>1270.5</v>
      </c>
      <c r="I416">
        <v>1273</v>
      </c>
      <c r="J416">
        <v>154500</v>
      </c>
    </row>
    <row r="417" spans="4:10">
      <c r="D417" t="s">
        <v>706</v>
      </c>
      <c r="E417" t="s">
        <v>636</v>
      </c>
      <c r="F417" t="s">
        <v>35</v>
      </c>
      <c r="G417" t="s">
        <v>35</v>
      </c>
      <c r="H417" t="s">
        <v>35</v>
      </c>
      <c r="I417" t="s">
        <v>35</v>
      </c>
      <c r="J417">
        <v>0</v>
      </c>
    </row>
    <row r="418" spans="4:10">
      <c r="D418" t="s">
        <v>706</v>
      </c>
      <c r="E418" t="s">
        <v>637</v>
      </c>
      <c r="F418">
        <v>1274</v>
      </c>
      <c r="G418">
        <v>1274</v>
      </c>
      <c r="H418">
        <v>1274</v>
      </c>
      <c r="I418">
        <v>1274</v>
      </c>
      <c r="J418">
        <v>1467500</v>
      </c>
    </row>
    <row r="419" spans="4:10">
      <c r="D419" t="s">
        <v>707</v>
      </c>
      <c r="E419" t="s">
        <v>639</v>
      </c>
      <c r="F419">
        <v>1298</v>
      </c>
      <c r="G419">
        <v>1306</v>
      </c>
      <c r="H419">
        <v>1289.5</v>
      </c>
      <c r="I419">
        <v>1304</v>
      </c>
      <c r="J419">
        <v>1539900</v>
      </c>
    </row>
    <row r="420" spans="4:10">
      <c r="D420" t="s">
        <v>707</v>
      </c>
      <c r="E420" t="s">
        <v>640</v>
      </c>
      <c r="F420">
        <v>1305</v>
      </c>
      <c r="G420">
        <v>1312.5</v>
      </c>
      <c r="H420">
        <v>1298.5</v>
      </c>
      <c r="I420">
        <v>1301.5</v>
      </c>
      <c r="J420">
        <v>901600</v>
      </c>
    </row>
    <row r="421" spans="4:10">
      <c r="D421" t="s">
        <v>707</v>
      </c>
      <c r="E421" t="s">
        <v>641</v>
      </c>
      <c r="F421">
        <v>1301.5</v>
      </c>
      <c r="G421">
        <v>1305</v>
      </c>
      <c r="H421">
        <v>1295.5</v>
      </c>
      <c r="I421">
        <v>1297.5</v>
      </c>
      <c r="J421">
        <v>466600</v>
      </c>
    </row>
    <row r="422" spans="4:10">
      <c r="D422" t="s">
        <v>707</v>
      </c>
      <c r="E422" t="s">
        <v>642</v>
      </c>
      <c r="F422">
        <v>1297.5</v>
      </c>
      <c r="G422">
        <v>1315</v>
      </c>
      <c r="H422">
        <v>1295</v>
      </c>
      <c r="I422">
        <v>1314.5</v>
      </c>
      <c r="J422">
        <v>583600</v>
      </c>
    </row>
    <row r="423" spans="4:10">
      <c r="D423" t="s">
        <v>707</v>
      </c>
      <c r="E423" t="s">
        <v>643</v>
      </c>
      <c r="F423">
        <v>1314.5</v>
      </c>
      <c r="G423">
        <v>1320.5</v>
      </c>
      <c r="H423">
        <v>1313</v>
      </c>
      <c r="I423">
        <v>1315</v>
      </c>
      <c r="J423">
        <v>785500</v>
      </c>
    </row>
    <row r="424" spans="4:10">
      <c r="D424" t="s">
        <v>707</v>
      </c>
      <c r="E424" t="s">
        <v>644</v>
      </c>
      <c r="F424">
        <v>1315.5</v>
      </c>
      <c r="G424">
        <v>1318</v>
      </c>
      <c r="H424">
        <v>1306.5</v>
      </c>
      <c r="I424">
        <v>1308</v>
      </c>
      <c r="J424">
        <v>417700</v>
      </c>
    </row>
    <row r="425" spans="4:10">
      <c r="D425" t="s">
        <v>707</v>
      </c>
      <c r="E425" t="s">
        <v>645</v>
      </c>
      <c r="F425">
        <v>1309</v>
      </c>
      <c r="G425">
        <v>1313.5</v>
      </c>
      <c r="H425">
        <v>1303</v>
      </c>
      <c r="I425">
        <v>1304</v>
      </c>
      <c r="J425">
        <v>193900</v>
      </c>
    </row>
    <row r="426" spans="4:10">
      <c r="D426" t="s">
        <v>707</v>
      </c>
      <c r="E426" t="s">
        <v>646</v>
      </c>
      <c r="F426">
        <v>1304.5</v>
      </c>
      <c r="G426">
        <v>1304.5</v>
      </c>
      <c r="H426">
        <v>1295</v>
      </c>
      <c r="I426">
        <v>1295.5</v>
      </c>
      <c r="J426">
        <v>253900</v>
      </c>
    </row>
    <row r="427" spans="4:10">
      <c r="D427" t="s">
        <v>707</v>
      </c>
      <c r="E427" t="s">
        <v>647</v>
      </c>
      <c r="F427">
        <v>1295</v>
      </c>
      <c r="G427">
        <v>1296</v>
      </c>
      <c r="H427">
        <v>1290.5</v>
      </c>
      <c r="I427">
        <v>1293.5</v>
      </c>
      <c r="J427">
        <v>259000</v>
      </c>
    </row>
    <row r="428" spans="4:10">
      <c r="D428" t="s">
        <v>707</v>
      </c>
      <c r="E428" t="s">
        <v>648</v>
      </c>
      <c r="F428">
        <v>1293.5</v>
      </c>
      <c r="G428">
        <v>1300</v>
      </c>
      <c r="H428">
        <v>1289.5</v>
      </c>
      <c r="I428">
        <v>1297</v>
      </c>
      <c r="J428">
        <v>414100</v>
      </c>
    </row>
    <row r="429" spans="4:10">
      <c r="D429" t="s">
        <v>707</v>
      </c>
      <c r="E429" t="s">
        <v>649</v>
      </c>
      <c r="F429">
        <v>1297</v>
      </c>
      <c r="G429">
        <v>1299.5</v>
      </c>
      <c r="H429">
        <v>1293.5</v>
      </c>
      <c r="I429">
        <v>1295</v>
      </c>
      <c r="J429">
        <v>176500</v>
      </c>
    </row>
    <row r="430" spans="4:10">
      <c r="D430" t="s">
        <v>707</v>
      </c>
      <c r="E430" t="s">
        <v>650</v>
      </c>
      <c r="F430">
        <v>1294.5</v>
      </c>
      <c r="G430">
        <v>1295.5</v>
      </c>
      <c r="H430">
        <v>1292.5</v>
      </c>
      <c r="I430">
        <v>1294</v>
      </c>
      <c r="J430">
        <v>141600</v>
      </c>
    </row>
    <row r="431" spans="4:10">
      <c r="D431" t="s">
        <v>707</v>
      </c>
      <c r="E431" t="s">
        <v>651</v>
      </c>
      <c r="F431">
        <v>1293.5</v>
      </c>
      <c r="G431">
        <v>1299.5</v>
      </c>
      <c r="H431">
        <v>1293</v>
      </c>
      <c r="I431">
        <v>1299</v>
      </c>
      <c r="J431">
        <v>158600</v>
      </c>
    </row>
    <row r="432" spans="4:10">
      <c r="D432" t="s">
        <v>707</v>
      </c>
      <c r="E432" t="s">
        <v>652</v>
      </c>
      <c r="F432">
        <v>1299.5</v>
      </c>
      <c r="G432">
        <v>1301</v>
      </c>
      <c r="H432">
        <v>1294.5</v>
      </c>
      <c r="I432">
        <v>1294.5</v>
      </c>
      <c r="J432">
        <v>187900</v>
      </c>
    </row>
    <row r="433" spans="4:10">
      <c r="D433" t="s">
        <v>707</v>
      </c>
      <c r="E433" t="s">
        <v>653</v>
      </c>
      <c r="F433">
        <v>1295</v>
      </c>
      <c r="G433">
        <v>1302.5</v>
      </c>
      <c r="H433">
        <v>1294.5</v>
      </c>
      <c r="I433">
        <v>1301.5</v>
      </c>
      <c r="J433">
        <v>144600</v>
      </c>
    </row>
    <row r="434" spans="4:10">
      <c r="D434" t="s">
        <v>707</v>
      </c>
      <c r="E434" t="s">
        <v>654</v>
      </c>
      <c r="F434">
        <v>1302.5</v>
      </c>
      <c r="G434">
        <v>1306.5</v>
      </c>
      <c r="H434">
        <v>1300.5</v>
      </c>
      <c r="I434">
        <v>1304.5</v>
      </c>
      <c r="J434">
        <v>220200</v>
      </c>
    </row>
    <row r="435" spans="4:10">
      <c r="D435" t="s">
        <v>707</v>
      </c>
      <c r="E435" t="s">
        <v>655</v>
      </c>
      <c r="F435">
        <v>1304</v>
      </c>
      <c r="G435">
        <v>1304.5</v>
      </c>
      <c r="H435">
        <v>1300.5</v>
      </c>
      <c r="I435">
        <v>1301.5</v>
      </c>
      <c r="J435">
        <v>202200</v>
      </c>
    </row>
    <row r="436" spans="4:10">
      <c r="D436" t="s">
        <v>707</v>
      </c>
      <c r="E436" t="s">
        <v>656</v>
      </c>
      <c r="F436">
        <v>1301.5</v>
      </c>
      <c r="G436">
        <v>1304</v>
      </c>
      <c r="H436">
        <v>1300</v>
      </c>
      <c r="I436">
        <v>1303.5</v>
      </c>
      <c r="J436">
        <v>118500</v>
      </c>
    </row>
    <row r="437" spans="4:10">
      <c r="D437" t="s">
        <v>707</v>
      </c>
      <c r="E437" t="s">
        <v>657</v>
      </c>
      <c r="F437">
        <v>1303.5</v>
      </c>
      <c r="G437">
        <v>1306.5</v>
      </c>
      <c r="H437">
        <v>1302.5</v>
      </c>
      <c r="I437">
        <v>1305</v>
      </c>
      <c r="J437">
        <v>174500</v>
      </c>
    </row>
    <row r="438" spans="4:10">
      <c r="D438" t="s">
        <v>707</v>
      </c>
      <c r="E438" t="s">
        <v>658</v>
      </c>
      <c r="F438">
        <v>1304.5</v>
      </c>
      <c r="G438">
        <v>1307</v>
      </c>
      <c r="H438">
        <v>1303</v>
      </c>
      <c r="I438">
        <v>1306.5</v>
      </c>
      <c r="J438">
        <v>91200</v>
      </c>
    </row>
    <row r="439" spans="4:10">
      <c r="D439" t="s">
        <v>707</v>
      </c>
      <c r="E439" t="s">
        <v>659</v>
      </c>
      <c r="F439">
        <v>1306.5</v>
      </c>
      <c r="G439">
        <v>1307</v>
      </c>
      <c r="H439">
        <v>1303.5</v>
      </c>
      <c r="I439">
        <v>1306</v>
      </c>
      <c r="J439">
        <v>148900</v>
      </c>
    </row>
    <row r="440" spans="4:10">
      <c r="D440" t="s">
        <v>707</v>
      </c>
      <c r="E440" t="s">
        <v>660</v>
      </c>
      <c r="F440">
        <v>1306</v>
      </c>
      <c r="G440">
        <v>1306</v>
      </c>
      <c r="H440">
        <v>1304.5</v>
      </c>
      <c r="I440">
        <v>1304.5</v>
      </c>
      <c r="J440">
        <v>75700</v>
      </c>
    </row>
    <row r="441" spans="4:10">
      <c r="D441" t="s">
        <v>707</v>
      </c>
      <c r="E441" t="s">
        <v>661</v>
      </c>
      <c r="F441">
        <v>1305</v>
      </c>
      <c r="G441">
        <v>1305.5</v>
      </c>
      <c r="H441">
        <v>1303.5</v>
      </c>
      <c r="I441">
        <v>1305.5</v>
      </c>
      <c r="J441">
        <v>95500</v>
      </c>
    </row>
    <row r="442" spans="4:10">
      <c r="D442" t="s">
        <v>707</v>
      </c>
      <c r="E442" t="s">
        <v>662</v>
      </c>
      <c r="F442">
        <v>1305.5</v>
      </c>
      <c r="G442">
        <v>1305.5</v>
      </c>
      <c r="H442">
        <v>1299.5</v>
      </c>
      <c r="I442">
        <v>1300</v>
      </c>
      <c r="J442">
        <v>140400</v>
      </c>
    </row>
    <row r="443" spans="4:10">
      <c r="D443" t="s">
        <v>707</v>
      </c>
      <c r="E443" t="s">
        <v>663</v>
      </c>
      <c r="F443">
        <v>1300</v>
      </c>
      <c r="G443">
        <v>1300</v>
      </c>
      <c r="H443">
        <v>1297</v>
      </c>
      <c r="I443">
        <v>1300</v>
      </c>
      <c r="J443">
        <v>135200</v>
      </c>
    </row>
    <row r="444" spans="4:10">
      <c r="D444" t="s">
        <v>707</v>
      </c>
      <c r="E444" t="s">
        <v>664</v>
      </c>
      <c r="F444">
        <v>1300.5</v>
      </c>
      <c r="G444">
        <v>1300.5</v>
      </c>
      <c r="H444">
        <v>1298</v>
      </c>
      <c r="I444">
        <v>1298.5</v>
      </c>
      <c r="J444">
        <v>116900</v>
      </c>
    </row>
    <row r="445" spans="4:10">
      <c r="D445" t="s">
        <v>707</v>
      </c>
      <c r="E445" t="s">
        <v>665</v>
      </c>
      <c r="F445">
        <v>1298.5</v>
      </c>
      <c r="G445">
        <v>1298.5</v>
      </c>
      <c r="H445">
        <v>1295.5</v>
      </c>
      <c r="I445">
        <v>1296.5</v>
      </c>
      <c r="J445">
        <v>163000</v>
      </c>
    </row>
    <row r="446" spans="4:10">
      <c r="D446" t="s">
        <v>707</v>
      </c>
      <c r="E446" t="s">
        <v>666</v>
      </c>
      <c r="F446">
        <v>1297</v>
      </c>
      <c r="G446">
        <v>1300</v>
      </c>
      <c r="H446">
        <v>1297</v>
      </c>
      <c r="I446">
        <v>1300</v>
      </c>
      <c r="J446">
        <v>236900</v>
      </c>
    </row>
    <row r="447" spans="4:10">
      <c r="D447" t="s">
        <v>707</v>
      </c>
      <c r="E447" t="s">
        <v>667</v>
      </c>
      <c r="F447">
        <v>1300</v>
      </c>
      <c r="G447">
        <v>1300</v>
      </c>
      <c r="H447">
        <v>1290.5</v>
      </c>
      <c r="I447">
        <v>1291</v>
      </c>
      <c r="J447">
        <v>147600</v>
      </c>
    </row>
    <row r="448" spans="4:10">
      <c r="D448" t="s">
        <v>707</v>
      </c>
      <c r="E448" t="s">
        <v>668</v>
      </c>
      <c r="F448">
        <v>1291</v>
      </c>
      <c r="G448">
        <v>1291</v>
      </c>
      <c r="H448">
        <v>1284</v>
      </c>
      <c r="I448">
        <v>1287.5</v>
      </c>
      <c r="J448">
        <v>365000</v>
      </c>
    </row>
    <row r="449" spans="4:10">
      <c r="D449" t="s">
        <v>707</v>
      </c>
      <c r="E449" t="s">
        <v>669</v>
      </c>
      <c r="F449">
        <v>1287.5</v>
      </c>
      <c r="G449">
        <v>1287.5</v>
      </c>
      <c r="H449">
        <v>1287.5</v>
      </c>
      <c r="I449">
        <v>1287.5</v>
      </c>
      <c r="J449">
        <v>7300</v>
      </c>
    </row>
    <row r="450" spans="4:10">
      <c r="D450" t="s">
        <v>707</v>
      </c>
      <c r="E450" t="s">
        <v>670</v>
      </c>
      <c r="F450">
        <v>1288</v>
      </c>
      <c r="G450">
        <v>1311.5</v>
      </c>
      <c r="H450">
        <v>1287.5</v>
      </c>
      <c r="I450">
        <v>1304.5</v>
      </c>
      <c r="J450">
        <v>940600</v>
      </c>
    </row>
    <row r="451" spans="4:10">
      <c r="D451" t="s">
        <v>707</v>
      </c>
      <c r="E451" t="s">
        <v>671</v>
      </c>
      <c r="F451">
        <v>1304.5</v>
      </c>
      <c r="G451">
        <v>1307</v>
      </c>
      <c r="H451">
        <v>1299.5</v>
      </c>
      <c r="I451">
        <v>1302</v>
      </c>
      <c r="J451">
        <v>242100</v>
      </c>
    </row>
    <row r="452" spans="4:10">
      <c r="D452" t="s">
        <v>707</v>
      </c>
      <c r="E452" t="s">
        <v>672</v>
      </c>
      <c r="F452">
        <v>1302</v>
      </c>
      <c r="G452">
        <v>1313</v>
      </c>
      <c r="H452">
        <v>1301.5</v>
      </c>
      <c r="I452">
        <v>1312.5</v>
      </c>
      <c r="J452">
        <v>334200</v>
      </c>
    </row>
    <row r="453" spans="4:10">
      <c r="D453" t="s">
        <v>707</v>
      </c>
      <c r="E453" t="s">
        <v>673</v>
      </c>
      <c r="F453">
        <v>1313</v>
      </c>
      <c r="G453">
        <v>1315</v>
      </c>
      <c r="H453">
        <v>1309.5</v>
      </c>
      <c r="I453">
        <v>1313</v>
      </c>
      <c r="J453">
        <v>328200</v>
      </c>
    </row>
    <row r="454" spans="4:10">
      <c r="D454" t="s">
        <v>707</v>
      </c>
      <c r="E454" t="s">
        <v>674</v>
      </c>
      <c r="F454">
        <v>1313</v>
      </c>
      <c r="G454">
        <v>1316.5</v>
      </c>
      <c r="H454">
        <v>1312.5</v>
      </c>
      <c r="I454">
        <v>1316.5</v>
      </c>
      <c r="J454">
        <v>185500</v>
      </c>
    </row>
    <row r="455" spans="4:10">
      <c r="D455" t="s">
        <v>707</v>
      </c>
      <c r="E455" t="s">
        <v>675</v>
      </c>
      <c r="F455">
        <v>1316.5</v>
      </c>
      <c r="G455">
        <v>1317</v>
      </c>
      <c r="H455">
        <v>1315</v>
      </c>
      <c r="I455">
        <v>1315.5</v>
      </c>
      <c r="J455">
        <v>137800</v>
      </c>
    </row>
    <row r="456" spans="4:10">
      <c r="D456" t="s">
        <v>707</v>
      </c>
      <c r="E456" t="s">
        <v>676</v>
      </c>
      <c r="F456">
        <v>1315.5</v>
      </c>
      <c r="G456">
        <v>1319.5</v>
      </c>
      <c r="H456">
        <v>1315</v>
      </c>
      <c r="I456">
        <v>1317.5</v>
      </c>
      <c r="J456">
        <v>261300</v>
      </c>
    </row>
    <row r="457" spans="4:10">
      <c r="D457" t="s">
        <v>707</v>
      </c>
      <c r="E457" t="s">
        <v>677</v>
      </c>
      <c r="F457">
        <v>1317.5</v>
      </c>
      <c r="G457">
        <v>1318</v>
      </c>
      <c r="H457">
        <v>1311</v>
      </c>
      <c r="I457">
        <v>1312.5</v>
      </c>
      <c r="J457">
        <v>166100</v>
      </c>
    </row>
    <row r="458" spans="4:10">
      <c r="D458" t="s">
        <v>707</v>
      </c>
      <c r="E458" t="s">
        <v>678</v>
      </c>
      <c r="F458">
        <v>1312.5</v>
      </c>
      <c r="G458">
        <v>1314.5</v>
      </c>
      <c r="H458">
        <v>1312</v>
      </c>
      <c r="I458">
        <v>1312.5</v>
      </c>
      <c r="J458">
        <v>84300</v>
      </c>
    </row>
    <row r="459" spans="4:10">
      <c r="D459" t="s">
        <v>707</v>
      </c>
      <c r="E459" t="s">
        <v>679</v>
      </c>
      <c r="F459">
        <v>1313</v>
      </c>
      <c r="G459">
        <v>1314.5</v>
      </c>
      <c r="H459">
        <v>1313</v>
      </c>
      <c r="I459">
        <v>1313</v>
      </c>
      <c r="J459">
        <v>68800</v>
      </c>
    </row>
    <row r="460" spans="4:10">
      <c r="D460" t="s">
        <v>707</v>
      </c>
      <c r="E460" t="s">
        <v>680</v>
      </c>
      <c r="F460">
        <v>1313.5</v>
      </c>
      <c r="G460">
        <v>1314.5</v>
      </c>
      <c r="H460">
        <v>1308.5</v>
      </c>
      <c r="I460">
        <v>1309</v>
      </c>
      <c r="J460">
        <v>143500</v>
      </c>
    </row>
    <row r="461" spans="4:10">
      <c r="D461" t="s">
        <v>707</v>
      </c>
      <c r="E461" t="s">
        <v>681</v>
      </c>
      <c r="F461">
        <v>1308.5</v>
      </c>
      <c r="G461">
        <v>1310.5</v>
      </c>
      <c r="H461">
        <v>1303</v>
      </c>
      <c r="I461">
        <v>1307</v>
      </c>
      <c r="J461">
        <v>262400</v>
      </c>
    </row>
    <row r="462" spans="4:10">
      <c r="D462" t="s">
        <v>707</v>
      </c>
      <c r="E462" t="s">
        <v>682</v>
      </c>
      <c r="F462">
        <v>1307</v>
      </c>
      <c r="G462">
        <v>1308.5</v>
      </c>
      <c r="H462">
        <v>1305.5</v>
      </c>
      <c r="I462">
        <v>1306.5</v>
      </c>
      <c r="J462">
        <v>125500</v>
      </c>
    </row>
    <row r="463" spans="4:10">
      <c r="D463" t="s">
        <v>707</v>
      </c>
      <c r="E463" t="s">
        <v>683</v>
      </c>
      <c r="F463">
        <v>1306</v>
      </c>
      <c r="G463">
        <v>1310.5</v>
      </c>
      <c r="H463">
        <v>1306</v>
      </c>
      <c r="I463">
        <v>1310.5</v>
      </c>
      <c r="J463">
        <v>78700</v>
      </c>
    </row>
    <row r="464" spans="4:10">
      <c r="D464" t="s">
        <v>707</v>
      </c>
      <c r="E464" t="s">
        <v>684</v>
      </c>
      <c r="F464">
        <v>1310</v>
      </c>
      <c r="G464">
        <v>1310.5</v>
      </c>
      <c r="H464">
        <v>1308</v>
      </c>
      <c r="I464">
        <v>1308.5</v>
      </c>
      <c r="J464">
        <v>79800</v>
      </c>
    </row>
    <row r="465" spans="4:10">
      <c r="D465" t="s">
        <v>707</v>
      </c>
      <c r="E465" t="s">
        <v>685</v>
      </c>
      <c r="F465">
        <v>1309</v>
      </c>
      <c r="G465">
        <v>1310</v>
      </c>
      <c r="H465">
        <v>1307.5</v>
      </c>
      <c r="I465">
        <v>1308</v>
      </c>
      <c r="J465">
        <v>61600</v>
      </c>
    </row>
    <row r="466" spans="4:10">
      <c r="D466" t="s">
        <v>707</v>
      </c>
      <c r="E466" t="s">
        <v>686</v>
      </c>
      <c r="F466">
        <v>1307.5</v>
      </c>
      <c r="G466">
        <v>1311</v>
      </c>
      <c r="H466">
        <v>1307</v>
      </c>
      <c r="I466">
        <v>1311</v>
      </c>
      <c r="J466">
        <v>100400</v>
      </c>
    </row>
    <row r="467" spans="4:10">
      <c r="D467" t="s">
        <v>707</v>
      </c>
      <c r="E467" t="s">
        <v>687</v>
      </c>
      <c r="F467">
        <v>1311</v>
      </c>
      <c r="G467">
        <v>1312.5</v>
      </c>
      <c r="H467">
        <v>1310</v>
      </c>
      <c r="I467">
        <v>1312.5</v>
      </c>
      <c r="J467">
        <v>59700</v>
      </c>
    </row>
    <row r="468" spans="4:10">
      <c r="D468" t="s">
        <v>707</v>
      </c>
      <c r="E468" t="s">
        <v>688</v>
      </c>
      <c r="F468">
        <v>1312</v>
      </c>
      <c r="G468">
        <v>1312</v>
      </c>
      <c r="H468">
        <v>1307.5</v>
      </c>
      <c r="I468">
        <v>1310.5</v>
      </c>
      <c r="J468">
        <v>178000</v>
      </c>
    </row>
    <row r="469" spans="4:10">
      <c r="D469" t="s">
        <v>707</v>
      </c>
      <c r="E469" t="s">
        <v>689</v>
      </c>
      <c r="F469">
        <v>1310</v>
      </c>
      <c r="G469">
        <v>1310.5</v>
      </c>
      <c r="H469">
        <v>1308</v>
      </c>
      <c r="I469">
        <v>1310</v>
      </c>
      <c r="J469">
        <v>98000</v>
      </c>
    </row>
    <row r="470" spans="4:10">
      <c r="D470" t="s">
        <v>707</v>
      </c>
      <c r="E470" t="s">
        <v>690</v>
      </c>
      <c r="F470">
        <v>1310</v>
      </c>
      <c r="G470">
        <v>1313.5</v>
      </c>
      <c r="H470">
        <v>1309.5</v>
      </c>
      <c r="I470">
        <v>1312.5</v>
      </c>
      <c r="J470">
        <v>88500</v>
      </c>
    </row>
    <row r="471" spans="4:10">
      <c r="D471" t="s">
        <v>707</v>
      </c>
      <c r="E471" t="s">
        <v>691</v>
      </c>
      <c r="F471">
        <v>1312.5</v>
      </c>
      <c r="G471">
        <v>1314</v>
      </c>
      <c r="H471">
        <v>1310.5</v>
      </c>
      <c r="I471">
        <v>1314</v>
      </c>
      <c r="J471">
        <v>80700</v>
      </c>
    </row>
    <row r="472" spans="4:10">
      <c r="D472" t="s">
        <v>707</v>
      </c>
      <c r="E472" t="s">
        <v>692</v>
      </c>
      <c r="F472">
        <v>1313.5</v>
      </c>
      <c r="G472">
        <v>1318.5</v>
      </c>
      <c r="H472">
        <v>1313</v>
      </c>
      <c r="I472">
        <v>1318.5</v>
      </c>
      <c r="J472">
        <v>272900</v>
      </c>
    </row>
    <row r="473" spans="4:10">
      <c r="D473" t="s">
        <v>707</v>
      </c>
      <c r="E473" t="s">
        <v>693</v>
      </c>
      <c r="F473">
        <v>1318.5</v>
      </c>
      <c r="G473">
        <v>1318.5</v>
      </c>
      <c r="H473">
        <v>1316</v>
      </c>
      <c r="I473">
        <v>1317.5</v>
      </c>
      <c r="J473">
        <v>125000</v>
      </c>
    </row>
    <row r="474" spans="4:10">
      <c r="D474" t="s">
        <v>707</v>
      </c>
      <c r="E474" t="s">
        <v>694</v>
      </c>
      <c r="F474">
        <v>1318</v>
      </c>
      <c r="G474">
        <v>1319.5</v>
      </c>
      <c r="H474">
        <v>1317.5</v>
      </c>
      <c r="I474">
        <v>1319</v>
      </c>
      <c r="J474">
        <v>174600</v>
      </c>
    </row>
    <row r="475" spans="4:10">
      <c r="D475" t="s">
        <v>707</v>
      </c>
      <c r="E475" t="s">
        <v>695</v>
      </c>
      <c r="F475">
        <v>1318.5</v>
      </c>
      <c r="G475">
        <v>1321</v>
      </c>
      <c r="H475">
        <v>1318</v>
      </c>
      <c r="I475">
        <v>1319</v>
      </c>
      <c r="J475">
        <v>474500</v>
      </c>
    </row>
    <row r="476" spans="4:10">
      <c r="D476" t="s">
        <v>707</v>
      </c>
      <c r="E476" t="s">
        <v>696</v>
      </c>
      <c r="F476">
        <v>1319.5</v>
      </c>
      <c r="G476">
        <v>1320</v>
      </c>
      <c r="H476">
        <v>1318.5</v>
      </c>
      <c r="I476">
        <v>1320</v>
      </c>
      <c r="J476">
        <v>72300</v>
      </c>
    </row>
    <row r="477" spans="4:10">
      <c r="D477" t="s">
        <v>707</v>
      </c>
      <c r="E477" t="s">
        <v>697</v>
      </c>
      <c r="F477">
        <v>1320</v>
      </c>
      <c r="G477">
        <v>1320</v>
      </c>
      <c r="H477">
        <v>1318</v>
      </c>
      <c r="I477">
        <v>1319</v>
      </c>
      <c r="J477">
        <v>131300</v>
      </c>
    </row>
    <row r="478" spans="4:10">
      <c r="D478" t="s">
        <v>707</v>
      </c>
      <c r="E478" t="s">
        <v>698</v>
      </c>
      <c r="F478">
        <v>1319</v>
      </c>
      <c r="G478">
        <v>1319.5</v>
      </c>
      <c r="H478">
        <v>1317.5</v>
      </c>
      <c r="I478">
        <v>1318.5</v>
      </c>
      <c r="J478">
        <v>111600</v>
      </c>
    </row>
    <row r="479" spans="4:10">
      <c r="D479" t="s">
        <v>707</v>
      </c>
      <c r="E479" t="s">
        <v>699</v>
      </c>
      <c r="F479">
        <v>1318</v>
      </c>
      <c r="G479">
        <v>1318</v>
      </c>
      <c r="H479">
        <v>1316.5</v>
      </c>
      <c r="I479">
        <v>1317</v>
      </c>
      <c r="J479">
        <v>76000</v>
      </c>
    </row>
    <row r="480" spans="4:10">
      <c r="D480" t="s">
        <v>707</v>
      </c>
      <c r="E480" t="s">
        <v>700</v>
      </c>
      <c r="F480">
        <v>1317</v>
      </c>
      <c r="G480">
        <v>1317</v>
      </c>
      <c r="H480">
        <v>1314.5</v>
      </c>
      <c r="I480">
        <v>1315.5</v>
      </c>
      <c r="J480">
        <v>142700</v>
      </c>
    </row>
    <row r="481" spans="4:10">
      <c r="D481" t="s">
        <v>707</v>
      </c>
      <c r="E481" t="s">
        <v>633</v>
      </c>
      <c r="F481">
        <v>1316</v>
      </c>
      <c r="G481">
        <v>1316</v>
      </c>
      <c r="H481">
        <v>1312</v>
      </c>
      <c r="I481">
        <v>1313</v>
      </c>
      <c r="J481">
        <v>131900</v>
      </c>
    </row>
    <row r="482" spans="4:10">
      <c r="D482" t="s">
        <v>707</v>
      </c>
      <c r="E482" t="s">
        <v>634</v>
      </c>
      <c r="F482">
        <v>1313</v>
      </c>
      <c r="G482">
        <v>1314</v>
      </c>
      <c r="H482">
        <v>1311.5</v>
      </c>
      <c r="I482">
        <v>1312</v>
      </c>
      <c r="J482">
        <v>123900</v>
      </c>
    </row>
    <row r="483" spans="4:10">
      <c r="D483" t="s">
        <v>707</v>
      </c>
      <c r="E483" t="s">
        <v>635</v>
      </c>
      <c r="F483">
        <v>1312</v>
      </c>
      <c r="G483">
        <v>1313.5</v>
      </c>
      <c r="H483">
        <v>1310.5</v>
      </c>
      <c r="I483">
        <v>1313</v>
      </c>
      <c r="J483">
        <v>157900</v>
      </c>
    </row>
    <row r="484" spans="4:10">
      <c r="D484" t="s">
        <v>707</v>
      </c>
      <c r="E484" t="s">
        <v>614</v>
      </c>
      <c r="F484">
        <v>1313</v>
      </c>
      <c r="G484">
        <v>1314</v>
      </c>
      <c r="H484">
        <v>1311</v>
      </c>
      <c r="I484">
        <v>1311.5</v>
      </c>
      <c r="J484">
        <v>304500</v>
      </c>
    </row>
    <row r="485" spans="4:10">
      <c r="D485" t="s">
        <v>707</v>
      </c>
      <c r="E485" t="s">
        <v>636</v>
      </c>
      <c r="F485" t="s">
        <v>35</v>
      </c>
      <c r="G485" t="s">
        <v>35</v>
      </c>
      <c r="H485" t="s">
        <v>35</v>
      </c>
      <c r="I485" t="s">
        <v>35</v>
      </c>
      <c r="J485">
        <v>0</v>
      </c>
    </row>
    <row r="486" spans="4:10">
      <c r="D486" t="s">
        <v>707</v>
      </c>
      <c r="E486" t="s">
        <v>637</v>
      </c>
      <c r="F486">
        <v>1311.5</v>
      </c>
      <c r="G486">
        <v>1311.5</v>
      </c>
      <c r="H486">
        <v>1311.5</v>
      </c>
      <c r="I486">
        <v>1311.5</v>
      </c>
      <c r="J486">
        <v>1679400</v>
      </c>
    </row>
    <row r="487" spans="4:10">
      <c r="D487" t="s">
        <v>708</v>
      </c>
      <c r="E487" t="s">
        <v>639</v>
      </c>
      <c r="F487">
        <v>1310</v>
      </c>
      <c r="G487">
        <v>1323.5</v>
      </c>
      <c r="H487">
        <v>1295</v>
      </c>
      <c r="I487">
        <v>1315</v>
      </c>
      <c r="J487">
        <v>2175700</v>
      </c>
    </row>
    <row r="488" spans="4:10">
      <c r="D488" t="s">
        <v>708</v>
      </c>
      <c r="E488" t="s">
        <v>640</v>
      </c>
      <c r="F488">
        <v>1315</v>
      </c>
      <c r="G488">
        <v>1344</v>
      </c>
      <c r="H488">
        <v>1306</v>
      </c>
      <c r="I488">
        <v>1344</v>
      </c>
      <c r="J488">
        <v>1595700</v>
      </c>
    </row>
    <row r="489" spans="4:10">
      <c r="D489" t="s">
        <v>708</v>
      </c>
      <c r="E489" t="s">
        <v>641</v>
      </c>
      <c r="F489">
        <v>1344</v>
      </c>
      <c r="G489">
        <v>1358</v>
      </c>
      <c r="H489">
        <v>1342</v>
      </c>
      <c r="I489">
        <v>1355.5</v>
      </c>
      <c r="J489">
        <v>1899600</v>
      </c>
    </row>
    <row r="490" spans="4:10">
      <c r="D490" t="s">
        <v>708</v>
      </c>
      <c r="E490" t="s">
        <v>642</v>
      </c>
      <c r="F490">
        <v>1355.5</v>
      </c>
      <c r="G490">
        <v>1377</v>
      </c>
      <c r="H490">
        <v>1345.5</v>
      </c>
      <c r="I490">
        <v>1373</v>
      </c>
      <c r="J490">
        <v>2056600</v>
      </c>
    </row>
    <row r="491" spans="4:10">
      <c r="D491" t="s">
        <v>708</v>
      </c>
      <c r="E491" t="s">
        <v>643</v>
      </c>
      <c r="F491">
        <v>1372</v>
      </c>
      <c r="G491">
        <v>1373</v>
      </c>
      <c r="H491">
        <v>1360.5</v>
      </c>
      <c r="I491">
        <v>1361.5</v>
      </c>
      <c r="J491">
        <v>855700</v>
      </c>
    </row>
    <row r="492" spans="4:10">
      <c r="D492" t="s">
        <v>708</v>
      </c>
      <c r="E492" t="s">
        <v>644</v>
      </c>
      <c r="F492">
        <v>1361.5</v>
      </c>
      <c r="G492">
        <v>1368.5</v>
      </c>
      <c r="H492">
        <v>1358.5</v>
      </c>
      <c r="I492">
        <v>1364</v>
      </c>
      <c r="J492">
        <v>653300</v>
      </c>
    </row>
    <row r="493" spans="4:10">
      <c r="D493" t="s">
        <v>708</v>
      </c>
      <c r="E493" t="s">
        <v>645</v>
      </c>
      <c r="F493">
        <v>1363.5</v>
      </c>
      <c r="G493">
        <v>1369.5</v>
      </c>
      <c r="H493">
        <v>1359</v>
      </c>
      <c r="I493">
        <v>1364</v>
      </c>
      <c r="J493">
        <v>539300</v>
      </c>
    </row>
    <row r="494" spans="4:10">
      <c r="D494" t="s">
        <v>708</v>
      </c>
      <c r="E494" t="s">
        <v>646</v>
      </c>
      <c r="F494">
        <v>1364</v>
      </c>
      <c r="G494">
        <v>1381</v>
      </c>
      <c r="H494">
        <v>1358.5</v>
      </c>
      <c r="I494">
        <v>1380</v>
      </c>
      <c r="J494">
        <v>1347200</v>
      </c>
    </row>
    <row r="495" spans="4:10">
      <c r="D495" t="s">
        <v>708</v>
      </c>
      <c r="E495" t="s">
        <v>647</v>
      </c>
      <c r="F495">
        <v>1380</v>
      </c>
      <c r="G495">
        <v>1383.5</v>
      </c>
      <c r="H495">
        <v>1375.5</v>
      </c>
      <c r="I495">
        <v>1377.5</v>
      </c>
      <c r="J495">
        <v>743900</v>
      </c>
    </row>
    <row r="496" spans="4:10">
      <c r="D496" t="s">
        <v>708</v>
      </c>
      <c r="E496" t="s">
        <v>648</v>
      </c>
      <c r="F496">
        <v>1377.5</v>
      </c>
      <c r="G496">
        <v>1380</v>
      </c>
      <c r="H496">
        <v>1374.5</v>
      </c>
      <c r="I496">
        <v>1379</v>
      </c>
      <c r="J496">
        <v>451800</v>
      </c>
    </row>
    <row r="497" spans="4:10">
      <c r="D497" t="s">
        <v>708</v>
      </c>
      <c r="E497" t="s">
        <v>649</v>
      </c>
      <c r="F497">
        <v>1378.5</v>
      </c>
      <c r="G497">
        <v>1383</v>
      </c>
      <c r="H497">
        <v>1374</v>
      </c>
      <c r="I497">
        <v>1374.5</v>
      </c>
      <c r="J497">
        <v>636600</v>
      </c>
    </row>
    <row r="498" spans="4:10">
      <c r="D498" t="s">
        <v>708</v>
      </c>
      <c r="E498" t="s">
        <v>650</v>
      </c>
      <c r="F498">
        <v>1374.5</v>
      </c>
      <c r="G498">
        <v>1384</v>
      </c>
      <c r="H498">
        <v>1372</v>
      </c>
      <c r="I498">
        <v>1382</v>
      </c>
      <c r="J498">
        <v>484000</v>
      </c>
    </row>
    <row r="499" spans="4:10">
      <c r="D499" t="s">
        <v>708</v>
      </c>
      <c r="E499" t="s">
        <v>651</v>
      </c>
      <c r="F499">
        <v>1382</v>
      </c>
      <c r="G499">
        <v>1386.5</v>
      </c>
      <c r="H499">
        <v>1380.5</v>
      </c>
      <c r="I499">
        <v>1385.5</v>
      </c>
      <c r="J499">
        <v>615300</v>
      </c>
    </row>
    <row r="500" spans="4:10">
      <c r="D500" t="s">
        <v>708</v>
      </c>
      <c r="E500" t="s">
        <v>652</v>
      </c>
      <c r="F500">
        <v>1386</v>
      </c>
      <c r="G500">
        <v>1386.5</v>
      </c>
      <c r="H500">
        <v>1381</v>
      </c>
      <c r="I500">
        <v>1382.5</v>
      </c>
      <c r="J500">
        <v>361700</v>
      </c>
    </row>
    <row r="501" spans="4:10">
      <c r="D501" t="s">
        <v>708</v>
      </c>
      <c r="E501" t="s">
        <v>653</v>
      </c>
      <c r="F501">
        <v>1382.5</v>
      </c>
      <c r="G501">
        <v>1388</v>
      </c>
      <c r="H501">
        <v>1380.5</v>
      </c>
      <c r="I501">
        <v>1387.5</v>
      </c>
      <c r="J501">
        <v>556900</v>
      </c>
    </row>
    <row r="502" spans="4:10">
      <c r="D502" t="s">
        <v>708</v>
      </c>
      <c r="E502" t="s">
        <v>654</v>
      </c>
      <c r="F502">
        <v>1387</v>
      </c>
      <c r="G502">
        <v>1392.5</v>
      </c>
      <c r="H502">
        <v>1385</v>
      </c>
      <c r="I502">
        <v>1392.5</v>
      </c>
      <c r="J502">
        <v>1155500</v>
      </c>
    </row>
    <row r="503" spans="4:10">
      <c r="D503" t="s">
        <v>708</v>
      </c>
      <c r="E503" t="s">
        <v>655</v>
      </c>
      <c r="F503">
        <v>1392</v>
      </c>
      <c r="G503">
        <v>1394.5</v>
      </c>
      <c r="H503">
        <v>1390.5</v>
      </c>
      <c r="I503">
        <v>1393.5</v>
      </c>
      <c r="J503">
        <v>528300</v>
      </c>
    </row>
    <row r="504" spans="4:10">
      <c r="D504" t="s">
        <v>708</v>
      </c>
      <c r="E504" t="s">
        <v>656</v>
      </c>
      <c r="F504">
        <v>1394</v>
      </c>
      <c r="G504">
        <v>1394.5</v>
      </c>
      <c r="H504">
        <v>1388.5</v>
      </c>
      <c r="I504">
        <v>1389.5</v>
      </c>
      <c r="J504">
        <v>466200</v>
      </c>
    </row>
    <row r="505" spans="4:10">
      <c r="D505" t="s">
        <v>708</v>
      </c>
      <c r="E505" t="s">
        <v>657</v>
      </c>
      <c r="F505">
        <v>1389.5</v>
      </c>
      <c r="G505">
        <v>1393.5</v>
      </c>
      <c r="H505">
        <v>1387.5</v>
      </c>
      <c r="I505">
        <v>1393</v>
      </c>
      <c r="J505">
        <v>335800</v>
      </c>
    </row>
    <row r="506" spans="4:10">
      <c r="D506" t="s">
        <v>708</v>
      </c>
      <c r="E506" t="s">
        <v>658</v>
      </c>
      <c r="F506">
        <v>1393.5</v>
      </c>
      <c r="G506">
        <v>1395</v>
      </c>
      <c r="H506">
        <v>1393</v>
      </c>
      <c r="I506">
        <v>1394</v>
      </c>
      <c r="J506">
        <v>514700</v>
      </c>
    </row>
    <row r="507" spans="4:10">
      <c r="D507" t="s">
        <v>708</v>
      </c>
      <c r="E507" t="s">
        <v>659</v>
      </c>
      <c r="F507">
        <v>1394</v>
      </c>
      <c r="G507">
        <v>1397.5</v>
      </c>
      <c r="H507">
        <v>1393.5</v>
      </c>
      <c r="I507">
        <v>1396.5</v>
      </c>
      <c r="J507">
        <v>550000</v>
      </c>
    </row>
    <row r="508" spans="4:10">
      <c r="D508" t="s">
        <v>708</v>
      </c>
      <c r="E508" t="s">
        <v>660</v>
      </c>
      <c r="F508">
        <v>1396</v>
      </c>
      <c r="G508">
        <v>1396.5</v>
      </c>
      <c r="H508">
        <v>1392</v>
      </c>
      <c r="I508">
        <v>1392</v>
      </c>
      <c r="J508">
        <v>251400</v>
      </c>
    </row>
    <row r="509" spans="4:10">
      <c r="D509" t="s">
        <v>708</v>
      </c>
      <c r="E509" t="s">
        <v>661</v>
      </c>
      <c r="F509">
        <v>1392</v>
      </c>
      <c r="G509">
        <v>1392</v>
      </c>
      <c r="H509">
        <v>1384.5</v>
      </c>
      <c r="I509">
        <v>1386.5</v>
      </c>
      <c r="J509">
        <v>386100</v>
      </c>
    </row>
    <row r="510" spans="4:10">
      <c r="D510" t="s">
        <v>708</v>
      </c>
      <c r="E510" t="s">
        <v>662</v>
      </c>
      <c r="F510">
        <v>1386</v>
      </c>
      <c r="G510">
        <v>1389</v>
      </c>
      <c r="H510">
        <v>1382.5</v>
      </c>
      <c r="I510">
        <v>1386</v>
      </c>
      <c r="J510">
        <v>474400</v>
      </c>
    </row>
    <row r="511" spans="4:10">
      <c r="D511" t="s">
        <v>708</v>
      </c>
      <c r="E511" t="s">
        <v>663</v>
      </c>
      <c r="F511">
        <v>1386</v>
      </c>
      <c r="G511">
        <v>1390</v>
      </c>
      <c r="H511">
        <v>1384</v>
      </c>
      <c r="I511">
        <v>1385</v>
      </c>
      <c r="J511">
        <v>360500</v>
      </c>
    </row>
    <row r="512" spans="4:10">
      <c r="D512" t="s">
        <v>708</v>
      </c>
      <c r="E512" t="s">
        <v>664</v>
      </c>
      <c r="F512">
        <v>1385</v>
      </c>
      <c r="G512">
        <v>1387</v>
      </c>
      <c r="H512">
        <v>1380.5</v>
      </c>
      <c r="I512">
        <v>1386.5</v>
      </c>
      <c r="J512">
        <v>289700</v>
      </c>
    </row>
    <row r="513" spans="4:10">
      <c r="D513" t="s">
        <v>708</v>
      </c>
      <c r="E513" t="s">
        <v>665</v>
      </c>
      <c r="F513">
        <v>1386</v>
      </c>
      <c r="G513">
        <v>1393.5</v>
      </c>
      <c r="H513">
        <v>1386</v>
      </c>
      <c r="I513">
        <v>1391</v>
      </c>
      <c r="J513">
        <v>556100</v>
      </c>
    </row>
    <row r="514" spans="4:10">
      <c r="D514" t="s">
        <v>708</v>
      </c>
      <c r="E514" t="s">
        <v>666</v>
      </c>
      <c r="F514">
        <v>1390.5</v>
      </c>
      <c r="G514">
        <v>1391</v>
      </c>
      <c r="H514">
        <v>1382</v>
      </c>
      <c r="I514">
        <v>1386</v>
      </c>
      <c r="J514">
        <v>322400</v>
      </c>
    </row>
    <row r="515" spans="4:10">
      <c r="D515" t="s">
        <v>708</v>
      </c>
      <c r="E515" t="s">
        <v>667</v>
      </c>
      <c r="F515">
        <v>1386</v>
      </c>
      <c r="G515">
        <v>1389.5</v>
      </c>
      <c r="H515">
        <v>1385.5</v>
      </c>
      <c r="I515">
        <v>1388.5</v>
      </c>
      <c r="J515">
        <v>190100</v>
      </c>
    </row>
    <row r="516" spans="4:10">
      <c r="D516" t="s">
        <v>708</v>
      </c>
      <c r="E516" t="s">
        <v>668</v>
      </c>
      <c r="F516">
        <v>1388.5</v>
      </c>
      <c r="G516">
        <v>1389.5</v>
      </c>
      <c r="H516">
        <v>1384.5</v>
      </c>
      <c r="I516">
        <v>1386.5</v>
      </c>
      <c r="J516">
        <v>252000</v>
      </c>
    </row>
    <row r="517" spans="4:10">
      <c r="D517" t="s">
        <v>708</v>
      </c>
      <c r="E517" t="s">
        <v>669</v>
      </c>
      <c r="F517">
        <v>1385.5</v>
      </c>
      <c r="G517">
        <v>1385.5</v>
      </c>
      <c r="H517">
        <v>1385.5</v>
      </c>
      <c r="I517">
        <v>1385.5</v>
      </c>
      <c r="J517">
        <v>13000</v>
      </c>
    </row>
    <row r="518" spans="4:10">
      <c r="D518" t="s">
        <v>708</v>
      </c>
      <c r="E518" t="s">
        <v>670</v>
      </c>
      <c r="F518">
        <v>1384</v>
      </c>
      <c r="G518">
        <v>1402</v>
      </c>
      <c r="H518">
        <v>1380.5</v>
      </c>
      <c r="I518">
        <v>1394.5</v>
      </c>
      <c r="J518">
        <v>3581500</v>
      </c>
    </row>
    <row r="519" spans="4:10">
      <c r="D519" t="s">
        <v>708</v>
      </c>
      <c r="E519" t="s">
        <v>671</v>
      </c>
      <c r="F519">
        <v>1394.5</v>
      </c>
      <c r="G519">
        <v>1395</v>
      </c>
      <c r="H519">
        <v>1388</v>
      </c>
      <c r="I519">
        <v>1392.5</v>
      </c>
      <c r="J519">
        <v>468800</v>
      </c>
    </row>
    <row r="520" spans="4:10">
      <c r="D520" t="s">
        <v>708</v>
      </c>
      <c r="E520" t="s">
        <v>672</v>
      </c>
      <c r="F520">
        <v>1392.5</v>
      </c>
      <c r="G520">
        <v>1399.5</v>
      </c>
      <c r="H520">
        <v>1392.5</v>
      </c>
      <c r="I520">
        <v>1399</v>
      </c>
      <c r="J520">
        <v>377400</v>
      </c>
    </row>
    <row r="521" spans="4:10">
      <c r="D521" t="s">
        <v>708</v>
      </c>
      <c r="E521" t="s">
        <v>673</v>
      </c>
      <c r="F521">
        <v>1399</v>
      </c>
      <c r="G521">
        <v>1399.5</v>
      </c>
      <c r="H521">
        <v>1394.5</v>
      </c>
      <c r="I521">
        <v>1396</v>
      </c>
      <c r="J521">
        <v>560700</v>
      </c>
    </row>
    <row r="522" spans="4:10">
      <c r="D522" t="s">
        <v>708</v>
      </c>
      <c r="E522" t="s">
        <v>674</v>
      </c>
      <c r="F522">
        <v>1395.5</v>
      </c>
      <c r="G522">
        <v>1399</v>
      </c>
      <c r="H522">
        <v>1395.5</v>
      </c>
      <c r="I522">
        <v>1399</v>
      </c>
      <c r="J522">
        <v>432600</v>
      </c>
    </row>
    <row r="523" spans="4:10">
      <c r="D523" t="s">
        <v>708</v>
      </c>
      <c r="E523" t="s">
        <v>675</v>
      </c>
      <c r="F523">
        <v>1399</v>
      </c>
      <c r="G523">
        <v>1399.5</v>
      </c>
      <c r="H523">
        <v>1394</v>
      </c>
      <c r="I523">
        <v>1395.5</v>
      </c>
      <c r="J523">
        <v>320700</v>
      </c>
    </row>
    <row r="524" spans="4:10">
      <c r="D524" t="s">
        <v>708</v>
      </c>
      <c r="E524" t="s">
        <v>676</v>
      </c>
      <c r="F524">
        <v>1395</v>
      </c>
      <c r="G524">
        <v>1395.5</v>
      </c>
      <c r="H524">
        <v>1392.5</v>
      </c>
      <c r="I524">
        <v>1393.5</v>
      </c>
      <c r="J524">
        <v>226500</v>
      </c>
    </row>
    <row r="525" spans="4:10">
      <c r="D525" t="s">
        <v>708</v>
      </c>
      <c r="E525" t="s">
        <v>677</v>
      </c>
      <c r="F525">
        <v>1393.5</v>
      </c>
      <c r="G525">
        <v>1394.5</v>
      </c>
      <c r="H525">
        <v>1390.5</v>
      </c>
      <c r="I525">
        <v>1391.5</v>
      </c>
      <c r="J525">
        <v>212000</v>
      </c>
    </row>
    <row r="526" spans="4:10">
      <c r="D526" t="s">
        <v>708</v>
      </c>
      <c r="E526" t="s">
        <v>678</v>
      </c>
      <c r="F526">
        <v>1391.5</v>
      </c>
      <c r="G526">
        <v>1394.5</v>
      </c>
      <c r="H526">
        <v>1391.5</v>
      </c>
      <c r="I526">
        <v>1394</v>
      </c>
      <c r="J526">
        <v>157700</v>
      </c>
    </row>
    <row r="527" spans="4:10">
      <c r="D527" t="s">
        <v>708</v>
      </c>
      <c r="E527" t="s">
        <v>679</v>
      </c>
      <c r="F527">
        <v>1394</v>
      </c>
      <c r="G527">
        <v>1395</v>
      </c>
      <c r="H527">
        <v>1392</v>
      </c>
      <c r="I527">
        <v>1392</v>
      </c>
      <c r="J527">
        <v>130300</v>
      </c>
    </row>
    <row r="528" spans="4:10">
      <c r="D528" t="s">
        <v>708</v>
      </c>
      <c r="E528" t="s">
        <v>680</v>
      </c>
      <c r="F528">
        <v>1392.5</v>
      </c>
      <c r="G528">
        <v>1397</v>
      </c>
      <c r="H528">
        <v>1392.5</v>
      </c>
      <c r="I528">
        <v>1396.5</v>
      </c>
      <c r="J528">
        <v>276600</v>
      </c>
    </row>
    <row r="529" spans="4:10">
      <c r="D529" t="s">
        <v>708</v>
      </c>
      <c r="E529" t="s">
        <v>681</v>
      </c>
      <c r="F529">
        <v>1396</v>
      </c>
      <c r="G529">
        <v>1397</v>
      </c>
      <c r="H529">
        <v>1395</v>
      </c>
      <c r="I529">
        <v>1396</v>
      </c>
      <c r="J529">
        <v>151700</v>
      </c>
    </row>
    <row r="530" spans="4:10">
      <c r="D530" t="s">
        <v>708</v>
      </c>
      <c r="E530" t="s">
        <v>682</v>
      </c>
      <c r="F530">
        <v>1395.5</v>
      </c>
      <c r="G530">
        <v>1397</v>
      </c>
      <c r="H530">
        <v>1394.5</v>
      </c>
      <c r="I530">
        <v>1397</v>
      </c>
      <c r="J530">
        <v>220000</v>
      </c>
    </row>
    <row r="531" spans="4:10">
      <c r="D531" t="s">
        <v>708</v>
      </c>
      <c r="E531" t="s">
        <v>683</v>
      </c>
      <c r="F531">
        <v>1397</v>
      </c>
      <c r="G531">
        <v>1397</v>
      </c>
      <c r="H531">
        <v>1395.5</v>
      </c>
      <c r="I531">
        <v>1395.5</v>
      </c>
      <c r="J531">
        <v>141800</v>
      </c>
    </row>
    <row r="532" spans="4:10">
      <c r="D532" t="s">
        <v>708</v>
      </c>
      <c r="E532" t="s">
        <v>684</v>
      </c>
      <c r="F532">
        <v>1395</v>
      </c>
      <c r="G532">
        <v>1395.5</v>
      </c>
      <c r="H532">
        <v>1393.5</v>
      </c>
      <c r="I532">
        <v>1394.5</v>
      </c>
      <c r="J532">
        <v>139800</v>
      </c>
    </row>
    <row r="533" spans="4:10">
      <c r="D533" t="s">
        <v>708</v>
      </c>
      <c r="E533" t="s">
        <v>685</v>
      </c>
      <c r="F533">
        <v>1395</v>
      </c>
      <c r="G533">
        <v>1396</v>
      </c>
      <c r="H533">
        <v>1394.5</v>
      </c>
      <c r="I533">
        <v>1394.5</v>
      </c>
      <c r="J533">
        <v>141200</v>
      </c>
    </row>
    <row r="534" spans="4:10">
      <c r="D534" t="s">
        <v>708</v>
      </c>
      <c r="E534" t="s">
        <v>686</v>
      </c>
      <c r="F534">
        <v>1394.5</v>
      </c>
      <c r="G534">
        <v>1396</v>
      </c>
      <c r="H534">
        <v>1394.5</v>
      </c>
      <c r="I534">
        <v>1395.5</v>
      </c>
      <c r="J534">
        <v>91500</v>
      </c>
    </row>
    <row r="535" spans="4:10">
      <c r="D535" t="s">
        <v>708</v>
      </c>
      <c r="E535" t="s">
        <v>687</v>
      </c>
      <c r="F535">
        <v>1395.5</v>
      </c>
      <c r="G535">
        <v>1396.5</v>
      </c>
      <c r="H535">
        <v>1395</v>
      </c>
      <c r="I535">
        <v>1396.5</v>
      </c>
      <c r="J535">
        <v>129800</v>
      </c>
    </row>
    <row r="536" spans="4:10">
      <c r="D536" t="s">
        <v>708</v>
      </c>
      <c r="E536" t="s">
        <v>688</v>
      </c>
      <c r="F536">
        <v>1396.5</v>
      </c>
      <c r="G536">
        <v>1396.5</v>
      </c>
      <c r="H536">
        <v>1391.5</v>
      </c>
      <c r="I536">
        <v>1394</v>
      </c>
      <c r="J536">
        <v>274900</v>
      </c>
    </row>
    <row r="537" spans="4:10">
      <c r="D537" t="s">
        <v>708</v>
      </c>
      <c r="E537" t="s">
        <v>689</v>
      </c>
      <c r="F537">
        <v>1394</v>
      </c>
      <c r="G537">
        <v>1401</v>
      </c>
      <c r="H537">
        <v>1394</v>
      </c>
      <c r="I537">
        <v>1400.5</v>
      </c>
      <c r="J537">
        <v>1023500</v>
      </c>
    </row>
    <row r="538" spans="4:10">
      <c r="D538" t="s">
        <v>708</v>
      </c>
      <c r="E538" t="s">
        <v>690</v>
      </c>
      <c r="F538">
        <v>1401</v>
      </c>
      <c r="G538">
        <v>1403</v>
      </c>
      <c r="H538">
        <v>1400.5</v>
      </c>
      <c r="I538">
        <v>1402.5</v>
      </c>
      <c r="J538">
        <v>456200</v>
      </c>
    </row>
    <row r="539" spans="4:10">
      <c r="D539" t="s">
        <v>708</v>
      </c>
      <c r="E539" t="s">
        <v>691</v>
      </c>
      <c r="F539">
        <v>1402.5</v>
      </c>
      <c r="G539">
        <v>1403.5</v>
      </c>
      <c r="H539">
        <v>1397</v>
      </c>
      <c r="I539">
        <v>1398</v>
      </c>
      <c r="J539">
        <v>453100</v>
      </c>
    </row>
    <row r="540" spans="4:10">
      <c r="D540" t="s">
        <v>708</v>
      </c>
      <c r="E540" t="s">
        <v>692</v>
      </c>
      <c r="F540">
        <v>1397.5</v>
      </c>
      <c r="G540">
        <v>1400</v>
      </c>
      <c r="H540">
        <v>1396</v>
      </c>
      <c r="I540">
        <v>1398</v>
      </c>
      <c r="J540">
        <v>189100</v>
      </c>
    </row>
    <row r="541" spans="4:10">
      <c r="D541" t="s">
        <v>708</v>
      </c>
      <c r="E541" t="s">
        <v>693</v>
      </c>
      <c r="F541">
        <v>1398</v>
      </c>
      <c r="G541">
        <v>1399</v>
      </c>
      <c r="H541">
        <v>1397</v>
      </c>
      <c r="I541">
        <v>1398.5</v>
      </c>
      <c r="J541">
        <v>148300</v>
      </c>
    </row>
    <row r="542" spans="4:10">
      <c r="D542" t="s">
        <v>708</v>
      </c>
      <c r="E542" t="s">
        <v>694</v>
      </c>
      <c r="F542">
        <v>1399</v>
      </c>
      <c r="G542">
        <v>1400.5</v>
      </c>
      <c r="H542">
        <v>1398</v>
      </c>
      <c r="I542">
        <v>1399</v>
      </c>
      <c r="J542">
        <v>222400</v>
      </c>
    </row>
    <row r="543" spans="4:10">
      <c r="D543" t="s">
        <v>708</v>
      </c>
      <c r="E543" t="s">
        <v>695</v>
      </c>
      <c r="F543">
        <v>1399</v>
      </c>
      <c r="G543">
        <v>1401</v>
      </c>
      <c r="H543">
        <v>1398.5</v>
      </c>
      <c r="I543">
        <v>1400</v>
      </c>
      <c r="J543">
        <v>265300</v>
      </c>
    </row>
    <row r="544" spans="4:10">
      <c r="D544" t="s">
        <v>708</v>
      </c>
      <c r="E544" t="s">
        <v>696</v>
      </c>
      <c r="F544">
        <v>1400.5</v>
      </c>
      <c r="G544">
        <v>1401</v>
      </c>
      <c r="H544">
        <v>1398</v>
      </c>
      <c r="I544">
        <v>1399</v>
      </c>
      <c r="J544">
        <v>197700</v>
      </c>
    </row>
    <row r="545" spans="4:10">
      <c r="D545" t="s">
        <v>708</v>
      </c>
      <c r="E545" t="s">
        <v>697</v>
      </c>
      <c r="F545">
        <v>1398.5</v>
      </c>
      <c r="G545">
        <v>1399.5</v>
      </c>
      <c r="H545">
        <v>1396.5</v>
      </c>
      <c r="I545">
        <v>1398</v>
      </c>
      <c r="J545">
        <v>182500</v>
      </c>
    </row>
    <row r="546" spans="4:10">
      <c r="D546" t="s">
        <v>708</v>
      </c>
      <c r="E546" t="s">
        <v>698</v>
      </c>
      <c r="F546">
        <v>1398</v>
      </c>
      <c r="G546">
        <v>1399</v>
      </c>
      <c r="H546">
        <v>1396</v>
      </c>
      <c r="I546">
        <v>1398</v>
      </c>
      <c r="J546">
        <v>140800</v>
      </c>
    </row>
    <row r="547" spans="4:10">
      <c r="D547" t="s">
        <v>708</v>
      </c>
      <c r="E547" t="s">
        <v>699</v>
      </c>
      <c r="F547">
        <v>1398</v>
      </c>
      <c r="G547">
        <v>1398</v>
      </c>
      <c r="H547">
        <v>1395</v>
      </c>
      <c r="I547">
        <v>1396</v>
      </c>
      <c r="J547">
        <v>218900</v>
      </c>
    </row>
    <row r="548" spans="4:10">
      <c r="D548" t="s">
        <v>708</v>
      </c>
      <c r="E548" t="s">
        <v>700</v>
      </c>
      <c r="F548">
        <v>1395.5</v>
      </c>
      <c r="G548">
        <v>1395.5</v>
      </c>
      <c r="H548">
        <v>1391.5</v>
      </c>
      <c r="I548">
        <v>1391.5</v>
      </c>
      <c r="J548">
        <v>187500</v>
      </c>
    </row>
    <row r="549" spans="4:10">
      <c r="D549" t="s">
        <v>708</v>
      </c>
      <c r="E549" t="s">
        <v>633</v>
      </c>
      <c r="F549">
        <v>1391.5</v>
      </c>
      <c r="G549">
        <v>1393</v>
      </c>
      <c r="H549">
        <v>1389.5</v>
      </c>
      <c r="I549">
        <v>1391.5</v>
      </c>
      <c r="J549">
        <v>406500</v>
      </c>
    </row>
    <row r="550" spans="4:10">
      <c r="D550" t="s">
        <v>708</v>
      </c>
      <c r="E550" t="s">
        <v>634</v>
      </c>
      <c r="F550">
        <v>1391</v>
      </c>
      <c r="G550">
        <v>1394</v>
      </c>
      <c r="H550">
        <v>1388</v>
      </c>
      <c r="I550">
        <v>1394</v>
      </c>
      <c r="J550">
        <v>274100</v>
      </c>
    </row>
    <row r="551" spans="4:10">
      <c r="D551" t="s">
        <v>708</v>
      </c>
      <c r="E551" t="s">
        <v>635</v>
      </c>
      <c r="F551">
        <v>1393.5</v>
      </c>
      <c r="G551">
        <v>1398</v>
      </c>
      <c r="H551">
        <v>1393.5</v>
      </c>
      <c r="I551">
        <v>1397</v>
      </c>
      <c r="J551">
        <v>324700</v>
      </c>
    </row>
    <row r="552" spans="4:10">
      <c r="D552" t="s">
        <v>708</v>
      </c>
      <c r="E552" t="s">
        <v>614</v>
      </c>
      <c r="F552">
        <v>1397</v>
      </c>
      <c r="G552">
        <v>1399</v>
      </c>
      <c r="H552">
        <v>1395</v>
      </c>
      <c r="I552">
        <v>1398</v>
      </c>
      <c r="J552">
        <v>504200</v>
      </c>
    </row>
    <row r="553" spans="4:10">
      <c r="D553" t="s">
        <v>708</v>
      </c>
      <c r="E553" t="s">
        <v>636</v>
      </c>
      <c r="F553" t="s">
        <v>35</v>
      </c>
      <c r="G553" t="s">
        <v>35</v>
      </c>
      <c r="H553" t="s">
        <v>35</v>
      </c>
      <c r="I553" t="s">
        <v>35</v>
      </c>
      <c r="J553">
        <v>0</v>
      </c>
    </row>
    <row r="554" spans="4:10">
      <c r="D554" t="s">
        <v>708</v>
      </c>
      <c r="E554" t="s">
        <v>637</v>
      </c>
      <c r="F554">
        <v>1397</v>
      </c>
      <c r="G554">
        <v>1397</v>
      </c>
      <c r="H554">
        <v>1397</v>
      </c>
      <c r="I554">
        <v>1397</v>
      </c>
      <c r="J554">
        <v>1920900</v>
      </c>
    </row>
    <row r="555" spans="4:10">
      <c r="D555" t="s">
        <v>709</v>
      </c>
      <c r="E555" t="s">
        <v>639</v>
      </c>
      <c r="F555">
        <v>1380</v>
      </c>
      <c r="G555">
        <v>1411.5</v>
      </c>
      <c r="H555">
        <v>1373</v>
      </c>
      <c r="I555">
        <v>1398.5</v>
      </c>
      <c r="J555">
        <v>3370200</v>
      </c>
    </row>
    <row r="556" spans="4:10">
      <c r="D556" t="s">
        <v>709</v>
      </c>
      <c r="E556" t="s">
        <v>640</v>
      </c>
      <c r="F556">
        <v>1398.5</v>
      </c>
      <c r="G556">
        <v>1433</v>
      </c>
      <c r="H556">
        <v>1398</v>
      </c>
      <c r="I556">
        <v>1433</v>
      </c>
      <c r="J556">
        <v>1969700</v>
      </c>
    </row>
    <row r="557" spans="4:10">
      <c r="D557" t="s">
        <v>709</v>
      </c>
      <c r="E557" t="s">
        <v>641</v>
      </c>
      <c r="F557">
        <v>1432</v>
      </c>
      <c r="G557">
        <v>1449.5</v>
      </c>
      <c r="H557">
        <v>1430.5</v>
      </c>
      <c r="I557">
        <v>1448</v>
      </c>
      <c r="J557">
        <v>1977600</v>
      </c>
    </row>
    <row r="558" spans="4:10">
      <c r="D558" t="s">
        <v>709</v>
      </c>
      <c r="E558" t="s">
        <v>642</v>
      </c>
      <c r="F558">
        <v>1447</v>
      </c>
      <c r="G558">
        <v>1449.5</v>
      </c>
      <c r="H558">
        <v>1436</v>
      </c>
      <c r="I558">
        <v>1441</v>
      </c>
      <c r="J558">
        <v>1692200</v>
      </c>
    </row>
    <row r="559" spans="4:10">
      <c r="D559" t="s">
        <v>709</v>
      </c>
      <c r="E559" t="s">
        <v>643</v>
      </c>
      <c r="F559">
        <v>1441</v>
      </c>
      <c r="G559">
        <v>1448</v>
      </c>
      <c r="H559">
        <v>1437</v>
      </c>
      <c r="I559">
        <v>1444.5</v>
      </c>
      <c r="J559">
        <v>1077800</v>
      </c>
    </row>
    <row r="560" spans="4:10">
      <c r="D560" t="s">
        <v>709</v>
      </c>
      <c r="E560" t="s">
        <v>644</v>
      </c>
      <c r="F560">
        <v>1444.5</v>
      </c>
      <c r="G560">
        <v>1457</v>
      </c>
      <c r="H560">
        <v>1444.5</v>
      </c>
      <c r="I560">
        <v>1450</v>
      </c>
      <c r="J560">
        <v>2122300</v>
      </c>
    </row>
    <row r="561" spans="4:10">
      <c r="D561" t="s">
        <v>709</v>
      </c>
      <c r="E561" t="s">
        <v>645</v>
      </c>
      <c r="F561">
        <v>1449</v>
      </c>
      <c r="G561">
        <v>1454.5</v>
      </c>
      <c r="H561">
        <v>1432.5</v>
      </c>
      <c r="I561">
        <v>1435</v>
      </c>
      <c r="J561">
        <v>978100</v>
      </c>
    </row>
    <row r="562" spans="4:10">
      <c r="D562" t="s">
        <v>709</v>
      </c>
      <c r="E562" t="s">
        <v>646</v>
      </c>
      <c r="F562">
        <v>1435</v>
      </c>
      <c r="G562">
        <v>1447.5</v>
      </c>
      <c r="H562">
        <v>1423.5</v>
      </c>
      <c r="I562">
        <v>1445.5</v>
      </c>
      <c r="J562">
        <v>887700</v>
      </c>
    </row>
    <row r="563" spans="4:10">
      <c r="D563" t="s">
        <v>709</v>
      </c>
      <c r="E563" t="s">
        <v>647</v>
      </c>
      <c r="F563">
        <v>1445.5</v>
      </c>
      <c r="G563">
        <v>1448</v>
      </c>
      <c r="H563">
        <v>1439.5</v>
      </c>
      <c r="I563">
        <v>1441.5</v>
      </c>
      <c r="J563">
        <v>731200</v>
      </c>
    </row>
    <row r="564" spans="4:10">
      <c r="D564" t="s">
        <v>709</v>
      </c>
      <c r="E564" t="s">
        <v>648</v>
      </c>
      <c r="F564">
        <v>1442</v>
      </c>
      <c r="G564">
        <v>1444</v>
      </c>
      <c r="H564">
        <v>1428.5</v>
      </c>
      <c r="I564">
        <v>1444</v>
      </c>
      <c r="J564">
        <v>984900</v>
      </c>
    </row>
    <row r="565" spans="4:10">
      <c r="D565" t="s">
        <v>709</v>
      </c>
      <c r="E565" t="s">
        <v>649</v>
      </c>
      <c r="F565">
        <v>1444</v>
      </c>
      <c r="G565">
        <v>1454.5</v>
      </c>
      <c r="H565">
        <v>1439.5</v>
      </c>
      <c r="I565">
        <v>1441.5</v>
      </c>
      <c r="J565">
        <v>991200</v>
      </c>
    </row>
    <row r="566" spans="4:10">
      <c r="D566" t="s">
        <v>709</v>
      </c>
      <c r="E566" t="s">
        <v>650</v>
      </c>
      <c r="F566">
        <v>1442</v>
      </c>
      <c r="G566">
        <v>1445.5</v>
      </c>
      <c r="H566">
        <v>1435</v>
      </c>
      <c r="I566">
        <v>1445.5</v>
      </c>
      <c r="J566">
        <v>460000</v>
      </c>
    </row>
    <row r="567" spans="4:10">
      <c r="D567" t="s">
        <v>709</v>
      </c>
      <c r="E567" t="s">
        <v>651</v>
      </c>
      <c r="F567">
        <v>1445</v>
      </c>
      <c r="G567">
        <v>1445</v>
      </c>
      <c r="H567">
        <v>1438.5</v>
      </c>
      <c r="I567">
        <v>1444</v>
      </c>
      <c r="J567">
        <v>390700</v>
      </c>
    </row>
    <row r="568" spans="4:10">
      <c r="D568" t="s">
        <v>709</v>
      </c>
      <c r="E568" t="s">
        <v>652</v>
      </c>
      <c r="F568">
        <v>1444</v>
      </c>
      <c r="G568">
        <v>1450</v>
      </c>
      <c r="H568">
        <v>1442.5</v>
      </c>
      <c r="I568">
        <v>1447</v>
      </c>
      <c r="J568">
        <v>492400</v>
      </c>
    </row>
    <row r="569" spans="4:10">
      <c r="D569" t="s">
        <v>709</v>
      </c>
      <c r="E569" t="s">
        <v>653</v>
      </c>
      <c r="F569">
        <v>1446</v>
      </c>
      <c r="G569">
        <v>1447.5</v>
      </c>
      <c r="H569">
        <v>1443.5</v>
      </c>
      <c r="I569">
        <v>1446.5</v>
      </c>
      <c r="J569">
        <v>263900</v>
      </c>
    </row>
    <row r="570" spans="4:10">
      <c r="D570" t="s">
        <v>709</v>
      </c>
      <c r="E570" t="s">
        <v>654</v>
      </c>
      <c r="F570">
        <v>1446.5</v>
      </c>
      <c r="G570">
        <v>1453</v>
      </c>
      <c r="H570">
        <v>1445.5</v>
      </c>
      <c r="I570">
        <v>1449.5</v>
      </c>
      <c r="J570">
        <v>547100</v>
      </c>
    </row>
    <row r="571" spans="4:10">
      <c r="D571" t="s">
        <v>709</v>
      </c>
      <c r="E571" t="s">
        <v>655</v>
      </c>
      <c r="F571">
        <v>1449</v>
      </c>
      <c r="G571">
        <v>1454.5</v>
      </c>
      <c r="H571">
        <v>1445</v>
      </c>
      <c r="I571">
        <v>1446.5</v>
      </c>
      <c r="J571">
        <v>543100</v>
      </c>
    </row>
    <row r="572" spans="4:10">
      <c r="D572" t="s">
        <v>709</v>
      </c>
      <c r="E572" t="s">
        <v>656</v>
      </c>
      <c r="F572">
        <v>1446.5</v>
      </c>
      <c r="G572">
        <v>1452</v>
      </c>
      <c r="H572">
        <v>1446.5</v>
      </c>
      <c r="I572">
        <v>1451.5</v>
      </c>
      <c r="J572">
        <v>380500</v>
      </c>
    </row>
    <row r="573" spans="4:10">
      <c r="D573" t="s">
        <v>709</v>
      </c>
      <c r="E573" t="s">
        <v>657</v>
      </c>
      <c r="F573">
        <v>1451</v>
      </c>
      <c r="G573">
        <v>1453</v>
      </c>
      <c r="H573">
        <v>1443.5</v>
      </c>
      <c r="I573">
        <v>1447</v>
      </c>
      <c r="J573">
        <v>636500</v>
      </c>
    </row>
    <row r="574" spans="4:10">
      <c r="D574" t="s">
        <v>709</v>
      </c>
      <c r="E574" t="s">
        <v>658</v>
      </c>
      <c r="F574">
        <v>1446</v>
      </c>
      <c r="G574">
        <v>1451</v>
      </c>
      <c r="H574">
        <v>1444.5</v>
      </c>
      <c r="I574">
        <v>1449</v>
      </c>
      <c r="J574">
        <v>319200</v>
      </c>
    </row>
    <row r="575" spans="4:10">
      <c r="D575" t="s">
        <v>709</v>
      </c>
      <c r="E575" t="s">
        <v>659</v>
      </c>
      <c r="F575">
        <v>1449</v>
      </c>
      <c r="G575">
        <v>1455</v>
      </c>
      <c r="H575">
        <v>1447</v>
      </c>
      <c r="I575">
        <v>1453.5</v>
      </c>
      <c r="J575">
        <v>597600</v>
      </c>
    </row>
    <row r="576" spans="4:10">
      <c r="D576" t="s">
        <v>709</v>
      </c>
      <c r="E576" t="s">
        <v>660</v>
      </c>
      <c r="F576">
        <v>1454</v>
      </c>
      <c r="G576">
        <v>1459.5</v>
      </c>
      <c r="H576">
        <v>1453.5</v>
      </c>
      <c r="I576">
        <v>1457.5</v>
      </c>
      <c r="J576">
        <v>803600</v>
      </c>
    </row>
    <row r="577" spans="4:10">
      <c r="D577" t="s">
        <v>709</v>
      </c>
      <c r="E577" t="s">
        <v>661</v>
      </c>
      <c r="F577">
        <v>1457.5</v>
      </c>
      <c r="G577">
        <v>1459</v>
      </c>
      <c r="H577">
        <v>1456</v>
      </c>
      <c r="I577">
        <v>1458</v>
      </c>
      <c r="J577">
        <v>335200</v>
      </c>
    </row>
    <row r="578" spans="4:10">
      <c r="D578" t="s">
        <v>709</v>
      </c>
      <c r="E578" t="s">
        <v>662</v>
      </c>
      <c r="F578">
        <v>1458.5</v>
      </c>
      <c r="G578">
        <v>1461</v>
      </c>
      <c r="H578">
        <v>1456.5</v>
      </c>
      <c r="I578">
        <v>1458.5</v>
      </c>
      <c r="J578">
        <v>691900</v>
      </c>
    </row>
    <row r="579" spans="4:10">
      <c r="D579" t="s">
        <v>709</v>
      </c>
      <c r="E579" t="s">
        <v>663</v>
      </c>
      <c r="F579">
        <v>1458</v>
      </c>
      <c r="G579">
        <v>1461.5</v>
      </c>
      <c r="H579">
        <v>1457.5</v>
      </c>
      <c r="I579">
        <v>1459.5</v>
      </c>
      <c r="J579">
        <v>333100</v>
      </c>
    </row>
    <row r="580" spans="4:10">
      <c r="D580" t="s">
        <v>709</v>
      </c>
      <c r="E580" t="s">
        <v>664</v>
      </c>
      <c r="F580">
        <v>1460</v>
      </c>
      <c r="G580">
        <v>1461.5</v>
      </c>
      <c r="H580">
        <v>1459.5</v>
      </c>
      <c r="I580">
        <v>1461.5</v>
      </c>
      <c r="J580">
        <v>282400</v>
      </c>
    </row>
    <row r="581" spans="4:10">
      <c r="D581" t="s">
        <v>709</v>
      </c>
      <c r="E581" t="s">
        <v>665</v>
      </c>
      <c r="F581">
        <v>1461.5</v>
      </c>
      <c r="G581">
        <v>1467</v>
      </c>
      <c r="H581">
        <v>1461</v>
      </c>
      <c r="I581">
        <v>1462</v>
      </c>
      <c r="J581">
        <v>628000</v>
      </c>
    </row>
    <row r="582" spans="4:10">
      <c r="D582" t="s">
        <v>709</v>
      </c>
      <c r="E582" t="s">
        <v>666</v>
      </c>
      <c r="F582">
        <v>1461.5</v>
      </c>
      <c r="G582">
        <v>1462</v>
      </c>
      <c r="H582">
        <v>1453</v>
      </c>
      <c r="I582">
        <v>1453</v>
      </c>
      <c r="J582">
        <v>495400</v>
      </c>
    </row>
    <row r="583" spans="4:10">
      <c r="D583" t="s">
        <v>709</v>
      </c>
      <c r="E583" t="s">
        <v>667</v>
      </c>
      <c r="F583">
        <v>1453</v>
      </c>
      <c r="G583">
        <v>1458</v>
      </c>
      <c r="H583">
        <v>1451</v>
      </c>
      <c r="I583">
        <v>1452</v>
      </c>
      <c r="J583">
        <v>335700</v>
      </c>
    </row>
    <row r="584" spans="4:10">
      <c r="D584" t="s">
        <v>709</v>
      </c>
      <c r="E584" t="s">
        <v>668</v>
      </c>
      <c r="F584">
        <v>1451.5</v>
      </c>
      <c r="G584">
        <v>1452.5</v>
      </c>
      <c r="H584">
        <v>1446.5</v>
      </c>
      <c r="I584">
        <v>1448.5</v>
      </c>
      <c r="J584">
        <v>475100</v>
      </c>
    </row>
    <row r="585" spans="4:10">
      <c r="D585" t="s">
        <v>709</v>
      </c>
      <c r="E585" t="s">
        <v>669</v>
      </c>
      <c r="F585">
        <v>1447.5</v>
      </c>
      <c r="G585">
        <v>1447.5</v>
      </c>
      <c r="H585">
        <v>1447.5</v>
      </c>
      <c r="I585">
        <v>1447.5</v>
      </c>
      <c r="J585">
        <v>73100</v>
      </c>
    </row>
    <row r="586" spans="4:10">
      <c r="D586" t="s">
        <v>709</v>
      </c>
      <c r="E586" t="s">
        <v>670</v>
      </c>
      <c r="F586">
        <v>1447.5</v>
      </c>
      <c r="G586">
        <v>1460</v>
      </c>
      <c r="H586">
        <v>1442.5</v>
      </c>
      <c r="I586">
        <v>1450</v>
      </c>
      <c r="J586">
        <v>1731500</v>
      </c>
    </row>
    <row r="587" spans="4:10">
      <c r="D587" t="s">
        <v>709</v>
      </c>
      <c r="E587" t="s">
        <v>671</v>
      </c>
      <c r="F587">
        <v>1450</v>
      </c>
      <c r="G587">
        <v>1453.5</v>
      </c>
      <c r="H587">
        <v>1448</v>
      </c>
      <c r="I587">
        <v>1451.5</v>
      </c>
      <c r="J587">
        <v>452000</v>
      </c>
    </row>
    <row r="588" spans="4:10">
      <c r="D588" t="s">
        <v>709</v>
      </c>
      <c r="E588" t="s">
        <v>672</v>
      </c>
      <c r="F588">
        <v>1451.5</v>
      </c>
      <c r="G588">
        <v>1457</v>
      </c>
      <c r="H588">
        <v>1449.5</v>
      </c>
      <c r="I588">
        <v>1456.5</v>
      </c>
      <c r="J588">
        <v>398500</v>
      </c>
    </row>
    <row r="589" spans="4:10">
      <c r="D589" t="s">
        <v>709</v>
      </c>
      <c r="E589" t="s">
        <v>673</v>
      </c>
      <c r="F589">
        <v>1456.5</v>
      </c>
      <c r="G589">
        <v>1457</v>
      </c>
      <c r="H589">
        <v>1453.5</v>
      </c>
      <c r="I589">
        <v>1455.5</v>
      </c>
      <c r="J589">
        <v>286900</v>
      </c>
    </row>
    <row r="590" spans="4:10">
      <c r="D590" t="s">
        <v>709</v>
      </c>
      <c r="E590" t="s">
        <v>674</v>
      </c>
      <c r="F590">
        <v>1455</v>
      </c>
      <c r="G590">
        <v>1462</v>
      </c>
      <c r="H590">
        <v>1453</v>
      </c>
      <c r="I590">
        <v>1461.5</v>
      </c>
      <c r="J590">
        <v>708800</v>
      </c>
    </row>
    <row r="591" spans="4:10">
      <c r="D591" t="s">
        <v>709</v>
      </c>
      <c r="E591" t="s">
        <v>675</v>
      </c>
      <c r="F591">
        <v>1461.5</v>
      </c>
      <c r="G591">
        <v>1470</v>
      </c>
      <c r="H591">
        <v>1459.5</v>
      </c>
      <c r="I591">
        <v>1467</v>
      </c>
      <c r="J591">
        <v>966500</v>
      </c>
    </row>
    <row r="592" spans="4:10">
      <c r="D592" t="s">
        <v>709</v>
      </c>
      <c r="E592" t="s">
        <v>676</v>
      </c>
      <c r="F592">
        <v>1467</v>
      </c>
      <c r="G592">
        <v>1469.5</v>
      </c>
      <c r="H592">
        <v>1459.5</v>
      </c>
      <c r="I592">
        <v>1468.5</v>
      </c>
      <c r="J592">
        <v>986300</v>
      </c>
    </row>
    <row r="593" spans="4:10">
      <c r="D593" t="s">
        <v>709</v>
      </c>
      <c r="E593" t="s">
        <v>677</v>
      </c>
      <c r="F593">
        <v>1469</v>
      </c>
      <c r="G593">
        <v>1470</v>
      </c>
      <c r="H593">
        <v>1464</v>
      </c>
      <c r="I593">
        <v>1467</v>
      </c>
      <c r="J593">
        <v>355000</v>
      </c>
    </row>
    <row r="594" spans="4:10">
      <c r="D594" t="s">
        <v>709</v>
      </c>
      <c r="E594" t="s">
        <v>678</v>
      </c>
      <c r="F594">
        <v>1467</v>
      </c>
      <c r="G594">
        <v>1470</v>
      </c>
      <c r="H594">
        <v>1465</v>
      </c>
      <c r="I594">
        <v>1469</v>
      </c>
      <c r="J594">
        <v>534600</v>
      </c>
    </row>
    <row r="595" spans="4:10">
      <c r="D595" t="s">
        <v>709</v>
      </c>
      <c r="E595" t="s">
        <v>679</v>
      </c>
      <c r="F595">
        <v>1468.5</v>
      </c>
      <c r="G595">
        <v>1470</v>
      </c>
      <c r="H595">
        <v>1465</v>
      </c>
      <c r="I595">
        <v>1467</v>
      </c>
      <c r="J595">
        <v>442000</v>
      </c>
    </row>
    <row r="596" spans="4:10">
      <c r="D596" t="s">
        <v>709</v>
      </c>
      <c r="E596" t="s">
        <v>680</v>
      </c>
      <c r="F596">
        <v>1466.5</v>
      </c>
      <c r="G596">
        <v>1467</v>
      </c>
      <c r="H596">
        <v>1462.5</v>
      </c>
      <c r="I596">
        <v>1466</v>
      </c>
      <c r="J596">
        <v>367400</v>
      </c>
    </row>
    <row r="597" spans="4:10">
      <c r="D597" t="s">
        <v>709</v>
      </c>
      <c r="E597" t="s">
        <v>681</v>
      </c>
      <c r="F597">
        <v>1465.5</v>
      </c>
      <c r="G597">
        <v>1466.5</v>
      </c>
      <c r="H597">
        <v>1464</v>
      </c>
      <c r="I597">
        <v>1464</v>
      </c>
      <c r="J597">
        <v>175500</v>
      </c>
    </row>
    <row r="598" spans="4:10">
      <c r="D598" t="s">
        <v>709</v>
      </c>
      <c r="E598" t="s">
        <v>682</v>
      </c>
      <c r="F598">
        <v>1464.5</v>
      </c>
      <c r="G598">
        <v>1466</v>
      </c>
      <c r="H598">
        <v>1464</v>
      </c>
      <c r="I598">
        <v>1465.5</v>
      </c>
      <c r="J598">
        <v>201700</v>
      </c>
    </row>
    <row r="599" spans="4:10">
      <c r="D599" t="s">
        <v>709</v>
      </c>
      <c r="E599" t="s">
        <v>683</v>
      </c>
      <c r="F599">
        <v>1465.5</v>
      </c>
      <c r="G599">
        <v>1466</v>
      </c>
      <c r="H599">
        <v>1461</v>
      </c>
      <c r="I599">
        <v>1462.5</v>
      </c>
      <c r="J599">
        <v>266200</v>
      </c>
    </row>
    <row r="600" spans="4:10">
      <c r="D600" t="s">
        <v>709</v>
      </c>
      <c r="E600" t="s">
        <v>684</v>
      </c>
      <c r="F600">
        <v>1462</v>
      </c>
      <c r="G600">
        <v>1463</v>
      </c>
      <c r="H600">
        <v>1458.5</v>
      </c>
      <c r="I600">
        <v>1460</v>
      </c>
      <c r="J600">
        <v>294800</v>
      </c>
    </row>
    <row r="601" spans="4:10">
      <c r="D601" t="s">
        <v>709</v>
      </c>
      <c r="E601" t="s">
        <v>685</v>
      </c>
      <c r="F601">
        <v>1459.5</v>
      </c>
      <c r="G601">
        <v>1462.5</v>
      </c>
      <c r="H601">
        <v>1459.5</v>
      </c>
      <c r="I601">
        <v>1460.5</v>
      </c>
      <c r="J601">
        <v>247300</v>
      </c>
    </row>
    <row r="602" spans="4:10">
      <c r="D602" t="s">
        <v>709</v>
      </c>
      <c r="E602" t="s">
        <v>686</v>
      </c>
      <c r="F602">
        <v>1460.5</v>
      </c>
      <c r="G602">
        <v>1462.5</v>
      </c>
      <c r="H602">
        <v>1460</v>
      </c>
      <c r="I602">
        <v>1462.5</v>
      </c>
      <c r="J602">
        <v>223200</v>
      </c>
    </row>
    <row r="603" spans="4:10">
      <c r="D603" t="s">
        <v>709</v>
      </c>
      <c r="E603" t="s">
        <v>687</v>
      </c>
      <c r="F603">
        <v>1462.5</v>
      </c>
      <c r="G603">
        <v>1463</v>
      </c>
      <c r="H603">
        <v>1458</v>
      </c>
      <c r="I603">
        <v>1459.5</v>
      </c>
      <c r="J603">
        <v>315700</v>
      </c>
    </row>
    <row r="604" spans="4:10">
      <c r="D604" t="s">
        <v>709</v>
      </c>
      <c r="E604" t="s">
        <v>688</v>
      </c>
      <c r="F604">
        <v>1460</v>
      </c>
      <c r="G604">
        <v>1461.5</v>
      </c>
      <c r="H604">
        <v>1459</v>
      </c>
      <c r="I604">
        <v>1460.5</v>
      </c>
      <c r="J604">
        <v>277500</v>
      </c>
    </row>
    <row r="605" spans="4:10">
      <c r="D605" t="s">
        <v>709</v>
      </c>
      <c r="E605" t="s">
        <v>689</v>
      </c>
      <c r="F605">
        <v>1460.5</v>
      </c>
      <c r="G605">
        <v>1465</v>
      </c>
      <c r="H605">
        <v>1459.5</v>
      </c>
      <c r="I605">
        <v>1463</v>
      </c>
      <c r="J605">
        <v>524300</v>
      </c>
    </row>
    <row r="606" spans="4:10">
      <c r="D606" t="s">
        <v>709</v>
      </c>
      <c r="E606" t="s">
        <v>690</v>
      </c>
      <c r="F606">
        <v>1463</v>
      </c>
      <c r="G606">
        <v>1463</v>
      </c>
      <c r="H606">
        <v>1456</v>
      </c>
      <c r="I606">
        <v>1456</v>
      </c>
      <c r="J606">
        <v>354300</v>
      </c>
    </row>
    <row r="607" spans="4:10">
      <c r="D607" t="s">
        <v>709</v>
      </c>
      <c r="E607" t="s">
        <v>691</v>
      </c>
      <c r="F607">
        <v>1456</v>
      </c>
      <c r="G607">
        <v>1459</v>
      </c>
      <c r="H607">
        <v>1454.5</v>
      </c>
      <c r="I607">
        <v>1458.5</v>
      </c>
      <c r="J607">
        <v>299600</v>
      </c>
    </row>
    <row r="608" spans="4:10">
      <c r="D608" t="s">
        <v>709</v>
      </c>
      <c r="E608" t="s">
        <v>692</v>
      </c>
      <c r="F608">
        <v>1458.5</v>
      </c>
      <c r="G608">
        <v>1459.5</v>
      </c>
      <c r="H608">
        <v>1456.5</v>
      </c>
      <c r="I608">
        <v>1458.5</v>
      </c>
      <c r="J608">
        <v>267900</v>
      </c>
    </row>
    <row r="609" spans="4:10">
      <c r="D609" t="s">
        <v>709</v>
      </c>
      <c r="E609" t="s">
        <v>693</v>
      </c>
      <c r="F609">
        <v>1458.5</v>
      </c>
      <c r="G609">
        <v>1460</v>
      </c>
      <c r="H609">
        <v>1456.5</v>
      </c>
      <c r="I609">
        <v>1459.5</v>
      </c>
      <c r="J609">
        <v>231200</v>
      </c>
    </row>
    <row r="610" spans="4:10">
      <c r="D610" t="s">
        <v>709</v>
      </c>
      <c r="E610" t="s">
        <v>694</v>
      </c>
      <c r="F610">
        <v>1459.5</v>
      </c>
      <c r="G610">
        <v>1461</v>
      </c>
      <c r="H610">
        <v>1458</v>
      </c>
      <c r="I610">
        <v>1460.5</v>
      </c>
      <c r="J610">
        <v>427200</v>
      </c>
    </row>
    <row r="611" spans="4:10">
      <c r="D611" t="s">
        <v>709</v>
      </c>
      <c r="E611" t="s">
        <v>695</v>
      </c>
      <c r="F611">
        <v>1460</v>
      </c>
      <c r="G611">
        <v>1460.5</v>
      </c>
      <c r="H611">
        <v>1458</v>
      </c>
      <c r="I611">
        <v>1459</v>
      </c>
      <c r="J611">
        <v>321500</v>
      </c>
    </row>
    <row r="612" spans="4:10">
      <c r="D612" t="s">
        <v>709</v>
      </c>
      <c r="E612" t="s">
        <v>696</v>
      </c>
      <c r="F612">
        <v>1459</v>
      </c>
      <c r="G612">
        <v>1464.5</v>
      </c>
      <c r="H612">
        <v>1458.5</v>
      </c>
      <c r="I612">
        <v>1463</v>
      </c>
      <c r="J612">
        <v>390000</v>
      </c>
    </row>
    <row r="613" spans="4:10">
      <c r="D613" t="s">
        <v>709</v>
      </c>
      <c r="E613" t="s">
        <v>697</v>
      </c>
      <c r="F613">
        <v>1463</v>
      </c>
      <c r="G613">
        <v>1464</v>
      </c>
      <c r="H613">
        <v>1460.5</v>
      </c>
      <c r="I613">
        <v>1462.5</v>
      </c>
      <c r="J613">
        <v>277600</v>
      </c>
    </row>
    <row r="614" spans="4:10">
      <c r="D614" t="s">
        <v>709</v>
      </c>
      <c r="E614" t="s">
        <v>698</v>
      </c>
      <c r="F614">
        <v>1463</v>
      </c>
      <c r="G614">
        <v>1464.5</v>
      </c>
      <c r="H614">
        <v>1462</v>
      </c>
      <c r="I614">
        <v>1463</v>
      </c>
      <c r="J614">
        <v>221500</v>
      </c>
    </row>
    <row r="615" spans="4:10">
      <c r="D615" t="s">
        <v>709</v>
      </c>
      <c r="E615" t="s">
        <v>699</v>
      </c>
      <c r="F615">
        <v>1463</v>
      </c>
      <c r="G615">
        <v>1463.5</v>
      </c>
      <c r="H615">
        <v>1461</v>
      </c>
      <c r="I615">
        <v>1461.5</v>
      </c>
      <c r="J615">
        <v>234900</v>
      </c>
    </row>
    <row r="616" spans="4:10">
      <c r="D616" t="s">
        <v>709</v>
      </c>
      <c r="E616" t="s">
        <v>700</v>
      </c>
      <c r="F616">
        <v>1461.5</v>
      </c>
      <c r="G616">
        <v>1462.5</v>
      </c>
      <c r="H616">
        <v>1454.5</v>
      </c>
      <c r="I616">
        <v>1456.5</v>
      </c>
      <c r="J616">
        <v>473600</v>
      </c>
    </row>
    <row r="617" spans="4:10">
      <c r="D617" t="s">
        <v>709</v>
      </c>
      <c r="E617" t="s">
        <v>633</v>
      </c>
      <c r="F617">
        <v>1456.5</v>
      </c>
      <c r="G617">
        <v>1460</v>
      </c>
      <c r="H617">
        <v>1455.5</v>
      </c>
      <c r="I617">
        <v>1459</v>
      </c>
      <c r="J617">
        <v>385900</v>
      </c>
    </row>
    <row r="618" spans="4:10">
      <c r="D618" t="s">
        <v>709</v>
      </c>
      <c r="E618" t="s">
        <v>634</v>
      </c>
      <c r="F618">
        <v>1459</v>
      </c>
      <c r="G618">
        <v>1462</v>
      </c>
      <c r="H618">
        <v>1459</v>
      </c>
      <c r="I618">
        <v>1461</v>
      </c>
      <c r="J618">
        <v>436200</v>
      </c>
    </row>
    <row r="619" spans="4:10">
      <c r="D619" t="s">
        <v>709</v>
      </c>
      <c r="E619" t="s">
        <v>635</v>
      </c>
      <c r="F619">
        <v>1461</v>
      </c>
      <c r="G619">
        <v>1461</v>
      </c>
      <c r="H619">
        <v>1457.5</v>
      </c>
      <c r="I619">
        <v>1458.5</v>
      </c>
      <c r="J619">
        <v>559100</v>
      </c>
    </row>
    <row r="620" spans="4:10">
      <c r="D620" t="s">
        <v>709</v>
      </c>
      <c r="E620" t="s">
        <v>614</v>
      </c>
      <c r="F620">
        <v>1458.5</v>
      </c>
      <c r="G620">
        <v>1461</v>
      </c>
      <c r="H620">
        <v>1457</v>
      </c>
      <c r="I620">
        <v>1460</v>
      </c>
      <c r="J620">
        <v>683200</v>
      </c>
    </row>
    <row r="621" spans="4:10">
      <c r="D621" t="s">
        <v>709</v>
      </c>
      <c r="E621" t="s">
        <v>636</v>
      </c>
      <c r="F621" t="s">
        <v>35</v>
      </c>
      <c r="G621" t="s">
        <v>35</v>
      </c>
      <c r="H621" t="s">
        <v>35</v>
      </c>
      <c r="I621" t="s">
        <v>35</v>
      </c>
      <c r="J621">
        <v>0</v>
      </c>
    </row>
    <row r="622" spans="4:10">
      <c r="D622" t="s">
        <v>709</v>
      </c>
      <c r="E622" t="s">
        <v>637</v>
      </c>
      <c r="F622">
        <v>1454.5</v>
      </c>
      <c r="G622">
        <v>1454.5</v>
      </c>
      <c r="H622">
        <v>1454.5</v>
      </c>
      <c r="I622">
        <v>1454.5</v>
      </c>
      <c r="J622">
        <v>2839200</v>
      </c>
    </row>
    <row r="623" spans="4:10">
      <c r="D623" t="s">
        <v>710</v>
      </c>
      <c r="E623" t="s">
        <v>639</v>
      </c>
      <c r="F623" t="s">
        <v>35</v>
      </c>
      <c r="G623" t="s">
        <v>35</v>
      </c>
      <c r="H623" t="s">
        <v>35</v>
      </c>
      <c r="I623" t="s">
        <v>35</v>
      </c>
      <c r="J623">
        <v>0</v>
      </c>
    </row>
    <row r="624" spans="4:10">
      <c r="D624" t="s">
        <v>710</v>
      </c>
      <c r="E624" t="s">
        <v>640</v>
      </c>
      <c r="F624" t="s">
        <v>35</v>
      </c>
      <c r="G624" t="s">
        <v>35</v>
      </c>
      <c r="H624" t="s">
        <v>35</v>
      </c>
      <c r="I624" t="s">
        <v>35</v>
      </c>
      <c r="J624">
        <v>0</v>
      </c>
    </row>
    <row r="625" spans="4:10">
      <c r="D625" t="s">
        <v>710</v>
      </c>
      <c r="E625" t="s">
        <v>641</v>
      </c>
      <c r="F625" t="s">
        <v>35</v>
      </c>
      <c r="G625" t="s">
        <v>35</v>
      </c>
      <c r="H625" t="s">
        <v>35</v>
      </c>
      <c r="I625" t="s">
        <v>35</v>
      </c>
      <c r="J625">
        <v>0</v>
      </c>
    </row>
    <row r="626" spans="4:10">
      <c r="D626" t="s">
        <v>710</v>
      </c>
      <c r="E626" t="s">
        <v>642</v>
      </c>
      <c r="F626" t="s">
        <v>35</v>
      </c>
      <c r="G626" t="s">
        <v>35</v>
      </c>
      <c r="H626" t="s">
        <v>35</v>
      </c>
      <c r="I626" t="s">
        <v>35</v>
      </c>
      <c r="J626">
        <v>0</v>
      </c>
    </row>
    <row r="627" spans="4:10">
      <c r="D627" t="s">
        <v>710</v>
      </c>
      <c r="E627" t="s">
        <v>643</v>
      </c>
      <c r="F627">
        <v>1244.5</v>
      </c>
      <c r="G627">
        <v>1247.5</v>
      </c>
      <c r="H627">
        <v>1188</v>
      </c>
      <c r="I627">
        <v>1202.5</v>
      </c>
      <c r="J627">
        <v>14926200</v>
      </c>
    </row>
    <row r="628" spans="4:10">
      <c r="D628" t="s">
        <v>710</v>
      </c>
      <c r="E628" t="s">
        <v>644</v>
      </c>
      <c r="F628">
        <v>1201.5</v>
      </c>
      <c r="G628">
        <v>1233.5</v>
      </c>
      <c r="H628">
        <v>1200</v>
      </c>
      <c r="I628">
        <v>1228</v>
      </c>
      <c r="J628">
        <v>4320400</v>
      </c>
    </row>
    <row r="629" spans="4:10">
      <c r="D629" t="s">
        <v>710</v>
      </c>
      <c r="E629" t="s">
        <v>645</v>
      </c>
      <c r="F629">
        <v>1228.5</v>
      </c>
      <c r="G629">
        <v>1234</v>
      </c>
      <c r="H629">
        <v>1205.5</v>
      </c>
      <c r="I629">
        <v>1214.5</v>
      </c>
      <c r="J629">
        <v>3545500</v>
      </c>
    </row>
    <row r="630" spans="4:10">
      <c r="D630" t="s">
        <v>710</v>
      </c>
      <c r="E630" t="s">
        <v>646</v>
      </c>
      <c r="F630">
        <v>1214.5</v>
      </c>
      <c r="G630">
        <v>1226</v>
      </c>
      <c r="H630">
        <v>1209</v>
      </c>
      <c r="I630">
        <v>1209.5</v>
      </c>
      <c r="J630">
        <v>2509900</v>
      </c>
    </row>
    <row r="631" spans="4:10">
      <c r="D631" t="s">
        <v>710</v>
      </c>
      <c r="E631" t="s">
        <v>647</v>
      </c>
      <c r="F631">
        <v>1209.5</v>
      </c>
      <c r="G631">
        <v>1213</v>
      </c>
      <c r="H631">
        <v>1203</v>
      </c>
      <c r="I631">
        <v>1204</v>
      </c>
      <c r="J631">
        <v>1968600</v>
      </c>
    </row>
    <row r="632" spans="4:10">
      <c r="D632" t="s">
        <v>710</v>
      </c>
      <c r="E632" t="s">
        <v>648</v>
      </c>
      <c r="F632">
        <v>1204</v>
      </c>
      <c r="G632">
        <v>1214.5</v>
      </c>
      <c r="H632">
        <v>1176</v>
      </c>
      <c r="I632">
        <v>1185</v>
      </c>
      <c r="J632">
        <v>5281800</v>
      </c>
    </row>
    <row r="633" spans="4:10">
      <c r="D633" t="s">
        <v>710</v>
      </c>
      <c r="E633" t="s">
        <v>649</v>
      </c>
      <c r="F633">
        <v>1185.5</v>
      </c>
      <c r="G633">
        <v>1192.5</v>
      </c>
      <c r="H633">
        <v>1173.5</v>
      </c>
      <c r="I633">
        <v>1176</v>
      </c>
      <c r="J633">
        <v>3601700</v>
      </c>
    </row>
    <row r="634" spans="4:10">
      <c r="D634" t="s">
        <v>710</v>
      </c>
      <c r="E634" t="s">
        <v>650</v>
      </c>
      <c r="F634">
        <v>1176</v>
      </c>
      <c r="G634">
        <v>1182.5</v>
      </c>
      <c r="H634">
        <v>1166.5</v>
      </c>
      <c r="I634">
        <v>1181</v>
      </c>
      <c r="J634">
        <v>3192400</v>
      </c>
    </row>
    <row r="635" spans="4:10">
      <c r="D635" t="s">
        <v>710</v>
      </c>
      <c r="E635" t="s">
        <v>651</v>
      </c>
      <c r="F635">
        <v>1181</v>
      </c>
      <c r="G635">
        <v>1181.5</v>
      </c>
      <c r="H635">
        <v>1170.5</v>
      </c>
      <c r="I635">
        <v>1174.5</v>
      </c>
      <c r="J635">
        <v>1728500</v>
      </c>
    </row>
    <row r="636" spans="4:10">
      <c r="D636" t="s">
        <v>710</v>
      </c>
      <c r="E636" t="s">
        <v>652</v>
      </c>
      <c r="F636">
        <v>1175</v>
      </c>
      <c r="G636">
        <v>1177</v>
      </c>
      <c r="H636">
        <v>1166.5</v>
      </c>
      <c r="I636">
        <v>1167.5</v>
      </c>
      <c r="J636">
        <v>2611800</v>
      </c>
    </row>
    <row r="637" spans="4:10">
      <c r="D637" t="s">
        <v>710</v>
      </c>
      <c r="E637" t="s">
        <v>653</v>
      </c>
      <c r="F637">
        <v>1168</v>
      </c>
      <c r="G637">
        <v>1176</v>
      </c>
      <c r="H637">
        <v>1166.5</v>
      </c>
      <c r="I637">
        <v>1170.5</v>
      </c>
      <c r="J637">
        <v>1681900</v>
      </c>
    </row>
    <row r="638" spans="4:10">
      <c r="D638" t="s">
        <v>710</v>
      </c>
      <c r="E638" t="s">
        <v>654</v>
      </c>
      <c r="F638">
        <v>1170.5</v>
      </c>
      <c r="G638">
        <v>1172.5</v>
      </c>
      <c r="H638">
        <v>1163</v>
      </c>
      <c r="I638">
        <v>1163</v>
      </c>
      <c r="J638">
        <v>2156700</v>
      </c>
    </row>
    <row r="639" spans="4:10">
      <c r="D639" t="s">
        <v>710</v>
      </c>
      <c r="E639" t="s">
        <v>655</v>
      </c>
      <c r="F639">
        <v>1163.5</v>
      </c>
      <c r="G639">
        <v>1185.5</v>
      </c>
      <c r="H639">
        <v>1163</v>
      </c>
      <c r="I639">
        <v>1181.5</v>
      </c>
      <c r="J639">
        <v>2488100</v>
      </c>
    </row>
    <row r="640" spans="4:10">
      <c r="D640" t="s">
        <v>710</v>
      </c>
      <c r="E640" t="s">
        <v>656</v>
      </c>
      <c r="F640">
        <v>1182</v>
      </c>
      <c r="G640">
        <v>1186.5</v>
      </c>
      <c r="H640">
        <v>1179</v>
      </c>
      <c r="I640">
        <v>1180.5</v>
      </c>
      <c r="J640">
        <v>1412000</v>
      </c>
    </row>
    <row r="641" spans="4:10">
      <c r="D641" t="s">
        <v>710</v>
      </c>
      <c r="E641" t="s">
        <v>657</v>
      </c>
      <c r="F641">
        <v>1180.5</v>
      </c>
      <c r="G641">
        <v>1182</v>
      </c>
      <c r="H641">
        <v>1176</v>
      </c>
      <c r="I641">
        <v>1176</v>
      </c>
      <c r="J641">
        <v>834800</v>
      </c>
    </row>
    <row r="642" spans="4:10">
      <c r="D642" t="s">
        <v>710</v>
      </c>
      <c r="E642" t="s">
        <v>658</v>
      </c>
      <c r="F642">
        <v>1176.5</v>
      </c>
      <c r="G642">
        <v>1181.5</v>
      </c>
      <c r="H642">
        <v>1175</v>
      </c>
      <c r="I642">
        <v>1179.5</v>
      </c>
      <c r="J642">
        <v>1124100</v>
      </c>
    </row>
    <row r="643" spans="4:10">
      <c r="D643" t="s">
        <v>710</v>
      </c>
      <c r="E643" t="s">
        <v>659</v>
      </c>
      <c r="F643">
        <v>1179.5</v>
      </c>
      <c r="G643">
        <v>1180.5</v>
      </c>
      <c r="H643">
        <v>1176.5</v>
      </c>
      <c r="I643">
        <v>1178.5</v>
      </c>
      <c r="J643">
        <v>725600</v>
      </c>
    </row>
    <row r="644" spans="4:10">
      <c r="D644" t="s">
        <v>710</v>
      </c>
      <c r="E644" t="s">
        <v>660</v>
      </c>
      <c r="F644">
        <v>1179</v>
      </c>
      <c r="G644">
        <v>1186</v>
      </c>
      <c r="H644">
        <v>1177.5</v>
      </c>
      <c r="I644">
        <v>1182</v>
      </c>
      <c r="J644">
        <v>1036000</v>
      </c>
    </row>
    <row r="645" spans="4:10">
      <c r="D645" t="s">
        <v>710</v>
      </c>
      <c r="E645" t="s">
        <v>661</v>
      </c>
      <c r="F645">
        <v>1182.5</v>
      </c>
      <c r="G645">
        <v>1187.5</v>
      </c>
      <c r="H645">
        <v>1179.5</v>
      </c>
      <c r="I645">
        <v>1182.5</v>
      </c>
      <c r="J645">
        <v>742400</v>
      </c>
    </row>
    <row r="646" spans="4:10">
      <c r="D646" t="s">
        <v>710</v>
      </c>
      <c r="E646" t="s">
        <v>662</v>
      </c>
      <c r="F646">
        <v>1182</v>
      </c>
      <c r="G646">
        <v>1182</v>
      </c>
      <c r="H646">
        <v>1172.5</v>
      </c>
      <c r="I646">
        <v>1176</v>
      </c>
      <c r="J646">
        <v>1349200</v>
      </c>
    </row>
    <row r="647" spans="4:10">
      <c r="D647" t="s">
        <v>710</v>
      </c>
      <c r="E647" t="s">
        <v>663</v>
      </c>
      <c r="F647">
        <v>1176.5</v>
      </c>
      <c r="G647">
        <v>1184</v>
      </c>
      <c r="H647">
        <v>1175.5</v>
      </c>
      <c r="I647">
        <v>1180.5</v>
      </c>
      <c r="J647">
        <v>795400</v>
      </c>
    </row>
    <row r="648" spans="4:10">
      <c r="D648" t="s">
        <v>710</v>
      </c>
      <c r="E648" t="s">
        <v>664</v>
      </c>
      <c r="F648">
        <v>1181.5</v>
      </c>
      <c r="G648">
        <v>1182.5</v>
      </c>
      <c r="H648">
        <v>1178.5</v>
      </c>
      <c r="I648">
        <v>1181.5</v>
      </c>
      <c r="J648">
        <v>627200</v>
      </c>
    </row>
    <row r="649" spans="4:10">
      <c r="D649" t="s">
        <v>710</v>
      </c>
      <c r="E649" t="s">
        <v>665</v>
      </c>
      <c r="F649">
        <v>1181.5</v>
      </c>
      <c r="G649">
        <v>1188.5</v>
      </c>
      <c r="H649">
        <v>1178</v>
      </c>
      <c r="I649">
        <v>1178.5</v>
      </c>
      <c r="J649">
        <v>1183000</v>
      </c>
    </row>
    <row r="650" spans="4:10">
      <c r="D650" t="s">
        <v>710</v>
      </c>
      <c r="E650" t="s">
        <v>666</v>
      </c>
      <c r="F650">
        <v>1178</v>
      </c>
      <c r="G650">
        <v>1181.5</v>
      </c>
      <c r="H650">
        <v>1177.5</v>
      </c>
      <c r="I650">
        <v>1180</v>
      </c>
      <c r="J650">
        <v>409300</v>
      </c>
    </row>
    <row r="651" spans="4:10">
      <c r="D651" t="s">
        <v>710</v>
      </c>
      <c r="E651" t="s">
        <v>667</v>
      </c>
      <c r="F651">
        <v>1180.5</v>
      </c>
      <c r="G651">
        <v>1194</v>
      </c>
      <c r="H651">
        <v>1180</v>
      </c>
      <c r="I651">
        <v>1194</v>
      </c>
      <c r="J651">
        <v>965800</v>
      </c>
    </row>
    <row r="652" spans="4:10">
      <c r="D652" t="s">
        <v>710</v>
      </c>
      <c r="E652" t="s">
        <v>668</v>
      </c>
      <c r="F652">
        <v>1194</v>
      </c>
      <c r="G652">
        <v>1199.5</v>
      </c>
      <c r="H652">
        <v>1193</v>
      </c>
      <c r="I652">
        <v>1198.5</v>
      </c>
      <c r="J652">
        <v>1234400</v>
      </c>
    </row>
    <row r="653" spans="4:10">
      <c r="D653" t="s">
        <v>710</v>
      </c>
      <c r="E653" t="s">
        <v>669</v>
      </c>
      <c r="F653">
        <v>1199</v>
      </c>
      <c r="G653">
        <v>1199</v>
      </c>
      <c r="H653">
        <v>1199</v>
      </c>
      <c r="I653">
        <v>1199</v>
      </c>
      <c r="J653">
        <v>43000</v>
      </c>
    </row>
    <row r="654" spans="4:10">
      <c r="D654" t="s">
        <v>710</v>
      </c>
      <c r="E654" t="s">
        <v>670</v>
      </c>
      <c r="F654">
        <v>1206</v>
      </c>
      <c r="G654">
        <v>1206</v>
      </c>
      <c r="H654">
        <v>1190.5</v>
      </c>
      <c r="I654">
        <v>1192.5</v>
      </c>
      <c r="J654">
        <v>3113000</v>
      </c>
    </row>
    <row r="655" spans="4:10">
      <c r="D655" t="s">
        <v>710</v>
      </c>
      <c r="E655" t="s">
        <v>671</v>
      </c>
      <c r="F655">
        <v>1192</v>
      </c>
      <c r="G655">
        <v>1192.5</v>
      </c>
      <c r="H655">
        <v>1185</v>
      </c>
      <c r="I655">
        <v>1186</v>
      </c>
      <c r="J655">
        <v>1051100</v>
      </c>
    </row>
    <row r="656" spans="4:10">
      <c r="D656" t="s">
        <v>710</v>
      </c>
      <c r="E656" t="s">
        <v>672</v>
      </c>
      <c r="F656">
        <v>1186</v>
      </c>
      <c r="G656">
        <v>1193.5</v>
      </c>
      <c r="H656">
        <v>1185.5</v>
      </c>
      <c r="I656">
        <v>1191</v>
      </c>
      <c r="J656">
        <v>789800</v>
      </c>
    </row>
    <row r="657" spans="4:10">
      <c r="D657" t="s">
        <v>710</v>
      </c>
      <c r="E657" t="s">
        <v>673</v>
      </c>
      <c r="F657">
        <v>1191</v>
      </c>
      <c r="G657">
        <v>1192</v>
      </c>
      <c r="H657">
        <v>1185.5</v>
      </c>
      <c r="I657">
        <v>1187.5</v>
      </c>
      <c r="J657">
        <v>717300</v>
      </c>
    </row>
    <row r="658" spans="4:10">
      <c r="D658" t="s">
        <v>710</v>
      </c>
      <c r="E658" t="s">
        <v>674</v>
      </c>
      <c r="F658">
        <v>1187.5</v>
      </c>
      <c r="G658">
        <v>1193.5</v>
      </c>
      <c r="H658">
        <v>1186</v>
      </c>
      <c r="I658">
        <v>1192</v>
      </c>
      <c r="J658">
        <v>536000</v>
      </c>
    </row>
    <row r="659" spans="4:10">
      <c r="D659" t="s">
        <v>710</v>
      </c>
      <c r="E659" t="s">
        <v>675</v>
      </c>
      <c r="F659">
        <v>1192</v>
      </c>
      <c r="G659">
        <v>1192</v>
      </c>
      <c r="H659">
        <v>1189.5</v>
      </c>
      <c r="I659">
        <v>1192</v>
      </c>
      <c r="J659">
        <v>451700</v>
      </c>
    </row>
    <row r="660" spans="4:10">
      <c r="D660" t="s">
        <v>710</v>
      </c>
      <c r="E660" t="s">
        <v>676</v>
      </c>
      <c r="F660">
        <v>1192</v>
      </c>
      <c r="G660">
        <v>1192</v>
      </c>
      <c r="H660">
        <v>1189.5</v>
      </c>
      <c r="I660">
        <v>1190.5</v>
      </c>
      <c r="J660">
        <v>297800</v>
      </c>
    </row>
    <row r="661" spans="4:10">
      <c r="D661" t="s">
        <v>710</v>
      </c>
      <c r="E661" t="s">
        <v>677</v>
      </c>
      <c r="F661">
        <v>1190.5</v>
      </c>
      <c r="G661">
        <v>1190.5</v>
      </c>
      <c r="H661">
        <v>1187</v>
      </c>
      <c r="I661">
        <v>1187</v>
      </c>
      <c r="J661">
        <v>489100</v>
      </c>
    </row>
    <row r="662" spans="4:10">
      <c r="D662" t="s">
        <v>710</v>
      </c>
      <c r="E662" t="s">
        <v>678</v>
      </c>
      <c r="F662">
        <v>1187</v>
      </c>
      <c r="G662">
        <v>1187.5</v>
      </c>
      <c r="H662">
        <v>1182</v>
      </c>
      <c r="I662">
        <v>1183</v>
      </c>
      <c r="J662">
        <v>840100</v>
      </c>
    </row>
    <row r="663" spans="4:10">
      <c r="D663" t="s">
        <v>710</v>
      </c>
      <c r="E663" t="s">
        <v>679</v>
      </c>
      <c r="F663">
        <v>1183.5</v>
      </c>
      <c r="G663">
        <v>1186</v>
      </c>
      <c r="H663">
        <v>1183</v>
      </c>
      <c r="I663">
        <v>1184</v>
      </c>
      <c r="J663">
        <v>597800</v>
      </c>
    </row>
    <row r="664" spans="4:10">
      <c r="D664" t="s">
        <v>710</v>
      </c>
      <c r="E664" t="s">
        <v>680</v>
      </c>
      <c r="F664">
        <v>1184</v>
      </c>
      <c r="G664">
        <v>1184.5</v>
      </c>
      <c r="H664">
        <v>1182.5</v>
      </c>
      <c r="I664">
        <v>1183.5</v>
      </c>
      <c r="J664">
        <v>365000</v>
      </c>
    </row>
    <row r="665" spans="4:10">
      <c r="D665" t="s">
        <v>710</v>
      </c>
      <c r="E665" t="s">
        <v>681</v>
      </c>
      <c r="F665">
        <v>1183.5</v>
      </c>
      <c r="G665">
        <v>1183.5</v>
      </c>
      <c r="H665">
        <v>1180.5</v>
      </c>
      <c r="I665">
        <v>1180.5</v>
      </c>
      <c r="J665">
        <v>541100</v>
      </c>
    </row>
    <row r="666" spans="4:10">
      <c r="D666" t="s">
        <v>710</v>
      </c>
      <c r="E666" t="s">
        <v>682</v>
      </c>
      <c r="F666">
        <v>1180.5</v>
      </c>
      <c r="G666">
        <v>1184</v>
      </c>
      <c r="H666">
        <v>1179</v>
      </c>
      <c r="I666">
        <v>1182.5</v>
      </c>
      <c r="J666">
        <v>867800</v>
      </c>
    </row>
    <row r="667" spans="4:10">
      <c r="D667" t="s">
        <v>710</v>
      </c>
      <c r="E667" t="s">
        <v>683</v>
      </c>
      <c r="F667">
        <v>1182.5</v>
      </c>
      <c r="G667">
        <v>1184.5</v>
      </c>
      <c r="H667">
        <v>1181</v>
      </c>
      <c r="I667">
        <v>1183</v>
      </c>
      <c r="J667">
        <v>353900</v>
      </c>
    </row>
    <row r="668" spans="4:10">
      <c r="D668" t="s">
        <v>710</v>
      </c>
      <c r="E668" t="s">
        <v>684</v>
      </c>
      <c r="F668">
        <v>1183</v>
      </c>
      <c r="G668">
        <v>1189</v>
      </c>
      <c r="H668">
        <v>1181.5</v>
      </c>
      <c r="I668">
        <v>1189</v>
      </c>
      <c r="J668">
        <v>571400</v>
      </c>
    </row>
    <row r="669" spans="4:10">
      <c r="D669" t="s">
        <v>710</v>
      </c>
      <c r="E669" t="s">
        <v>685</v>
      </c>
      <c r="F669">
        <v>1188.5</v>
      </c>
      <c r="G669">
        <v>1194.5</v>
      </c>
      <c r="H669">
        <v>1188.5</v>
      </c>
      <c r="I669">
        <v>1193.5</v>
      </c>
      <c r="J669">
        <v>632900</v>
      </c>
    </row>
    <row r="670" spans="4:10">
      <c r="D670" t="s">
        <v>710</v>
      </c>
      <c r="E670" t="s">
        <v>686</v>
      </c>
      <c r="F670">
        <v>1193.5</v>
      </c>
      <c r="G670">
        <v>1193.5</v>
      </c>
      <c r="H670">
        <v>1188</v>
      </c>
      <c r="I670">
        <v>1189</v>
      </c>
      <c r="J670">
        <v>507900</v>
      </c>
    </row>
    <row r="671" spans="4:10">
      <c r="D671" t="s">
        <v>710</v>
      </c>
      <c r="E671" t="s">
        <v>687</v>
      </c>
      <c r="F671">
        <v>1189</v>
      </c>
      <c r="G671">
        <v>1189</v>
      </c>
      <c r="H671">
        <v>1184.5</v>
      </c>
      <c r="I671">
        <v>1185.5</v>
      </c>
      <c r="J671">
        <v>467100</v>
      </c>
    </row>
    <row r="672" spans="4:10">
      <c r="D672" t="s">
        <v>710</v>
      </c>
      <c r="E672" t="s">
        <v>688</v>
      </c>
      <c r="F672">
        <v>1185.5</v>
      </c>
      <c r="G672">
        <v>1188</v>
      </c>
      <c r="H672">
        <v>1183.5</v>
      </c>
      <c r="I672">
        <v>1183.5</v>
      </c>
      <c r="J672">
        <v>352900</v>
      </c>
    </row>
    <row r="673" spans="4:10">
      <c r="D673" t="s">
        <v>710</v>
      </c>
      <c r="E673" t="s">
        <v>689</v>
      </c>
      <c r="F673">
        <v>1183.5</v>
      </c>
      <c r="G673">
        <v>1185</v>
      </c>
      <c r="H673">
        <v>1183.5</v>
      </c>
      <c r="I673">
        <v>1184.5</v>
      </c>
      <c r="J673">
        <v>317800</v>
      </c>
    </row>
    <row r="674" spans="4:10">
      <c r="D674" t="s">
        <v>710</v>
      </c>
      <c r="E674" t="s">
        <v>690</v>
      </c>
      <c r="F674">
        <v>1184.5</v>
      </c>
      <c r="G674">
        <v>1185</v>
      </c>
      <c r="H674">
        <v>1182</v>
      </c>
      <c r="I674">
        <v>1183</v>
      </c>
      <c r="J674">
        <v>418700</v>
      </c>
    </row>
    <row r="675" spans="4:10">
      <c r="D675" t="s">
        <v>710</v>
      </c>
      <c r="E675" t="s">
        <v>691</v>
      </c>
      <c r="F675">
        <v>1183</v>
      </c>
      <c r="G675">
        <v>1184</v>
      </c>
      <c r="H675">
        <v>1182</v>
      </c>
      <c r="I675">
        <v>1182</v>
      </c>
      <c r="J675">
        <v>330900</v>
      </c>
    </row>
    <row r="676" spans="4:10">
      <c r="D676" t="s">
        <v>710</v>
      </c>
      <c r="E676" t="s">
        <v>692</v>
      </c>
      <c r="F676">
        <v>1182.5</v>
      </c>
      <c r="G676">
        <v>1182.5</v>
      </c>
      <c r="H676">
        <v>1181</v>
      </c>
      <c r="I676">
        <v>1182</v>
      </c>
      <c r="J676">
        <v>447200</v>
      </c>
    </row>
    <row r="677" spans="4:10">
      <c r="D677" t="s">
        <v>710</v>
      </c>
      <c r="E677" t="s">
        <v>693</v>
      </c>
      <c r="F677">
        <v>1182</v>
      </c>
      <c r="G677">
        <v>1189</v>
      </c>
      <c r="H677">
        <v>1181.5</v>
      </c>
      <c r="I677">
        <v>1187</v>
      </c>
      <c r="J677">
        <v>674000</v>
      </c>
    </row>
    <row r="678" spans="4:10">
      <c r="D678" t="s">
        <v>710</v>
      </c>
      <c r="E678" t="s">
        <v>694</v>
      </c>
      <c r="F678">
        <v>1187.5</v>
      </c>
      <c r="G678">
        <v>1188</v>
      </c>
      <c r="H678">
        <v>1185.5</v>
      </c>
      <c r="I678">
        <v>1187</v>
      </c>
      <c r="J678">
        <v>410300</v>
      </c>
    </row>
    <row r="679" spans="4:10">
      <c r="D679" t="s">
        <v>710</v>
      </c>
      <c r="E679" t="s">
        <v>695</v>
      </c>
      <c r="F679">
        <v>1187</v>
      </c>
      <c r="G679">
        <v>1188.5</v>
      </c>
      <c r="H679">
        <v>1186</v>
      </c>
      <c r="I679">
        <v>1188</v>
      </c>
      <c r="J679">
        <v>356300</v>
      </c>
    </row>
    <row r="680" spans="4:10">
      <c r="D680" t="s">
        <v>710</v>
      </c>
      <c r="E680" t="s">
        <v>696</v>
      </c>
      <c r="F680">
        <v>1188.5</v>
      </c>
      <c r="G680">
        <v>1189.5</v>
      </c>
      <c r="H680">
        <v>1186.5</v>
      </c>
      <c r="I680">
        <v>1187.5</v>
      </c>
      <c r="J680">
        <v>377600</v>
      </c>
    </row>
    <row r="681" spans="4:10">
      <c r="D681" t="s">
        <v>710</v>
      </c>
      <c r="E681" t="s">
        <v>697</v>
      </c>
      <c r="F681">
        <v>1187.5</v>
      </c>
      <c r="G681">
        <v>1188</v>
      </c>
      <c r="H681">
        <v>1186.5</v>
      </c>
      <c r="I681">
        <v>1187.5</v>
      </c>
      <c r="J681">
        <v>278600</v>
      </c>
    </row>
    <row r="682" spans="4:10">
      <c r="D682" t="s">
        <v>710</v>
      </c>
      <c r="E682" t="s">
        <v>698</v>
      </c>
      <c r="F682">
        <v>1187.5</v>
      </c>
      <c r="G682">
        <v>1189.5</v>
      </c>
      <c r="H682">
        <v>1187</v>
      </c>
      <c r="I682">
        <v>1189</v>
      </c>
      <c r="J682">
        <v>412600</v>
      </c>
    </row>
    <row r="683" spans="4:10">
      <c r="D683" t="s">
        <v>710</v>
      </c>
      <c r="E683" t="s">
        <v>699</v>
      </c>
      <c r="F683">
        <v>1188.5</v>
      </c>
      <c r="G683">
        <v>1192.5</v>
      </c>
      <c r="H683">
        <v>1188.5</v>
      </c>
      <c r="I683">
        <v>1191</v>
      </c>
      <c r="J683">
        <v>735200</v>
      </c>
    </row>
    <row r="684" spans="4:10">
      <c r="D684" t="s">
        <v>710</v>
      </c>
      <c r="E684" t="s">
        <v>700</v>
      </c>
      <c r="F684">
        <v>1191</v>
      </c>
      <c r="G684">
        <v>1196</v>
      </c>
      <c r="H684">
        <v>1191</v>
      </c>
      <c r="I684">
        <v>1194</v>
      </c>
      <c r="J684">
        <v>849200</v>
      </c>
    </row>
    <row r="685" spans="4:10">
      <c r="D685" t="s">
        <v>710</v>
      </c>
      <c r="E685" t="s">
        <v>633</v>
      </c>
      <c r="F685">
        <v>1193.5</v>
      </c>
      <c r="G685">
        <v>1194</v>
      </c>
      <c r="H685">
        <v>1190.5</v>
      </c>
      <c r="I685">
        <v>1191</v>
      </c>
      <c r="J685">
        <v>549200</v>
      </c>
    </row>
    <row r="686" spans="4:10">
      <c r="D686" t="s">
        <v>710</v>
      </c>
      <c r="E686" t="s">
        <v>634</v>
      </c>
      <c r="F686">
        <v>1191</v>
      </c>
      <c r="G686">
        <v>1194.5</v>
      </c>
      <c r="H686">
        <v>1190</v>
      </c>
      <c r="I686">
        <v>1192.5</v>
      </c>
      <c r="J686">
        <v>531200</v>
      </c>
    </row>
    <row r="687" spans="4:10">
      <c r="D687" t="s">
        <v>710</v>
      </c>
      <c r="E687" t="s">
        <v>635</v>
      </c>
      <c r="F687">
        <v>1193</v>
      </c>
      <c r="G687">
        <v>1193</v>
      </c>
      <c r="H687">
        <v>1188</v>
      </c>
      <c r="I687">
        <v>1190</v>
      </c>
      <c r="J687">
        <v>1300200</v>
      </c>
    </row>
    <row r="688" spans="4:10">
      <c r="D688" t="s">
        <v>710</v>
      </c>
      <c r="E688" t="s">
        <v>614</v>
      </c>
      <c r="F688">
        <v>1190</v>
      </c>
      <c r="G688">
        <v>1191</v>
      </c>
      <c r="H688">
        <v>1188</v>
      </c>
      <c r="I688">
        <v>1191</v>
      </c>
      <c r="J688">
        <v>921300</v>
      </c>
    </row>
    <row r="689" spans="4:10">
      <c r="D689" t="s">
        <v>710</v>
      </c>
      <c r="E689" t="s">
        <v>636</v>
      </c>
      <c r="F689" t="s">
        <v>35</v>
      </c>
      <c r="G689" t="s">
        <v>35</v>
      </c>
      <c r="H689" t="s">
        <v>35</v>
      </c>
      <c r="I689" t="s">
        <v>35</v>
      </c>
      <c r="J689">
        <v>0</v>
      </c>
    </row>
    <row r="690" spans="4:10">
      <c r="D690" t="s">
        <v>710</v>
      </c>
      <c r="E690" t="s">
        <v>637</v>
      </c>
      <c r="F690">
        <v>1191</v>
      </c>
      <c r="G690">
        <v>1191</v>
      </c>
      <c r="H690">
        <v>1191</v>
      </c>
      <c r="I690">
        <v>1191</v>
      </c>
      <c r="J690">
        <v>4594200</v>
      </c>
    </row>
    <row r="691" spans="4:10">
      <c r="D691" t="s">
        <v>711</v>
      </c>
      <c r="E691" t="s">
        <v>639</v>
      </c>
      <c r="F691">
        <v>1208</v>
      </c>
      <c r="G691">
        <v>1243</v>
      </c>
      <c r="H691">
        <v>1201.5</v>
      </c>
      <c r="I691">
        <v>1233.5</v>
      </c>
      <c r="J691">
        <v>7638700</v>
      </c>
    </row>
    <row r="692" spans="4:10">
      <c r="D692" t="s">
        <v>711</v>
      </c>
      <c r="E692" t="s">
        <v>640</v>
      </c>
      <c r="F692">
        <v>1233</v>
      </c>
      <c r="G692">
        <v>1244.5</v>
      </c>
      <c r="H692">
        <v>1225</v>
      </c>
      <c r="I692">
        <v>1227.5</v>
      </c>
      <c r="J692">
        <v>2402500</v>
      </c>
    </row>
    <row r="693" spans="4:10">
      <c r="D693" t="s">
        <v>711</v>
      </c>
      <c r="E693" t="s">
        <v>641</v>
      </c>
      <c r="F693">
        <v>1227.5</v>
      </c>
      <c r="G693">
        <v>1232.5</v>
      </c>
      <c r="H693">
        <v>1224.5</v>
      </c>
      <c r="I693">
        <v>1225.5</v>
      </c>
      <c r="J693">
        <v>1368300</v>
      </c>
    </row>
    <row r="694" spans="4:10">
      <c r="D694" t="s">
        <v>711</v>
      </c>
      <c r="E694" t="s">
        <v>642</v>
      </c>
      <c r="F694">
        <v>1226</v>
      </c>
      <c r="G694">
        <v>1238</v>
      </c>
      <c r="H694">
        <v>1225.5</v>
      </c>
      <c r="I694">
        <v>1229</v>
      </c>
      <c r="J694">
        <v>1624600</v>
      </c>
    </row>
    <row r="695" spans="4:10">
      <c r="D695" t="s">
        <v>711</v>
      </c>
      <c r="E695" t="s">
        <v>643</v>
      </c>
      <c r="F695">
        <v>1229</v>
      </c>
      <c r="G695">
        <v>1234</v>
      </c>
      <c r="H695">
        <v>1223.5</v>
      </c>
      <c r="I695">
        <v>1225</v>
      </c>
      <c r="J695">
        <v>1367100</v>
      </c>
    </row>
    <row r="696" spans="4:10">
      <c r="D696" t="s">
        <v>711</v>
      </c>
      <c r="E696" t="s">
        <v>644</v>
      </c>
      <c r="F696">
        <v>1226</v>
      </c>
      <c r="G696">
        <v>1226.5</v>
      </c>
      <c r="H696">
        <v>1220</v>
      </c>
      <c r="I696">
        <v>1223</v>
      </c>
      <c r="J696">
        <v>1233500</v>
      </c>
    </row>
    <row r="697" spans="4:10">
      <c r="D697" t="s">
        <v>711</v>
      </c>
      <c r="E697" t="s">
        <v>645</v>
      </c>
      <c r="F697">
        <v>1223.5</v>
      </c>
      <c r="G697">
        <v>1227.5</v>
      </c>
      <c r="H697">
        <v>1221</v>
      </c>
      <c r="I697">
        <v>1224.5</v>
      </c>
      <c r="J697">
        <v>698100</v>
      </c>
    </row>
    <row r="698" spans="4:10">
      <c r="D698" t="s">
        <v>711</v>
      </c>
      <c r="E698" t="s">
        <v>646</v>
      </c>
      <c r="F698">
        <v>1224</v>
      </c>
      <c r="G698">
        <v>1234</v>
      </c>
      <c r="H698">
        <v>1223.5</v>
      </c>
      <c r="I698">
        <v>1230</v>
      </c>
      <c r="J698">
        <v>861800</v>
      </c>
    </row>
    <row r="699" spans="4:10">
      <c r="D699" t="s">
        <v>711</v>
      </c>
      <c r="E699" t="s">
        <v>647</v>
      </c>
      <c r="F699">
        <v>1230</v>
      </c>
      <c r="G699">
        <v>1232</v>
      </c>
      <c r="H699">
        <v>1220</v>
      </c>
      <c r="I699">
        <v>1225</v>
      </c>
      <c r="J699">
        <v>741700</v>
      </c>
    </row>
    <row r="700" spans="4:10">
      <c r="D700" t="s">
        <v>711</v>
      </c>
      <c r="E700" t="s">
        <v>648</v>
      </c>
      <c r="F700">
        <v>1224.5</v>
      </c>
      <c r="G700">
        <v>1226</v>
      </c>
      <c r="H700">
        <v>1220.5</v>
      </c>
      <c r="I700">
        <v>1224.5</v>
      </c>
      <c r="J700">
        <v>534200</v>
      </c>
    </row>
    <row r="701" spans="4:10">
      <c r="D701" t="s">
        <v>711</v>
      </c>
      <c r="E701" t="s">
        <v>649</v>
      </c>
      <c r="F701">
        <v>1224.5</v>
      </c>
      <c r="G701">
        <v>1225</v>
      </c>
      <c r="H701">
        <v>1217.5</v>
      </c>
      <c r="I701">
        <v>1218.5</v>
      </c>
      <c r="J701">
        <v>834800</v>
      </c>
    </row>
    <row r="702" spans="4:10">
      <c r="D702" t="s">
        <v>711</v>
      </c>
      <c r="E702" t="s">
        <v>650</v>
      </c>
      <c r="F702">
        <v>1218</v>
      </c>
      <c r="G702">
        <v>1222</v>
      </c>
      <c r="H702">
        <v>1212.5</v>
      </c>
      <c r="I702">
        <v>1221.5</v>
      </c>
      <c r="J702">
        <v>778700</v>
      </c>
    </row>
    <row r="703" spans="4:10">
      <c r="D703" t="s">
        <v>711</v>
      </c>
      <c r="E703" t="s">
        <v>651</v>
      </c>
      <c r="F703">
        <v>1221.5</v>
      </c>
      <c r="G703">
        <v>1223.5</v>
      </c>
      <c r="H703">
        <v>1216</v>
      </c>
      <c r="I703">
        <v>1219</v>
      </c>
      <c r="J703">
        <v>539300</v>
      </c>
    </row>
    <row r="704" spans="4:10">
      <c r="D704" t="s">
        <v>711</v>
      </c>
      <c r="E704" t="s">
        <v>652</v>
      </c>
      <c r="F704">
        <v>1219</v>
      </c>
      <c r="G704">
        <v>1224</v>
      </c>
      <c r="H704">
        <v>1218</v>
      </c>
      <c r="I704">
        <v>1222.5</v>
      </c>
      <c r="J704">
        <v>482600</v>
      </c>
    </row>
    <row r="705" spans="4:10">
      <c r="D705" t="s">
        <v>711</v>
      </c>
      <c r="E705" t="s">
        <v>653</v>
      </c>
      <c r="F705">
        <v>1222.5</v>
      </c>
      <c r="G705">
        <v>1228.5</v>
      </c>
      <c r="H705">
        <v>1222</v>
      </c>
      <c r="I705">
        <v>1227.5</v>
      </c>
      <c r="J705">
        <v>657700</v>
      </c>
    </row>
    <row r="706" spans="4:10">
      <c r="D706" t="s">
        <v>711</v>
      </c>
      <c r="E706" t="s">
        <v>654</v>
      </c>
      <c r="F706">
        <v>1227.5</v>
      </c>
      <c r="G706">
        <v>1229.5</v>
      </c>
      <c r="H706">
        <v>1224</v>
      </c>
      <c r="I706">
        <v>1227</v>
      </c>
      <c r="J706">
        <v>510100</v>
      </c>
    </row>
    <row r="707" spans="4:10">
      <c r="D707" t="s">
        <v>711</v>
      </c>
      <c r="E707" t="s">
        <v>655</v>
      </c>
      <c r="F707">
        <v>1227</v>
      </c>
      <c r="G707">
        <v>1228.5</v>
      </c>
      <c r="H707">
        <v>1222</v>
      </c>
      <c r="I707">
        <v>1228</v>
      </c>
      <c r="J707">
        <v>579000</v>
      </c>
    </row>
    <row r="708" spans="4:10">
      <c r="D708" t="s">
        <v>711</v>
      </c>
      <c r="E708" t="s">
        <v>656</v>
      </c>
      <c r="F708">
        <v>1228</v>
      </c>
      <c r="G708">
        <v>1231</v>
      </c>
      <c r="H708">
        <v>1222</v>
      </c>
      <c r="I708">
        <v>1222</v>
      </c>
      <c r="J708">
        <v>567700</v>
      </c>
    </row>
    <row r="709" spans="4:10">
      <c r="D709" t="s">
        <v>711</v>
      </c>
      <c r="E709" t="s">
        <v>657</v>
      </c>
      <c r="F709">
        <v>1222.5</v>
      </c>
      <c r="G709">
        <v>1224.5</v>
      </c>
      <c r="H709">
        <v>1221.5</v>
      </c>
      <c r="I709">
        <v>1222.5</v>
      </c>
      <c r="J709">
        <v>357800</v>
      </c>
    </row>
    <row r="710" spans="4:10">
      <c r="D710" t="s">
        <v>711</v>
      </c>
      <c r="E710" t="s">
        <v>658</v>
      </c>
      <c r="F710">
        <v>1223</v>
      </c>
      <c r="G710">
        <v>1226.5</v>
      </c>
      <c r="H710">
        <v>1220.5</v>
      </c>
      <c r="I710">
        <v>1225</v>
      </c>
      <c r="J710">
        <v>440200</v>
      </c>
    </row>
    <row r="711" spans="4:10">
      <c r="D711" t="s">
        <v>711</v>
      </c>
      <c r="E711" t="s">
        <v>659</v>
      </c>
      <c r="F711">
        <v>1225</v>
      </c>
      <c r="G711">
        <v>1226.5</v>
      </c>
      <c r="H711">
        <v>1220.5</v>
      </c>
      <c r="I711">
        <v>1222</v>
      </c>
      <c r="J711">
        <v>286100</v>
      </c>
    </row>
    <row r="712" spans="4:10">
      <c r="D712" t="s">
        <v>711</v>
      </c>
      <c r="E712" t="s">
        <v>660</v>
      </c>
      <c r="F712">
        <v>1222</v>
      </c>
      <c r="G712">
        <v>1227</v>
      </c>
      <c r="H712">
        <v>1220</v>
      </c>
      <c r="I712">
        <v>1226.5</v>
      </c>
      <c r="J712">
        <v>429300</v>
      </c>
    </row>
    <row r="713" spans="4:10">
      <c r="D713" t="s">
        <v>711</v>
      </c>
      <c r="E713" t="s">
        <v>661</v>
      </c>
      <c r="F713">
        <v>1226.5</v>
      </c>
      <c r="G713">
        <v>1230</v>
      </c>
      <c r="H713">
        <v>1226.5</v>
      </c>
      <c r="I713">
        <v>1228</v>
      </c>
      <c r="J713">
        <v>459400</v>
      </c>
    </row>
    <row r="714" spans="4:10">
      <c r="D714" t="s">
        <v>711</v>
      </c>
      <c r="E714" t="s">
        <v>662</v>
      </c>
      <c r="F714">
        <v>1227.5</v>
      </c>
      <c r="G714">
        <v>1228</v>
      </c>
      <c r="H714">
        <v>1225</v>
      </c>
      <c r="I714">
        <v>1227</v>
      </c>
      <c r="J714">
        <v>184400</v>
      </c>
    </row>
    <row r="715" spans="4:10">
      <c r="D715" t="s">
        <v>711</v>
      </c>
      <c r="E715" t="s">
        <v>663</v>
      </c>
      <c r="F715">
        <v>1227</v>
      </c>
      <c r="G715">
        <v>1228.5</v>
      </c>
      <c r="H715">
        <v>1224</v>
      </c>
      <c r="I715">
        <v>1226</v>
      </c>
      <c r="J715">
        <v>272700</v>
      </c>
    </row>
    <row r="716" spans="4:10">
      <c r="D716" t="s">
        <v>711</v>
      </c>
      <c r="E716" t="s">
        <v>664</v>
      </c>
      <c r="F716">
        <v>1226</v>
      </c>
      <c r="G716">
        <v>1228.5</v>
      </c>
      <c r="H716">
        <v>1222.5</v>
      </c>
      <c r="I716">
        <v>1223</v>
      </c>
      <c r="J716">
        <v>347200</v>
      </c>
    </row>
    <row r="717" spans="4:10">
      <c r="D717" t="s">
        <v>711</v>
      </c>
      <c r="E717" t="s">
        <v>665</v>
      </c>
      <c r="F717">
        <v>1223.5</v>
      </c>
      <c r="G717">
        <v>1224.5</v>
      </c>
      <c r="H717">
        <v>1221.5</v>
      </c>
      <c r="I717">
        <v>1222</v>
      </c>
      <c r="J717">
        <v>286300</v>
      </c>
    </row>
    <row r="718" spans="4:10">
      <c r="D718" t="s">
        <v>711</v>
      </c>
      <c r="E718" t="s">
        <v>666</v>
      </c>
      <c r="F718">
        <v>1222</v>
      </c>
      <c r="G718">
        <v>1225.5</v>
      </c>
      <c r="H718">
        <v>1222</v>
      </c>
      <c r="I718">
        <v>1225.5</v>
      </c>
      <c r="J718">
        <v>209400</v>
      </c>
    </row>
    <row r="719" spans="4:10">
      <c r="D719" t="s">
        <v>711</v>
      </c>
      <c r="E719" t="s">
        <v>667</v>
      </c>
      <c r="F719">
        <v>1225.5</v>
      </c>
      <c r="G719">
        <v>1227.5</v>
      </c>
      <c r="H719">
        <v>1225</v>
      </c>
      <c r="I719">
        <v>1227</v>
      </c>
      <c r="J719">
        <v>373100</v>
      </c>
    </row>
    <row r="720" spans="4:10">
      <c r="D720" t="s">
        <v>711</v>
      </c>
      <c r="E720" t="s">
        <v>668</v>
      </c>
      <c r="F720">
        <v>1227</v>
      </c>
      <c r="G720">
        <v>1227.5</v>
      </c>
      <c r="H720">
        <v>1225</v>
      </c>
      <c r="I720">
        <v>1225</v>
      </c>
      <c r="J720">
        <v>218100</v>
      </c>
    </row>
    <row r="721" spans="4:10">
      <c r="D721" t="s">
        <v>711</v>
      </c>
      <c r="E721" t="s">
        <v>669</v>
      </c>
      <c r="F721">
        <v>1226</v>
      </c>
      <c r="G721">
        <v>1226</v>
      </c>
      <c r="H721">
        <v>1226</v>
      </c>
      <c r="I721">
        <v>1226</v>
      </c>
      <c r="J721">
        <v>41500</v>
      </c>
    </row>
    <row r="722" spans="4:10">
      <c r="D722" t="s">
        <v>711</v>
      </c>
      <c r="E722" t="s">
        <v>670</v>
      </c>
      <c r="F722">
        <v>1228</v>
      </c>
      <c r="G722">
        <v>1231</v>
      </c>
      <c r="H722">
        <v>1225</v>
      </c>
      <c r="I722">
        <v>1229.5</v>
      </c>
      <c r="J722">
        <v>1397000</v>
      </c>
    </row>
    <row r="723" spans="4:10">
      <c r="D723" t="s">
        <v>711</v>
      </c>
      <c r="E723" t="s">
        <v>671</v>
      </c>
      <c r="F723">
        <v>1229.5</v>
      </c>
      <c r="G723">
        <v>1229.5</v>
      </c>
      <c r="H723">
        <v>1223</v>
      </c>
      <c r="I723">
        <v>1224.5</v>
      </c>
      <c r="J723">
        <v>426100</v>
      </c>
    </row>
    <row r="724" spans="4:10">
      <c r="D724" t="s">
        <v>711</v>
      </c>
      <c r="E724" t="s">
        <v>672</v>
      </c>
      <c r="F724">
        <v>1224.5</v>
      </c>
      <c r="G724">
        <v>1227</v>
      </c>
      <c r="H724">
        <v>1224</v>
      </c>
      <c r="I724">
        <v>1226.5</v>
      </c>
      <c r="J724">
        <v>266300</v>
      </c>
    </row>
    <row r="725" spans="4:10">
      <c r="D725" t="s">
        <v>711</v>
      </c>
      <c r="E725" t="s">
        <v>673</v>
      </c>
      <c r="F725">
        <v>1226.5</v>
      </c>
      <c r="G725">
        <v>1228</v>
      </c>
      <c r="H725">
        <v>1225.5</v>
      </c>
      <c r="I725">
        <v>1228</v>
      </c>
      <c r="J725">
        <v>163900</v>
      </c>
    </row>
    <row r="726" spans="4:10">
      <c r="D726" t="s">
        <v>711</v>
      </c>
      <c r="E726" t="s">
        <v>674</v>
      </c>
      <c r="F726">
        <v>1228</v>
      </c>
      <c r="G726">
        <v>1228</v>
      </c>
      <c r="H726">
        <v>1226.5</v>
      </c>
      <c r="I726">
        <v>1227.5</v>
      </c>
      <c r="J726">
        <v>152700</v>
      </c>
    </row>
    <row r="727" spans="4:10">
      <c r="D727" t="s">
        <v>711</v>
      </c>
      <c r="E727" t="s">
        <v>675</v>
      </c>
      <c r="F727">
        <v>1227.5</v>
      </c>
      <c r="G727">
        <v>1230</v>
      </c>
      <c r="H727">
        <v>1226</v>
      </c>
      <c r="I727">
        <v>1227</v>
      </c>
      <c r="J727">
        <v>625800</v>
      </c>
    </row>
    <row r="728" spans="4:10">
      <c r="D728" t="s">
        <v>711</v>
      </c>
      <c r="E728" t="s">
        <v>676</v>
      </c>
      <c r="F728">
        <v>1227.5</v>
      </c>
      <c r="G728">
        <v>1228</v>
      </c>
      <c r="H728">
        <v>1224</v>
      </c>
      <c r="I728">
        <v>1227</v>
      </c>
      <c r="J728">
        <v>284000</v>
      </c>
    </row>
    <row r="729" spans="4:10">
      <c r="D729" t="s">
        <v>711</v>
      </c>
      <c r="E729" t="s">
        <v>677</v>
      </c>
      <c r="F729">
        <v>1227</v>
      </c>
      <c r="G729">
        <v>1228</v>
      </c>
      <c r="H729">
        <v>1226</v>
      </c>
      <c r="I729">
        <v>1227</v>
      </c>
      <c r="J729">
        <v>147800</v>
      </c>
    </row>
    <row r="730" spans="4:10">
      <c r="D730" t="s">
        <v>711</v>
      </c>
      <c r="E730" t="s">
        <v>678</v>
      </c>
      <c r="F730">
        <v>1227</v>
      </c>
      <c r="G730">
        <v>1227</v>
      </c>
      <c r="H730">
        <v>1225</v>
      </c>
      <c r="I730">
        <v>1225.5</v>
      </c>
      <c r="J730">
        <v>207700</v>
      </c>
    </row>
    <row r="731" spans="4:10">
      <c r="D731" t="s">
        <v>711</v>
      </c>
      <c r="E731" t="s">
        <v>679</v>
      </c>
      <c r="F731">
        <v>1225</v>
      </c>
      <c r="G731">
        <v>1226</v>
      </c>
      <c r="H731">
        <v>1221.5</v>
      </c>
      <c r="I731">
        <v>1223.5</v>
      </c>
      <c r="J731">
        <v>518100</v>
      </c>
    </row>
    <row r="732" spans="4:10">
      <c r="D732" t="s">
        <v>711</v>
      </c>
      <c r="E732" t="s">
        <v>680</v>
      </c>
      <c r="F732">
        <v>1223.5</v>
      </c>
      <c r="G732">
        <v>1227</v>
      </c>
      <c r="H732">
        <v>1223.5</v>
      </c>
      <c r="I732">
        <v>1225</v>
      </c>
      <c r="J732">
        <v>379900</v>
      </c>
    </row>
    <row r="733" spans="4:10">
      <c r="D733" t="s">
        <v>711</v>
      </c>
      <c r="E733" t="s">
        <v>681</v>
      </c>
      <c r="F733">
        <v>1225.5</v>
      </c>
      <c r="G733">
        <v>1225.5</v>
      </c>
      <c r="H733">
        <v>1224.5</v>
      </c>
      <c r="I733">
        <v>1224.5</v>
      </c>
      <c r="J733">
        <v>95400</v>
      </c>
    </row>
    <row r="734" spans="4:10">
      <c r="D734" t="s">
        <v>711</v>
      </c>
      <c r="E734" t="s">
        <v>682</v>
      </c>
      <c r="F734">
        <v>1225</v>
      </c>
      <c r="G734">
        <v>1226.5</v>
      </c>
      <c r="H734">
        <v>1224.5</v>
      </c>
      <c r="I734">
        <v>1225</v>
      </c>
      <c r="J734">
        <v>296800</v>
      </c>
    </row>
    <row r="735" spans="4:10">
      <c r="D735" t="s">
        <v>711</v>
      </c>
      <c r="E735" t="s">
        <v>683</v>
      </c>
      <c r="F735">
        <v>1225</v>
      </c>
      <c r="G735">
        <v>1225</v>
      </c>
      <c r="H735">
        <v>1224</v>
      </c>
      <c r="I735">
        <v>1224.5</v>
      </c>
      <c r="J735">
        <v>174000</v>
      </c>
    </row>
    <row r="736" spans="4:10">
      <c r="D736" t="s">
        <v>711</v>
      </c>
      <c r="E736" t="s">
        <v>684</v>
      </c>
      <c r="F736">
        <v>1225</v>
      </c>
      <c r="G736">
        <v>1225</v>
      </c>
      <c r="H736">
        <v>1223</v>
      </c>
      <c r="I736">
        <v>1223</v>
      </c>
      <c r="J736">
        <v>152300</v>
      </c>
    </row>
    <row r="737" spans="4:10">
      <c r="D737" t="s">
        <v>711</v>
      </c>
      <c r="E737" t="s">
        <v>685</v>
      </c>
      <c r="F737">
        <v>1223.5</v>
      </c>
      <c r="G737">
        <v>1223.5</v>
      </c>
      <c r="H737">
        <v>1222</v>
      </c>
      <c r="I737">
        <v>1222.5</v>
      </c>
      <c r="J737">
        <v>233300</v>
      </c>
    </row>
    <row r="738" spans="4:10">
      <c r="D738" t="s">
        <v>711</v>
      </c>
      <c r="E738" t="s">
        <v>686</v>
      </c>
      <c r="F738">
        <v>1222</v>
      </c>
      <c r="G738">
        <v>1223</v>
      </c>
      <c r="H738">
        <v>1222</v>
      </c>
      <c r="I738">
        <v>1222</v>
      </c>
      <c r="J738">
        <v>92100</v>
      </c>
    </row>
    <row r="739" spans="4:10">
      <c r="D739" t="s">
        <v>711</v>
      </c>
      <c r="E739" t="s">
        <v>687</v>
      </c>
      <c r="F739">
        <v>1222.5</v>
      </c>
      <c r="G739">
        <v>1223.5</v>
      </c>
      <c r="H739">
        <v>1220</v>
      </c>
      <c r="I739">
        <v>1222.5</v>
      </c>
      <c r="J739">
        <v>316800</v>
      </c>
    </row>
    <row r="740" spans="4:10">
      <c r="D740" t="s">
        <v>711</v>
      </c>
      <c r="E740" t="s">
        <v>688</v>
      </c>
      <c r="F740">
        <v>1223</v>
      </c>
      <c r="G740">
        <v>1225</v>
      </c>
      <c r="H740">
        <v>1220.5</v>
      </c>
      <c r="I740">
        <v>1221.5</v>
      </c>
      <c r="J740">
        <v>313900</v>
      </c>
    </row>
    <row r="741" spans="4:10">
      <c r="D741" t="s">
        <v>711</v>
      </c>
      <c r="E741" t="s">
        <v>689</v>
      </c>
      <c r="F741">
        <v>1221.5</v>
      </c>
      <c r="G741">
        <v>1222.5</v>
      </c>
      <c r="H741">
        <v>1220.5</v>
      </c>
      <c r="I741">
        <v>1222.5</v>
      </c>
      <c r="J741">
        <v>109500</v>
      </c>
    </row>
    <row r="742" spans="4:10">
      <c r="D742" t="s">
        <v>711</v>
      </c>
      <c r="E742" t="s">
        <v>690</v>
      </c>
      <c r="F742">
        <v>1222</v>
      </c>
      <c r="G742">
        <v>1223</v>
      </c>
      <c r="H742">
        <v>1222</v>
      </c>
      <c r="I742">
        <v>1222.5</v>
      </c>
      <c r="J742">
        <v>90000</v>
      </c>
    </row>
    <row r="743" spans="4:10">
      <c r="D743" t="s">
        <v>711</v>
      </c>
      <c r="E743" t="s">
        <v>691</v>
      </c>
      <c r="F743">
        <v>1223</v>
      </c>
      <c r="G743">
        <v>1227</v>
      </c>
      <c r="H743">
        <v>1222.5</v>
      </c>
      <c r="I743">
        <v>1226.5</v>
      </c>
      <c r="J743">
        <v>341100</v>
      </c>
    </row>
    <row r="744" spans="4:10">
      <c r="D744" t="s">
        <v>711</v>
      </c>
      <c r="E744" t="s">
        <v>692</v>
      </c>
      <c r="F744">
        <v>1226.5</v>
      </c>
      <c r="G744">
        <v>1228.5</v>
      </c>
      <c r="H744">
        <v>1226</v>
      </c>
      <c r="I744">
        <v>1228.5</v>
      </c>
      <c r="J744">
        <v>349500</v>
      </c>
    </row>
    <row r="745" spans="4:10">
      <c r="D745" t="s">
        <v>711</v>
      </c>
      <c r="E745" t="s">
        <v>693</v>
      </c>
      <c r="F745">
        <v>1228.5</v>
      </c>
      <c r="G745">
        <v>1229</v>
      </c>
      <c r="H745">
        <v>1227.5</v>
      </c>
      <c r="I745">
        <v>1228</v>
      </c>
      <c r="J745">
        <v>216900</v>
      </c>
    </row>
    <row r="746" spans="4:10">
      <c r="D746" t="s">
        <v>711</v>
      </c>
      <c r="E746" t="s">
        <v>694</v>
      </c>
      <c r="F746">
        <v>1228</v>
      </c>
      <c r="G746">
        <v>1228.5</v>
      </c>
      <c r="H746">
        <v>1225</v>
      </c>
      <c r="I746">
        <v>1225</v>
      </c>
      <c r="J746">
        <v>207300</v>
      </c>
    </row>
    <row r="747" spans="4:10">
      <c r="D747" t="s">
        <v>711</v>
      </c>
      <c r="E747" t="s">
        <v>695</v>
      </c>
      <c r="F747">
        <v>1225</v>
      </c>
      <c r="G747">
        <v>1225.5</v>
      </c>
      <c r="H747">
        <v>1224</v>
      </c>
      <c r="I747">
        <v>1224.5</v>
      </c>
      <c r="J747">
        <v>165100</v>
      </c>
    </row>
    <row r="748" spans="4:10">
      <c r="D748" t="s">
        <v>711</v>
      </c>
      <c r="E748" t="s">
        <v>696</v>
      </c>
      <c r="F748">
        <v>1224.5</v>
      </c>
      <c r="G748">
        <v>1224.5</v>
      </c>
      <c r="H748">
        <v>1222.5</v>
      </c>
      <c r="I748">
        <v>1223</v>
      </c>
      <c r="J748">
        <v>235400</v>
      </c>
    </row>
    <row r="749" spans="4:10">
      <c r="D749" t="s">
        <v>711</v>
      </c>
      <c r="E749" t="s">
        <v>697</v>
      </c>
      <c r="F749">
        <v>1223</v>
      </c>
      <c r="G749">
        <v>1225</v>
      </c>
      <c r="H749">
        <v>1222.5</v>
      </c>
      <c r="I749">
        <v>1225</v>
      </c>
      <c r="J749">
        <v>317500</v>
      </c>
    </row>
    <row r="750" spans="4:10">
      <c r="D750" t="s">
        <v>711</v>
      </c>
      <c r="E750" t="s">
        <v>698</v>
      </c>
      <c r="F750">
        <v>1225.5</v>
      </c>
      <c r="G750">
        <v>1226.5</v>
      </c>
      <c r="H750">
        <v>1225</v>
      </c>
      <c r="I750">
        <v>1226.5</v>
      </c>
      <c r="J750">
        <v>205000</v>
      </c>
    </row>
    <row r="751" spans="4:10">
      <c r="D751" t="s">
        <v>711</v>
      </c>
      <c r="E751" t="s">
        <v>699</v>
      </c>
      <c r="F751">
        <v>1226</v>
      </c>
      <c r="G751">
        <v>1227</v>
      </c>
      <c r="H751">
        <v>1225.5</v>
      </c>
      <c r="I751">
        <v>1226</v>
      </c>
      <c r="J751">
        <v>146900</v>
      </c>
    </row>
    <row r="752" spans="4:10">
      <c r="D752" t="s">
        <v>711</v>
      </c>
      <c r="E752" t="s">
        <v>700</v>
      </c>
      <c r="F752">
        <v>1226</v>
      </c>
      <c r="G752">
        <v>1227</v>
      </c>
      <c r="H752">
        <v>1225</v>
      </c>
      <c r="I752">
        <v>1226.5</v>
      </c>
      <c r="J752">
        <v>261100</v>
      </c>
    </row>
    <row r="753" spans="4:10">
      <c r="D753" t="s">
        <v>711</v>
      </c>
      <c r="E753" t="s">
        <v>633</v>
      </c>
      <c r="F753">
        <v>1227</v>
      </c>
      <c r="G753">
        <v>1227</v>
      </c>
      <c r="H753">
        <v>1225</v>
      </c>
      <c r="I753">
        <v>1225</v>
      </c>
      <c r="J753">
        <v>219200</v>
      </c>
    </row>
    <row r="754" spans="4:10">
      <c r="D754" t="s">
        <v>711</v>
      </c>
      <c r="E754" t="s">
        <v>634</v>
      </c>
      <c r="F754">
        <v>1225.5</v>
      </c>
      <c r="G754">
        <v>1226</v>
      </c>
      <c r="H754">
        <v>1225</v>
      </c>
      <c r="I754">
        <v>1225.5</v>
      </c>
      <c r="J754">
        <v>304200</v>
      </c>
    </row>
    <row r="755" spans="4:10">
      <c r="D755" t="s">
        <v>711</v>
      </c>
      <c r="E755" t="s">
        <v>635</v>
      </c>
      <c r="F755">
        <v>1225.5</v>
      </c>
      <c r="G755">
        <v>1227.5</v>
      </c>
      <c r="H755">
        <v>1225</v>
      </c>
      <c r="I755">
        <v>1226.5</v>
      </c>
      <c r="J755">
        <v>349000</v>
      </c>
    </row>
    <row r="756" spans="4:10">
      <c r="D756" t="s">
        <v>711</v>
      </c>
      <c r="E756" t="s">
        <v>614</v>
      </c>
      <c r="F756">
        <v>1226.5</v>
      </c>
      <c r="G756">
        <v>1227</v>
      </c>
      <c r="H756">
        <v>1225.5</v>
      </c>
      <c r="I756">
        <v>1226</v>
      </c>
      <c r="J756">
        <v>516300</v>
      </c>
    </row>
    <row r="757" spans="4:10">
      <c r="D757" t="s">
        <v>711</v>
      </c>
      <c r="E757" t="s">
        <v>636</v>
      </c>
      <c r="F757" t="s">
        <v>35</v>
      </c>
      <c r="G757" t="s">
        <v>35</v>
      </c>
      <c r="H757" t="s">
        <v>35</v>
      </c>
      <c r="I757" t="s">
        <v>35</v>
      </c>
      <c r="J757">
        <v>0</v>
      </c>
    </row>
    <row r="758" spans="4:10">
      <c r="D758" t="s">
        <v>711</v>
      </c>
      <c r="E758" t="s">
        <v>637</v>
      </c>
      <c r="F758">
        <v>1227</v>
      </c>
      <c r="G758">
        <v>1227</v>
      </c>
      <c r="H758">
        <v>1227</v>
      </c>
      <c r="I758">
        <v>1227</v>
      </c>
      <c r="J758">
        <v>1736400</v>
      </c>
    </row>
    <row r="759" spans="4:10">
      <c r="D759" t="s">
        <v>200</v>
      </c>
      <c r="E759" t="s">
        <v>639</v>
      </c>
      <c r="F759">
        <v>1218</v>
      </c>
      <c r="G759">
        <v>1220</v>
      </c>
      <c r="H759">
        <v>1191</v>
      </c>
      <c r="I759">
        <v>1194</v>
      </c>
      <c r="J759">
        <v>3760900</v>
      </c>
    </row>
    <row r="760" spans="4:10">
      <c r="D760" t="s">
        <v>200</v>
      </c>
      <c r="E760" t="s">
        <v>640</v>
      </c>
      <c r="F760">
        <v>1193.5</v>
      </c>
      <c r="G760">
        <v>1199</v>
      </c>
      <c r="H760">
        <v>1185.5</v>
      </c>
      <c r="I760">
        <v>1197</v>
      </c>
      <c r="J760">
        <v>1795400</v>
      </c>
    </row>
    <row r="761" spans="4:10">
      <c r="D761" t="s">
        <v>200</v>
      </c>
      <c r="E761" t="s">
        <v>641</v>
      </c>
      <c r="F761">
        <v>1198</v>
      </c>
      <c r="G761">
        <v>1203</v>
      </c>
      <c r="H761">
        <v>1188</v>
      </c>
      <c r="I761">
        <v>1192</v>
      </c>
      <c r="J761">
        <v>1480700</v>
      </c>
    </row>
    <row r="762" spans="4:10">
      <c r="D762" t="s">
        <v>200</v>
      </c>
      <c r="E762" t="s">
        <v>642</v>
      </c>
      <c r="F762">
        <v>1192</v>
      </c>
      <c r="G762">
        <v>1202.5</v>
      </c>
      <c r="H762">
        <v>1190</v>
      </c>
      <c r="I762">
        <v>1196</v>
      </c>
      <c r="J762">
        <v>958000</v>
      </c>
    </row>
    <row r="763" spans="4:10">
      <c r="D763" t="s">
        <v>200</v>
      </c>
      <c r="E763" t="s">
        <v>643</v>
      </c>
      <c r="F763">
        <v>1196</v>
      </c>
      <c r="G763">
        <v>1206</v>
      </c>
      <c r="H763">
        <v>1195</v>
      </c>
      <c r="I763">
        <v>1202.5</v>
      </c>
      <c r="J763">
        <v>956100</v>
      </c>
    </row>
    <row r="764" spans="4:10">
      <c r="D764" t="s">
        <v>200</v>
      </c>
      <c r="E764" t="s">
        <v>644</v>
      </c>
      <c r="F764">
        <v>1202.5</v>
      </c>
      <c r="G764">
        <v>1215.5</v>
      </c>
      <c r="H764">
        <v>1201.5</v>
      </c>
      <c r="I764">
        <v>1215</v>
      </c>
      <c r="J764">
        <v>814700</v>
      </c>
    </row>
    <row r="765" spans="4:10">
      <c r="D765" t="s">
        <v>200</v>
      </c>
      <c r="E765" t="s">
        <v>645</v>
      </c>
      <c r="F765">
        <v>1215</v>
      </c>
      <c r="G765">
        <v>1227</v>
      </c>
      <c r="H765">
        <v>1214</v>
      </c>
      <c r="I765">
        <v>1227</v>
      </c>
      <c r="J765">
        <v>1076200</v>
      </c>
    </row>
    <row r="766" spans="4:10">
      <c r="D766" t="s">
        <v>200</v>
      </c>
      <c r="E766" t="s">
        <v>646</v>
      </c>
      <c r="F766">
        <v>1227</v>
      </c>
      <c r="G766">
        <v>1237.5</v>
      </c>
      <c r="H766">
        <v>1226.5</v>
      </c>
      <c r="I766">
        <v>1237.5</v>
      </c>
      <c r="J766">
        <v>1613600</v>
      </c>
    </row>
    <row r="767" spans="4:10">
      <c r="D767" t="s">
        <v>200</v>
      </c>
      <c r="E767" t="s">
        <v>647</v>
      </c>
      <c r="F767">
        <v>1237.5</v>
      </c>
      <c r="G767">
        <v>1238.5</v>
      </c>
      <c r="H767">
        <v>1234.5</v>
      </c>
      <c r="I767">
        <v>1235.5</v>
      </c>
      <c r="J767">
        <v>893900</v>
      </c>
    </row>
    <row r="768" spans="4:10">
      <c r="D768" t="s">
        <v>200</v>
      </c>
      <c r="E768" t="s">
        <v>648</v>
      </c>
      <c r="F768">
        <v>1235.5</v>
      </c>
      <c r="G768">
        <v>1245.5</v>
      </c>
      <c r="H768">
        <v>1235</v>
      </c>
      <c r="I768">
        <v>1243.5</v>
      </c>
      <c r="J768">
        <v>1306100</v>
      </c>
    </row>
    <row r="769" spans="4:10">
      <c r="D769" t="s">
        <v>200</v>
      </c>
      <c r="E769" t="s">
        <v>649</v>
      </c>
      <c r="F769">
        <v>1243.5</v>
      </c>
      <c r="G769">
        <v>1247</v>
      </c>
      <c r="H769">
        <v>1241.5</v>
      </c>
      <c r="I769">
        <v>1246.5</v>
      </c>
      <c r="J769">
        <v>920500</v>
      </c>
    </row>
    <row r="770" spans="4:10">
      <c r="D770" t="s">
        <v>200</v>
      </c>
      <c r="E770" t="s">
        <v>650</v>
      </c>
      <c r="F770">
        <v>1247</v>
      </c>
      <c r="G770">
        <v>1247.5</v>
      </c>
      <c r="H770">
        <v>1243</v>
      </c>
      <c r="I770">
        <v>1245</v>
      </c>
      <c r="J770">
        <v>622600</v>
      </c>
    </row>
    <row r="771" spans="4:10">
      <c r="D771" t="s">
        <v>200</v>
      </c>
      <c r="E771" t="s">
        <v>651</v>
      </c>
      <c r="F771">
        <v>1245.5</v>
      </c>
      <c r="G771">
        <v>1249.5</v>
      </c>
      <c r="H771">
        <v>1241.5</v>
      </c>
      <c r="I771">
        <v>1246</v>
      </c>
      <c r="J771">
        <v>938700</v>
      </c>
    </row>
    <row r="772" spans="4:10">
      <c r="D772" t="s">
        <v>200</v>
      </c>
      <c r="E772" t="s">
        <v>652</v>
      </c>
      <c r="F772">
        <v>1245.5</v>
      </c>
      <c r="G772">
        <v>1249.5</v>
      </c>
      <c r="H772">
        <v>1244.5</v>
      </c>
      <c r="I772">
        <v>1249</v>
      </c>
      <c r="J772">
        <v>556400</v>
      </c>
    </row>
    <row r="773" spans="4:10">
      <c r="D773" t="s">
        <v>200</v>
      </c>
      <c r="E773" t="s">
        <v>653</v>
      </c>
      <c r="F773">
        <v>1249.5</v>
      </c>
      <c r="G773">
        <v>1256</v>
      </c>
      <c r="H773">
        <v>1249</v>
      </c>
      <c r="I773">
        <v>1251.5</v>
      </c>
      <c r="J773">
        <v>1289400</v>
      </c>
    </row>
    <row r="774" spans="4:10">
      <c r="D774" t="s">
        <v>200</v>
      </c>
      <c r="E774" t="s">
        <v>654</v>
      </c>
      <c r="F774">
        <v>1252</v>
      </c>
      <c r="G774">
        <v>1258</v>
      </c>
      <c r="H774">
        <v>1251</v>
      </c>
      <c r="I774">
        <v>1256</v>
      </c>
      <c r="J774">
        <v>715500</v>
      </c>
    </row>
    <row r="775" spans="4:10">
      <c r="D775" t="s">
        <v>200</v>
      </c>
      <c r="E775" t="s">
        <v>655</v>
      </c>
      <c r="F775">
        <v>1256</v>
      </c>
      <c r="G775">
        <v>1258</v>
      </c>
      <c r="H775">
        <v>1247</v>
      </c>
      <c r="I775">
        <v>1247</v>
      </c>
      <c r="J775">
        <v>608200</v>
      </c>
    </row>
    <row r="776" spans="4:10">
      <c r="D776" t="s">
        <v>200</v>
      </c>
      <c r="E776" t="s">
        <v>656</v>
      </c>
      <c r="F776">
        <v>1247</v>
      </c>
      <c r="G776">
        <v>1247.5</v>
      </c>
      <c r="H776">
        <v>1240</v>
      </c>
      <c r="I776">
        <v>1242.5</v>
      </c>
      <c r="J776">
        <v>1008500</v>
      </c>
    </row>
    <row r="777" spans="4:10">
      <c r="D777" t="s">
        <v>200</v>
      </c>
      <c r="E777" t="s">
        <v>657</v>
      </c>
      <c r="F777">
        <v>1242.5</v>
      </c>
      <c r="G777">
        <v>1247</v>
      </c>
      <c r="H777">
        <v>1240.5</v>
      </c>
      <c r="I777">
        <v>1244</v>
      </c>
      <c r="J777">
        <v>390600</v>
      </c>
    </row>
    <row r="778" spans="4:10">
      <c r="D778" t="s">
        <v>200</v>
      </c>
      <c r="E778" t="s">
        <v>658</v>
      </c>
      <c r="F778">
        <v>1244</v>
      </c>
      <c r="G778">
        <v>1245</v>
      </c>
      <c r="H778">
        <v>1241</v>
      </c>
      <c r="I778">
        <v>1243.5</v>
      </c>
      <c r="J778">
        <v>327300</v>
      </c>
    </row>
    <row r="779" spans="4:10">
      <c r="D779" t="s">
        <v>200</v>
      </c>
      <c r="E779" t="s">
        <v>659</v>
      </c>
      <c r="F779">
        <v>1243.5</v>
      </c>
      <c r="G779">
        <v>1248</v>
      </c>
      <c r="H779">
        <v>1242</v>
      </c>
      <c r="I779">
        <v>1245.5</v>
      </c>
      <c r="J779">
        <v>328100</v>
      </c>
    </row>
    <row r="780" spans="4:10">
      <c r="D780" t="s">
        <v>200</v>
      </c>
      <c r="E780" t="s">
        <v>660</v>
      </c>
      <c r="F780">
        <v>1245</v>
      </c>
      <c r="G780">
        <v>1250.5</v>
      </c>
      <c r="H780">
        <v>1245</v>
      </c>
      <c r="I780">
        <v>1250</v>
      </c>
      <c r="J780">
        <v>385100</v>
      </c>
    </row>
    <row r="781" spans="4:10">
      <c r="D781" t="s">
        <v>200</v>
      </c>
      <c r="E781" t="s">
        <v>661</v>
      </c>
      <c r="F781">
        <v>1249.5</v>
      </c>
      <c r="G781">
        <v>1250</v>
      </c>
      <c r="H781">
        <v>1248</v>
      </c>
      <c r="I781">
        <v>1248</v>
      </c>
      <c r="J781">
        <v>226200</v>
      </c>
    </row>
    <row r="782" spans="4:10">
      <c r="D782" t="s">
        <v>200</v>
      </c>
      <c r="E782" t="s">
        <v>662</v>
      </c>
      <c r="F782">
        <v>1248.5</v>
      </c>
      <c r="G782">
        <v>1251</v>
      </c>
      <c r="H782">
        <v>1247</v>
      </c>
      <c r="I782">
        <v>1251</v>
      </c>
      <c r="J782">
        <v>484500</v>
      </c>
    </row>
    <row r="783" spans="4:10">
      <c r="D783" t="s">
        <v>200</v>
      </c>
      <c r="E783" t="s">
        <v>663</v>
      </c>
      <c r="F783">
        <v>1251</v>
      </c>
      <c r="G783">
        <v>1259</v>
      </c>
      <c r="H783">
        <v>1249.5</v>
      </c>
      <c r="I783">
        <v>1256.5</v>
      </c>
      <c r="J783">
        <v>611300</v>
      </c>
    </row>
    <row r="784" spans="4:10">
      <c r="D784" t="s">
        <v>200</v>
      </c>
      <c r="E784" t="s">
        <v>664</v>
      </c>
      <c r="F784">
        <v>1257</v>
      </c>
      <c r="G784">
        <v>1259</v>
      </c>
      <c r="H784">
        <v>1251</v>
      </c>
      <c r="I784">
        <v>1252</v>
      </c>
      <c r="J784">
        <v>457900</v>
      </c>
    </row>
    <row r="785" spans="4:10">
      <c r="D785" t="s">
        <v>200</v>
      </c>
      <c r="E785" t="s">
        <v>665</v>
      </c>
      <c r="F785">
        <v>1252</v>
      </c>
      <c r="G785">
        <v>1254.5</v>
      </c>
      <c r="H785">
        <v>1250</v>
      </c>
      <c r="I785">
        <v>1254</v>
      </c>
      <c r="J785">
        <v>194900</v>
      </c>
    </row>
    <row r="786" spans="4:10">
      <c r="D786" t="s">
        <v>200</v>
      </c>
      <c r="E786" t="s">
        <v>666</v>
      </c>
      <c r="F786">
        <v>1254</v>
      </c>
      <c r="G786">
        <v>1257</v>
      </c>
      <c r="H786">
        <v>1252.5</v>
      </c>
      <c r="I786">
        <v>1256.5</v>
      </c>
      <c r="J786">
        <v>321500</v>
      </c>
    </row>
    <row r="787" spans="4:10">
      <c r="D787" t="s">
        <v>200</v>
      </c>
      <c r="E787" t="s">
        <v>667</v>
      </c>
      <c r="F787">
        <v>1256.5</v>
      </c>
      <c r="G787">
        <v>1259</v>
      </c>
      <c r="H787">
        <v>1256.5</v>
      </c>
      <c r="I787">
        <v>1256.5</v>
      </c>
      <c r="J787">
        <v>360300</v>
      </c>
    </row>
    <row r="788" spans="4:10">
      <c r="D788" t="s">
        <v>200</v>
      </c>
      <c r="E788" t="s">
        <v>668</v>
      </c>
      <c r="F788">
        <v>1257</v>
      </c>
      <c r="G788">
        <v>1258.5</v>
      </c>
      <c r="H788">
        <v>1255.5</v>
      </c>
      <c r="I788">
        <v>1258</v>
      </c>
      <c r="J788">
        <v>362900</v>
      </c>
    </row>
    <row r="789" spans="4:10">
      <c r="D789" t="s">
        <v>200</v>
      </c>
      <c r="E789" t="s">
        <v>669</v>
      </c>
      <c r="F789">
        <v>1258.5</v>
      </c>
      <c r="G789">
        <v>1258.5</v>
      </c>
      <c r="H789">
        <v>1258.5</v>
      </c>
      <c r="I789">
        <v>1258.5</v>
      </c>
      <c r="J789">
        <v>41700</v>
      </c>
    </row>
    <row r="790" spans="4:10">
      <c r="D790" t="s">
        <v>200</v>
      </c>
      <c r="E790" t="s">
        <v>670</v>
      </c>
      <c r="F790">
        <v>1262</v>
      </c>
      <c r="G790">
        <v>1268.5</v>
      </c>
      <c r="H790">
        <v>1253</v>
      </c>
      <c r="I790">
        <v>1255</v>
      </c>
      <c r="J790">
        <v>1584200</v>
      </c>
    </row>
    <row r="791" spans="4:10">
      <c r="D791" t="s">
        <v>200</v>
      </c>
      <c r="E791" t="s">
        <v>671</v>
      </c>
      <c r="F791">
        <v>1254</v>
      </c>
      <c r="G791">
        <v>1260</v>
      </c>
      <c r="H791">
        <v>1253.5</v>
      </c>
      <c r="I791">
        <v>1257.5</v>
      </c>
      <c r="J791">
        <v>512300</v>
      </c>
    </row>
    <row r="792" spans="4:10">
      <c r="D792" t="s">
        <v>200</v>
      </c>
      <c r="E792" t="s">
        <v>672</v>
      </c>
      <c r="F792">
        <v>1258</v>
      </c>
      <c r="G792">
        <v>1260.5</v>
      </c>
      <c r="H792">
        <v>1256</v>
      </c>
      <c r="I792">
        <v>1257</v>
      </c>
      <c r="J792">
        <v>607900</v>
      </c>
    </row>
    <row r="793" spans="4:10">
      <c r="D793" t="s">
        <v>200</v>
      </c>
      <c r="E793" t="s">
        <v>673</v>
      </c>
      <c r="F793">
        <v>1257</v>
      </c>
      <c r="G793">
        <v>1258.5</v>
      </c>
      <c r="H793">
        <v>1255</v>
      </c>
      <c r="I793">
        <v>1258</v>
      </c>
      <c r="J793">
        <v>292800</v>
      </c>
    </row>
    <row r="794" spans="4:10">
      <c r="D794" t="s">
        <v>200</v>
      </c>
      <c r="E794" t="s">
        <v>674</v>
      </c>
      <c r="F794">
        <v>1257.5</v>
      </c>
      <c r="G794">
        <v>1261</v>
      </c>
      <c r="H794">
        <v>1257.5</v>
      </c>
      <c r="I794">
        <v>1261</v>
      </c>
      <c r="J794">
        <v>243700</v>
      </c>
    </row>
    <row r="795" spans="4:10">
      <c r="D795" t="s">
        <v>200</v>
      </c>
      <c r="E795" t="s">
        <v>675</v>
      </c>
      <c r="F795">
        <v>1261</v>
      </c>
      <c r="G795">
        <v>1262.5</v>
      </c>
      <c r="H795">
        <v>1259.5</v>
      </c>
      <c r="I795">
        <v>1261.5</v>
      </c>
      <c r="J795">
        <v>290000</v>
      </c>
    </row>
    <row r="796" spans="4:10">
      <c r="D796" t="s">
        <v>200</v>
      </c>
      <c r="E796" t="s">
        <v>676</v>
      </c>
      <c r="F796">
        <v>1261.5</v>
      </c>
      <c r="G796">
        <v>1264</v>
      </c>
      <c r="H796">
        <v>1257.5</v>
      </c>
      <c r="I796">
        <v>1261</v>
      </c>
      <c r="J796">
        <v>509100</v>
      </c>
    </row>
    <row r="797" spans="4:10">
      <c r="D797" t="s">
        <v>200</v>
      </c>
      <c r="E797" t="s">
        <v>677</v>
      </c>
      <c r="F797">
        <v>1261</v>
      </c>
      <c r="G797">
        <v>1263</v>
      </c>
      <c r="H797">
        <v>1259.5</v>
      </c>
      <c r="I797">
        <v>1263</v>
      </c>
      <c r="J797">
        <v>260100</v>
      </c>
    </row>
    <row r="798" spans="4:10">
      <c r="D798" t="s">
        <v>200</v>
      </c>
      <c r="E798" t="s">
        <v>678</v>
      </c>
      <c r="F798">
        <v>1263</v>
      </c>
      <c r="G798">
        <v>1263.5</v>
      </c>
      <c r="H798">
        <v>1262</v>
      </c>
      <c r="I798">
        <v>1262</v>
      </c>
      <c r="J798">
        <v>211800</v>
      </c>
    </row>
    <row r="799" spans="4:10">
      <c r="D799" t="s">
        <v>200</v>
      </c>
      <c r="E799" t="s">
        <v>679</v>
      </c>
      <c r="F799">
        <v>1262</v>
      </c>
      <c r="G799">
        <v>1263</v>
      </c>
      <c r="H799">
        <v>1261.5</v>
      </c>
      <c r="I799">
        <v>1261.5</v>
      </c>
      <c r="J799">
        <v>184400</v>
      </c>
    </row>
    <row r="800" spans="4:10">
      <c r="D800" t="s">
        <v>200</v>
      </c>
      <c r="E800" t="s">
        <v>680</v>
      </c>
      <c r="F800">
        <v>1262</v>
      </c>
      <c r="G800">
        <v>1264</v>
      </c>
      <c r="H800">
        <v>1262</v>
      </c>
      <c r="I800">
        <v>1264</v>
      </c>
      <c r="J800">
        <v>171500</v>
      </c>
    </row>
    <row r="801" spans="4:10">
      <c r="D801" t="s">
        <v>200</v>
      </c>
      <c r="E801" t="s">
        <v>681</v>
      </c>
      <c r="F801">
        <v>1264</v>
      </c>
      <c r="G801">
        <v>1264.5</v>
      </c>
      <c r="H801">
        <v>1263</v>
      </c>
      <c r="I801">
        <v>1263.5</v>
      </c>
      <c r="J801">
        <v>236000</v>
      </c>
    </row>
    <row r="802" spans="4:10">
      <c r="D802" t="s">
        <v>200</v>
      </c>
      <c r="E802" t="s">
        <v>682</v>
      </c>
      <c r="F802">
        <v>1263</v>
      </c>
      <c r="G802">
        <v>1264.5</v>
      </c>
      <c r="H802">
        <v>1260.5</v>
      </c>
      <c r="I802">
        <v>1264</v>
      </c>
      <c r="J802">
        <v>517700</v>
      </c>
    </row>
    <row r="803" spans="4:10">
      <c r="D803" t="s">
        <v>200</v>
      </c>
      <c r="E803" t="s">
        <v>683</v>
      </c>
      <c r="F803">
        <v>1264</v>
      </c>
      <c r="G803">
        <v>1267</v>
      </c>
      <c r="H803">
        <v>1263</v>
      </c>
      <c r="I803">
        <v>1267</v>
      </c>
      <c r="J803">
        <v>384600</v>
      </c>
    </row>
    <row r="804" spans="4:10">
      <c r="D804" t="s">
        <v>200</v>
      </c>
      <c r="E804" t="s">
        <v>684</v>
      </c>
      <c r="F804">
        <v>1267</v>
      </c>
      <c r="G804">
        <v>1272</v>
      </c>
      <c r="H804">
        <v>1265.5</v>
      </c>
      <c r="I804">
        <v>1268</v>
      </c>
      <c r="J804">
        <v>721200</v>
      </c>
    </row>
    <row r="805" spans="4:10">
      <c r="D805" t="s">
        <v>200</v>
      </c>
      <c r="E805" t="s">
        <v>685</v>
      </c>
      <c r="F805">
        <v>1268</v>
      </c>
      <c r="G805">
        <v>1271</v>
      </c>
      <c r="H805">
        <v>1268</v>
      </c>
      <c r="I805">
        <v>1269</v>
      </c>
      <c r="J805">
        <v>333300</v>
      </c>
    </row>
    <row r="806" spans="4:10">
      <c r="D806" t="s">
        <v>200</v>
      </c>
      <c r="E806" t="s">
        <v>686</v>
      </c>
      <c r="F806">
        <v>1269</v>
      </c>
      <c r="G806">
        <v>1271</v>
      </c>
      <c r="H806">
        <v>1268.5</v>
      </c>
      <c r="I806">
        <v>1270</v>
      </c>
      <c r="J806">
        <v>203000</v>
      </c>
    </row>
    <row r="807" spans="4:10">
      <c r="D807" t="s">
        <v>200</v>
      </c>
      <c r="E807" t="s">
        <v>687</v>
      </c>
      <c r="F807">
        <v>1270.5</v>
      </c>
      <c r="G807">
        <v>1271</v>
      </c>
      <c r="H807">
        <v>1266</v>
      </c>
      <c r="I807">
        <v>1267</v>
      </c>
      <c r="J807">
        <v>358000</v>
      </c>
    </row>
    <row r="808" spans="4:10">
      <c r="D808" t="s">
        <v>200</v>
      </c>
      <c r="E808" t="s">
        <v>688</v>
      </c>
      <c r="F808">
        <v>1267</v>
      </c>
      <c r="G808">
        <v>1268.5</v>
      </c>
      <c r="H808">
        <v>1264.5</v>
      </c>
      <c r="I808">
        <v>1268.5</v>
      </c>
      <c r="J808">
        <v>307100</v>
      </c>
    </row>
    <row r="809" spans="4:10">
      <c r="D809" t="s">
        <v>200</v>
      </c>
      <c r="E809" t="s">
        <v>689</v>
      </c>
      <c r="F809">
        <v>1268</v>
      </c>
      <c r="G809">
        <v>1271</v>
      </c>
      <c r="H809">
        <v>1267.5</v>
      </c>
      <c r="I809">
        <v>1271</v>
      </c>
      <c r="J809">
        <v>263600</v>
      </c>
    </row>
    <row r="810" spans="4:10">
      <c r="D810" t="s">
        <v>200</v>
      </c>
      <c r="E810" t="s">
        <v>690</v>
      </c>
      <c r="F810">
        <v>1271</v>
      </c>
      <c r="G810">
        <v>1272.5</v>
      </c>
      <c r="H810">
        <v>1270.5</v>
      </c>
      <c r="I810">
        <v>1271.5</v>
      </c>
      <c r="J810">
        <v>424600</v>
      </c>
    </row>
    <row r="811" spans="4:10">
      <c r="D811" t="s">
        <v>200</v>
      </c>
      <c r="E811" t="s">
        <v>691</v>
      </c>
      <c r="F811">
        <v>1271.5</v>
      </c>
      <c r="G811">
        <v>1273</v>
      </c>
      <c r="H811">
        <v>1266.5</v>
      </c>
      <c r="I811">
        <v>1271.5</v>
      </c>
      <c r="J811">
        <v>795500</v>
      </c>
    </row>
    <row r="812" spans="4:10">
      <c r="D812" t="s">
        <v>200</v>
      </c>
      <c r="E812" t="s">
        <v>692</v>
      </c>
      <c r="F812">
        <v>1272</v>
      </c>
      <c r="G812">
        <v>1272</v>
      </c>
      <c r="H812">
        <v>1270</v>
      </c>
      <c r="I812">
        <v>1271</v>
      </c>
      <c r="J812">
        <v>149600</v>
      </c>
    </row>
    <row r="813" spans="4:10">
      <c r="D813" t="s">
        <v>200</v>
      </c>
      <c r="E813" t="s">
        <v>693</v>
      </c>
      <c r="F813">
        <v>1270.5</v>
      </c>
      <c r="G813">
        <v>1271</v>
      </c>
      <c r="H813">
        <v>1269.5</v>
      </c>
      <c r="I813">
        <v>1270</v>
      </c>
      <c r="J813">
        <v>319200</v>
      </c>
    </row>
    <row r="814" spans="4:10">
      <c r="D814" t="s">
        <v>200</v>
      </c>
      <c r="E814" t="s">
        <v>694</v>
      </c>
      <c r="F814">
        <v>1270</v>
      </c>
      <c r="G814">
        <v>1271</v>
      </c>
      <c r="H814">
        <v>1268.5</v>
      </c>
      <c r="I814">
        <v>1271</v>
      </c>
      <c r="J814">
        <v>418300</v>
      </c>
    </row>
    <row r="815" spans="4:10">
      <c r="D815" t="s">
        <v>200</v>
      </c>
      <c r="E815" t="s">
        <v>695</v>
      </c>
      <c r="F815">
        <v>1271</v>
      </c>
      <c r="G815">
        <v>1272</v>
      </c>
      <c r="H815">
        <v>1269</v>
      </c>
      <c r="I815">
        <v>1271.5</v>
      </c>
      <c r="J815">
        <v>340300</v>
      </c>
    </row>
    <row r="816" spans="4:10">
      <c r="D816" t="s">
        <v>200</v>
      </c>
      <c r="E816" t="s">
        <v>696</v>
      </c>
      <c r="F816">
        <v>1271.5</v>
      </c>
      <c r="G816">
        <v>1273</v>
      </c>
      <c r="H816">
        <v>1271</v>
      </c>
      <c r="I816">
        <v>1272.5</v>
      </c>
      <c r="J816">
        <v>496000</v>
      </c>
    </row>
    <row r="817" spans="4:10">
      <c r="D817" t="s">
        <v>200</v>
      </c>
      <c r="E817" t="s">
        <v>697</v>
      </c>
      <c r="F817">
        <v>1273</v>
      </c>
      <c r="G817">
        <v>1276.5</v>
      </c>
      <c r="H817">
        <v>1272.5</v>
      </c>
      <c r="I817">
        <v>1276.5</v>
      </c>
      <c r="J817">
        <v>464400</v>
      </c>
    </row>
    <row r="818" spans="4:10">
      <c r="D818" t="s">
        <v>200</v>
      </c>
      <c r="E818" t="s">
        <v>698</v>
      </c>
      <c r="F818">
        <v>1276</v>
      </c>
      <c r="G818">
        <v>1277.5</v>
      </c>
      <c r="H818">
        <v>1276</v>
      </c>
      <c r="I818">
        <v>1277</v>
      </c>
      <c r="J818">
        <v>252400</v>
      </c>
    </row>
    <row r="819" spans="4:10">
      <c r="D819" t="s">
        <v>200</v>
      </c>
      <c r="E819" t="s">
        <v>699</v>
      </c>
      <c r="F819">
        <v>1277</v>
      </c>
      <c r="G819">
        <v>1277.5</v>
      </c>
      <c r="H819">
        <v>1274</v>
      </c>
      <c r="I819">
        <v>1275.5</v>
      </c>
      <c r="J819">
        <v>455900</v>
      </c>
    </row>
    <row r="820" spans="4:10">
      <c r="D820" t="s">
        <v>200</v>
      </c>
      <c r="E820" t="s">
        <v>700</v>
      </c>
      <c r="F820">
        <v>1275.5</v>
      </c>
      <c r="G820">
        <v>1277.5</v>
      </c>
      <c r="H820">
        <v>1274</v>
      </c>
      <c r="I820">
        <v>1276.5</v>
      </c>
      <c r="J820">
        <v>385300</v>
      </c>
    </row>
    <row r="821" spans="4:10">
      <c r="D821" t="s">
        <v>200</v>
      </c>
      <c r="E821" t="s">
        <v>633</v>
      </c>
      <c r="F821">
        <v>1277</v>
      </c>
      <c r="G821">
        <v>1277</v>
      </c>
      <c r="H821">
        <v>1275</v>
      </c>
      <c r="I821">
        <v>1276.5</v>
      </c>
      <c r="J821">
        <v>301600</v>
      </c>
    </row>
    <row r="822" spans="4:10">
      <c r="D822" t="s">
        <v>200</v>
      </c>
      <c r="E822" t="s">
        <v>634</v>
      </c>
      <c r="F822">
        <v>1276.5</v>
      </c>
      <c r="G822">
        <v>1279</v>
      </c>
      <c r="H822">
        <v>1275.5</v>
      </c>
      <c r="I822">
        <v>1278</v>
      </c>
      <c r="J822">
        <v>519500</v>
      </c>
    </row>
    <row r="823" spans="4:10">
      <c r="D823" t="s">
        <v>200</v>
      </c>
      <c r="E823" t="s">
        <v>635</v>
      </c>
      <c r="F823">
        <v>1278</v>
      </c>
      <c r="G823">
        <v>1278</v>
      </c>
      <c r="H823">
        <v>1275.5</v>
      </c>
      <c r="I823">
        <v>1276.5</v>
      </c>
      <c r="J823">
        <v>379500</v>
      </c>
    </row>
    <row r="824" spans="4:10">
      <c r="D824" t="s">
        <v>200</v>
      </c>
      <c r="E824" t="s">
        <v>614</v>
      </c>
      <c r="F824">
        <v>1276</v>
      </c>
      <c r="G824">
        <v>1279</v>
      </c>
      <c r="H824">
        <v>1275</v>
      </c>
      <c r="I824">
        <v>1278</v>
      </c>
      <c r="J824">
        <v>713500</v>
      </c>
    </row>
    <row r="825" spans="4:10">
      <c r="D825" t="s">
        <v>200</v>
      </c>
      <c r="E825" t="s">
        <v>636</v>
      </c>
      <c r="F825" t="s">
        <v>35</v>
      </c>
      <c r="G825" t="s">
        <v>35</v>
      </c>
      <c r="H825" t="s">
        <v>35</v>
      </c>
      <c r="I825" t="s">
        <v>35</v>
      </c>
      <c r="J825">
        <v>0</v>
      </c>
    </row>
    <row r="826" spans="4:10">
      <c r="D826" t="s">
        <v>200</v>
      </c>
      <c r="E826" t="s">
        <v>637</v>
      </c>
      <c r="F826">
        <v>1282.5</v>
      </c>
      <c r="G826">
        <v>1282.5</v>
      </c>
      <c r="H826">
        <v>1282.5</v>
      </c>
      <c r="I826">
        <v>1282.5</v>
      </c>
      <c r="J826">
        <v>2763400</v>
      </c>
    </row>
    <row r="827" spans="4:10">
      <c r="D827" t="s">
        <v>712</v>
      </c>
      <c r="E827" t="s">
        <v>639</v>
      </c>
      <c r="F827">
        <v>1240.5</v>
      </c>
      <c r="G827">
        <v>1253</v>
      </c>
      <c r="H827">
        <v>1231.5</v>
      </c>
      <c r="I827">
        <v>1241.5</v>
      </c>
      <c r="J827">
        <v>2668100</v>
      </c>
    </row>
    <row r="828" spans="4:10">
      <c r="D828" t="s">
        <v>712</v>
      </c>
      <c r="E828" t="s">
        <v>640</v>
      </c>
      <c r="F828">
        <v>1241</v>
      </c>
      <c r="G828">
        <v>1247.5</v>
      </c>
      <c r="H828">
        <v>1233</v>
      </c>
      <c r="I828">
        <v>1242.5</v>
      </c>
      <c r="J828">
        <v>1602800</v>
      </c>
    </row>
    <row r="829" spans="4:10">
      <c r="D829" t="s">
        <v>712</v>
      </c>
      <c r="E829" t="s">
        <v>641</v>
      </c>
      <c r="F829">
        <v>1242.5</v>
      </c>
      <c r="G829">
        <v>1248.5</v>
      </c>
      <c r="H829">
        <v>1230.5</v>
      </c>
      <c r="I829">
        <v>1231</v>
      </c>
      <c r="J829">
        <v>1497500</v>
      </c>
    </row>
    <row r="830" spans="4:10">
      <c r="D830" t="s">
        <v>712</v>
      </c>
      <c r="E830" t="s">
        <v>642</v>
      </c>
      <c r="F830">
        <v>1230.5</v>
      </c>
      <c r="G830">
        <v>1237</v>
      </c>
      <c r="H830">
        <v>1226.5</v>
      </c>
      <c r="I830">
        <v>1232</v>
      </c>
      <c r="J830">
        <v>997600</v>
      </c>
    </row>
    <row r="831" spans="4:10">
      <c r="D831" t="s">
        <v>712</v>
      </c>
      <c r="E831" t="s">
        <v>643</v>
      </c>
      <c r="F831">
        <v>1232</v>
      </c>
      <c r="G831">
        <v>1235</v>
      </c>
      <c r="H831">
        <v>1230.5</v>
      </c>
      <c r="I831">
        <v>1234.5</v>
      </c>
      <c r="J831">
        <v>388500</v>
      </c>
    </row>
    <row r="832" spans="4:10">
      <c r="D832" t="s">
        <v>712</v>
      </c>
      <c r="E832" t="s">
        <v>644</v>
      </c>
      <c r="F832">
        <v>1234.5</v>
      </c>
      <c r="G832">
        <v>1235</v>
      </c>
      <c r="H832">
        <v>1231.5</v>
      </c>
      <c r="I832">
        <v>1232.5</v>
      </c>
      <c r="J832">
        <v>363200</v>
      </c>
    </row>
    <row r="833" spans="4:10">
      <c r="D833" t="s">
        <v>712</v>
      </c>
      <c r="E833" t="s">
        <v>645</v>
      </c>
      <c r="F833">
        <v>1232.5</v>
      </c>
      <c r="G833">
        <v>1237.5</v>
      </c>
      <c r="H833">
        <v>1227</v>
      </c>
      <c r="I833">
        <v>1228</v>
      </c>
      <c r="J833">
        <v>910600</v>
      </c>
    </row>
    <row r="834" spans="4:10">
      <c r="D834" t="s">
        <v>712</v>
      </c>
      <c r="E834" t="s">
        <v>646</v>
      </c>
      <c r="F834">
        <v>1228</v>
      </c>
      <c r="G834">
        <v>1228.5</v>
      </c>
      <c r="H834">
        <v>1222.5</v>
      </c>
      <c r="I834">
        <v>1223</v>
      </c>
      <c r="J834">
        <v>803500</v>
      </c>
    </row>
    <row r="835" spans="4:10">
      <c r="D835" t="s">
        <v>712</v>
      </c>
      <c r="E835" t="s">
        <v>647</v>
      </c>
      <c r="F835">
        <v>1222.5</v>
      </c>
      <c r="G835">
        <v>1224.5</v>
      </c>
      <c r="H835">
        <v>1220.5</v>
      </c>
      <c r="I835">
        <v>1224</v>
      </c>
      <c r="J835">
        <v>382200</v>
      </c>
    </row>
    <row r="836" spans="4:10">
      <c r="D836" t="s">
        <v>712</v>
      </c>
      <c r="E836" t="s">
        <v>648</v>
      </c>
      <c r="F836">
        <v>1224</v>
      </c>
      <c r="G836">
        <v>1226</v>
      </c>
      <c r="H836">
        <v>1222.5</v>
      </c>
      <c r="I836">
        <v>1224</v>
      </c>
      <c r="J836">
        <v>325600</v>
      </c>
    </row>
    <row r="837" spans="4:10">
      <c r="D837" t="s">
        <v>712</v>
      </c>
      <c r="E837" t="s">
        <v>649</v>
      </c>
      <c r="F837">
        <v>1224</v>
      </c>
      <c r="G837">
        <v>1227</v>
      </c>
      <c r="H837">
        <v>1223</v>
      </c>
      <c r="I837">
        <v>1226.5</v>
      </c>
      <c r="J837">
        <v>257400</v>
      </c>
    </row>
    <row r="838" spans="4:10">
      <c r="D838" t="s">
        <v>712</v>
      </c>
      <c r="E838" t="s">
        <v>650</v>
      </c>
      <c r="F838">
        <v>1226.5</v>
      </c>
      <c r="G838">
        <v>1230</v>
      </c>
      <c r="H838">
        <v>1226</v>
      </c>
      <c r="I838">
        <v>1226.5</v>
      </c>
      <c r="J838">
        <v>382600</v>
      </c>
    </row>
    <row r="839" spans="4:10">
      <c r="D839" t="s">
        <v>712</v>
      </c>
      <c r="E839" t="s">
        <v>651</v>
      </c>
      <c r="F839">
        <v>1226</v>
      </c>
      <c r="G839">
        <v>1230</v>
      </c>
      <c r="H839">
        <v>1225</v>
      </c>
      <c r="I839">
        <v>1229</v>
      </c>
      <c r="J839">
        <v>309000</v>
      </c>
    </row>
    <row r="840" spans="4:10">
      <c r="D840" t="s">
        <v>712</v>
      </c>
      <c r="E840" t="s">
        <v>652</v>
      </c>
      <c r="F840">
        <v>1229</v>
      </c>
      <c r="G840">
        <v>1229.5</v>
      </c>
      <c r="H840">
        <v>1225.5</v>
      </c>
      <c r="I840">
        <v>1227</v>
      </c>
      <c r="J840">
        <v>203900</v>
      </c>
    </row>
    <row r="841" spans="4:10">
      <c r="D841" t="s">
        <v>712</v>
      </c>
      <c r="E841" t="s">
        <v>653</v>
      </c>
      <c r="F841">
        <v>1227</v>
      </c>
      <c r="G841">
        <v>1231</v>
      </c>
      <c r="H841">
        <v>1225.5</v>
      </c>
      <c r="I841">
        <v>1230.5</v>
      </c>
      <c r="J841">
        <v>256900</v>
      </c>
    </row>
    <row r="842" spans="4:10">
      <c r="D842" t="s">
        <v>712</v>
      </c>
      <c r="E842" t="s">
        <v>654</v>
      </c>
      <c r="F842">
        <v>1230.5</v>
      </c>
      <c r="G842">
        <v>1231</v>
      </c>
      <c r="H842">
        <v>1227.5</v>
      </c>
      <c r="I842">
        <v>1228</v>
      </c>
      <c r="J842">
        <v>249800</v>
      </c>
    </row>
    <row r="843" spans="4:10">
      <c r="D843" t="s">
        <v>712</v>
      </c>
      <c r="E843" t="s">
        <v>655</v>
      </c>
      <c r="F843">
        <v>1227.5</v>
      </c>
      <c r="G843">
        <v>1227.5</v>
      </c>
      <c r="H843">
        <v>1225</v>
      </c>
      <c r="I843">
        <v>1226</v>
      </c>
      <c r="J843">
        <v>325200</v>
      </c>
    </row>
    <row r="844" spans="4:10">
      <c r="D844" t="s">
        <v>712</v>
      </c>
      <c r="E844" t="s">
        <v>656</v>
      </c>
      <c r="F844">
        <v>1226.5</v>
      </c>
      <c r="G844">
        <v>1229</v>
      </c>
      <c r="H844">
        <v>1225.5</v>
      </c>
      <c r="I844">
        <v>1228.5</v>
      </c>
      <c r="J844">
        <v>179500</v>
      </c>
    </row>
    <row r="845" spans="4:10">
      <c r="D845" t="s">
        <v>712</v>
      </c>
      <c r="E845" t="s">
        <v>657</v>
      </c>
      <c r="F845">
        <v>1229</v>
      </c>
      <c r="G845">
        <v>1231.5</v>
      </c>
      <c r="H845">
        <v>1228</v>
      </c>
      <c r="I845">
        <v>1229</v>
      </c>
      <c r="J845">
        <v>330800</v>
      </c>
    </row>
    <row r="846" spans="4:10">
      <c r="D846" t="s">
        <v>712</v>
      </c>
      <c r="E846" t="s">
        <v>658</v>
      </c>
      <c r="F846">
        <v>1229</v>
      </c>
      <c r="G846">
        <v>1229</v>
      </c>
      <c r="H846">
        <v>1226</v>
      </c>
      <c r="I846">
        <v>1227</v>
      </c>
      <c r="J846">
        <v>278200</v>
      </c>
    </row>
    <row r="847" spans="4:10">
      <c r="D847" t="s">
        <v>712</v>
      </c>
      <c r="E847" t="s">
        <v>659</v>
      </c>
      <c r="F847">
        <v>1227</v>
      </c>
      <c r="G847">
        <v>1229</v>
      </c>
      <c r="H847">
        <v>1227</v>
      </c>
      <c r="I847">
        <v>1228.5</v>
      </c>
      <c r="J847">
        <v>145000</v>
      </c>
    </row>
    <row r="848" spans="4:10">
      <c r="D848" t="s">
        <v>712</v>
      </c>
      <c r="E848" t="s">
        <v>660</v>
      </c>
      <c r="F848">
        <v>1228.5</v>
      </c>
      <c r="G848">
        <v>1230</v>
      </c>
      <c r="H848">
        <v>1227.5</v>
      </c>
      <c r="I848">
        <v>1229.5</v>
      </c>
      <c r="J848">
        <v>120000</v>
      </c>
    </row>
    <row r="849" spans="4:10">
      <c r="D849" t="s">
        <v>712</v>
      </c>
      <c r="E849" t="s">
        <v>661</v>
      </c>
      <c r="F849">
        <v>1230</v>
      </c>
      <c r="G849">
        <v>1230.5</v>
      </c>
      <c r="H849">
        <v>1229.5</v>
      </c>
      <c r="I849">
        <v>1230.5</v>
      </c>
      <c r="J849">
        <v>120200</v>
      </c>
    </row>
    <row r="850" spans="4:10">
      <c r="D850" t="s">
        <v>712</v>
      </c>
      <c r="E850" t="s">
        <v>662</v>
      </c>
      <c r="F850">
        <v>1231</v>
      </c>
      <c r="G850">
        <v>1231.5</v>
      </c>
      <c r="H850">
        <v>1229</v>
      </c>
      <c r="I850">
        <v>1230.5</v>
      </c>
      <c r="J850">
        <v>208400</v>
      </c>
    </row>
    <row r="851" spans="4:10">
      <c r="D851" t="s">
        <v>712</v>
      </c>
      <c r="E851" t="s">
        <v>663</v>
      </c>
      <c r="F851">
        <v>1230.5</v>
      </c>
      <c r="G851">
        <v>1230.5</v>
      </c>
      <c r="H851">
        <v>1225</v>
      </c>
      <c r="I851">
        <v>1226</v>
      </c>
      <c r="J851">
        <v>385000</v>
      </c>
    </row>
    <row r="852" spans="4:10">
      <c r="D852" t="s">
        <v>712</v>
      </c>
      <c r="E852" t="s">
        <v>664</v>
      </c>
      <c r="F852">
        <v>1225.5</v>
      </c>
      <c r="G852">
        <v>1228.5</v>
      </c>
      <c r="H852">
        <v>1225.5</v>
      </c>
      <c r="I852">
        <v>1227</v>
      </c>
      <c r="J852">
        <v>130300</v>
      </c>
    </row>
    <row r="853" spans="4:10">
      <c r="D853" t="s">
        <v>712</v>
      </c>
      <c r="E853" t="s">
        <v>665</v>
      </c>
      <c r="F853">
        <v>1227.5</v>
      </c>
      <c r="G853">
        <v>1229</v>
      </c>
      <c r="H853">
        <v>1227</v>
      </c>
      <c r="I853">
        <v>1227.5</v>
      </c>
      <c r="J853">
        <v>97000</v>
      </c>
    </row>
    <row r="854" spans="4:10">
      <c r="D854" t="s">
        <v>712</v>
      </c>
      <c r="E854" t="s">
        <v>666</v>
      </c>
      <c r="F854">
        <v>1227.5</v>
      </c>
      <c r="G854">
        <v>1229</v>
      </c>
      <c r="H854">
        <v>1227</v>
      </c>
      <c r="I854">
        <v>1228.5</v>
      </c>
      <c r="J854">
        <v>90800</v>
      </c>
    </row>
    <row r="855" spans="4:10">
      <c r="D855" t="s">
        <v>712</v>
      </c>
      <c r="E855" t="s">
        <v>667</v>
      </c>
      <c r="F855">
        <v>1228.5</v>
      </c>
      <c r="G855">
        <v>1230.5</v>
      </c>
      <c r="H855">
        <v>1228</v>
      </c>
      <c r="I855">
        <v>1230.5</v>
      </c>
      <c r="J855">
        <v>154900</v>
      </c>
    </row>
    <row r="856" spans="4:10">
      <c r="D856" t="s">
        <v>712</v>
      </c>
      <c r="E856" t="s">
        <v>668</v>
      </c>
      <c r="F856">
        <v>1230.5</v>
      </c>
      <c r="G856">
        <v>1230.5</v>
      </c>
      <c r="H856">
        <v>1229</v>
      </c>
      <c r="I856">
        <v>1229.5</v>
      </c>
      <c r="J856">
        <v>122200</v>
      </c>
    </row>
    <row r="857" spans="4:10">
      <c r="D857" t="s">
        <v>712</v>
      </c>
      <c r="E857" t="s">
        <v>669</v>
      </c>
      <c r="F857">
        <v>1230</v>
      </c>
      <c r="G857">
        <v>1230</v>
      </c>
      <c r="H857">
        <v>1230</v>
      </c>
      <c r="I857">
        <v>1230</v>
      </c>
      <c r="J857">
        <v>27100</v>
      </c>
    </row>
    <row r="858" spans="4:10">
      <c r="D858" t="s">
        <v>712</v>
      </c>
      <c r="E858" t="s">
        <v>670</v>
      </c>
      <c r="F858">
        <v>1229</v>
      </c>
      <c r="G858">
        <v>1229.5</v>
      </c>
      <c r="H858">
        <v>1216</v>
      </c>
      <c r="I858">
        <v>1217</v>
      </c>
      <c r="J858">
        <v>2155500</v>
      </c>
    </row>
    <row r="859" spans="4:10">
      <c r="D859" t="s">
        <v>712</v>
      </c>
      <c r="E859" t="s">
        <v>671</v>
      </c>
      <c r="F859">
        <v>1217</v>
      </c>
      <c r="G859">
        <v>1217.5</v>
      </c>
      <c r="H859">
        <v>1214.5</v>
      </c>
      <c r="I859">
        <v>1217</v>
      </c>
      <c r="J859">
        <v>753400</v>
      </c>
    </row>
    <row r="860" spans="4:10">
      <c r="D860" t="s">
        <v>712</v>
      </c>
      <c r="E860" t="s">
        <v>672</v>
      </c>
      <c r="F860">
        <v>1216.5</v>
      </c>
      <c r="G860">
        <v>1218.5</v>
      </c>
      <c r="H860">
        <v>1214</v>
      </c>
      <c r="I860">
        <v>1218</v>
      </c>
      <c r="J860">
        <v>624500</v>
      </c>
    </row>
    <row r="861" spans="4:10">
      <c r="D861" t="s">
        <v>712</v>
      </c>
      <c r="E861" t="s">
        <v>673</v>
      </c>
      <c r="F861">
        <v>1218</v>
      </c>
      <c r="G861">
        <v>1218</v>
      </c>
      <c r="H861">
        <v>1214</v>
      </c>
      <c r="I861">
        <v>1215</v>
      </c>
      <c r="J861">
        <v>426400</v>
      </c>
    </row>
    <row r="862" spans="4:10">
      <c r="D862" t="s">
        <v>712</v>
      </c>
      <c r="E862" t="s">
        <v>674</v>
      </c>
      <c r="F862">
        <v>1215</v>
      </c>
      <c r="G862">
        <v>1216</v>
      </c>
      <c r="H862">
        <v>1214</v>
      </c>
      <c r="I862">
        <v>1215</v>
      </c>
      <c r="J862">
        <v>341000</v>
      </c>
    </row>
    <row r="863" spans="4:10">
      <c r="D863" t="s">
        <v>712</v>
      </c>
      <c r="E863" t="s">
        <v>675</v>
      </c>
      <c r="F863">
        <v>1215.5</v>
      </c>
      <c r="G863">
        <v>1215.5</v>
      </c>
      <c r="H863">
        <v>1212</v>
      </c>
      <c r="I863">
        <v>1213.5</v>
      </c>
      <c r="J863">
        <v>457600</v>
      </c>
    </row>
    <row r="864" spans="4:10">
      <c r="D864" t="s">
        <v>712</v>
      </c>
      <c r="E864" t="s">
        <v>676</v>
      </c>
      <c r="F864">
        <v>1214</v>
      </c>
      <c r="G864">
        <v>1214.5</v>
      </c>
      <c r="H864">
        <v>1212.5</v>
      </c>
      <c r="I864">
        <v>1213</v>
      </c>
      <c r="J864">
        <v>249000</v>
      </c>
    </row>
    <row r="865" spans="4:10">
      <c r="D865" t="s">
        <v>712</v>
      </c>
      <c r="E865" t="s">
        <v>677</v>
      </c>
      <c r="F865">
        <v>1212.5</v>
      </c>
      <c r="G865">
        <v>1213</v>
      </c>
      <c r="H865">
        <v>1208.5</v>
      </c>
      <c r="I865">
        <v>1209</v>
      </c>
      <c r="J865">
        <v>754700</v>
      </c>
    </row>
    <row r="866" spans="4:10">
      <c r="D866" t="s">
        <v>712</v>
      </c>
      <c r="E866" t="s">
        <v>678</v>
      </c>
      <c r="F866">
        <v>1209</v>
      </c>
      <c r="G866">
        <v>1211.5</v>
      </c>
      <c r="H866">
        <v>1208.5</v>
      </c>
      <c r="I866">
        <v>1210.5</v>
      </c>
      <c r="J866">
        <v>432100</v>
      </c>
    </row>
    <row r="867" spans="4:10">
      <c r="D867" t="s">
        <v>712</v>
      </c>
      <c r="E867" t="s">
        <v>679</v>
      </c>
      <c r="F867">
        <v>1210.5</v>
      </c>
      <c r="G867">
        <v>1210.5</v>
      </c>
      <c r="H867">
        <v>1209</v>
      </c>
      <c r="I867">
        <v>1209.5</v>
      </c>
      <c r="J867">
        <v>282200</v>
      </c>
    </row>
    <row r="868" spans="4:10">
      <c r="D868" t="s">
        <v>712</v>
      </c>
      <c r="E868" t="s">
        <v>680</v>
      </c>
      <c r="F868">
        <v>1209</v>
      </c>
      <c r="G868">
        <v>1211.5</v>
      </c>
      <c r="H868">
        <v>1208.5</v>
      </c>
      <c r="I868">
        <v>1211</v>
      </c>
      <c r="J868">
        <v>314600</v>
      </c>
    </row>
    <row r="869" spans="4:10">
      <c r="D869" t="s">
        <v>712</v>
      </c>
      <c r="E869" t="s">
        <v>681</v>
      </c>
      <c r="F869">
        <v>1211</v>
      </c>
      <c r="G869">
        <v>1212</v>
      </c>
      <c r="H869">
        <v>1210</v>
      </c>
      <c r="I869">
        <v>1211.5</v>
      </c>
      <c r="J869">
        <v>242400</v>
      </c>
    </row>
    <row r="870" spans="4:10">
      <c r="D870" t="s">
        <v>712</v>
      </c>
      <c r="E870" t="s">
        <v>682</v>
      </c>
      <c r="F870">
        <v>1211</v>
      </c>
      <c r="G870">
        <v>1212.5</v>
      </c>
      <c r="H870">
        <v>1210</v>
      </c>
      <c r="I870">
        <v>1212.5</v>
      </c>
      <c r="J870">
        <v>256800</v>
      </c>
    </row>
    <row r="871" spans="4:10">
      <c r="D871" t="s">
        <v>712</v>
      </c>
      <c r="E871" t="s">
        <v>683</v>
      </c>
      <c r="F871">
        <v>1212.5</v>
      </c>
      <c r="G871">
        <v>1214</v>
      </c>
      <c r="H871">
        <v>1212.5</v>
      </c>
      <c r="I871">
        <v>1212.5</v>
      </c>
      <c r="J871">
        <v>209900</v>
      </c>
    </row>
    <row r="872" spans="4:10">
      <c r="D872" t="s">
        <v>712</v>
      </c>
      <c r="E872" t="s">
        <v>684</v>
      </c>
      <c r="F872">
        <v>1213</v>
      </c>
      <c r="G872">
        <v>1214</v>
      </c>
      <c r="H872">
        <v>1212.5</v>
      </c>
      <c r="I872">
        <v>1214</v>
      </c>
      <c r="J872">
        <v>231200</v>
      </c>
    </row>
    <row r="873" spans="4:10">
      <c r="D873" t="s">
        <v>712</v>
      </c>
      <c r="E873" t="s">
        <v>685</v>
      </c>
      <c r="F873">
        <v>1214</v>
      </c>
      <c r="G873">
        <v>1214.5</v>
      </c>
      <c r="H873">
        <v>1213.5</v>
      </c>
      <c r="I873">
        <v>1214</v>
      </c>
      <c r="J873">
        <v>184500</v>
      </c>
    </row>
    <row r="874" spans="4:10">
      <c r="D874" t="s">
        <v>712</v>
      </c>
      <c r="E874" t="s">
        <v>686</v>
      </c>
      <c r="F874">
        <v>1214</v>
      </c>
      <c r="G874">
        <v>1218</v>
      </c>
      <c r="H874">
        <v>1214</v>
      </c>
      <c r="I874">
        <v>1216</v>
      </c>
      <c r="J874">
        <v>413000</v>
      </c>
    </row>
    <row r="875" spans="4:10">
      <c r="D875" t="s">
        <v>712</v>
      </c>
      <c r="E875" t="s">
        <v>687</v>
      </c>
      <c r="F875">
        <v>1216</v>
      </c>
      <c r="G875">
        <v>1216</v>
      </c>
      <c r="H875">
        <v>1213.5</v>
      </c>
      <c r="I875">
        <v>1215</v>
      </c>
      <c r="J875">
        <v>252300</v>
      </c>
    </row>
    <row r="876" spans="4:10">
      <c r="D876" t="s">
        <v>712</v>
      </c>
      <c r="E876" t="s">
        <v>688</v>
      </c>
      <c r="F876">
        <v>1214.5</v>
      </c>
      <c r="G876">
        <v>1215</v>
      </c>
      <c r="H876">
        <v>1213.5</v>
      </c>
      <c r="I876">
        <v>1213.5</v>
      </c>
      <c r="J876">
        <v>121600</v>
      </c>
    </row>
    <row r="877" spans="4:10">
      <c r="D877" t="s">
        <v>712</v>
      </c>
      <c r="E877" t="s">
        <v>689</v>
      </c>
      <c r="F877">
        <v>1213.5</v>
      </c>
      <c r="G877">
        <v>1213.5</v>
      </c>
      <c r="H877">
        <v>1212.5</v>
      </c>
      <c r="I877">
        <v>1212.5</v>
      </c>
      <c r="J877">
        <v>198800</v>
      </c>
    </row>
    <row r="878" spans="4:10">
      <c r="D878" t="s">
        <v>712</v>
      </c>
      <c r="E878" t="s">
        <v>690</v>
      </c>
      <c r="F878">
        <v>1212.5</v>
      </c>
      <c r="G878">
        <v>1214</v>
      </c>
      <c r="H878">
        <v>1212.5</v>
      </c>
      <c r="I878">
        <v>1213.5</v>
      </c>
      <c r="J878">
        <v>133100</v>
      </c>
    </row>
    <row r="879" spans="4:10">
      <c r="D879" t="s">
        <v>712</v>
      </c>
      <c r="E879" t="s">
        <v>691</v>
      </c>
      <c r="F879">
        <v>1213</v>
      </c>
      <c r="G879">
        <v>1215.5</v>
      </c>
      <c r="H879">
        <v>1213</v>
      </c>
      <c r="I879">
        <v>1215.5</v>
      </c>
      <c r="J879">
        <v>221800</v>
      </c>
    </row>
    <row r="880" spans="4:10">
      <c r="D880" t="s">
        <v>712</v>
      </c>
      <c r="E880" t="s">
        <v>692</v>
      </c>
      <c r="F880">
        <v>1215.5</v>
      </c>
      <c r="G880">
        <v>1217.5</v>
      </c>
      <c r="H880">
        <v>1215</v>
      </c>
      <c r="I880">
        <v>1217</v>
      </c>
      <c r="J880">
        <v>285200</v>
      </c>
    </row>
    <row r="881" spans="4:10">
      <c r="D881" t="s">
        <v>712</v>
      </c>
      <c r="E881" t="s">
        <v>693</v>
      </c>
      <c r="F881">
        <v>1217</v>
      </c>
      <c r="G881">
        <v>1217.5</v>
      </c>
      <c r="H881">
        <v>1215</v>
      </c>
      <c r="I881">
        <v>1217.5</v>
      </c>
      <c r="J881">
        <v>231200</v>
      </c>
    </row>
    <row r="882" spans="4:10">
      <c r="D882" t="s">
        <v>712</v>
      </c>
      <c r="E882" t="s">
        <v>694</v>
      </c>
      <c r="F882">
        <v>1217.5</v>
      </c>
      <c r="G882">
        <v>1217.5</v>
      </c>
      <c r="H882">
        <v>1215.5</v>
      </c>
      <c r="I882">
        <v>1215.5</v>
      </c>
      <c r="J882">
        <v>216300</v>
      </c>
    </row>
    <row r="883" spans="4:10">
      <c r="D883" t="s">
        <v>712</v>
      </c>
      <c r="E883" t="s">
        <v>695</v>
      </c>
      <c r="F883">
        <v>1215.5</v>
      </c>
      <c r="G883">
        <v>1216</v>
      </c>
      <c r="H883">
        <v>1212</v>
      </c>
      <c r="I883">
        <v>1212.5</v>
      </c>
      <c r="J883">
        <v>333600</v>
      </c>
    </row>
    <row r="884" spans="4:10">
      <c r="D884" t="s">
        <v>712</v>
      </c>
      <c r="E884" t="s">
        <v>696</v>
      </c>
      <c r="F884">
        <v>1212.5</v>
      </c>
      <c r="G884">
        <v>1213.5</v>
      </c>
      <c r="H884">
        <v>1211.5</v>
      </c>
      <c r="I884">
        <v>1211.5</v>
      </c>
      <c r="J884">
        <v>337400</v>
      </c>
    </row>
    <row r="885" spans="4:10">
      <c r="D885" t="s">
        <v>712</v>
      </c>
      <c r="E885" t="s">
        <v>697</v>
      </c>
      <c r="F885">
        <v>1212</v>
      </c>
      <c r="G885">
        <v>1212.5</v>
      </c>
      <c r="H885">
        <v>1211.5</v>
      </c>
      <c r="I885">
        <v>1212.5</v>
      </c>
      <c r="J885">
        <v>223400</v>
      </c>
    </row>
    <row r="886" spans="4:10">
      <c r="D886" t="s">
        <v>712</v>
      </c>
      <c r="E886" t="s">
        <v>698</v>
      </c>
      <c r="F886">
        <v>1212.5</v>
      </c>
      <c r="G886">
        <v>1214.5</v>
      </c>
      <c r="H886">
        <v>1212</v>
      </c>
      <c r="I886">
        <v>1214.5</v>
      </c>
      <c r="J886">
        <v>248200</v>
      </c>
    </row>
    <row r="887" spans="4:10">
      <c r="D887" t="s">
        <v>712</v>
      </c>
      <c r="E887" t="s">
        <v>699</v>
      </c>
      <c r="F887">
        <v>1214</v>
      </c>
      <c r="G887">
        <v>1214.5</v>
      </c>
      <c r="H887">
        <v>1213.5</v>
      </c>
      <c r="I887">
        <v>1214.5</v>
      </c>
      <c r="J887">
        <v>172200</v>
      </c>
    </row>
    <row r="888" spans="4:10">
      <c r="D888" t="s">
        <v>712</v>
      </c>
      <c r="E888" t="s">
        <v>700</v>
      </c>
      <c r="F888">
        <v>1214.5</v>
      </c>
      <c r="G888">
        <v>1214.5</v>
      </c>
      <c r="H888">
        <v>1213</v>
      </c>
      <c r="I888">
        <v>1213.5</v>
      </c>
      <c r="J888">
        <v>228000</v>
      </c>
    </row>
    <row r="889" spans="4:10">
      <c r="D889" t="s">
        <v>712</v>
      </c>
      <c r="E889" t="s">
        <v>633</v>
      </c>
      <c r="F889">
        <v>1213.5</v>
      </c>
      <c r="G889">
        <v>1214</v>
      </c>
      <c r="H889">
        <v>1213</v>
      </c>
      <c r="I889">
        <v>1213</v>
      </c>
      <c r="J889">
        <v>204500</v>
      </c>
    </row>
    <row r="890" spans="4:10">
      <c r="D890" t="s">
        <v>712</v>
      </c>
      <c r="E890" t="s">
        <v>634</v>
      </c>
      <c r="F890">
        <v>1213</v>
      </c>
      <c r="G890">
        <v>1213.5</v>
      </c>
      <c r="H890">
        <v>1212</v>
      </c>
      <c r="I890">
        <v>1212</v>
      </c>
      <c r="J890">
        <v>306500</v>
      </c>
    </row>
    <row r="891" spans="4:10">
      <c r="D891" t="s">
        <v>712</v>
      </c>
      <c r="E891" t="s">
        <v>635</v>
      </c>
      <c r="F891">
        <v>1212.5</v>
      </c>
      <c r="G891">
        <v>1213</v>
      </c>
      <c r="H891">
        <v>1212</v>
      </c>
      <c r="I891">
        <v>1212.5</v>
      </c>
      <c r="J891">
        <v>309500</v>
      </c>
    </row>
    <row r="892" spans="4:10">
      <c r="D892" t="s">
        <v>712</v>
      </c>
      <c r="E892" t="s">
        <v>614</v>
      </c>
      <c r="F892">
        <v>1212</v>
      </c>
      <c r="G892">
        <v>1213</v>
      </c>
      <c r="H892">
        <v>1210</v>
      </c>
      <c r="I892">
        <v>1212</v>
      </c>
      <c r="J892">
        <v>729400</v>
      </c>
    </row>
    <row r="893" spans="4:10">
      <c r="D893" t="s">
        <v>712</v>
      </c>
      <c r="E893" t="s">
        <v>636</v>
      </c>
      <c r="F893" t="s">
        <v>35</v>
      </c>
      <c r="G893" t="s">
        <v>35</v>
      </c>
      <c r="H893" t="s">
        <v>35</v>
      </c>
      <c r="I893" t="s">
        <v>35</v>
      </c>
      <c r="J893">
        <v>0</v>
      </c>
    </row>
    <row r="894" spans="4:10">
      <c r="D894" t="s">
        <v>712</v>
      </c>
      <c r="E894" t="s">
        <v>637</v>
      </c>
      <c r="F894">
        <v>1212</v>
      </c>
      <c r="G894">
        <v>1212</v>
      </c>
      <c r="H894">
        <v>1212</v>
      </c>
      <c r="I894">
        <v>1212</v>
      </c>
      <c r="J894">
        <v>1924400</v>
      </c>
    </row>
    <row r="895" spans="4:10">
      <c r="D895" t="s">
        <v>713</v>
      </c>
      <c r="E895" t="s">
        <v>639</v>
      </c>
      <c r="F895">
        <v>1200</v>
      </c>
      <c r="G895">
        <v>1210.5</v>
      </c>
      <c r="H895">
        <v>1187</v>
      </c>
      <c r="I895">
        <v>1193</v>
      </c>
      <c r="J895">
        <v>3772700</v>
      </c>
    </row>
    <row r="896" spans="4:10">
      <c r="D896" t="s">
        <v>713</v>
      </c>
      <c r="E896" t="s">
        <v>640</v>
      </c>
      <c r="F896">
        <v>1193</v>
      </c>
      <c r="G896">
        <v>1197</v>
      </c>
      <c r="H896">
        <v>1187</v>
      </c>
      <c r="I896">
        <v>1194</v>
      </c>
      <c r="J896">
        <v>990900</v>
      </c>
    </row>
    <row r="897" spans="4:10">
      <c r="D897" t="s">
        <v>713</v>
      </c>
      <c r="E897" t="s">
        <v>641</v>
      </c>
      <c r="F897">
        <v>1194</v>
      </c>
      <c r="G897">
        <v>1199.5</v>
      </c>
      <c r="H897">
        <v>1192</v>
      </c>
      <c r="I897">
        <v>1196</v>
      </c>
      <c r="J897">
        <v>673700</v>
      </c>
    </row>
    <row r="898" spans="4:10">
      <c r="D898" t="s">
        <v>713</v>
      </c>
      <c r="E898" t="s">
        <v>642</v>
      </c>
      <c r="F898">
        <v>1196</v>
      </c>
      <c r="G898">
        <v>1202.5</v>
      </c>
      <c r="H898">
        <v>1194</v>
      </c>
      <c r="I898">
        <v>1200.5</v>
      </c>
      <c r="J898">
        <v>690600</v>
      </c>
    </row>
    <row r="899" spans="4:10">
      <c r="D899" t="s">
        <v>713</v>
      </c>
      <c r="E899" t="s">
        <v>643</v>
      </c>
      <c r="F899">
        <v>1200</v>
      </c>
      <c r="G899">
        <v>1203</v>
      </c>
      <c r="H899">
        <v>1199</v>
      </c>
      <c r="I899">
        <v>1201</v>
      </c>
      <c r="J899">
        <v>570500</v>
      </c>
    </row>
    <row r="900" spans="4:10">
      <c r="D900" t="s">
        <v>713</v>
      </c>
      <c r="E900" t="s">
        <v>644</v>
      </c>
      <c r="F900">
        <v>1201</v>
      </c>
      <c r="G900">
        <v>1202.5</v>
      </c>
      <c r="H900">
        <v>1199</v>
      </c>
      <c r="I900">
        <v>1202</v>
      </c>
      <c r="J900">
        <v>459000</v>
      </c>
    </row>
    <row r="901" spans="4:10">
      <c r="D901" t="s">
        <v>713</v>
      </c>
      <c r="E901" t="s">
        <v>645</v>
      </c>
      <c r="F901">
        <v>1202</v>
      </c>
      <c r="G901">
        <v>1206</v>
      </c>
      <c r="H901">
        <v>1199</v>
      </c>
      <c r="I901">
        <v>1204.5</v>
      </c>
      <c r="J901">
        <v>411000</v>
      </c>
    </row>
    <row r="902" spans="4:10">
      <c r="D902" t="s">
        <v>713</v>
      </c>
      <c r="E902" t="s">
        <v>646</v>
      </c>
      <c r="F902">
        <v>1204.5</v>
      </c>
      <c r="G902">
        <v>1206.5</v>
      </c>
      <c r="H902">
        <v>1199</v>
      </c>
      <c r="I902">
        <v>1206</v>
      </c>
      <c r="J902">
        <v>422400</v>
      </c>
    </row>
    <row r="903" spans="4:10">
      <c r="D903" t="s">
        <v>713</v>
      </c>
      <c r="E903" t="s">
        <v>647</v>
      </c>
      <c r="F903">
        <v>1206</v>
      </c>
      <c r="G903">
        <v>1212</v>
      </c>
      <c r="H903">
        <v>1205</v>
      </c>
      <c r="I903">
        <v>1212</v>
      </c>
      <c r="J903">
        <v>411500</v>
      </c>
    </row>
    <row r="904" spans="4:10">
      <c r="D904" t="s">
        <v>713</v>
      </c>
      <c r="E904" t="s">
        <v>648</v>
      </c>
      <c r="F904">
        <v>1211.5</v>
      </c>
      <c r="G904">
        <v>1212.5</v>
      </c>
      <c r="H904">
        <v>1209.5</v>
      </c>
      <c r="I904">
        <v>1209.5</v>
      </c>
      <c r="J904">
        <v>375000</v>
      </c>
    </row>
    <row r="905" spans="4:10">
      <c r="D905" t="s">
        <v>713</v>
      </c>
      <c r="E905" t="s">
        <v>649</v>
      </c>
      <c r="F905">
        <v>1209.5</v>
      </c>
      <c r="G905">
        <v>1210.5</v>
      </c>
      <c r="H905">
        <v>1206</v>
      </c>
      <c r="I905">
        <v>1206</v>
      </c>
      <c r="J905">
        <v>285100</v>
      </c>
    </row>
    <row r="906" spans="4:10">
      <c r="D906" t="s">
        <v>713</v>
      </c>
      <c r="E906" t="s">
        <v>650</v>
      </c>
      <c r="F906">
        <v>1206.5</v>
      </c>
      <c r="G906">
        <v>1206.5</v>
      </c>
      <c r="H906">
        <v>1198.5</v>
      </c>
      <c r="I906">
        <v>1201</v>
      </c>
      <c r="J906">
        <v>642100</v>
      </c>
    </row>
    <row r="907" spans="4:10">
      <c r="D907" t="s">
        <v>713</v>
      </c>
      <c r="E907" t="s">
        <v>651</v>
      </c>
      <c r="F907">
        <v>1201</v>
      </c>
      <c r="G907">
        <v>1203</v>
      </c>
      <c r="H907">
        <v>1199.5</v>
      </c>
      <c r="I907">
        <v>1202</v>
      </c>
      <c r="J907">
        <v>270500</v>
      </c>
    </row>
    <row r="908" spans="4:10">
      <c r="D908" t="s">
        <v>713</v>
      </c>
      <c r="E908" t="s">
        <v>652</v>
      </c>
      <c r="F908">
        <v>1202</v>
      </c>
      <c r="G908">
        <v>1203</v>
      </c>
      <c r="H908">
        <v>1199</v>
      </c>
      <c r="I908">
        <v>1202</v>
      </c>
      <c r="J908">
        <v>353000</v>
      </c>
    </row>
    <row r="909" spans="4:10">
      <c r="D909" t="s">
        <v>713</v>
      </c>
      <c r="E909" t="s">
        <v>653</v>
      </c>
      <c r="F909">
        <v>1202</v>
      </c>
      <c r="G909">
        <v>1202.5</v>
      </c>
      <c r="H909">
        <v>1200.5</v>
      </c>
      <c r="I909">
        <v>1201</v>
      </c>
      <c r="J909">
        <v>384200</v>
      </c>
    </row>
    <row r="910" spans="4:10">
      <c r="D910" t="s">
        <v>713</v>
      </c>
      <c r="E910" t="s">
        <v>654</v>
      </c>
      <c r="F910">
        <v>1201</v>
      </c>
      <c r="G910">
        <v>1201</v>
      </c>
      <c r="H910">
        <v>1194</v>
      </c>
      <c r="I910">
        <v>1194</v>
      </c>
      <c r="J910">
        <v>549400</v>
      </c>
    </row>
    <row r="911" spans="4:10">
      <c r="D911" t="s">
        <v>713</v>
      </c>
      <c r="E911" t="s">
        <v>655</v>
      </c>
      <c r="F911">
        <v>1194</v>
      </c>
      <c r="G911">
        <v>1194.5</v>
      </c>
      <c r="H911">
        <v>1191</v>
      </c>
      <c r="I911">
        <v>1192.5</v>
      </c>
      <c r="J911">
        <v>400500</v>
      </c>
    </row>
    <row r="912" spans="4:10">
      <c r="D912" t="s">
        <v>713</v>
      </c>
      <c r="E912" t="s">
        <v>656</v>
      </c>
      <c r="F912">
        <v>1192</v>
      </c>
      <c r="G912">
        <v>1195.5</v>
      </c>
      <c r="H912">
        <v>1191</v>
      </c>
      <c r="I912">
        <v>1194.5</v>
      </c>
      <c r="J912">
        <v>400800</v>
      </c>
    </row>
    <row r="913" spans="4:10">
      <c r="D913" t="s">
        <v>713</v>
      </c>
      <c r="E913" t="s">
        <v>657</v>
      </c>
      <c r="F913">
        <v>1194.5</v>
      </c>
      <c r="G913">
        <v>1200.5</v>
      </c>
      <c r="H913">
        <v>1194.5</v>
      </c>
      <c r="I913">
        <v>1197.5</v>
      </c>
      <c r="J913">
        <v>320100</v>
      </c>
    </row>
    <row r="914" spans="4:10">
      <c r="D914" t="s">
        <v>713</v>
      </c>
      <c r="E914" t="s">
        <v>658</v>
      </c>
      <c r="F914">
        <v>1197.5</v>
      </c>
      <c r="G914">
        <v>1198</v>
      </c>
      <c r="H914">
        <v>1195</v>
      </c>
      <c r="I914">
        <v>1196</v>
      </c>
      <c r="J914">
        <v>202800</v>
      </c>
    </row>
    <row r="915" spans="4:10">
      <c r="D915" t="s">
        <v>713</v>
      </c>
      <c r="E915" t="s">
        <v>659</v>
      </c>
      <c r="F915">
        <v>1196</v>
      </c>
      <c r="G915">
        <v>1199.5</v>
      </c>
      <c r="H915">
        <v>1195.5</v>
      </c>
      <c r="I915">
        <v>1199</v>
      </c>
      <c r="J915">
        <v>200100</v>
      </c>
    </row>
    <row r="916" spans="4:10">
      <c r="D916" t="s">
        <v>713</v>
      </c>
      <c r="E916" t="s">
        <v>660</v>
      </c>
      <c r="F916">
        <v>1199.5</v>
      </c>
      <c r="G916">
        <v>1202</v>
      </c>
      <c r="H916">
        <v>1198</v>
      </c>
      <c r="I916">
        <v>1201.5</v>
      </c>
      <c r="J916">
        <v>301000</v>
      </c>
    </row>
    <row r="917" spans="4:10">
      <c r="D917" t="s">
        <v>713</v>
      </c>
      <c r="E917" t="s">
        <v>661</v>
      </c>
      <c r="F917">
        <v>1201</v>
      </c>
      <c r="G917">
        <v>1202</v>
      </c>
      <c r="H917">
        <v>1200</v>
      </c>
      <c r="I917">
        <v>1201</v>
      </c>
      <c r="J917">
        <v>164300</v>
      </c>
    </row>
    <row r="918" spans="4:10">
      <c r="D918" t="s">
        <v>713</v>
      </c>
      <c r="E918" t="s">
        <v>662</v>
      </c>
      <c r="F918">
        <v>1200.5</v>
      </c>
      <c r="G918">
        <v>1201</v>
      </c>
      <c r="H918">
        <v>1199</v>
      </c>
      <c r="I918">
        <v>1199</v>
      </c>
      <c r="J918">
        <v>133400</v>
      </c>
    </row>
    <row r="919" spans="4:10">
      <c r="D919" t="s">
        <v>713</v>
      </c>
      <c r="E919" t="s">
        <v>663</v>
      </c>
      <c r="F919">
        <v>1199</v>
      </c>
      <c r="G919">
        <v>1199.5</v>
      </c>
      <c r="H919">
        <v>1196.5</v>
      </c>
      <c r="I919">
        <v>1196.5</v>
      </c>
      <c r="J919">
        <v>227500</v>
      </c>
    </row>
    <row r="920" spans="4:10">
      <c r="D920" t="s">
        <v>713</v>
      </c>
      <c r="E920" t="s">
        <v>664</v>
      </c>
      <c r="F920">
        <v>1196.5</v>
      </c>
      <c r="G920">
        <v>1200</v>
      </c>
      <c r="H920">
        <v>1193.5</v>
      </c>
      <c r="I920">
        <v>1199</v>
      </c>
      <c r="J920">
        <v>352900</v>
      </c>
    </row>
    <row r="921" spans="4:10">
      <c r="D921" t="s">
        <v>713</v>
      </c>
      <c r="E921" t="s">
        <v>665</v>
      </c>
      <c r="F921">
        <v>1199</v>
      </c>
      <c r="G921">
        <v>1207.5</v>
      </c>
      <c r="H921">
        <v>1199</v>
      </c>
      <c r="I921">
        <v>1205</v>
      </c>
      <c r="J921">
        <v>440300</v>
      </c>
    </row>
    <row r="922" spans="4:10">
      <c r="D922" t="s">
        <v>713</v>
      </c>
      <c r="E922" t="s">
        <v>666</v>
      </c>
      <c r="F922">
        <v>1205</v>
      </c>
      <c r="G922">
        <v>1207.5</v>
      </c>
      <c r="H922">
        <v>1205</v>
      </c>
      <c r="I922">
        <v>1205</v>
      </c>
      <c r="J922">
        <v>160500</v>
      </c>
    </row>
    <row r="923" spans="4:10">
      <c r="D923" t="s">
        <v>713</v>
      </c>
      <c r="E923" t="s">
        <v>667</v>
      </c>
      <c r="F923">
        <v>1205</v>
      </c>
      <c r="G923">
        <v>1209</v>
      </c>
      <c r="H923">
        <v>1204.5</v>
      </c>
      <c r="I923">
        <v>1208</v>
      </c>
      <c r="J923">
        <v>300000</v>
      </c>
    </row>
    <row r="924" spans="4:10">
      <c r="D924" t="s">
        <v>713</v>
      </c>
      <c r="E924" t="s">
        <v>668</v>
      </c>
      <c r="F924">
        <v>1208.5</v>
      </c>
      <c r="G924">
        <v>1212</v>
      </c>
      <c r="H924">
        <v>1205</v>
      </c>
      <c r="I924">
        <v>1208</v>
      </c>
      <c r="J924">
        <v>434100</v>
      </c>
    </row>
    <row r="925" spans="4:10">
      <c r="D925" t="s">
        <v>713</v>
      </c>
      <c r="E925" t="s">
        <v>669</v>
      </c>
      <c r="F925">
        <v>1208</v>
      </c>
      <c r="G925">
        <v>1208</v>
      </c>
      <c r="H925">
        <v>1208</v>
      </c>
      <c r="I925">
        <v>1208</v>
      </c>
      <c r="J925">
        <v>14200</v>
      </c>
    </row>
    <row r="926" spans="4:10">
      <c r="D926" t="s">
        <v>713</v>
      </c>
      <c r="E926" t="s">
        <v>670</v>
      </c>
      <c r="F926">
        <v>1205</v>
      </c>
      <c r="G926">
        <v>1210.5</v>
      </c>
      <c r="H926">
        <v>1203.5</v>
      </c>
      <c r="I926">
        <v>1207</v>
      </c>
      <c r="J926">
        <v>901000</v>
      </c>
    </row>
    <row r="927" spans="4:10">
      <c r="D927" t="s">
        <v>713</v>
      </c>
      <c r="E927" t="s">
        <v>671</v>
      </c>
      <c r="F927">
        <v>1207</v>
      </c>
      <c r="G927">
        <v>1210</v>
      </c>
      <c r="H927">
        <v>1204.5</v>
      </c>
      <c r="I927">
        <v>1205</v>
      </c>
      <c r="J927">
        <v>306600</v>
      </c>
    </row>
    <row r="928" spans="4:10">
      <c r="D928" t="s">
        <v>713</v>
      </c>
      <c r="E928" t="s">
        <v>672</v>
      </c>
      <c r="F928">
        <v>1205</v>
      </c>
      <c r="G928">
        <v>1205</v>
      </c>
      <c r="H928">
        <v>1198</v>
      </c>
      <c r="I928">
        <v>1199</v>
      </c>
      <c r="J928">
        <v>363700</v>
      </c>
    </row>
    <row r="929" spans="4:10">
      <c r="D929" t="s">
        <v>713</v>
      </c>
      <c r="E929" t="s">
        <v>673</v>
      </c>
      <c r="F929">
        <v>1199</v>
      </c>
      <c r="G929">
        <v>1200</v>
      </c>
      <c r="H929">
        <v>1196.5</v>
      </c>
      <c r="I929">
        <v>1197.5</v>
      </c>
      <c r="J929">
        <v>269500</v>
      </c>
    </row>
    <row r="930" spans="4:10">
      <c r="D930" t="s">
        <v>713</v>
      </c>
      <c r="E930" t="s">
        <v>674</v>
      </c>
      <c r="F930">
        <v>1197.5</v>
      </c>
      <c r="G930">
        <v>1198.5</v>
      </c>
      <c r="H930">
        <v>1195.5</v>
      </c>
      <c r="I930">
        <v>1197</v>
      </c>
      <c r="J930">
        <v>268800</v>
      </c>
    </row>
    <row r="931" spans="4:10">
      <c r="D931" t="s">
        <v>713</v>
      </c>
      <c r="E931" t="s">
        <v>675</v>
      </c>
      <c r="F931">
        <v>1196.5</v>
      </c>
      <c r="G931">
        <v>1197</v>
      </c>
      <c r="H931">
        <v>1195.5</v>
      </c>
      <c r="I931">
        <v>1196</v>
      </c>
      <c r="J931">
        <v>269200</v>
      </c>
    </row>
    <row r="932" spans="4:10">
      <c r="D932" t="s">
        <v>713</v>
      </c>
      <c r="E932" t="s">
        <v>676</v>
      </c>
      <c r="F932">
        <v>1196.5</v>
      </c>
      <c r="G932">
        <v>1198</v>
      </c>
      <c r="H932">
        <v>1195.5</v>
      </c>
      <c r="I932">
        <v>1196.5</v>
      </c>
      <c r="J932">
        <v>231000</v>
      </c>
    </row>
    <row r="933" spans="4:10">
      <c r="D933" t="s">
        <v>713</v>
      </c>
      <c r="E933" t="s">
        <v>677</v>
      </c>
      <c r="F933">
        <v>1197</v>
      </c>
      <c r="G933">
        <v>1197.5</v>
      </c>
      <c r="H933">
        <v>1194.5</v>
      </c>
      <c r="I933">
        <v>1195.5</v>
      </c>
      <c r="J933">
        <v>427700</v>
      </c>
    </row>
    <row r="934" spans="4:10">
      <c r="D934" t="s">
        <v>713</v>
      </c>
      <c r="E934" t="s">
        <v>678</v>
      </c>
      <c r="F934">
        <v>1195.5</v>
      </c>
      <c r="G934">
        <v>1196</v>
      </c>
      <c r="H934">
        <v>1194</v>
      </c>
      <c r="I934">
        <v>1194</v>
      </c>
      <c r="J934">
        <v>115500</v>
      </c>
    </row>
    <row r="935" spans="4:10">
      <c r="D935" t="s">
        <v>713</v>
      </c>
      <c r="E935" t="s">
        <v>679</v>
      </c>
      <c r="F935">
        <v>1194</v>
      </c>
      <c r="G935">
        <v>1197</v>
      </c>
      <c r="H935">
        <v>1194</v>
      </c>
      <c r="I935">
        <v>1196.5</v>
      </c>
      <c r="J935">
        <v>196100</v>
      </c>
    </row>
    <row r="936" spans="4:10">
      <c r="D936" t="s">
        <v>713</v>
      </c>
      <c r="E936" t="s">
        <v>680</v>
      </c>
      <c r="F936">
        <v>1196.5</v>
      </c>
      <c r="G936">
        <v>1201</v>
      </c>
      <c r="H936">
        <v>1196.5</v>
      </c>
      <c r="I936">
        <v>1200</v>
      </c>
      <c r="J936">
        <v>243200</v>
      </c>
    </row>
    <row r="937" spans="4:10">
      <c r="D937" t="s">
        <v>713</v>
      </c>
      <c r="E937" t="s">
        <v>681</v>
      </c>
      <c r="F937">
        <v>1200</v>
      </c>
      <c r="G937">
        <v>1200.5</v>
      </c>
      <c r="H937">
        <v>1199</v>
      </c>
      <c r="I937">
        <v>1199</v>
      </c>
      <c r="J937">
        <v>106100</v>
      </c>
    </row>
    <row r="938" spans="4:10">
      <c r="D938" t="s">
        <v>713</v>
      </c>
      <c r="E938" t="s">
        <v>682</v>
      </c>
      <c r="F938">
        <v>1199</v>
      </c>
      <c r="G938">
        <v>1199.5</v>
      </c>
      <c r="H938">
        <v>1196.5</v>
      </c>
      <c r="I938">
        <v>1198.5</v>
      </c>
      <c r="J938">
        <v>235000</v>
      </c>
    </row>
    <row r="939" spans="4:10">
      <c r="D939" t="s">
        <v>713</v>
      </c>
      <c r="E939" t="s">
        <v>683</v>
      </c>
      <c r="F939">
        <v>1199</v>
      </c>
      <c r="G939">
        <v>1199</v>
      </c>
      <c r="H939">
        <v>1196.5</v>
      </c>
      <c r="I939">
        <v>1196.5</v>
      </c>
      <c r="J939">
        <v>86200</v>
      </c>
    </row>
    <row r="940" spans="4:10">
      <c r="D940" t="s">
        <v>713</v>
      </c>
      <c r="E940" t="s">
        <v>684</v>
      </c>
      <c r="F940">
        <v>1197</v>
      </c>
      <c r="G940">
        <v>1197</v>
      </c>
      <c r="H940">
        <v>1195</v>
      </c>
      <c r="I940">
        <v>1196.5</v>
      </c>
      <c r="J940">
        <v>203200</v>
      </c>
    </row>
    <row r="941" spans="4:10">
      <c r="D941" t="s">
        <v>713</v>
      </c>
      <c r="E941" t="s">
        <v>685</v>
      </c>
      <c r="F941">
        <v>1197</v>
      </c>
      <c r="G941">
        <v>1198.5</v>
      </c>
      <c r="H941">
        <v>1196.5</v>
      </c>
      <c r="I941">
        <v>1197</v>
      </c>
      <c r="J941">
        <v>63000</v>
      </c>
    </row>
    <row r="942" spans="4:10">
      <c r="D942" t="s">
        <v>713</v>
      </c>
      <c r="E942" t="s">
        <v>686</v>
      </c>
      <c r="F942">
        <v>1196.5</v>
      </c>
      <c r="G942">
        <v>1197.5</v>
      </c>
      <c r="H942">
        <v>1196</v>
      </c>
      <c r="I942">
        <v>1197</v>
      </c>
      <c r="J942">
        <v>136800</v>
      </c>
    </row>
    <row r="943" spans="4:10">
      <c r="D943" t="s">
        <v>713</v>
      </c>
      <c r="E943" t="s">
        <v>687</v>
      </c>
      <c r="F943">
        <v>1197</v>
      </c>
      <c r="G943">
        <v>1199</v>
      </c>
      <c r="H943">
        <v>1196.5</v>
      </c>
      <c r="I943">
        <v>1197.5</v>
      </c>
      <c r="J943">
        <v>211600</v>
      </c>
    </row>
    <row r="944" spans="4:10">
      <c r="D944" t="s">
        <v>713</v>
      </c>
      <c r="E944" t="s">
        <v>688</v>
      </c>
      <c r="F944">
        <v>1197.5</v>
      </c>
      <c r="G944">
        <v>1199</v>
      </c>
      <c r="H944">
        <v>1196</v>
      </c>
      <c r="I944">
        <v>1196.5</v>
      </c>
      <c r="J944">
        <v>191000</v>
      </c>
    </row>
    <row r="945" spans="4:10">
      <c r="D945" t="s">
        <v>713</v>
      </c>
      <c r="E945" t="s">
        <v>689</v>
      </c>
      <c r="F945">
        <v>1196.5</v>
      </c>
      <c r="G945">
        <v>1197</v>
      </c>
      <c r="H945">
        <v>1196</v>
      </c>
      <c r="I945">
        <v>1196.5</v>
      </c>
      <c r="J945">
        <v>63500</v>
      </c>
    </row>
    <row r="946" spans="4:10">
      <c r="D946" t="s">
        <v>713</v>
      </c>
      <c r="E946" t="s">
        <v>690</v>
      </c>
      <c r="F946">
        <v>1196.5</v>
      </c>
      <c r="G946">
        <v>1197.5</v>
      </c>
      <c r="H946">
        <v>1196</v>
      </c>
      <c r="I946">
        <v>1196.5</v>
      </c>
      <c r="J946">
        <v>83400</v>
      </c>
    </row>
    <row r="947" spans="4:10">
      <c r="D947" t="s">
        <v>713</v>
      </c>
      <c r="E947" t="s">
        <v>691</v>
      </c>
      <c r="F947">
        <v>1197</v>
      </c>
      <c r="G947">
        <v>1198</v>
      </c>
      <c r="H947">
        <v>1196.5</v>
      </c>
      <c r="I947">
        <v>1197.5</v>
      </c>
      <c r="J947">
        <v>94200</v>
      </c>
    </row>
    <row r="948" spans="4:10">
      <c r="D948" t="s">
        <v>713</v>
      </c>
      <c r="E948" t="s">
        <v>692</v>
      </c>
      <c r="F948">
        <v>1197.5</v>
      </c>
      <c r="G948">
        <v>1198</v>
      </c>
      <c r="H948">
        <v>1197</v>
      </c>
      <c r="I948">
        <v>1197.5</v>
      </c>
      <c r="J948">
        <v>105300</v>
      </c>
    </row>
    <row r="949" spans="4:10">
      <c r="D949" t="s">
        <v>713</v>
      </c>
      <c r="E949" t="s">
        <v>693</v>
      </c>
      <c r="F949">
        <v>1197.5</v>
      </c>
      <c r="G949">
        <v>1198.5</v>
      </c>
      <c r="H949">
        <v>1197</v>
      </c>
      <c r="I949">
        <v>1197.5</v>
      </c>
      <c r="J949">
        <v>108600</v>
      </c>
    </row>
    <row r="950" spans="4:10">
      <c r="D950" t="s">
        <v>713</v>
      </c>
      <c r="E950" t="s">
        <v>694</v>
      </c>
      <c r="F950">
        <v>1197.5</v>
      </c>
      <c r="G950">
        <v>1199</v>
      </c>
      <c r="H950">
        <v>1197</v>
      </c>
      <c r="I950">
        <v>1198.5</v>
      </c>
      <c r="J950">
        <v>88400</v>
      </c>
    </row>
    <row r="951" spans="4:10">
      <c r="D951" t="s">
        <v>713</v>
      </c>
      <c r="E951" t="s">
        <v>695</v>
      </c>
      <c r="F951">
        <v>1198.5</v>
      </c>
      <c r="G951">
        <v>1200</v>
      </c>
      <c r="H951">
        <v>1198</v>
      </c>
      <c r="I951">
        <v>1199</v>
      </c>
      <c r="J951">
        <v>223600</v>
      </c>
    </row>
    <row r="952" spans="4:10">
      <c r="D952" t="s">
        <v>713</v>
      </c>
      <c r="E952" t="s">
        <v>696</v>
      </c>
      <c r="F952">
        <v>1198.5</v>
      </c>
      <c r="G952">
        <v>1200</v>
      </c>
      <c r="H952">
        <v>1198.5</v>
      </c>
      <c r="I952">
        <v>1198.5</v>
      </c>
      <c r="J952">
        <v>116500</v>
      </c>
    </row>
    <row r="953" spans="4:10">
      <c r="D953" t="s">
        <v>713</v>
      </c>
      <c r="E953" t="s">
        <v>697</v>
      </c>
      <c r="F953">
        <v>1199</v>
      </c>
      <c r="G953">
        <v>1199</v>
      </c>
      <c r="H953">
        <v>1197</v>
      </c>
      <c r="I953">
        <v>1199</v>
      </c>
      <c r="J953">
        <v>162400</v>
      </c>
    </row>
    <row r="954" spans="4:10">
      <c r="D954" t="s">
        <v>713</v>
      </c>
      <c r="E954" t="s">
        <v>698</v>
      </c>
      <c r="F954">
        <v>1199.5</v>
      </c>
      <c r="G954">
        <v>1201</v>
      </c>
      <c r="H954">
        <v>1199</v>
      </c>
      <c r="I954">
        <v>1200.5</v>
      </c>
      <c r="J954">
        <v>166200</v>
      </c>
    </row>
    <row r="955" spans="4:10">
      <c r="D955" t="s">
        <v>713</v>
      </c>
      <c r="E955" t="s">
        <v>699</v>
      </c>
      <c r="F955">
        <v>1200.5</v>
      </c>
      <c r="G955">
        <v>1201</v>
      </c>
      <c r="H955">
        <v>1199.5</v>
      </c>
      <c r="I955">
        <v>1199.5</v>
      </c>
      <c r="J955">
        <v>111600</v>
      </c>
    </row>
    <row r="956" spans="4:10">
      <c r="D956" t="s">
        <v>713</v>
      </c>
      <c r="E956" t="s">
        <v>700</v>
      </c>
      <c r="F956">
        <v>1199.5</v>
      </c>
      <c r="G956">
        <v>1200</v>
      </c>
      <c r="H956">
        <v>1198</v>
      </c>
      <c r="I956">
        <v>1198.5</v>
      </c>
      <c r="J956">
        <v>162400</v>
      </c>
    </row>
    <row r="957" spans="4:10">
      <c r="D957" t="s">
        <v>713</v>
      </c>
      <c r="E957" t="s">
        <v>633</v>
      </c>
      <c r="F957">
        <v>1198</v>
      </c>
      <c r="G957">
        <v>1198.5</v>
      </c>
      <c r="H957">
        <v>1196</v>
      </c>
      <c r="I957">
        <v>1196.5</v>
      </c>
      <c r="J957">
        <v>224700</v>
      </c>
    </row>
    <row r="958" spans="4:10">
      <c r="D958" t="s">
        <v>713</v>
      </c>
      <c r="E958" t="s">
        <v>634</v>
      </c>
      <c r="F958">
        <v>1197</v>
      </c>
      <c r="G958">
        <v>1199</v>
      </c>
      <c r="H958">
        <v>1197</v>
      </c>
      <c r="I958">
        <v>1198.5</v>
      </c>
      <c r="J958">
        <v>176600</v>
      </c>
    </row>
    <row r="959" spans="4:10">
      <c r="D959" t="s">
        <v>713</v>
      </c>
      <c r="E959" t="s">
        <v>635</v>
      </c>
      <c r="F959">
        <v>1199</v>
      </c>
      <c r="G959">
        <v>1199</v>
      </c>
      <c r="H959">
        <v>1198</v>
      </c>
      <c r="I959">
        <v>1198.5</v>
      </c>
      <c r="J959">
        <v>126400</v>
      </c>
    </row>
    <row r="960" spans="4:10">
      <c r="D960" t="s">
        <v>713</v>
      </c>
      <c r="E960" t="s">
        <v>614</v>
      </c>
      <c r="F960">
        <v>1198</v>
      </c>
      <c r="G960">
        <v>1198.5</v>
      </c>
      <c r="H960">
        <v>1193.5</v>
      </c>
      <c r="I960">
        <v>1194.5</v>
      </c>
      <c r="J960">
        <v>708900</v>
      </c>
    </row>
    <row r="961" spans="4:10">
      <c r="D961" t="s">
        <v>713</v>
      </c>
      <c r="E961" t="s">
        <v>636</v>
      </c>
      <c r="F961" t="s">
        <v>35</v>
      </c>
      <c r="G961" t="s">
        <v>35</v>
      </c>
      <c r="H961" t="s">
        <v>35</v>
      </c>
      <c r="I961" t="s">
        <v>35</v>
      </c>
      <c r="J961">
        <v>0</v>
      </c>
    </row>
    <row r="962" spans="4:10">
      <c r="D962" t="s">
        <v>713</v>
      </c>
      <c r="E962" t="s">
        <v>637</v>
      </c>
      <c r="F962">
        <v>1194</v>
      </c>
      <c r="G962">
        <v>1194</v>
      </c>
      <c r="H962">
        <v>1194</v>
      </c>
      <c r="I962">
        <v>1194</v>
      </c>
      <c r="J962">
        <v>1352800</v>
      </c>
    </row>
    <row r="963" spans="4:10">
      <c r="D963" t="s">
        <v>714</v>
      </c>
      <c r="E963" t="s">
        <v>639</v>
      </c>
      <c r="F963">
        <v>1211</v>
      </c>
      <c r="G963">
        <v>1216</v>
      </c>
      <c r="H963">
        <v>1198</v>
      </c>
      <c r="I963">
        <v>1201</v>
      </c>
      <c r="J963">
        <v>2143800</v>
      </c>
    </row>
    <row r="964" spans="4:10">
      <c r="D964" t="s">
        <v>714</v>
      </c>
      <c r="E964" t="s">
        <v>640</v>
      </c>
      <c r="F964">
        <v>1202</v>
      </c>
      <c r="G964">
        <v>1202.5</v>
      </c>
      <c r="H964">
        <v>1187.5</v>
      </c>
      <c r="I964">
        <v>1190.5</v>
      </c>
      <c r="J964">
        <v>934100</v>
      </c>
    </row>
    <row r="965" spans="4:10">
      <c r="D965" t="s">
        <v>714</v>
      </c>
      <c r="E965" t="s">
        <v>641</v>
      </c>
      <c r="F965">
        <v>1190.5</v>
      </c>
      <c r="G965">
        <v>1191.5</v>
      </c>
      <c r="H965">
        <v>1185</v>
      </c>
      <c r="I965">
        <v>1187.5</v>
      </c>
      <c r="J965">
        <v>771200</v>
      </c>
    </row>
    <row r="966" spans="4:10">
      <c r="D966" t="s">
        <v>714</v>
      </c>
      <c r="E966" t="s">
        <v>642</v>
      </c>
      <c r="F966">
        <v>1187.5</v>
      </c>
      <c r="G966">
        <v>1190.5</v>
      </c>
      <c r="H966">
        <v>1178</v>
      </c>
      <c r="I966">
        <v>1181.5</v>
      </c>
      <c r="J966">
        <v>919200</v>
      </c>
    </row>
    <row r="967" spans="4:10">
      <c r="D967" t="s">
        <v>714</v>
      </c>
      <c r="E967" t="s">
        <v>643</v>
      </c>
      <c r="F967">
        <v>1181.5</v>
      </c>
      <c r="G967">
        <v>1191.5</v>
      </c>
      <c r="H967">
        <v>1180.5</v>
      </c>
      <c r="I967">
        <v>1189</v>
      </c>
      <c r="J967">
        <v>410000</v>
      </c>
    </row>
    <row r="968" spans="4:10">
      <c r="D968" t="s">
        <v>714</v>
      </c>
      <c r="E968" t="s">
        <v>644</v>
      </c>
      <c r="F968">
        <v>1189</v>
      </c>
      <c r="G968">
        <v>1199.5</v>
      </c>
      <c r="H968">
        <v>1188</v>
      </c>
      <c r="I968">
        <v>1188.5</v>
      </c>
      <c r="J968">
        <v>674500</v>
      </c>
    </row>
    <row r="969" spans="4:10">
      <c r="D969" t="s">
        <v>714</v>
      </c>
      <c r="E969" t="s">
        <v>645</v>
      </c>
      <c r="F969">
        <v>1188.5</v>
      </c>
      <c r="G969">
        <v>1192</v>
      </c>
      <c r="H969">
        <v>1179</v>
      </c>
      <c r="I969">
        <v>1180.5</v>
      </c>
      <c r="J969">
        <v>426200</v>
      </c>
    </row>
    <row r="970" spans="4:10">
      <c r="D970" t="s">
        <v>714</v>
      </c>
      <c r="E970" t="s">
        <v>646</v>
      </c>
      <c r="F970">
        <v>1180</v>
      </c>
      <c r="G970">
        <v>1183.5</v>
      </c>
      <c r="H970">
        <v>1179.5</v>
      </c>
      <c r="I970">
        <v>1183</v>
      </c>
      <c r="J970">
        <v>197000</v>
      </c>
    </row>
    <row r="971" spans="4:10">
      <c r="D971" t="s">
        <v>714</v>
      </c>
      <c r="E971" t="s">
        <v>647</v>
      </c>
      <c r="F971">
        <v>1183</v>
      </c>
      <c r="G971">
        <v>1183</v>
      </c>
      <c r="H971">
        <v>1177</v>
      </c>
      <c r="I971">
        <v>1177.5</v>
      </c>
      <c r="J971">
        <v>425700</v>
      </c>
    </row>
    <row r="972" spans="4:10">
      <c r="D972" t="s">
        <v>714</v>
      </c>
      <c r="E972" t="s">
        <v>648</v>
      </c>
      <c r="F972">
        <v>1178</v>
      </c>
      <c r="G972">
        <v>1179</v>
      </c>
      <c r="H972">
        <v>1175</v>
      </c>
      <c r="I972">
        <v>1178.5</v>
      </c>
      <c r="J972">
        <v>355800</v>
      </c>
    </row>
    <row r="973" spans="4:10">
      <c r="D973" t="s">
        <v>714</v>
      </c>
      <c r="E973" t="s">
        <v>649</v>
      </c>
      <c r="F973">
        <v>1178</v>
      </c>
      <c r="G973">
        <v>1178</v>
      </c>
      <c r="H973">
        <v>1175</v>
      </c>
      <c r="I973">
        <v>1175</v>
      </c>
      <c r="J973">
        <v>158900</v>
      </c>
    </row>
    <row r="974" spans="4:10">
      <c r="D974" t="s">
        <v>714</v>
      </c>
      <c r="E974" t="s">
        <v>650</v>
      </c>
      <c r="F974">
        <v>1175</v>
      </c>
      <c r="G974">
        <v>1176.5</v>
      </c>
      <c r="H974">
        <v>1173</v>
      </c>
      <c r="I974">
        <v>1174</v>
      </c>
      <c r="J974">
        <v>325300</v>
      </c>
    </row>
    <row r="975" spans="4:10">
      <c r="D975" t="s">
        <v>714</v>
      </c>
      <c r="E975" t="s">
        <v>651</v>
      </c>
      <c r="F975">
        <v>1174</v>
      </c>
      <c r="G975">
        <v>1175.5</v>
      </c>
      <c r="H975">
        <v>1170.5</v>
      </c>
      <c r="I975">
        <v>1170.5</v>
      </c>
      <c r="J975">
        <v>263900</v>
      </c>
    </row>
    <row r="976" spans="4:10">
      <c r="D976" t="s">
        <v>714</v>
      </c>
      <c r="E976" t="s">
        <v>652</v>
      </c>
      <c r="F976">
        <v>1170.5</v>
      </c>
      <c r="G976">
        <v>1171</v>
      </c>
      <c r="H976">
        <v>1163</v>
      </c>
      <c r="I976">
        <v>1164</v>
      </c>
      <c r="J976">
        <v>662800</v>
      </c>
    </row>
    <row r="977" spans="4:10">
      <c r="D977" t="s">
        <v>714</v>
      </c>
      <c r="E977" t="s">
        <v>653</v>
      </c>
      <c r="F977">
        <v>1164.5</v>
      </c>
      <c r="G977">
        <v>1165</v>
      </c>
      <c r="H977">
        <v>1158</v>
      </c>
      <c r="I977">
        <v>1159</v>
      </c>
      <c r="J977">
        <v>629100</v>
      </c>
    </row>
    <row r="978" spans="4:10">
      <c r="D978" t="s">
        <v>714</v>
      </c>
      <c r="E978" t="s">
        <v>654</v>
      </c>
      <c r="F978">
        <v>1159</v>
      </c>
      <c r="G978">
        <v>1161</v>
      </c>
      <c r="H978">
        <v>1157</v>
      </c>
      <c r="I978">
        <v>1158</v>
      </c>
      <c r="J978">
        <v>381600</v>
      </c>
    </row>
    <row r="979" spans="4:10">
      <c r="D979" t="s">
        <v>714</v>
      </c>
      <c r="E979" t="s">
        <v>655</v>
      </c>
      <c r="F979">
        <v>1157.5</v>
      </c>
      <c r="G979">
        <v>1159</v>
      </c>
      <c r="H979">
        <v>1155.5</v>
      </c>
      <c r="I979">
        <v>1158.5</v>
      </c>
      <c r="J979">
        <v>359700</v>
      </c>
    </row>
    <row r="980" spans="4:10">
      <c r="D980" t="s">
        <v>714</v>
      </c>
      <c r="E980" t="s">
        <v>656</v>
      </c>
      <c r="F980">
        <v>1158</v>
      </c>
      <c r="G980">
        <v>1163.5</v>
      </c>
      <c r="H980">
        <v>1157</v>
      </c>
      <c r="I980">
        <v>1162</v>
      </c>
      <c r="J980">
        <v>400800</v>
      </c>
    </row>
    <row r="981" spans="4:10">
      <c r="D981" t="s">
        <v>714</v>
      </c>
      <c r="E981" t="s">
        <v>657</v>
      </c>
      <c r="F981">
        <v>1162</v>
      </c>
      <c r="G981">
        <v>1166.5</v>
      </c>
      <c r="H981">
        <v>1161</v>
      </c>
      <c r="I981">
        <v>1165</v>
      </c>
      <c r="J981">
        <v>306200</v>
      </c>
    </row>
    <row r="982" spans="4:10">
      <c r="D982" t="s">
        <v>714</v>
      </c>
      <c r="E982" t="s">
        <v>658</v>
      </c>
      <c r="F982">
        <v>1165.5</v>
      </c>
      <c r="G982">
        <v>1167</v>
      </c>
      <c r="H982">
        <v>1161</v>
      </c>
      <c r="I982">
        <v>1164</v>
      </c>
      <c r="J982">
        <v>242700</v>
      </c>
    </row>
    <row r="983" spans="4:10">
      <c r="D983" t="s">
        <v>714</v>
      </c>
      <c r="E983" t="s">
        <v>659</v>
      </c>
      <c r="F983">
        <v>1164</v>
      </c>
      <c r="G983">
        <v>1164</v>
      </c>
      <c r="H983">
        <v>1160</v>
      </c>
      <c r="I983">
        <v>1161</v>
      </c>
      <c r="J983">
        <v>225800</v>
      </c>
    </row>
    <row r="984" spans="4:10">
      <c r="D984" t="s">
        <v>714</v>
      </c>
      <c r="E984" t="s">
        <v>660</v>
      </c>
      <c r="F984">
        <v>1160.5</v>
      </c>
      <c r="G984">
        <v>1166.5</v>
      </c>
      <c r="H984">
        <v>1160</v>
      </c>
      <c r="I984">
        <v>1166</v>
      </c>
      <c r="J984">
        <v>181900</v>
      </c>
    </row>
    <row r="985" spans="4:10">
      <c r="D985" t="s">
        <v>714</v>
      </c>
      <c r="E985" t="s">
        <v>661</v>
      </c>
      <c r="F985">
        <v>1166</v>
      </c>
      <c r="G985">
        <v>1168</v>
      </c>
      <c r="H985">
        <v>1164</v>
      </c>
      <c r="I985">
        <v>1164</v>
      </c>
      <c r="J985">
        <v>225800</v>
      </c>
    </row>
    <row r="986" spans="4:10">
      <c r="D986" t="s">
        <v>714</v>
      </c>
      <c r="E986" t="s">
        <v>662</v>
      </c>
      <c r="F986">
        <v>1164.5</v>
      </c>
      <c r="G986">
        <v>1164.5</v>
      </c>
      <c r="H986">
        <v>1162.5</v>
      </c>
      <c r="I986">
        <v>1163</v>
      </c>
      <c r="J986">
        <v>132700</v>
      </c>
    </row>
    <row r="987" spans="4:10">
      <c r="D987" t="s">
        <v>714</v>
      </c>
      <c r="E987" t="s">
        <v>663</v>
      </c>
      <c r="F987">
        <v>1162.5</v>
      </c>
      <c r="G987">
        <v>1163.5</v>
      </c>
      <c r="H987">
        <v>1160</v>
      </c>
      <c r="I987">
        <v>1162.5</v>
      </c>
      <c r="J987">
        <v>270500</v>
      </c>
    </row>
    <row r="988" spans="4:10">
      <c r="D988" t="s">
        <v>714</v>
      </c>
      <c r="E988" t="s">
        <v>664</v>
      </c>
      <c r="F988">
        <v>1162.5</v>
      </c>
      <c r="G988">
        <v>1163.5</v>
      </c>
      <c r="H988">
        <v>1161</v>
      </c>
      <c r="I988">
        <v>1161.5</v>
      </c>
      <c r="J988">
        <v>145000</v>
      </c>
    </row>
    <row r="989" spans="4:10">
      <c r="D989" t="s">
        <v>714</v>
      </c>
      <c r="E989" t="s">
        <v>665</v>
      </c>
      <c r="F989">
        <v>1161</v>
      </c>
      <c r="G989">
        <v>1163.5</v>
      </c>
      <c r="H989">
        <v>1160</v>
      </c>
      <c r="I989">
        <v>1163</v>
      </c>
      <c r="J989">
        <v>145400</v>
      </c>
    </row>
    <row r="990" spans="4:10">
      <c r="D990" t="s">
        <v>714</v>
      </c>
      <c r="E990" t="s">
        <v>666</v>
      </c>
      <c r="F990">
        <v>1163</v>
      </c>
      <c r="G990">
        <v>1163</v>
      </c>
      <c r="H990">
        <v>1161.5</v>
      </c>
      <c r="I990">
        <v>1161.5</v>
      </c>
      <c r="J990">
        <v>93100</v>
      </c>
    </row>
    <row r="991" spans="4:10">
      <c r="D991" t="s">
        <v>714</v>
      </c>
      <c r="E991" t="s">
        <v>667</v>
      </c>
      <c r="F991">
        <v>1161.5</v>
      </c>
      <c r="G991">
        <v>1162.5</v>
      </c>
      <c r="H991">
        <v>1159</v>
      </c>
      <c r="I991">
        <v>1159.5</v>
      </c>
      <c r="J991">
        <v>152100</v>
      </c>
    </row>
    <row r="992" spans="4:10">
      <c r="D992" t="s">
        <v>714</v>
      </c>
      <c r="E992" t="s">
        <v>668</v>
      </c>
      <c r="F992">
        <v>1159.5</v>
      </c>
      <c r="G992">
        <v>1161</v>
      </c>
      <c r="H992">
        <v>1159</v>
      </c>
      <c r="I992">
        <v>1159.5</v>
      </c>
      <c r="J992">
        <v>184700</v>
      </c>
    </row>
    <row r="993" spans="4:10">
      <c r="D993" t="s">
        <v>714</v>
      </c>
      <c r="E993" t="s">
        <v>669</v>
      </c>
      <c r="F993">
        <v>1159</v>
      </c>
      <c r="G993">
        <v>1159</v>
      </c>
      <c r="H993">
        <v>1159</v>
      </c>
      <c r="I993">
        <v>1159</v>
      </c>
      <c r="J993">
        <v>15000</v>
      </c>
    </row>
    <row r="994" spans="4:10">
      <c r="D994" t="s">
        <v>714</v>
      </c>
      <c r="E994" t="s">
        <v>670</v>
      </c>
      <c r="F994">
        <v>1163</v>
      </c>
      <c r="G994">
        <v>1169.5</v>
      </c>
      <c r="H994">
        <v>1161.5</v>
      </c>
      <c r="I994">
        <v>1169</v>
      </c>
      <c r="J994">
        <v>503900</v>
      </c>
    </row>
    <row r="995" spans="4:10">
      <c r="D995" t="s">
        <v>714</v>
      </c>
      <c r="E995" t="s">
        <v>671</v>
      </c>
      <c r="F995">
        <v>1168.5</v>
      </c>
      <c r="G995">
        <v>1169</v>
      </c>
      <c r="H995">
        <v>1167</v>
      </c>
      <c r="I995">
        <v>1167.5</v>
      </c>
      <c r="J995">
        <v>169000</v>
      </c>
    </row>
    <row r="996" spans="4:10">
      <c r="D996" t="s">
        <v>714</v>
      </c>
      <c r="E996" t="s">
        <v>672</v>
      </c>
      <c r="F996">
        <v>1167.5</v>
      </c>
      <c r="G996">
        <v>1173</v>
      </c>
      <c r="H996">
        <v>1166</v>
      </c>
      <c r="I996">
        <v>1173</v>
      </c>
      <c r="J996">
        <v>327500</v>
      </c>
    </row>
    <row r="997" spans="4:10">
      <c r="D997" t="s">
        <v>714</v>
      </c>
      <c r="E997" t="s">
        <v>673</v>
      </c>
      <c r="F997">
        <v>1173</v>
      </c>
      <c r="G997">
        <v>1175.5</v>
      </c>
      <c r="H997">
        <v>1173</v>
      </c>
      <c r="I997">
        <v>1174</v>
      </c>
      <c r="J997">
        <v>205700</v>
      </c>
    </row>
    <row r="998" spans="4:10">
      <c r="D998" t="s">
        <v>714</v>
      </c>
      <c r="E998" t="s">
        <v>674</v>
      </c>
      <c r="F998">
        <v>1174.5</v>
      </c>
      <c r="G998">
        <v>1176.5</v>
      </c>
      <c r="H998">
        <v>1174.5</v>
      </c>
      <c r="I998">
        <v>1176.5</v>
      </c>
      <c r="J998">
        <v>133600</v>
      </c>
    </row>
    <row r="999" spans="4:10">
      <c r="D999" t="s">
        <v>714</v>
      </c>
      <c r="E999" t="s">
        <v>675</v>
      </c>
      <c r="F999">
        <v>1176</v>
      </c>
      <c r="G999">
        <v>1176.5</v>
      </c>
      <c r="H999">
        <v>1171</v>
      </c>
      <c r="I999">
        <v>1171.5</v>
      </c>
      <c r="J999">
        <v>438900</v>
      </c>
    </row>
    <row r="1000" spans="4:10">
      <c r="D1000" t="s">
        <v>714</v>
      </c>
      <c r="E1000" t="s">
        <v>676</v>
      </c>
      <c r="F1000">
        <v>1171.5</v>
      </c>
      <c r="G1000">
        <v>1174</v>
      </c>
      <c r="H1000">
        <v>1170</v>
      </c>
      <c r="I1000">
        <v>1173.5</v>
      </c>
      <c r="J1000">
        <v>134200</v>
      </c>
    </row>
    <row r="1001" spans="4:10">
      <c r="D1001" t="s">
        <v>714</v>
      </c>
      <c r="E1001" t="s">
        <v>677</v>
      </c>
      <c r="F1001">
        <v>1173.5</v>
      </c>
      <c r="G1001">
        <v>1174</v>
      </c>
      <c r="H1001">
        <v>1171.5</v>
      </c>
      <c r="I1001">
        <v>1172</v>
      </c>
      <c r="J1001">
        <v>110500</v>
      </c>
    </row>
    <row r="1002" spans="4:10">
      <c r="D1002" t="s">
        <v>714</v>
      </c>
      <c r="E1002" t="s">
        <v>678</v>
      </c>
      <c r="F1002">
        <v>1172</v>
      </c>
      <c r="G1002">
        <v>1173.5</v>
      </c>
      <c r="H1002">
        <v>1171.5</v>
      </c>
      <c r="I1002">
        <v>1172.5</v>
      </c>
      <c r="J1002">
        <v>120500</v>
      </c>
    </row>
    <row r="1003" spans="4:10">
      <c r="D1003" t="s">
        <v>714</v>
      </c>
      <c r="E1003" t="s">
        <v>679</v>
      </c>
      <c r="F1003">
        <v>1172.5</v>
      </c>
      <c r="G1003">
        <v>1174</v>
      </c>
      <c r="H1003">
        <v>1172</v>
      </c>
      <c r="I1003">
        <v>1173</v>
      </c>
      <c r="J1003">
        <v>72600</v>
      </c>
    </row>
    <row r="1004" spans="4:10">
      <c r="D1004" t="s">
        <v>714</v>
      </c>
      <c r="E1004" t="s">
        <v>680</v>
      </c>
      <c r="F1004">
        <v>1172.5</v>
      </c>
      <c r="G1004">
        <v>1174.5</v>
      </c>
      <c r="H1004">
        <v>1172.5</v>
      </c>
      <c r="I1004">
        <v>1174</v>
      </c>
      <c r="J1004">
        <v>106800</v>
      </c>
    </row>
    <row r="1005" spans="4:10">
      <c r="D1005" t="s">
        <v>714</v>
      </c>
      <c r="E1005" t="s">
        <v>681</v>
      </c>
      <c r="F1005">
        <v>1173.5</v>
      </c>
      <c r="G1005">
        <v>1175.5</v>
      </c>
      <c r="H1005">
        <v>1172.5</v>
      </c>
      <c r="I1005">
        <v>1172.5</v>
      </c>
      <c r="J1005">
        <v>119000</v>
      </c>
    </row>
    <row r="1006" spans="4:10">
      <c r="D1006" t="s">
        <v>714</v>
      </c>
      <c r="E1006" t="s">
        <v>682</v>
      </c>
      <c r="F1006">
        <v>1173</v>
      </c>
      <c r="G1006">
        <v>1173.5</v>
      </c>
      <c r="H1006">
        <v>1171</v>
      </c>
      <c r="I1006">
        <v>1173.5</v>
      </c>
      <c r="J1006">
        <v>110900</v>
      </c>
    </row>
    <row r="1007" spans="4:10">
      <c r="D1007" t="s">
        <v>714</v>
      </c>
      <c r="E1007" t="s">
        <v>683</v>
      </c>
      <c r="F1007">
        <v>1173.5</v>
      </c>
      <c r="G1007">
        <v>1174</v>
      </c>
      <c r="H1007">
        <v>1172</v>
      </c>
      <c r="I1007">
        <v>1173</v>
      </c>
      <c r="J1007">
        <v>93800</v>
      </c>
    </row>
    <row r="1008" spans="4:10">
      <c r="D1008" t="s">
        <v>714</v>
      </c>
      <c r="E1008" t="s">
        <v>684</v>
      </c>
      <c r="F1008">
        <v>1173</v>
      </c>
      <c r="G1008">
        <v>1173</v>
      </c>
      <c r="H1008">
        <v>1170</v>
      </c>
      <c r="I1008">
        <v>1170</v>
      </c>
      <c r="J1008">
        <v>179600</v>
      </c>
    </row>
    <row r="1009" spans="4:10">
      <c r="D1009" t="s">
        <v>714</v>
      </c>
      <c r="E1009" t="s">
        <v>685</v>
      </c>
      <c r="F1009">
        <v>1170.5</v>
      </c>
      <c r="G1009">
        <v>1171.5</v>
      </c>
      <c r="H1009">
        <v>1168.5</v>
      </c>
      <c r="I1009">
        <v>1169.5</v>
      </c>
      <c r="J1009">
        <v>182500</v>
      </c>
    </row>
    <row r="1010" spans="4:10">
      <c r="D1010" t="s">
        <v>714</v>
      </c>
      <c r="E1010" t="s">
        <v>686</v>
      </c>
      <c r="F1010">
        <v>1169.5</v>
      </c>
      <c r="G1010">
        <v>1171</v>
      </c>
      <c r="H1010">
        <v>1169</v>
      </c>
      <c r="I1010">
        <v>1169.5</v>
      </c>
      <c r="J1010">
        <v>131000</v>
      </c>
    </row>
    <row r="1011" spans="4:10">
      <c r="D1011" t="s">
        <v>714</v>
      </c>
      <c r="E1011" t="s">
        <v>687</v>
      </c>
      <c r="F1011">
        <v>1169.5</v>
      </c>
      <c r="G1011">
        <v>1169.5</v>
      </c>
      <c r="H1011">
        <v>1165.5</v>
      </c>
      <c r="I1011">
        <v>1165.5</v>
      </c>
      <c r="J1011">
        <v>135700</v>
      </c>
    </row>
    <row r="1012" spans="4:10">
      <c r="D1012" t="s">
        <v>714</v>
      </c>
      <c r="E1012" t="s">
        <v>688</v>
      </c>
      <c r="F1012">
        <v>1165.5</v>
      </c>
      <c r="G1012">
        <v>1166.5</v>
      </c>
      <c r="H1012">
        <v>1164.5</v>
      </c>
      <c r="I1012">
        <v>1166</v>
      </c>
      <c r="J1012">
        <v>222700</v>
      </c>
    </row>
    <row r="1013" spans="4:10">
      <c r="D1013" t="s">
        <v>714</v>
      </c>
      <c r="E1013" t="s">
        <v>689</v>
      </c>
      <c r="F1013">
        <v>1166</v>
      </c>
      <c r="G1013">
        <v>1168</v>
      </c>
      <c r="H1013">
        <v>1165.5</v>
      </c>
      <c r="I1013">
        <v>1167</v>
      </c>
      <c r="J1013">
        <v>91600</v>
      </c>
    </row>
    <row r="1014" spans="4:10">
      <c r="D1014" t="s">
        <v>714</v>
      </c>
      <c r="E1014" t="s">
        <v>690</v>
      </c>
      <c r="F1014">
        <v>1167</v>
      </c>
      <c r="G1014">
        <v>1167.5</v>
      </c>
      <c r="H1014">
        <v>1165</v>
      </c>
      <c r="I1014">
        <v>1166</v>
      </c>
      <c r="J1014">
        <v>158400</v>
      </c>
    </row>
    <row r="1015" spans="4:10">
      <c r="D1015" t="s">
        <v>714</v>
      </c>
      <c r="E1015" t="s">
        <v>691</v>
      </c>
      <c r="F1015">
        <v>1165.5</v>
      </c>
      <c r="G1015">
        <v>1166</v>
      </c>
      <c r="H1015">
        <v>1163.5</v>
      </c>
      <c r="I1015">
        <v>1165</v>
      </c>
      <c r="J1015">
        <v>161400</v>
      </c>
    </row>
    <row r="1016" spans="4:10">
      <c r="D1016" t="s">
        <v>714</v>
      </c>
      <c r="E1016" t="s">
        <v>692</v>
      </c>
      <c r="F1016">
        <v>1165</v>
      </c>
      <c r="G1016">
        <v>1166</v>
      </c>
      <c r="H1016">
        <v>1163.5</v>
      </c>
      <c r="I1016">
        <v>1163.5</v>
      </c>
      <c r="J1016">
        <v>134000</v>
      </c>
    </row>
    <row r="1017" spans="4:10">
      <c r="D1017" t="s">
        <v>714</v>
      </c>
      <c r="E1017" t="s">
        <v>693</v>
      </c>
      <c r="F1017">
        <v>1163.5</v>
      </c>
      <c r="G1017">
        <v>1164</v>
      </c>
      <c r="H1017">
        <v>1163</v>
      </c>
      <c r="I1017">
        <v>1163.5</v>
      </c>
      <c r="J1017">
        <v>107200</v>
      </c>
    </row>
    <row r="1018" spans="4:10">
      <c r="D1018" t="s">
        <v>714</v>
      </c>
      <c r="E1018" t="s">
        <v>694</v>
      </c>
      <c r="F1018">
        <v>1163</v>
      </c>
      <c r="G1018">
        <v>1164</v>
      </c>
      <c r="H1018">
        <v>1160.5</v>
      </c>
      <c r="I1018">
        <v>1164</v>
      </c>
      <c r="J1018">
        <v>195000</v>
      </c>
    </row>
    <row r="1019" spans="4:10">
      <c r="D1019" t="s">
        <v>714</v>
      </c>
      <c r="E1019" t="s">
        <v>695</v>
      </c>
      <c r="F1019">
        <v>1163.5</v>
      </c>
      <c r="G1019">
        <v>1164.5</v>
      </c>
      <c r="H1019">
        <v>1162.5</v>
      </c>
      <c r="I1019">
        <v>1163.5</v>
      </c>
      <c r="J1019">
        <v>95300</v>
      </c>
    </row>
    <row r="1020" spans="4:10">
      <c r="D1020" t="s">
        <v>714</v>
      </c>
      <c r="E1020" t="s">
        <v>696</v>
      </c>
      <c r="F1020">
        <v>1163</v>
      </c>
      <c r="G1020">
        <v>1163.5</v>
      </c>
      <c r="H1020">
        <v>1162</v>
      </c>
      <c r="I1020">
        <v>1162</v>
      </c>
      <c r="J1020">
        <v>124100</v>
      </c>
    </row>
    <row r="1021" spans="4:10">
      <c r="D1021" t="s">
        <v>714</v>
      </c>
      <c r="E1021" t="s">
        <v>697</v>
      </c>
      <c r="F1021">
        <v>1162.5</v>
      </c>
      <c r="G1021">
        <v>1162.5</v>
      </c>
      <c r="H1021">
        <v>1161.5</v>
      </c>
      <c r="I1021">
        <v>1162</v>
      </c>
      <c r="J1021">
        <v>92900</v>
      </c>
    </row>
    <row r="1022" spans="4:10">
      <c r="D1022" t="s">
        <v>714</v>
      </c>
      <c r="E1022" t="s">
        <v>698</v>
      </c>
      <c r="F1022">
        <v>1161.5</v>
      </c>
      <c r="G1022">
        <v>1162.5</v>
      </c>
      <c r="H1022">
        <v>1161</v>
      </c>
      <c r="I1022">
        <v>1161</v>
      </c>
      <c r="J1022">
        <v>99800</v>
      </c>
    </row>
    <row r="1023" spans="4:10">
      <c r="D1023" t="s">
        <v>714</v>
      </c>
      <c r="E1023" t="s">
        <v>699</v>
      </c>
      <c r="F1023">
        <v>1161</v>
      </c>
      <c r="G1023">
        <v>1162.5</v>
      </c>
      <c r="H1023">
        <v>1160.5</v>
      </c>
      <c r="I1023">
        <v>1161.5</v>
      </c>
      <c r="J1023">
        <v>145800</v>
      </c>
    </row>
    <row r="1024" spans="4:10">
      <c r="D1024" t="s">
        <v>714</v>
      </c>
      <c r="E1024" t="s">
        <v>700</v>
      </c>
      <c r="F1024">
        <v>1161</v>
      </c>
      <c r="G1024">
        <v>1162</v>
      </c>
      <c r="H1024">
        <v>1160</v>
      </c>
      <c r="I1024">
        <v>1160</v>
      </c>
      <c r="J1024">
        <v>120200</v>
      </c>
    </row>
    <row r="1025" spans="4:10">
      <c r="D1025" t="s">
        <v>714</v>
      </c>
      <c r="E1025" t="s">
        <v>633</v>
      </c>
      <c r="F1025">
        <v>1160</v>
      </c>
      <c r="G1025">
        <v>1161.5</v>
      </c>
      <c r="H1025">
        <v>1160</v>
      </c>
      <c r="I1025">
        <v>1161.5</v>
      </c>
      <c r="J1025">
        <v>175000</v>
      </c>
    </row>
    <row r="1026" spans="4:10">
      <c r="D1026" t="s">
        <v>714</v>
      </c>
      <c r="E1026" t="s">
        <v>634</v>
      </c>
      <c r="F1026">
        <v>1161</v>
      </c>
      <c r="G1026">
        <v>1162</v>
      </c>
      <c r="H1026">
        <v>1160.5</v>
      </c>
      <c r="I1026">
        <v>1161</v>
      </c>
      <c r="J1026">
        <v>123000</v>
      </c>
    </row>
    <row r="1027" spans="4:10">
      <c r="D1027" t="s">
        <v>714</v>
      </c>
      <c r="E1027" t="s">
        <v>635</v>
      </c>
      <c r="F1027">
        <v>1161.5</v>
      </c>
      <c r="G1027">
        <v>1162.5</v>
      </c>
      <c r="H1027">
        <v>1161.5</v>
      </c>
      <c r="I1027">
        <v>1162</v>
      </c>
      <c r="J1027">
        <v>79500</v>
      </c>
    </row>
    <row r="1028" spans="4:10">
      <c r="D1028" t="s">
        <v>714</v>
      </c>
      <c r="E1028" t="s">
        <v>614</v>
      </c>
      <c r="F1028">
        <v>1162.5</v>
      </c>
      <c r="G1028">
        <v>1163.5</v>
      </c>
      <c r="H1028">
        <v>1161</v>
      </c>
      <c r="I1028">
        <v>1161</v>
      </c>
      <c r="J1028">
        <v>481200</v>
      </c>
    </row>
    <row r="1029" spans="4:10">
      <c r="D1029" t="s">
        <v>714</v>
      </c>
      <c r="E1029" t="s">
        <v>636</v>
      </c>
      <c r="F1029" t="s">
        <v>35</v>
      </c>
      <c r="G1029" t="s">
        <v>35</v>
      </c>
      <c r="H1029" t="s">
        <v>35</v>
      </c>
      <c r="I1029" t="s">
        <v>35</v>
      </c>
      <c r="J1029">
        <v>0</v>
      </c>
    </row>
    <row r="1030" spans="4:10">
      <c r="D1030" t="s">
        <v>714</v>
      </c>
      <c r="E1030" t="s">
        <v>637</v>
      </c>
      <c r="F1030">
        <v>1163</v>
      </c>
      <c r="G1030">
        <v>1163</v>
      </c>
      <c r="H1030">
        <v>1163</v>
      </c>
      <c r="I1030">
        <v>1163</v>
      </c>
      <c r="J1030">
        <v>1878800</v>
      </c>
    </row>
    <row r="1031" spans="4:10">
      <c r="D1031" t="s">
        <v>715</v>
      </c>
      <c r="E1031" t="s">
        <v>639</v>
      </c>
      <c r="F1031">
        <v>1180</v>
      </c>
      <c r="G1031">
        <v>1203.5</v>
      </c>
      <c r="H1031">
        <v>1171</v>
      </c>
      <c r="I1031">
        <v>1195</v>
      </c>
      <c r="J1031">
        <v>2030800</v>
      </c>
    </row>
    <row r="1032" spans="4:10">
      <c r="D1032" t="s">
        <v>715</v>
      </c>
      <c r="E1032" t="s">
        <v>640</v>
      </c>
      <c r="F1032">
        <v>1195.5</v>
      </c>
      <c r="G1032">
        <v>1207.5</v>
      </c>
      <c r="H1032">
        <v>1191</v>
      </c>
      <c r="I1032">
        <v>1206.5</v>
      </c>
      <c r="J1032">
        <v>950900</v>
      </c>
    </row>
    <row r="1033" spans="4:10">
      <c r="D1033" t="s">
        <v>715</v>
      </c>
      <c r="E1033" t="s">
        <v>641</v>
      </c>
      <c r="F1033">
        <v>1206</v>
      </c>
      <c r="G1033">
        <v>1221</v>
      </c>
      <c r="H1033">
        <v>1206</v>
      </c>
      <c r="I1033">
        <v>1214</v>
      </c>
      <c r="J1033">
        <v>1675700</v>
      </c>
    </row>
    <row r="1034" spans="4:10">
      <c r="D1034" t="s">
        <v>715</v>
      </c>
      <c r="E1034" t="s">
        <v>642</v>
      </c>
      <c r="F1034">
        <v>1213.5</v>
      </c>
      <c r="G1034">
        <v>1218.5</v>
      </c>
      <c r="H1034">
        <v>1212.5</v>
      </c>
      <c r="I1034">
        <v>1215</v>
      </c>
      <c r="J1034">
        <v>569500</v>
      </c>
    </row>
    <row r="1035" spans="4:10">
      <c r="D1035" t="s">
        <v>715</v>
      </c>
      <c r="E1035" t="s">
        <v>643</v>
      </c>
      <c r="F1035">
        <v>1215</v>
      </c>
      <c r="G1035">
        <v>1217.5</v>
      </c>
      <c r="H1035">
        <v>1207</v>
      </c>
      <c r="I1035">
        <v>1207.5</v>
      </c>
      <c r="J1035">
        <v>622800</v>
      </c>
    </row>
    <row r="1036" spans="4:10">
      <c r="D1036" t="s">
        <v>715</v>
      </c>
      <c r="E1036" t="s">
        <v>644</v>
      </c>
      <c r="F1036">
        <v>1207</v>
      </c>
      <c r="G1036">
        <v>1210.5</v>
      </c>
      <c r="H1036">
        <v>1206</v>
      </c>
      <c r="I1036">
        <v>1210</v>
      </c>
      <c r="J1036">
        <v>414500</v>
      </c>
    </row>
    <row r="1037" spans="4:10">
      <c r="D1037" t="s">
        <v>715</v>
      </c>
      <c r="E1037" t="s">
        <v>645</v>
      </c>
      <c r="F1037">
        <v>1209.5</v>
      </c>
      <c r="G1037">
        <v>1211</v>
      </c>
      <c r="H1037">
        <v>1205.5</v>
      </c>
      <c r="I1037">
        <v>1206.5</v>
      </c>
      <c r="J1037">
        <v>425500</v>
      </c>
    </row>
    <row r="1038" spans="4:10">
      <c r="D1038" t="s">
        <v>715</v>
      </c>
      <c r="E1038" t="s">
        <v>646</v>
      </c>
      <c r="F1038">
        <v>1206.5</v>
      </c>
      <c r="G1038">
        <v>1213</v>
      </c>
      <c r="H1038">
        <v>1206</v>
      </c>
      <c r="I1038">
        <v>1210</v>
      </c>
      <c r="J1038">
        <v>260700</v>
      </c>
    </row>
    <row r="1039" spans="4:10">
      <c r="D1039" t="s">
        <v>715</v>
      </c>
      <c r="E1039" t="s">
        <v>647</v>
      </c>
      <c r="F1039">
        <v>1210</v>
      </c>
      <c r="G1039">
        <v>1213.5</v>
      </c>
      <c r="H1039">
        <v>1209.5</v>
      </c>
      <c r="I1039">
        <v>1211</v>
      </c>
      <c r="J1039">
        <v>253300</v>
      </c>
    </row>
    <row r="1040" spans="4:10">
      <c r="D1040" t="s">
        <v>715</v>
      </c>
      <c r="E1040" t="s">
        <v>648</v>
      </c>
      <c r="F1040">
        <v>1210.5</v>
      </c>
      <c r="G1040">
        <v>1211.5</v>
      </c>
      <c r="H1040">
        <v>1209</v>
      </c>
      <c r="I1040">
        <v>1210</v>
      </c>
      <c r="J1040">
        <v>199000</v>
      </c>
    </row>
    <row r="1041" spans="4:10">
      <c r="D1041" t="s">
        <v>715</v>
      </c>
      <c r="E1041" t="s">
        <v>649</v>
      </c>
      <c r="F1041">
        <v>1210</v>
      </c>
      <c r="G1041">
        <v>1211.5</v>
      </c>
      <c r="H1041">
        <v>1208.5</v>
      </c>
      <c r="I1041">
        <v>1210.5</v>
      </c>
      <c r="J1041">
        <v>149000</v>
      </c>
    </row>
    <row r="1042" spans="4:10">
      <c r="D1042" t="s">
        <v>715</v>
      </c>
      <c r="E1042" t="s">
        <v>650</v>
      </c>
      <c r="F1042">
        <v>1210</v>
      </c>
      <c r="G1042">
        <v>1210.5</v>
      </c>
      <c r="H1042">
        <v>1204.5</v>
      </c>
      <c r="I1042">
        <v>1206</v>
      </c>
      <c r="J1042">
        <v>254300</v>
      </c>
    </row>
    <row r="1043" spans="4:10">
      <c r="D1043" t="s">
        <v>715</v>
      </c>
      <c r="E1043" t="s">
        <v>651</v>
      </c>
      <c r="F1043">
        <v>1206.5</v>
      </c>
      <c r="G1043">
        <v>1208</v>
      </c>
      <c r="H1043">
        <v>1204</v>
      </c>
      <c r="I1043">
        <v>1207.5</v>
      </c>
      <c r="J1043">
        <v>171200</v>
      </c>
    </row>
    <row r="1044" spans="4:10">
      <c r="D1044" t="s">
        <v>715</v>
      </c>
      <c r="E1044" t="s">
        <v>652</v>
      </c>
      <c r="F1044">
        <v>1207.5</v>
      </c>
      <c r="G1044">
        <v>1215.5</v>
      </c>
      <c r="H1044">
        <v>1207</v>
      </c>
      <c r="I1044">
        <v>1215</v>
      </c>
      <c r="J1044">
        <v>338000</v>
      </c>
    </row>
    <row r="1045" spans="4:10">
      <c r="D1045" t="s">
        <v>715</v>
      </c>
      <c r="E1045" t="s">
        <v>653</v>
      </c>
      <c r="F1045">
        <v>1215</v>
      </c>
      <c r="G1045">
        <v>1222</v>
      </c>
      <c r="H1045">
        <v>1215</v>
      </c>
      <c r="I1045">
        <v>1220.5</v>
      </c>
      <c r="J1045">
        <v>706900</v>
      </c>
    </row>
    <row r="1046" spans="4:10">
      <c r="D1046" t="s">
        <v>715</v>
      </c>
      <c r="E1046" t="s">
        <v>654</v>
      </c>
      <c r="F1046">
        <v>1220</v>
      </c>
      <c r="G1046">
        <v>1226.5</v>
      </c>
      <c r="H1046">
        <v>1219</v>
      </c>
      <c r="I1046">
        <v>1224</v>
      </c>
      <c r="J1046">
        <v>563200</v>
      </c>
    </row>
    <row r="1047" spans="4:10">
      <c r="D1047" t="s">
        <v>715</v>
      </c>
      <c r="E1047" t="s">
        <v>655</v>
      </c>
      <c r="F1047">
        <v>1224</v>
      </c>
      <c r="G1047">
        <v>1229</v>
      </c>
      <c r="H1047">
        <v>1222.5</v>
      </c>
      <c r="I1047">
        <v>1226.5</v>
      </c>
      <c r="J1047">
        <v>509400</v>
      </c>
    </row>
    <row r="1048" spans="4:10">
      <c r="D1048" t="s">
        <v>715</v>
      </c>
      <c r="E1048" t="s">
        <v>656</v>
      </c>
      <c r="F1048">
        <v>1226.5</v>
      </c>
      <c r="G1048">
        <v>1228</v>
      </c>
      <c r="H1048">
        <v>1223</v>
      </c>
      <c r="I1048">
        <v>1226</v>
      </c>
      <c r="J1048">
        <v>342800</v>
      </c>
    </row>
    <row r="1049" spans="4:10">
      <c r="D1049" t="s">
        <v>715</v>
      </c>
      <c r="E1049" t="s">
        <v>657</v>
      </c>
      <c r="F1049">
        <v>1226</v>
      </c>
      <c r="G1049">
        <v>1226.5</v>
      </c>
      <c r="H1049">
        <v>1223.5</v>
      </c>
      <c r="I1049">
        <v>1224</v>
      </c>
      <c r="J1049">
        <v>137500</v>
      </c>
    </row>
    <row r="1050" spans="4:10">
      <c r="D1050" t="s">
        <v>715</v>
      </c>
      <c r="E1050" t="s">
        <v>658</v>
      </c>
      <c r="F1050">
        <v>1224</v>
      </c>
      <c r="G1050">
        <v>1224.5</v>
      </c>
      <c r="H1050">
        <v>1220.5</v>
      </c>
      <c r="I1050">
        <v>1222.5</v>
      </c>
      <c r="J1050">
        <v>215300</v>
      </c>
    </row>
    <row r="1051" spans="4:10">
      <c r="D1051" t="s">
        <v>715</v>
      </c>
      <c r="E1051" t="s">
        <v>659</v>
      </c>
      <c r="F1051">
        <v>1222</v>
      </c>
      <c r="G1051">
        <v>1223</v>
      </c>
      <c r="H1051">
        <v>1219</v>
      </c>
      <c r="I1051">
        <v>1219.5</v>
      </c>
      <c r="J1051">
        <v>169900</v>
      </c>
    </row>
    <row r="1052" spans="4:10">
      <c r="D1052" t="s">
        <v>715</v>
      </c>
      <c r="E1052" t="s">
        <v>660</v>
      </c>
      <c r="F1052">
        <v>1220</v>
      </c>
      <c r="G1052">
        <v>1220</v>
      </c>
      <c r="H1052">
        <v>1216</v>
      </c>
      <c r="I1052">
        <v>1218.5</v>
      </c>
      <c r="J1052">
        <v>218600</v>
      </c>
    </row>
    <row r="1053" spans="4:10">
      <c r="D1053" t="s">
        <v>715</v>
      </c>
      <c r="E1053" t="s">
        <v>661</v>
      </c>
      <c r="F1053">
        <v>1218.5</v>
      </c>
      <c r="G1053">
        <v>1220</v>
      </c>
      <c r="H1053">
        <v>1215.5</v>
      </c>
      <c r="I1053">
        <v>1217.5</v>
      </c>
      <c r="J1053">
        <v>236700</v>
      </c>
    </row>
    <row r="1054" spans="4:10">
      <c r="D1054" t="s">
        <v>715</v>
      </c>
      <c r="E1054" t="s">
        <v>662</v>
      </c>
      <c r="F1054">
        <v>1217.5</v>
      </c>
      <c r="G1054">
        <v>1220</v>
      </c>
      <c r="H1054">
        <v>1216.5</v>
      </c>
      <c r="I1054">
        <v>1218</v>
      </c>
      <c r="J1054">
        <v>146700</v>
      </c>
    </row>
    <row r="1055" spans="4:10">
      <c r="D1055" t="s">
        <v>715</v>
      </c>
      <c r="E1055" t="s">
        <v>663</v>
      </c>
      <c r="F1055">
        <v>1218.5</v>
      </c>
      <c r="G1055">
        <v>1219.5</v>
      </c>
      <c r="H1055">
        <v>1213</v>
      </c>
      <c r="I1055">
        <v>1218</v>
      </c>
      <c r="J1055">
        <v>318500</v>
      </c>
    </row>
    <row r="1056" spans="4:10">
      <c r="D1056" t="s">
        <v>715</v>
      </c>
      <c r="E1056" t="s">
        <v>664</v>
      </c>
      <c r="F1056">
        <v>1218</v>
      </c>
      <c r="G1056">
        <v>1218.5</v>
      </c>
      <c r="H1056">
        <v>1214</v>
      </c>
      <c r="I1056">
        <v>1215</v>
      </c>
      <c r="J1056">
        <v>96600</v>
      </c>
    </row>
    <row r="1057" spans="4:10">
      <c r="D1057" t="s">
        <v>715</v>
      </c>
      <c r="E1057" t="s">
        <v>665</v>
      </c>
      <c r="F1057">
        <v>1214.5</v>
      </c>
      <c r="G1057">
        <v>1217.5</v>
      </c>
      <c r="H1057">
        <v>1214.5</v>
      </c>
      <c r="I1057">
        <v>1217</v>
      </c>
      <c r="J1057">
        <v>82400</v>
      </c>
    </row>
    <row r="1058" spans="4:10">
      <c r="D1058" t="s">
        <v>715</v>
      </c>
      <c r="E1058" t="s">
        <v>666</v>
      </c>
      <c r="F1058">
        <v>1217</v>
      </c>
      <c r="G1058">
        <v>1217.5</v>
      </c>
      <c r="H1058">
        <v>1215</v>
      </c>
      <c r="I1058">
        <v>1215</v>
      </c>
      <c r="J1058">
        <v>70900</v>
      </c>
    </row>
    <row r="1059" spans="4:10">
      <c r="D1059" t="s">
        <v>715</v>
      </c>
      <c r="E1059" t="s">
        <v>667</v>
      </c>
      <c r="F1059">
        <v>1215.5</v>
      </c>
      <c r="G1059">
        <v>1216</v>
      </c>
      <c r="H1059">
        <v>1214.5</v>
      </c>
      <c r="I1059">
        <v>1215.5</v>
      </c>
      <c r="J1059">
        <v>88100</v>
      </c>
    </row>
    <row r="1060" spans="4:10">
      <c r="D1060" t="s">
        <v>715</v>
      </c>
      <c r="E1060" t="s">
        <v>668</v>
      </c>
      <c r="F1060">
        <v>1216</v>
      </c>
      <c r="G1060">
        <v>1216.5</v>
      </c>
      <c r="H1060">
        <v>1215</v>
      </c>
      <c r="I1060">
        <v>1216</v>
      </c>
      <c r="J1060">
        <v>91800</v>
      </c>
    </row>
    <row r="1061" spans="4:10">
      <c r="D1061" t="s">
        <v>715</v>
      </c>
      <c r="E1061" t="s">
        <v>669</v>
      </c>
      <c r="F1061">
        <v>1216.5</v>
      </c>
      <c r="G1061">
        <v>1216.5</v>
      </c>
      <c r="H1061">
        <v>1216.5</v>
      </c>
      <c r="I1061">
        <v>1216.5</v>
      </c>
      <c r="J1061">
        <v>8100</v>
      </c>
    </row>
    <row r="1062" spans="4:10">
      <c r="D1062" t="s">
        <v>715</v>
      </c>
      <c r="E1062" t="s">
        <v>670</v>
      </c>
      <c r="F1062">
        <v>1219.5</v>
      </c>
      <c r="G1062">
        <v>1223</v>
      </c>
      <c r="H1062">
        <v>1217.5</v>
      </c>
      <c r="I1062">
        <v>1222</v>
      </c>
      <c r="J1062">
        <v>575700</v>
      </c>
    </row>
    <row r="1063" spans="4:10">
      <c r="D1063" t="s">
        <v>715</v>
      </c>
      <c r="E1063" t="s">
        <v>671</v>
      </c>
      <c r="F1063">
        <v>1222</v>
      </c>
      <c r="G1063">
        <v>1223.5</v>
      </c>
      <c r="H1063">
        <v>1216</v>
      </c>
      <c r="I1063">
        <v>1216</v>
      </c>
      <c r="J1063">
        <v>232600</v>
      </c>
    </row>
    <row r="1064" spans="4:10">
      <c r="D1064" t="s">
        <v>715</v>
      </c>
      <c r="E1064" t="s">
        <v>672</v>
      </c>
      <c r="F1064">
        <v>1216</v>
      </c>
      <c r="G1064">
        <v>1218</v>
      </c>
      <c r="H1064">
        <v>1215.5</v>
      </c>
      <c r="I1064">
        <v>1216</v>
      </c>
      <c r="J1064">
        <v>170000</v>
      </c>
    </row>
    <row r="1065" spans="4:10">
      <c r="D1065" t="s">
        <v>715</v>
      </c>
      <c r="E1065" t="s">
        <v>673</v>
      </c>
      <c r="F1065">
        <v>1216</v>
      </c>
      <c r="G1065">
        <v>1216</v>
      </c>
      <c r="H1065">
        <v>1214.5</v>
      </c>
      <c r="I1065">
        <v>1215.5</v>
      </c>
      <c r="J1065">
        <v>121600</v>
      </c>
    </row>
    <row r="1066" spans="4:10">
      <c r="D1066" t="s">
        <v>715</v>
      </c>
      <c r="E1066" t="s">
        <v>674</v>
      </c>
      <c r="F1066">
        <v>1215.5</v>
      </c>
      <c r="G1066">
        <v>1217.5</v>
      </c>
      <c r="H1066">
        <v>1214</v>
      </c>
      <c r="I1066">
        <v>1214</v>
      </c>
      <c r="J1066">
        <v>115100</v>
      </c>
    </row>
    <row r="1067" spans="4:10">
      <c r="D1067" t="s">
        <v>715</v>
      </c>
      <c r="E1067" t="s">
        <v>675</v>
      </c>
      <c r="F1067">
        <v>1214</v>
      </c>
      <c r="G1067">
        <v>1214</v>
      </c>
      <c r="H1067">
        <v>1212.5</v>
      </c>
      <c r="I1067">
        <v>1212.5</v>
      </c>
      <c r="J1067">
        <v>138200</v>
      </c>
    </row>
    <row r="1068" spans="4:10">
      <c r="D1068" t="s">
        <v>715</v>
      </c>
      <c r="E1068" t="s">
        <v>676</v>
      </c>
      <c r="F1068">
        <v>1212.5</v>
      </c>
      <c r="G1068">
        <v>1213</v>
      </c>
      <c r="H1068">
        <v>1211</v>
      </c>
      <c r="I1068">
        <v>1212</v>
      </c>
      <c r="J1068">
        <v>148800</v>
      </c>
    </row>
    <row r="1069" spans="4:10">
      <c r="D1069" t="s">
        <v>715</v>
      </c>
      <c r="E1069" t="s">
        <v>677</v>
      </c>
      <c r="F1069">
        <v>1212.5</v>
      </c>
      <c r="G1069">
        <v>1212.5</v>
      </c>
      <c r="H1069">
        <v>1205</v>
      </c>
      <c r="I1069">
        <v>1206</v>
      </c>
      <c r="J1069">
        <v>297000</v>
      </c>
    </row>
    <row r="1070" spans="4:10">
      <c r="D1070" t="s">
        <v>715</v>
      </c>
      <c r="E1070" t="s">
        <v>678</v>
      </c>
      <c r="F1070">
        <v>1206</v>
      </c>
      <c r="G1070">
        <v>1208</v>
      </c>
      <c r="H1070">
        <v>1204.5</v>
      </c>
      <c r="I1070">
        <v>1207</v>
      </c>
      <c r="J1070">
        <v>142900</v>
      </c>
    </row>
    <row r="1071" spans="4:10">
      <c r="D1071" t="s">
        <v>715</v>
      </c>
      <c r="E1071" t="s">
        <v>679</v>
      </c>
      <c r="F1071">
        <v>1207</v>
      </c>
      <c r="G1071">
        <v>1207.5</v>
      </c>
      <c r="H1071">
        <v>1206</v>
      </c>
      <c r="I1071">
        <v>1206.5</v>
      </c>
      <c r="J1071">
        <v>82100</v>
      </c>
    </row>
    <row r="1072" spans="4:10">
      <c r="D1072" t="s">
        <v>715</v>
      </c>
      <c r="E1072" t="s">
        <v>680</v>
      </c>
      <c r="F1072">
        <v>1206.5</v>
      </c>
      <c r="G1072">
        <v>1209.5</v>
      </c>
      <c r="H1072">
        <v>1206.5</v>
      </c>
      <c r="I1072">
        <v>1209.5</v>
      </c>
      <c r="J1072">
        <v>80000</v>
      </c>
    </row>
    <row r="1073" spans="4:10">
      <c r="D1073" t="s">
        <v>715</v>
      </c>
      <c r="E1073" t="s">
        <v>681</v>
      </c>
      <c r="F1073">
        <v>1209.5</v>
      </c>
      <c r="G1073">
        <v>1211.5</v>
      </c>
      <c r="H1073">
        <v>1208.5</v>
      </c>
      <c r="I1073">
        <v>1210</v>
      </c>
      <c r="J1073">
        <v>92800</v>
      </c>
    </row>
    <row r="1074" spans="4:10">
      <c r="D1074" t="s">
        <v>715</v>
      </c>
      <c r="E1074" t="s">
        <v>682</v>
      </c>
      <c r="F1074">
        <v>1210</v>
      </c>
      <c r="G1074">
        <v>1211</v>
      </c>
      <c r="H1074">
        <v>1209.5</v>
      </c>
      <c r="I1074">
        <v>1210</v>
      </c>
      <c r="J1074">
        <v>78000</v>
      </c>
    </row>
    <row r="1075" spans="4:10">
      <c r="D1075" t="s">
        <v>715</v>
      </c>
      <c r="E1075" t="s">
        <v>683</v>
      </c>
      <c r="F1075">
        <v>1210</v>
      </c>
      <c r="G1075">
        <v>1211.5</v>
      </c>
      <c r="H1075">
        <v>1209.5</v>
      </c>
      <c r="I1075">
        <v>1210.5</v>
      </c>
      <c r="J1075">
        <v>79900</v>
      </c>
    </row>
    <row r="1076" spans="4:10">
      <c r="D1076" t="s">
        <v>715</v>
      </c>
      <c r="E1076" t="s">
        <v>684</v>
      </c>
      <c r="F1076">
        <v>1210.5</v>
      </c>
      <c r="G1076">
        <v>1211.5</v>
      </c>
      <c r="H1076">
        <v>1209</v>
      </c>
      <c r="I1076">
        <v>1209</v>
      </c>
      <c r="J1076">
        <v>123600</v>
      </c>
    </row>
    <row r="1077" spans="4:10">
      <c r="D1077" t="s">
        <v>715</v>
      </c>
      <c r="E1077" t="s">
        <v>685</v>
      </c>
      <c r="F1077">
        <v>1208.5</v>
      </c>
      <c r="G1077">
        <v>1208.5</v>
      </c>
      <c r="H1077">
        <v>1205.5</v>
      </c>
      <c r="I1077">
        <v>1206</v>
      </c>
      <c r="J1077">
        <v>168600</v>
      </c>
    </row>
    <row r="1078" spans="4:10">
      <c r="D1078" t="s">
        <v>715</v>
      </c>
      <c r="E1078" t="s">
        <v>686</v>
      </c>
      <c r="F1078">
        <v>1206</v>
      </c>
      <c r="G1078">
        <v>1207</v>
      </c>
      <c r="H1078">
        <v>1206</v>
      </c>
      <c r="I1078">
        <v>1206</v>
      </c>
      <c r="J1078">
        <v>58900</v>
      </c>
    </row>
    <row r="1079" spans="4:10">
      <c r="D1079" t="s">
        <v>715</v>
      </c>
      <c r="E1079" t="s">
        <v>687</v>
      </c>
      <c r="F1079">
        <v>1206.5</v>
      </c>
      <c r="G1079">
        <v>1206.5</v>
      </c>
      <c r="H1079">
        <v>1204.5</v>
      </c>
      <c r="I1079">
        <v>1206</v>
      </c>
      <c r="J1079">
        <v>105000</v>
      </c>
    </row>
    <row r="1080" spans="4:10">
      <c r="D1080" t="s">
        <v>715</v>
      </c>
      <c r="E1080" t="s">
        <v>688</v>
      </c>
      <c r="F1080">
        <v>1206</v>
      </c>
      <c r="G1080">
        <v>1206.5</v>
      </c>
      <c r="H1080">
        <v>1204.5</v>
      </c>
      <c r="I1080">
        <v>1205.5</v>
      </c>
      <c r="J1080">
        <v>113700</v>
      </c>
    </row>
    <row r="1081" spans="4:10">
      <c r="D1081" t="s">
        <v>715</v>
      </c>
      <c r="E1081" t="s">
        <v>689</v>
      </c>
      <c r="F1081">
        <v>1205.5</v>
      </c>
      <c r="G1081">
        <v>1206</v>
      </c>
      <c r="H1081">
        <v>1204</v>
      </c>
      <c r="I1081">
        <v>1205</v>
      </c>
      <c r="J1081">
        <v>95300</v>
      </c>
    </row>
    <row r="1082" spans="4:10">
      <c r="D1082" t="s">
        <v>715</v>
      </c>
      <c r="E1082" t="s">
        <v>690</v>
      </c>
      <c r="F1082">
        <v>1205</v>
      </c>
      <c r="G1082">
        <v>1205.5</v>
      </c>
      <c r="H1082">
        <v>1203.5</v>
      </c>
      <c r="I1082">
        <v>1204</v>
      </c>
      <c r="J1082">
        <v>119600</v>
      </c>
    </row>
    <row r="1083" spans="4:10">
      <c r="D1083" t="s">
        <v>715</v>
      </c>
      <c r="E1083" t="s">
        <v>691</v>
      </c>
      <c r="F1083">
        <v>1204</v>
      </c>
      <c r="G1083">
        <v>1205</v>
      </c>
      <c r="H1083">
        <v>1203.5</v>
      </c>
      <c r="I1083">
        <v>1204.5</v>
      </c>
      <c r="J1083">
        <v>70400</v>
      </c>
    </row>
    <row r="1084" spans="4:10">
      <c r="D1084" t="s">
        <v>715</v>
      </c>
      <c r="E1084" t="s">
        <v>692</v>
      </c>
      <c r="F1084">
        <v>1204</v>
      </c>
      <c r="G1084">
        <v>1204.5</v>
      </c>
      <c r="H1084">
        <v>1203</v>
      </c>
      <c r="I1084">
        <v>1204</v>
      </c>
      <c r="J1084">
        <v>138400</v>
      </c>
    </row>
    <row r="1085" spans="4:10">
      <c r="D1085" t="s">
        <v>715</v>
      </c>
      <c r="E1085" t="s">
        <v>693</v>
      </c>
      <c r="F1085">
        <v>1204</v>
      </c>
      <c r="G1085">
        <v>1204.5</v>
      </c>
      <c r="H1085">
        <v>1203.5</v>
      </c>
      <c r="I1085">
        <v>1204.5</v>
      </c>
      <c r="J1085">
        <v>64500</v>
      </c>
    </row>
    <row r="1086" spans="4:10">
      <c r="D1086" t="s">
        <v>715</v>
      </c>
      <c r="E1086" t="s">
        <v>694</v>
      </c>
      <c r="F1086">
        <v>1204.5</v>
      </c>
      <c r="G1086">
        <v>1205</v>
      </c>
      <c r="H1086">
        <v>1204</v>
      </c>
      <c r="I1086">
        <v>1205</v>
      </c>
      <c r="J1086">
        <v>60500</v>
      </c>
    </row>
    <row r="1087" spans="4:10">
      <c r="D1087" t="s">
        <v>715</v>
      </c>
      <c r="E1087" t="s">
        <v>695</v>
      </c>
      <c r="F1087">
        <v>1204.5</v>
      </c>
      <c r="G1087">
        <v>1205.5</v>
      </c>
      <c r="H1087">
        <v>1204</v>
      </c>
      <c r="I1087">
        <v>1205</v>
      </c>
      <c r="J1087">
        <v>86200</v>
      </c>
    </row>
    <row r="1088" spans="4:10">
      <c r="D1088" t="s">
        <v>715</v>
      </c>
      <c r="E1088" t="s">
        <v>696</v>
      </c>
      <c r="F1088">
        <v>1205</v>
      </c>
      <c r="G1088">
        <v>1207.5</v>
      </c>
      <c r="H1088">
        <v>1203.5</v>
      </c>
      <c r="I1088">
        <v>1207</v>
      </c>
      <c r="J1088">
        <v>242900</v>
      </c>
    </row>
    <row r="1089" spans="4:10">
      <c r="D1089" t="s">
        <v>715</v>
      </c>
      <c r="E1089" t="s">
        <v>697</v>
      </c>
      <c r="F1089">
        <v>1207</v>
      </c>
      <c r="G1089">
        <v>1207.5</v>
      </c>
      <c r="H1089">
        <v>1206</v>
      </c>
      <c r="I1089">
        <v>1206</v>
      </c>
      <c r="J1089">
        <v>104500</v>
      </c>
    </row>
    <row r="1090" spans="4:10">
      <c r="D1090" t="s">
        <v>715</v>
      </c>
      <c r="E1090" t="s">
        <v>698</v>
      </c>
      <c r="F1090">
        <v>1206</v>
      </c>
      <c r="G1090">
        <v>1207</v>
      </c>
      <c r="H1090">
        <v>1206</v>
      </c>
      <c r="I1090">
        <v>1206</v>
      </c>
      <c r="J1090">
        <v>34800</v>
      </c>
    </row>
    <row r="1091" spans="4:10">
      <c r="D1091" t="s">
        <v>715</v>
      </c>
      <c r="E1091" t="s">
        <v>699</v>
      </c>
      <c r="F1091">
        <v>1206</v>
      </c>
      <c r="G1091">
        <v>1206.5</v>
      </c>
      <c r="H1091">
        <v>1204.5</v>
      </c>
      <c r="I1091">
        <v>1204.5</v>
      </c>
      <c r="J1091">
        <v>107800</v>
      </c>
    </row>
    <row r="1092" spans="4:10">
      <c r="D1092" t="s">
        <v>715</v>
      </c>
      <c r="E1092" t="s">
        <v>700</v>
      </c>
      <c r="F1092">
        <v>1204.5</v>
      </c>
      <c r="G1092">
        <v>1205.5</v>
      </c>
      <c r="H1092">
        <v>1203.5</v>
      </c>
      <c r="I1092">
        <v>1204.5</v>
      </c>
      <c r="J1092">
        <v>124800</v>
      </c>
    </row>
    <row r="1093" spans="4:10">
      <c r="D1093" t="s">
        <v>715</v>
      </c>
      <c r="E1093" t="s">
        <v>633</v>
      </c>
      <c r="F1093">
        <v>1204.5</v>
      </c>
      <c r="G1093">
        <v>1205</v>
      </c>
      <c r="H1093">
        <v>1203</v>
      </c>
      <c r="I1093">
        <v>1203.5</v>
      </c>
      <c r="J1093">
        <v>109000</v>
      </c>
    </row>
    <row r="1094" spans="4:10">
      <c r="D1094" t="s">
        <v>715</v>
      </c>
      <c r="E1094" t="s">
        <v>634</v>
      </c>
      <c r="F1094">
        <v>1203.5</v>
      </c>
      <c r="G1094">
        <v>1206</v>
      </c>
      <c r="H1094">
        <v>1203.5</v>
      </c>
      <c r="I1094">
        <v>1205.5</v>
      </c>
      <c r="J1094">
        <v>111900</v>
      </c>
    </row>
    <row r="1095" spans="4:10">
      <c r="D1095" t="s">
        <v>715</v>
      </c>
      <c r="E1095" t="s">
        <v>635</v>
      </c>
      <c r="F1095">
        <v>1205.5</v>
      </c>
      <c r="G1095">
        <v>1206</v>
      </c>
      <c r="H1095">
        <v>1204.5</v>
      </c>
      <c r="I1095">
        <v>1205</v>
      </c>
      <c r="J1095">
        <v>107500</v>
      </c>
    </row>
    <row r="1096" spans="4:10">
      <c r="D1096" t="s">
        <v>715</v>
      </c>
      <c r="E1096" t="s">
        <v>614</v>
      </c>
      <c r="F1096">
        <v>1205</v>
      </c>
      <c r="G1096">
        <v>1206.5</v>
      </c>
      <c r="H1096">
        <v>1204</v>
      </c>
      <c r="I1096">
        <v>1204</v>
      </c>
      <c r="J1096">
        <v>226500</v>
      </c>
    </row>
    <row r="1097" spans="4:10">
      <c r="D1097" t="s">
        <v>715</v>
      </c>
      <c r="E1097" t="s">
        <v>636</v>
      </c>
      <c r="F1097" t="s">
        <v>35</v>
      </c>
      <c r="G1097" t="s">
        <v>35</v>
      </c>
      <c r="H1097" t="s">
        <v>35</v>
      </c>
      <c r="I1097" t="s">
        <v>35</v>
      </c>
      <c r="J1097">
        <v>0</v>
      </c>
    </row>
    <row r="1098" spans="4:10">
      <c r="D1098" t="s">
        <v>715</v>
      </c>
      <c r="E1098" t="s">
        <v>637</v>
      </c>
      <c r="F1098">
        <v>1201.5</v>
      </c>
      <c r="G1098">
        <v>1201.5</v>
      </c>
      <c r="H1098">
        <v>1201.5</v>
      </c>
      <c r="I1098">
        <v>1201.5</v>
      </c>
      <c r="J1098">
        <v>1737400</v>
      </c>
    </row>
    <row r="1099" spans="4:10">
      <c r="D1099" t="s">
        <v>716</v>
      </c>
      <c r="E1099" t="s">
        <v>639</v>
      </c>
      <c r="F1099">
        <v>1192.5</v>
      </c>
      <c r="G1099">
        <v>1220</v>
      </c>
      <c r="H1099">
        <v>1191</v>
      </c>
      <c r="I1099">
        <v>1214.5</v>
      </c>
      <c r="J1099">
        <v>1735600</v>
      </c>
    </row>
    <row r="1100" spans="4:10">
      <c r="D1100" t="s">
        <v>716</v>
      </c>
      <c r="E1100" t="s">
        <v>640</v>
      </c>
      <c r="F1100">
        <v>1215</v>
      </c>
      <c r="G1100">
        <v>1217</v>
      </c>
      <c r="H1100">
        <v>1208.5</v>
      </c>
      <c r="I1100">
        <v>1211</v>
      </c>
      <c r="J1100">
        <v>626700</v>
      </c>
    </row>
    <row r="1101" spans="4:10">
      <c r="D1101" t="s">
        <v>716</v>
      </c>
      <c r="E1101" t="s">
        <v>641</v>
      </c>
      <c r="F1101">
        <v>1210.5</v>
      </c>
      <c r="G1101">
        <v>1215.5</v>
      </c>
      <c r="H1101">
        <v>1208</v>
      </c>
      <c r="I1101">
        <v>1213.5</v>
      </c>
      <c r="J1101">
        <v>378700</v>
      </c>
    </row>
    <row r="1102" spans="4:10">
      <c r="D1102" t="s">
        <v>716</v>
      </c>
      <c r="E1102" t="s">
        <v>642</v>
      </c>
      <c r="F1102">
        <v>1214.5</v>
      </c>
      <c r="G1102">
        <v>1221</v>
      </c>
      <c r="H1102">
        <v>1213.5</v>
      </c>
      <c r="I1102">
        <v>1216.5</v>
      </c>
      <c r="J1102">
        <v>533200</v>
      </c>
    </row>
    <row r="1103" spans="4:10">
      <c r="D1103" t="s">
        <v>716</v>
      </c>
      <c r="E1103" t="s">
        <v>643</v>
      </c>
      <c r="F1103">
        <v>1216.5</v>
      </c>
      <c r="G1103">
        <v>1217</v>
      </c>
      <c r="H1103">
        <v>1212.5</v>
      </c>
      <c r="I1103">
        <v>1213.5</v>
      </c>
      <c r="J1103">
        <v>206700</v>
      </c>
    </row>
    <row r="1104" spans="4:10">
      <c r="D1104" t="s">
        <v>716</v>
      </c>
      <c r="E1104" t="s">
        <v>644</v>
      </c>
      <c r="F1104">
        <v>1213.5</v>
      </c>
      <c r="G1104">
        <v>1215.5</v>
      </c>
      <c r="H1104">
        <v>1209.5</v>
      </c>
      <c r="I1104">
        <v>1209.5</v>
      </c>
      <c r="J1104">
        <v>266000</v>
      </c>
    </row>
    <row r="1105" spans="4:10">
      <c r="D1105" t="s">
        <v>716</v>
      </c>
      <c r="E1105" t="s">
        <v>645</v>
      </c>
      <c r="F1105">
        <v>1209.5</v>
      </c>
      <c r="G1105">
        <v>1210.5</v>
      </c>
      <c r="H1105">
        <v>1199</v>
      </c>
      <c r="I1105">
        <v>1202</v>
      </c>
      <c r="J1105">
        <v>470700</v>
      </c>
    </row>
    <row r="1106" spans="4:10">
      <c r="D1106" t="s">
        <v>716</v>
      </c>
      <c r="E1106" t="s">
        <v>646</v>
      </c>
      <c r="F1106">
        <v>1202</v>
      </c>
      <c r="G1106">
        <v>1202</v>
      </c>
      <c r="H1106">
        <v>1195</v>
      </c>
      <c r="I1106">
        <v>1197</v>
      </c>
      <c r="J1106">
        <v>363200</v>
      </c>
    </row>
    <row r="1107" spans="4:10">
      <c r="D1107" t="s">
        <v>716</v>
      </c>
      <c r="E1107" t="s">
        <v>647</v>
      </c>
      <c r="F1107">
        <v>1197</v>
      </c>
      <c r="G1107">
        <v>1197</v>
      </c>
      <c r="H1107">
        <v>1191</v>
      </c>
      <c r="I1107">
        <v>1191.5</v>
      </c>
      <c r="J1107">
        <v>343700</v>
      </c>
    </row>
    <row r="1108" spans="4:10">
      <c r="D1108" t="s">
        <v>716</v>
      </c>
      <c r="E1108" t="s">
        <v>648</v>
      </c>
      <c r="F1108">
        <v>1191</v>
      </c>
      <c r="G1108">
        <v>1191</v>
      </c>
      <c r="H1108">
        <v>1186.5</v>
      </c>
      <c r="I1108">
        <v>1190.5</v>
      </c>
      <c r="J1108">
        <v>408000</v>
      </c>
    </row>
    <row r="1109" spans="4:10">
      <c r="D1109" t="s">
        <v>716</v>
      </c>
      <c r="E1109" t="s">
        <v>649</v>
      </c>
      <c r="F1109">
        <v>1190.5</v>
      </c>
      <c r="G1109">
        <v>1191</v>
      </c>
      <c r="H1109">
        <v>1185.5</v>
      </c>
      <c r="I1109">
        <v>1186</v>
      </c>
      <c r="J1109">
        <v>350500</v>
      </c>
    </row>
    <row r="1110" spans="4:10">
      <c r="D1110" t="s">
        <v>716</v>
      </c>
      <c r="E1110" t="s">
        <v>650</v>
      </c>
      <c r="F1110">
        <v>1186</v>
      </c>
      <c r="G1110">
        <v>1186.5</v>
      </c>
      <c r="H1110">
        <v>1181</v>
      </c>
      <c r="I1110">
        <v>1182</v>
      </c>
      <c r="J1110">
        <v>524300</v>
      </c>
    </row>
    <row r="1111" spans="4:10">
      <c r="D1111" t="s">
        <v>716</v>
      </c>
      <c r="E1111" t="s">
        <v>651</v>
      </c>
      <c r="F1111">
        <v>1182</v>
      </c>
      <c r="G1111">
        <v>1185.5</v>
      </c>
      <c r="H1111">
        <v>1181.5</v>
      </c>
      <c r="I1111">
        <v>1185</v>
      </c>
      <c r="J1111">
        <v>137200</v>
      </c>
    </row>
    <row r="1112" spans="4:10">
      <c r="D1112" t="s">
        <v>716</v>
      </c>
      <c r="E1112" t="s">
        <v>652</v>
      </c>
      <c r="F1112">
        <v>1185.5</v>
      </c>
      <c r="G1112">
        <v>1186</v>
      </c>
      <c r="H1112">
        <v>1182</v>
      </c>
      <c r="I1112">
        <v>1184.5</v>
      </c>
      <c r="J1112">
        <v>185100</v>
      </c>
    </row>
    <row r="1113" spans="4:10">
      <c r="D1113" t="s">
        <v>716</v>
      </c>
      <c r="E1113" t="s">
        <v>653</v>
      </c>
      <c r="F1113">
        <v>1185</v>
      </c>
      <c r="G1113">
        <v>1188</v>
      </c>
      <c r="H1113">
        <v>1184</v>
      </c>
      <c r="I1113">
        <v>1185.5</v>
      </c>
      <c r="J1113">
        <v>262000</v>
      </c>
    </row>
    <row r="1114" spans="4:10">
      <c r="D1114" t="s">
        <v>716</v>
      </c>
      <c r="E1114" t="s">
        <v>654</v>
      </c>
      <c r="F1114">
        <v>1186</v>
      </c>
      <c r="G1114">
        <v>1186</v>
      </c>
      <c r="H1114">
        <v>1181.5</v>
      </c>
      <c r="I1114">
        <v>1182</v>
      </c>
      <c r="J1114">
        <v>478600</v>
      </c>
    </row>
    <row r="1115" spans="4:10">
      <c r="D1115" t="s">
        <v>716</v>
      </c>
      <c r="E1115" t="s">
        <v>655</v>
      </c>
      <c r="F1115">
        <v>1181.5</v>
      </c>
      <c r="G1115">
        <v>1182</v>
      </c>
      <c r="H1115">
        <v>1178</v>
      </c>
      <c r="I1115">
        <v>1180.5</v>
      </c>
      <c r="J1115">
        <v>359300</v>
      </c>
    </row>
    <row r="1116" spans="4:10">
      <c r="D1116" t="s">
        <v>716</v>
      </c>
      <c r="E1116" t="s">
        <v>656</v>
      </c>
      <c r="F1116">
        <v>1180</v>
      </c>
      <c r="G1116">
        <v>1181.5</v>
      </c>
      <c r="H1116">
        <v>1180</v>
      </c>
      <c r="I1116">
        <v>1180.5</v>
      </c>
      <c r="J1116">
        <v>110700</v>
      </c>
    </row>
    <row r="1117" spans="4:10">
      <c r="D1117" t="s">
        <v>716</v>
      </c>
      <c r="E1117" t="s">
        <v>657</v>
      </c>
      <c r="F1117">
        <v>1180</v>
      </c>
      <c r="G1117">
        <v>1182.5</v>
      </c>
      <c r="H1117">
        <v>1179</v>
      </c>
      <c r="I1117">
        <v>1182</v>
      </c>
      <c r="J1117">
        <v>201400</v>
      </c>
    </row>
    <row r="1118" spans="4:10">
      <c r="D1118" t="s">
        <v>716</v>
      </c>
      <c r="E1118" t="s">
        <v>658</v>
      </c>
      <c r="F1118">
        <v>1182</v>
      </c>
      <c r="G1118">
        <v>1184.5</v>
      </c>
      <c r="H1118">
        <v>1181.5</v>
      </c>
      <c r="I1118">
        <v>1183</v>
      </c>
      <c r="J1118">
        <v>129600</v>
      </c>
    </row>
    <row r="1119" spans="4:10">
      <c r="D1119" t="s">
        <v>716</v>
      </c>
      <c r="E1119" t="s">
        <v>659</v>
      </c>
      <c r="F1119">
        <v>1183.5</v>
      </c>
      <c r="G1119">
        <v>1184.5</v>
      </c>
      <c r="H1119">
        <v>1181.5</v>
      </c>
      <c r="I1119">
        <v>1183.5</v>
      </c>
      <c r="J1119">
        <v>212700</v>
      </c>
    </row>
    <row r="1120" spans="4:10">
      <c r="D1120" t="s">
        <v>716</v>
      </c>
      <c r="E1120" t="s">
        <v>660</v>
      </c>
      <c r="F1120">
        <v>1183.5</v>
      </c>
      <c r="G1120">
        <v>1184.5</v>
      </c>
      <c r="H1120">
        <v>1181.5</v>
      </c>
      <c r="I1120">
        <v>1182</v>
      </c>
      <c r="J1120">
        <v>128700</v>
      </c>
    </row>
    <row r="1121" spans="4:10">
      <c r="D1121" t="s">
        <v>716</v>
      </c>
      <c r="E1121" t="s">
        <v>661</v>
      </c>
      <c r="F1121">
        <v>1181.5</v>
      </c>
      <c r="G1121">
        <v>1181.5</v>
      </c>
      <c r="H1121">
        <v>1179</v>
      </c>
      <c r="I1121">
        <v>1179</v>
      </c>
      <c r="J1121">
        <v>179700</v>
      </c>
    </row>
    <row r="1122" spans="4:10">
      <c r="D1122" t="s">
        <v>716</v>
      </c>
      <c r="E1122" t="s">
        <v>662</v>
      </c>
      <c r="F1122">
        <v>1179.5</v>
      </c>
      <c r="G1122">
        <v>1183.5</v>
      </c>
      <c r="H1122">
        <v>1179</v>
      </c>
      <c r="I1122">
        <v>1183.5</v>
      </c>
      <c r="J1122">
        <v>94900</v>
      </c>
    </row>
    <row r="1123" spans="4:10">
      <c r="D1123" t="s">
        <v>716</v>
      </c>
      <c r="E1123" t="s">
        <v>663</v>
      </c>
      <c r="F1123">
        <v>1183.5</v>
      </c>
      <c r="G1123">
        <v>1184</v>
      </c>
      <c r="H1123">
        <v>1179</v>
      </c>
      <c r="I1123">
        <v>1181.5</v>
      </c>
      <c r="J1123">
        <v>158500</v>
      </c>
    </row>
    <row r="1124" spans="4:10">
      <c r="D1124" t="s">
        <v>716</v>
      </c>
      <c r="E1124" t="s">
        <v>664</v>
      </c>
      <c r="F1124">
        <v>1181.5</v>
      </c>
      <c r="G1124">
        <v>1181.5</v>
      </c>
      <c r="H1124">
        <v>1179.5</v>
      </c>
      <c r="I1124">
        <v>1181</v>
      </c>
      <c r="J1124">
        <v>102900</v>
      </c>
    </row>
    <row r="1125" spans="4:10">
      <c r="D1125" t="s">
        <v>716</v>
      </c>
      <c r="E1125" t="s">
        <v>665</v>
      </c>
      <c r="F1125">
        <v>1181.5</v>
      </c>
      <c r="G1125">
        <v>1181.5</v>
      </c>
      <c r="H1125">
        <v>1179.5</v>
      </c>
      <c r="I1125">
        <v>1180</v>
      </c>
      <c r="J1125">
        <v>94500</v>
      </c>
    </row>
    <row r="1126" spans="4:10">
      <c r="D1126" t="s">
        <v>716</v>
      </c>
      <c r="E1126" t="s">
        <v>666</v>
      </c>
      <c r="F1126">
        <v>1180</v>
      </c>
      <c r="G1126">
        <v>1180.5</v>
      </c>
      <c r="H1126">
        <v>1176</v>
      </c>
      <c r="I1126">
        <v>1177</v>
      </c>
      <c r="J1126">
        <v>313000</v>
      </c>
    </row>
    <row r="1127" spans="4:10">
      <c r="D1127" t="s">
        <v>716</v>
      </c>
      <c r="E1127" t="s">
        <v>667</v>
      </c>
      <c r="F1127">
        <v>1176.5</v>
      </c>
      <c r="G1127">
        <v>1177</v>
      </c>
      <c r="H1127">
        <v>1175</v>
      </c>
      <c r="I1127">
        <v>1176</v>
      </c>
      <c r="J1127">
        <v>169700</v>
      </c>
    </row>
    <row r="1128" spans="4:10">
      <c r="D1128" t="s">
        <v>716</v>
      </c>
      <c r="E1128" t="s">
        <v>668</v>
      </c>
      <c r="F1128">
        <v>1176</v>
      </c>
      <c r="G1128">
        <v>1177</v>
      </c>
      <c r="H1128">
        <v>1175.5</v>
      </c>
      <c r="I1128">
        <v>1177</v>
      </c>
      <c r="J1128">
        <v>171200</v>
      </c>
    </row>
    <row r="1129" spans="4:10">
      <c r="D1129" t="s">
        <v>716</v>
      </c>
      <c r="E1129" t="s">
        <v>669</v>
      </c>
      <c r="F1129">
        <v>1177</v>
      </c>
      <c r="G1129">
        <v>1177</v>
      </c>
      <c r="H1129">
        <v>1177</v>
      </c>
      <c r="I1129">
        <v>1177</v>
      </c>
      <c r="J1129">
        <v>6600</v>
      </c>
    </row>
    <row r="1130" spans="4:10">
      <c r="D1130" t="s">
        <v>716</v>
      </c>
      <c r="E1130" t="s">
        <v>670</v>
      </c>
      <c r="F1130">
        <v>1179.5</v>
      </c>
      <c r="G1130">
        <v>1185.5</v>
      </c>
      <c r="H1130">
        <v>1177.5</v>
      </c>
      <c r="I1130">
        <v>1184.5</v>
      </c>
      <c r="J1130">
        <v>574400</v>
      </c>
    </row>
    <row r="1131" spans="4:10">
      <c r="D1131" t="s">
        <v>716</v>
      </c>
      <c r="E1131" t="s">
        <v>671</v>
      </c>
      <c r="F1131">
        <v>1184</v>
      </c>
      <c r="G1131">
        <v>1185.5</v>
      </c>
      <c r="H1131">
        <v>1182</v>
      </c>
      <c r="I1131">
        <v>1182.5</v>
      </c>
      <c r="J1131">
        <v>203900</v>
      </c>
    </row>
    <row r="1132" spans="4:10">
      <c r="D1132" t="s">
        <v>716</v>
      </c>
      <c r="E1132" t="s">
        <v>672</v>
      </c>
      <c r="F1132">
        <v>1182</v>
      </c>
      <c r="G1132">
        <v>1183.5</v>
      </c>
      <c r="H1132">
        <v>1180.5</v>
      </c>
      <c r="I1132">
        <v>1182</v>
      </c>
      <c r="J1132">
        <v>121700</v>
      </c>
    </row>
    <row r="1133" spans="4:10">
      <c r="D1133" t="s">
        <v>716</v>
      </c>
      <c r="E1133" t="s">
        <v>673</v>
      </c>
      <c r="F1133">
        <v>1182</v>
      </c>
      <c r="G1133">
        <v>1183.5</v>
      </c>
      <c r="H1133">
        <v>1181.5</v>
      </c>
      <c r="I1133">
        <v>1183</v>
      </c>
      <c r="J1133">
        <v>122800</v>
      </c>
    </row>
    <row r="1134" spans="4:10">
      <c r="D1134" t="s">
        <v>716</v>
      </c>
      <c r="E1134" t="s">
        <v>674</v>
      </c>
      <c r="F1134">
        <v>1183.5</v>
      </c>
      <c r="G1134">
        <v>1183.5</v>
      </c>
      <c r="H1134">
        <v>1182</v>
      </c>
      <c r="I1134">
        <v>1182.5</v>
      </c>
      <c r="J1134">
        <v>123000</v>
      </c>
    </row>
    <row r="1135" spans="4:10">
      <c r="D1135" t="s">
        <v>716</v>
      </c>
      <c r="E1135" t="s">
        <v>675</v>
      </c>
      <c r="F1135">
        <v>1182.5</v>
      </c>
      <c r="G1135">
        <v>1185.5</v>
      </c>
      <c r="H1135">
        <v>1182</v>
      </c>
      <c r="I1135">
        <v>1184</v>
      </c>
      <c r="J1135">
        <v>161700</v>
      </c>
    </row>
    <row r="1136" spans="4:10">
      <c r="D1136" t="s">
        <v>716</v>
      </c>
      <c r="E1136" t="s">
        <v>676</v>
      </c>
      <c r="F1136">
        <v>1184</v>
      </c>
      <c r="G1136">
        <v>1184.5</v>
      </c>
      <c r="H1136">
        <v>1182.5</v>
      </c>
      <c r="I1136">
        <v>1183.5</v>
      </c>
      <c r="J1136">
        <v>72100</v>
      </c>
    </row>
    <row r="1137" spans="4:10">
      <c r="D1137" t="s">
        <v>716</v>
      </c>
      <c r="E1137" t="s">
        <v>677</v>
      </c>
      <c r="F1137">
        <v>1183</v>
      </c>
      <c r="G1137">
        <v>1184</v>
      </c>
      <c r="H1137">
        <v>1178</v>
      </c>
      <c r="I1137">
        <v>1178.5</v>
      </c>
      <c r="J1137">
        <v>235800</v>
      </c>
    </row>
    <row r="1138" spans="4:10">
      <c r="D1138" t="s">
        <v>716</v>
      </c>
      <c r="E1138" t="s">
        <v>678</v>
      </c>
      <c r="F1138">
        <v>1179</v>
      </c>
      <c r="G1138">
        <v>1180.5</v>
      </c>
      <c r="H1138">
        <v>1178.5</v>
      </c>
      <c r="I1138">
        <v>1179.5</v>
      </c>
      <c r="J1138">
        <v>117900</v>
      </c>
    </row>
    <row r="1139" spans="4:10">
      <c r="D1139" t="s">
        <v>716</v>
      </c>
      <c r="E1139" t="s">
        <v>679</v>
      </c>
      <c r="F1139">
        <v>1179.5</v>
      </c>
      <c r="G1139">
        <v>1180</v>
      </c>
      <c r="H1139">
        <v>1177.5</v>
      </c>
      <c r="I1139">
        <v>1180</v>
      </c>
      <c r="J1139">
        <v>172100</v>
      </c>
    </row>
    <row r="1140" spans="4:10">
      <c r="D1140" t="s">
        <v>716</v>
      </c>
      <c r="E1140" t="s">
        <v>680</v>
      </c>
      <c r="F1140">
        <v>1179.5</v>
      </c>
      <c r="G1140">
        <v>1180</v>
      </c>
      <c r="H1140">
        <v>1179</v>
      </c>
      <c r="I1140">
        <v>1179.5</v>
      </c>
      <c r="J1140">
        <v>27900</v>
      </c>
    </row>
    <row r="1141" spans="4:10">
      <c r="D1141" t="s">
        <v>716</v>
      </c>
      <c r="E1141" t="s">
        <v>681</v>
      </c>
      <c r="F1141">
        <v>1180</v>
      </c>
      <c r="G1141">
        <v>1180</v>
      </c>
      <c r="H1141">
        <v>1176</v>
      </c>
      <c r="I1141">
        <v>1177</v>
      </c>
      <c r="J1141">
        <v>236400</v>
      </c>
    </row>
    <row r="1142" spans="4:10">
      <c r="D1142" t="s">
        <v>716</v>
      </c>
      <c r="E1142" t="s">
        <v>682</v>
      </c>
      <c r="F1142">
        <v>1176.5</v>
      </c>
      <c r="G1142">
        <v>1177.5</v>
      </c>
      <c r="H1142">
        <v>1176</v>
      </c>
      <c r="I1142">
        <v>1176</v>
      </c>
      <c r="J1142">
        <v>74400</v>
      </c>
    </row>
    <row r="1143" spans="4:10">
      <c r="D1143" t="s">
        <v>716</v>
      </c>
      <c r="E1143" t="s">
        <v>683</v>
      </c>
      <c r="F1143">
        <v>1176</v>
      </c>
      <c r="G1143">
        <v>1176.5</v>
      </c>
      <c r="H1143">
        <v>1173.5</v>
      </c>
      <c r="I1143">
        <v>1176.5</v>
      </c>
      <c r="J1143">
        <v>471000</v>
      </c>
    </row>
    <row r="1144" spans="4:10">
      <c r="D1144" t="s">
        <v>716</v>
      </c>
      <c r="E1144" t="s">
        <v>684</v>
      </c>
      <c r="F1144">
        <v>1176.5</v>
      </c>
      <c r="G1144">
        <v>1178</v>
      </c>
      <c r="H1144">
        <v>1175</v>
      </c>
      <c r="I1144">
        <v>1176.5</v>
      </c>
      <c r="J1144">
        <v>104500</v>
      </c>
    </row>
    <row r="1145" spans="4:10">
      <c r="D1145" t="s">
        <v>716</v>
      </c>
      <c r="E1145" t="s">
        <v>685</v>
      </c>
      <c r="F1145">
        <v>1176.5</v>
      </c>
      <c r="G1145">
        <v>1176.5</v>
      </c>
      <c r="H1145">
        <v>1175</v>
      </c>
      <c r="I1145">
        <v>1175.5</v>
      </c>
      <c r="J1145">
        <v>49000</v>
      </c>
    </row>
    <row r="1146" spans="4:10">
      <c r="D1146" t="s">
        <v>716</v>
      </c>
      <c r="E1146" t="s">
        <v>686</v>
      </c>
      <c r="F1146">
        <v>1175.5</v>
      </c>
      <c r="G1146">
        <v>1176</v>
      </c>
      <c r="H1146">
        <v>1174.5</v>
      </c>
      <c r="I1146">
        <v>1175.5</v>
      </c>
      <c r="J1146">
        <v>99200</v>
      </c>
    </row>
    <row r="1147" spans="4:10">
      <c r="D1147" t="s">
        <v>716</v>
      </c>
      <c r="E1147" t="s">
        <v>687</v>
      </c>
      <c r="F1147">
        <v>1175</v>
      </c>
      <c r="G1147">
        <v>1175.5</v>
      </c>
      <c r="H1147">
        <v>1173</v>
      </c>
      <c r="I1147">
        <v>1173.5</v>
      </c>
      <c r="J1147">
        <v>159900</v>
      </c>
    </row>
    <row r="1148" spans="4:10">
      <c r="D1148" t="s">
        <v>716</v>
      </c>
      <c r="E1148" t="s">
        <v>688</v>
      </c>
      <c r="F1148">
        <v>1173</v>
      </c>
      <c r="G1148">
        <v>1174</v>
      </c>
      <c r="H1148">
        <v>1172.5</v>
      </c>
      <c r="I1148">
        <v>1172.5</v>
      </c>
      <c r="J1148">
        <v>170900</v>
      </c>
    </row>
    <row r="1149" spans="4:10">
      <c r="D1149" t="s">
        <v>716</v>
      </c>
      <c r="E1149" t="s">
        <v>689</v>
      </c>
      <c r="F1149">
        <v>1173</v>
      </c>
      <c r="G1149">
        <v>1173</v>
      </c>
      <c r="H1149">
        <v>1171</v>
      </c>
      <c r="I1149">
        <v>1171.5</v>
      </c>
      <c r="J1149">
        <v>148900</v>
      </c>
    </row>
    <row r="1150" spans="4:10">
      <c r="D1150" t="s">
        <v>716</v>
      </c>
      <c r="E1150" t="s">
        <v>690</v>
      </c>
      <c r="F1150">
        <v>1171</v>
      </c>
      <c r="G1150">
        <v>1172</v>
      </c>
      <c r="H1150">
        <v>1170</v>
      </c>
      <c r="I1150">
        <v>1171</v>
      </c>
      <c r="J1150">
        <v>216600</v>
      </c>
    </row>
    <row r="1151" spans="4:10">
      <c r="D1151" t="s">
        <v>716</v>
      </c>
      <c r="E1151" t="s">
        <v>691</v>
      </c>
      <c r="F1151">
        <v>1170.5</v>
      </c>
      <c r="G1151">
        <v>1171.5</v>
      </c>
      <c r="H1151">
        <v>1168</v>
      </c>
      <c r="I1151">
        <v>1170</v>
      </c>
      <c r="J1151">
        <v>381000</v>
      </c>
    </row>
    <row r="1152" spans="4:10">
      <c r="D1152" t="s">
        <v>716</v>
      </c>
      <c r="E1152" t="s">
        <v>692</v>
      </c>
      <c r="F1152">
        <v>1170</v>
      </c>
      <c r="G1152">
        <v>1170</v>
      </c>
      <c r="H1152">
        <v>1168.5</v>
      </c>
      <c r="I1152">
        <v>1169</v>
      </c>
      <c r="J1152">
        <v>92300</v>
      </c>
    </row>
    <row r="1153" spans="4:10">
      <c r="D1153" t="s">
        <v>716</v>
      </c>
      <c r="E1153" t="s">
        <v>693</v>
      </c>
      <c r="F1153">
        <v>1169.5</v>
      </c>
      <c r="G1153">
        <v>1169.5</v>
      </c>
      <c r="H1153">
        <v>1168</v>
      </c>
      <c r="I1153">
        <v>1168.5</v>
      </c>
      <c r="J1153">
        <v>119400</v>
      </c>
    </row>
    <row r="1154" spans="4:10">
      <c r="D1154" t="s">
        <v>716</v>
      </c>
      <c r="E1154" t="s">
        <v>694</v>
      </c>
      <c r="F1154">
        <v>1169</v>
      </c>
      <c r="G1154">
        <v>1169.5</v>
      </c>
      <c r="H1154">
        <v>1167</v>
      </c>
      <c r="I1154">
        <v>1167</v>
      </c>
      <c r="J1154">
        <v>209600</v>
      </c>
    </row>
    <row r="1155" spans="4:10">
      <c r="D1155" t="s">
        <v>716</v>
      </c>
      <c r="E1155" t="s">
        <v>695</v>
      </c>
      <c r="F1155">
        <v>1167.5</v>
      </c>
      <c r="G1155">
        <v>1167.5</v>
      </c>
      <c r="H1155">
        <v>1166</v>
      </c>
      <c r="I1155">
        <v>1167</v>
      </c>
      <c r="J1155">
        <v>282400</v>
      </c>
    </row>
    <row r="1156" spans="4:10">
      <c r="D1156" t="s">
        <v>716</v>
      </c>
      <c r="E1156" t="s">
        <v>696</v>
      </c>
      <c r="F1156">
        <v>1167</v>
      </c>
      <c r="G1156">
        <v>1168</v>
      </c>
      <c r="H1156">
        <v>1166</v>
      </c>
      <c r="I1156">
        <v>1166.5</v>
      </c>
      <c r="J1156">
        <v>126700</v>
      </c>
    </row>
    <row r="1157" spans="4:10">
      <c r="D1157" t="s">
        <v>716</v>
      </c>
      <c r="E1157" t="s">
        <v>697</v>
      </c>
      <c r="F1157">
        <v>1166.5</v>
      </c>
      <c r="G1157">
        <v>1166.5</v>
      </c>
      <c r="H1157">
        <v>1165.5</v>
      </c>
      <c r="I1157">
        <v>1166</v>
      </c>
      <c r="J1157">
        <v>118100</v>
      </c>
    </row>
    <row r="1158" spans="4:10">
      <c r="D1158" t="s">
        <v>716</v>
      </c>
      <c r="E1158" t="s">
        <v>698</v>
      </c>
      <c r="F1158">
        <v>1166.5</v>
      </c>
      <c r="G1158">
        <v>1168</v>
      </c>
      <c r="H1158">
        <v>1165.5</v>
      </c>
      <c r="I1158">
        <v>1168</v>
      </c>
      <c r="J1158">
        <v>241400</v>
      </c>
    </row>
    <row r="1159" spans="4:10">
      <c r="D1159" t="s">
        <v>716</v>
      </c>
      <c r="E1159" t="s">
        <v>699</v>
      </c>
      <c r="F1159">
        <v>1167.5</v>
      </c>
      <c r="G1159">
        <v>1169</v>
      </c>
      <c r="H1159">
        <v>1167</v>
      </c>
      <c r="I1159">
        <v>1167</v>
      </c>
      <c r="J1159">
        <v>124100</v>
      </c>
    </row>
    <row r="1160" spans="4:10">
      <c r="D1160" t="s">
        <v>716</v>
      </c>
      <c r="E1160" t="s">
        <v>700</v>
      </c>
      <c r="F1160">
        <v>1167.5</v>
      </c>
      <c r="G1160">
        <v>1169.5</v>
      </c>
      <c r="H1160">
        <v>1167</v>
      </c>
      <c r="I1160">
        <v>1169</v>
      </c>
      <c r="J1160">
        <v>158800</v>
      </c>
    </row>
    <row r="1161" spans="4:10">
      <c r="D1161" t="s">
        <v>716</v>
      </c>
      <c r="E1161" t="s">
        <v>633</v>
      </c>
      <c r="F1161">
        <v>1169</v>
      </c>
      <c r="G1161">
        <v>1169.5</v>
      </c>
      <c r="H1161">
        <v>1168.5</v>
      </c>
      <c r="I1161">
        <v>1169</v>
      </c>
      <c r="J1161">
        <v>146800</v>
      </c>
    </row>
    <row r="1162" spans="4:10">
      <c r="D1162" t="s">
        <v>716</v>
      </c>
      <c r="E1162" t="s">
        <v>634</v>
      </c>
      <c r="F1162">
        <v>1169</v>
      </c>
      <c r="G1162">
        <v>1169.5</v>
      </c>
      <c r="H1162">
        <v>1168.5</v>
      </c>
      <c r="I1162">
        <v>1169</v>
      </c>
      <c r="J1162">
        <v>152500</v>
      </c>
    </row>
    <row r="1163" spans="4:10">
      <c r="D1163" t="s">
        <v>716</v>
      </c>
      <c r="E1163" t="s">
        <v>635</v>
      </c>
      <c r="F1163">
        <v>1169</v>
      </c>
      <c r="G1163">
        <v>1172.5</v>
      </c>
      <c r="H1163">
        <v>1168.5</v>
      </c>
      <c r="I1163">
        <v>1172.5</v>
      </c>
      <c r="J1163">
        <v>361300</v>
      </c>
    </row>
    <row r="1164" spans="4:10">
      <c r="D1164" t="s">
        <v>716</v>
      </c>
      <c r="E1164" t="s">
        <v>614</v>
      </c>
      <c r="F1164">
        <v>1172.5</v>
      </c>
      <c r="G1164">
        <v>1174</v>
      </c>
      <c r="H1164">
        <v>1171</v>
      </c>
      <c r="I1164">
        <v>1173</v>
      </c>
      <c r="J1164">
        <v>320100</v>
      </c>
    </row>
    <row r="1165" spans="4:10">
      <c r="D1165" t="s">
        <v>716</v>
      </c>
      <c r="E1165" t="s">
        <v>636</v>
      </c>
      <c r="F1165" t="s">
        <v>35</v>
      </c>
      <c r="G1165" t="s">
        <v>35</v>
      </c>
      <c r="H1165" t="s">
        <v>35</v>
      </c>
      <c r="I1165" t="s">
        <v>35</v>
      </c>
      <c r="J1165">
        <v>0</v>
      </c>
    </row>
    <row r="1166" spans="4:10">
      <c r="D1166" t="s">
        <v>716</v>
      </c>
      <c r="E1166" t="s">
        <v>637</v>
      </c>
      <c r="F1166">
        <v>1176</v>
      </c>
      <c r="G1166">
        <v>1176</v>
      </c>
      <c r="H1166">
        <v>1176</v>
      </c>
      <c r="I1166">
        <v>1176</v>
      </c>
      <c r="J1166">
        <v>1821200</v>
      </c>
    </row>
    <row r="1167" spans="4:10">
      <c r="D1167" t="s">
        <v>717</v>
      </c>
      <c r="E1167" t="s">
        <v>639</v>
      </c>
      <c r="F1167">
        <v>1178</v>
      </c>
      <c r="G1167">
        <v>1194.5</v>
      </c>
      <c r="H1167">
        <v>1173</v>
      </c>
      <c r="I1167">
        <v>1190</v>
      </c>
      <c r="J1167">
        <v>1700200</v>
      </c>
    </row>
    <row r="1168" spans="4:10">
      <c r="D1168" t="s">
        <v>717</v>
      </c>
      <c r="E1168" t="s">
        <v>640</v>
      </c>
      <c r="F1168">
        <v>1190.5</v>
      </c>
      <c r="G1168">
        <v>1192</v>
      </c>
      <c r="H1168">
        <v>1186</v>
      </c>
      <c r="I1168">
        <v>1191</v>
      </c>
      <c r="J1168">
        <v>578000</v>
      </c>
    </row>
    <row r="1169" spans="4:10">
      <c r="D1169" t="s">
        <v>717</v>
      </c>
      <c r="E1169" t="s">
        <v>641</v>
      </c>
      <c r="F1169">
        <v>1191</v>
      </c>
      <c r="G1169">
        <v>1196</v>
      </c>
      <c r="H1169">
        <v>1190</v>
      </c>
      <c r="I1169">
        <v>1194.5</v>
      </c>
      <c r="J1169">
        <v>596500</v>
      </c>
    </row>
    <row r="1170" spans="4:10">
      <c r="D1170" t="s">
        <v>717</v>
      </c>
      <c r="E1170" t="s">
        <v>642</v>
      </c>
      <c r="F1170">
        <v>1195</v>
      </c>
      <c r="G1170">
        <v>1199.5</v>
      </c>
      <c r="H1170">
        <v>1193.5</v>
      </c>
      <c r="I1170">
        <v>1198.5</v>
      </c>
      <c r="J1170">
        <v>468300</v>
      </c>
    </row>
    <row r="1171" spans="4:10">
      <c r="D1171" t="s">
        <v>717</v>
      </c>
      <c r="E1171" t="s">
        <v>643</v>
      </c>
      <c r="F1171">
        <v>1198</v>
      </c>
      <c r="G1171">
        <v>1202</v>
      </c>
      <c r="H1171">
        <v>1197</v>
      </c>
      <c r="I1171">
        <v>1199.5</v>
      </c>
      <c r="J1171">
        <v>587800</v>
      </c>
    </row>
    <row r="1172" spans="4:10">
      <c r="D1172" t="s">
        <v>717</v>
      </c>
      <c r="E1172" t="s">
        <v>644</v>
      </c>
      <c r="F1172">
        <v>1199.5</v>
      </c>
      <c r="G1172">
        <v>1205.5</v>
      </c>
      <c r="H1172">
        <v>1199.5</v>
      </c>
      <c r="I1172">
        <v>1202.5</v>
      </c>
      <c r="J1172">
        <v>485500</v>
      </c>
    </row>
    <row r="1173" spans="4:10">
      <c r="D1173" t="s">
        <v>717</v>
      </c>
      <c r="E1173" t="s">
        <v>645</v>
      </c>
      <c r="F1173">
        <v>1202.5</v>
      </c>
      <c r="G1173">
        <v>1206</v>
      </c>
      <c r="H1173">
        <v>1197.5</v>
      </c>
      <c r="I1173">
        <v>1199.5</v>
      </c>
      <c r="J1173">
        <v>372300</v>
      </c>
    </row>
    <row r="1174" spans="4:10">
      <c r="D1174" t="s">
        <v>717</v>
      </c>
      <c r="E1174" t="s">
        <v>646</v>
      </c>
      <c r="F1174">
        <v>1199.5</v>
      </c>
      <c r="G1174">
        <v>1200.5</v>
      </c>
      <c r="H1174">
        <v>1197</v>
      </c>
      <c r="I1174">
        <v>1198.5</v>
      </c>
      <c r="J1174">
        <v>235300</v>
      </c>
    </row>
    <row r="1175" spans="4:10">
      <c r="D1175" t="s">
        <v>717</v>
      </c>
      <c r="E1175" t="s">
        <v>647</v>
      </c>
      <c r="F1175">
        <v>1198.5</v>
      </c>
      <c r="G1175">
        <v>1199</v>
      </c>
      <c r="H1175">
        <v>1191</v>
      </c>
      <c r="I1175">
        <v>1191.5</v>
      </c>
      <c r="J1175">
        <v>222400</v>
      </c>
    </row>
    <row r="1176" spans="4:10">
      <c r="D1176" t="s">
        <v>717</v>
      </c>
      <c r="E1176" t="s">
        <v>648</v>
      </c>
      <c r="F1176">
        <v>1192</v>
      </c>
      <c r="G1176">
        <v>1192</v>
      </c>
      <c r="H1176">
        <v>1186</v>
      </c>
      <c r="I1176">
        <v>1186</v>
      </c>
      <c r="J1176">
        <v>149200</v>
      </c>
    </row>
    <row r="1177" spans="4:10">
      <c r="D1177" t="s">
        <v>717</v>
      </c>
      <c r="E1177" t="s">
        <v>649</v>
      </c>
      <c r="F1177">
        <v>1186</v>
      </c>
      <c r="G1177">
        <v>1189.5</v>
      </c>
      <c r="H1177">
        <v>1183.5</v>
      </c>
      <c r="I1177">
        <v>1189.5</v>
      </c>
      <c r="J1177">
        <v>264000</v>
      </c>
    </row>
    <row r="1178" spans="4:10">
      <c r="D1178" t="s">
        <v>717</v>
      </c>
      <c r="E1178" t="s">
        <v>650</v>
      </c>
      <c r="F1178">
        <v>1189</v>
      </c>
      <c r="G1178">
        <v>1192.5</v>
      </c>
      <c r="H1178">
        <v>1189</v>
      </c>
      <c r="I1178">
        <v>1191.5</v>
      </c>
      <c r="J1178">
        <v>144700</v>
      </c>
    </row>
    <row r="1179" spans="4:10">
      <c r="D1179" t="s">
        <v>717</v>
      </c>
      <c r="E1179" t="s">
        <v>651</v>
      </c>
      <c r="F1179">
        <v>1192</v>
      </c>
      <c r="G1179">
        <v>1199</v>
      </c>
      <c r="H1179">
        <v>1190.5</v>
      </c>
      <c r="I1179">
        <v>1198</v>
      </c>
      <c r="J1179">
        <v>344000</v>
      </c>
    </row>
    <row r="1180" spans="4:10">
      <c r="D1180" t="s">
        <v>717</v>
      </c>
      <c r="E1180" t="s">
        <v>652</v>
      </c>
      <c r="F1180">
        <v>1198.5</v>
      </c>
      <c r="G1180">
        <v>1201.5</v>
      </c>
      <c r="H1180">
        <v>1196.5</v>
      </c>
      <c r="I1180">
        <v>1196.5</v>
      </c>
      <c r="J1180">
        <v>302000</v>
      </c>
    </row>
    <row r="1181" spans="4:10">
      <c r="D1181" t="s">
        <v>717</v>
      </c>
      <c r="E1181" t="s">
        <v>653</v>
      </c>
      <c r="F1181">
        <v>1196.5</v>
      </c>
      <c r="G1181">
        <v>1200</v>
      </c>
      <c r="H1181">
        <v>1195.5</v>
      </c>
      <c r="I1181">
        <v>1197.5</v>
      </c>
      <c r="J1181">
        <v>125600</v>
      </c>
    </row>
    <row r="1182" spans="4:10">
      <c r="D1182" t="s">
        <v>717</v>
      </c>
      <c r="E1182" t="s">
        <v>654</v>
      </c>
      <c r="F1182">
        <v>1197.5</v>
      </c>
      <c r="G1182">
        <v>1205</v>
      </c>
      <c r="H1182">
        <v>1197.5</v>
      </c>
      <c r="I1182">
        <v>1203</v>
      </c>
      <c r="J1182">
        <v>399400</v>
      </c>
    </row>
    <row r="1183" spans="4:10">
      <c r="D1183" t="s">
        <v>717</v>
      </c>
      <c r="E1183" t="s">
        <v>655</v>
      </c>
      <c r="F1183">
        <v>1203</v>
      </c>
      <c r="G1183">
        <v>1204</v>
      </c>
      <c r="H1183">
        <v>1199.5</v>
      </c>
      <c r="I1183">
        <v>1202.5</v>
      </c>
      <c r="J1183">
        <v>172700</v>
      </c>
    </row>
    <row r="1184" spans="4:10">
      <c r="D1184" t="s">
        <v>717</v>
      </c>
      <c r="E1184" t="s">
        <v>656</v>
      </c>
      <c r="F1184">
        <v>1202.5</v>
      </c>
      <c r="G1184">
        <v>1208</v>
      </c>
      <c r="H1184">
        <v>1202.5</v>
      </c>
      <c r="I1184">
        <v>1207</v>
      </c>
      <c r="J1184">
        <v>329600</v>
      </c>
    </row>
    <row r="1185" spans="4:10">
      <c r="D1185" t="s">
        <v>717</v>
      </c>
      <c r="E1185" t="s">
        <v>657</v>
      </c>
      <c r="F1185">
        <v>1207</v>
      </c>
      <c r="G1185">
        <v>1208.5</v>
      </c>
      <c r="H1185">
        <v>1206.5</v>
      </c>
      <c r="I1185">
        <v>1207</v>
      </c>
      <c r="J1185">
        <v>228500</v>
      </c>
    </row>
    <row r="1186" spans="4:10">
      <c r="D1186" t="s">
        <v>717</v>
      </c>
      <c r="E1186" t="s">
        <v>658</v>
      </c>
      <c r="F1186">
        <v>1207.5</v>
      </c>
      <c r="G1186">
        <v>1210</v>
      </c>
      <c r="H1186">
        <v>1205.5</v>
      </c>
      <c r="I1186">
        <v>1209.5</v>
      </c>
      <c r="J1186">
        <v>392700</v>
      </c>
    </row>
    <row r="1187" spans="4:10">
      <c r="D1187" t="s">
        <v>717</v>
      </c>
      <c r="E1187" t="s">
        <v>659</v>
      </c>
      <c r="F1187">
        <v>1209</v>
      </c>
      <c r="G1187">
        <v>1212</v>
      </c>
      <c r="H1187">
        <v>1207</v>
      </c>
      <c r="I1187">
        <v>1211.5</v>
      </c>
      <c r="J1187">
        <v>292500</v>
      </c>
    </row>
    <row r="1188" spans="4:10">
      <c r="D1188" t="s">
        <v>717</v>
      </c>
      <c r="E1188" t="s">
        <v>660</v>
      </c>
      <c r="F1188">
        <v>1211.5</v>
      </c>
      <c r="G1188">
        <v>1211.5</v>
      </c>
      <c r="H1188">
        <v>1208</v>
      </c>
      <c r="I1188">
        <v>1208.5</v>
      </c>
      <c r="J1188">
        <v>170200</v>
      </c>
    </row>
    <row r="1189" spans="4:10">
      <c r="D1189" t="s">
        <v>717</v>
      </c>
      <c r="E1189" t="s">
        <v>661</v>
      </c>
      <c r="F1189">
        <v>1208</v>
      </c>
      <c r="G1189">
        <v>1208</v>
      </c>
      <c r="H1189">
        <v>1202.5</v>
      </c>
      <c r="I1189">
        <v>1204.5</v>
      </c>
      <c r="J1189">
        <v>256300</v>
      </c>
    </row>
    <row r="1190" spans="4:10">
      <c r="D1190" t="s">
        <v>717</v>
      </c>
      <c r="E1190" t="s">
        <v>662</v>
      </c>
      <c r="F1190">
        <v>1204.5</v>
      </c>
      <c r="G1190">
        <v>1205</v>
      </c>
      <c r="H1190">
        <v>1200.5</v>
      </c>
      <c r="I1190">
        <v>1204</v>
      </c>
      <c r="J1190">
        <v>207400</v>
      </c>
    </row>
    <row r="1191" spans="4:10">
      <c r="D1191" t="s">
        <v>717</v>
      </c>
      <c r="E1191" t="s">
        <v>663</v>
      </c>
      <c r="F1191">
        <v>1204</v>
      </c>
      <c r="G1191">
        <v>1206</v>
      </c>
      <c r="H1191">
        <v>1203.5</v>
      </c>
      <c r="I1191">
        <v>1204.5</v>
      </c>
      <c r="J1191">
        <v>116000</v>
      </c>
    </row>
    <row r="1192" spans="4:10">
      <c r="D1192" t="s">
        <v>717</v>
      </c>
      <c r="E1192" t="s">
        <v>664</v>
      </c>
      <c r="F1192">
        <v>1204.5</v>
      </c>
      <c r="G1192">
        <v>1206.5</v>
      </c>
      <c r="H1192">
        <v>1204.5</v>
      </c>
      <c r="I1192">
        <v>1206.5</v>
      </c>
      <c r="J1192">
        <v>85600</v>
      </c>
    </row>
    <row r="1193" spans="4:10">
      <c r="D1193" t="s">
        <v>717</v>
      </c>
      <c r="E1193" t="s">
        <v>665</v>
      </c>
      <c r="F1193">
        <v>1206.5</v>
      </c>
      <c r="G1193">
        <v>1210</v>
      </c>
      <c r="H1193">
        <v>1203.5</v>
      </c>
      <c r="I1193">
        <v>1204.5</v>
      </c>
      <c r="J1193">
        <v>208600</v>
      </c>
    </row>
    <row r="1194" spans="4:10">
      <c r="D1194" t="s">
        <v>717</v>
      </c>
      <c r="E1194" t="s">
        <v>666</v>
      </c>
      <c r="F1194">
        <v>1204</v>
      </c>
      <c r="G1194">
        <v>1206</v>
      </c>
      <c r="H1194">
        <v>1203.5</v>
      </c>
      <c r="I1194">
        <v>1203.5</v>
      </c>
      <c r="J1194">
        <v>79700</v>
      </c>
    </row>
    <row r="1195" spans="4:10">
      <c r="D1195" t="s">
        <v>717</v>
      </c>
      <c r="E1195" t="s">
        <v>667</v>
      </c>
      <c r="F1195">
        <v>1204</v>
      </c>
      <c r="G1195">
        <v>1205.5</v>
      </c>
      <c r="H1195">
        <v>1203</v>
      </c>
      <c r="I1195">
        <v>1204</v>
      </c>
      <c r="J1195">
        <v>47300</v>
      </c>
    </row>
    <row r="1196" spans="4:10">
      <c r="D1196" t="s">
        <v>717</v>
      </c>
      <c r="E1196" t="s">
        <v>668</v>
      </c>
      <c r="F1196">
        <v>1204</v>
      </c>
      <c r="G1196">
        <v>1204.5</v>
      </c>
      <c r="H1196">
        <v>1201.5</v>
      </c>
      <c r="I1196">
        <v>1204.5</v>
      </c>
      <c r="J1196">
        <v>123300</v>
      </c>
    </row>
    <row r="1197" spans="4:10">
      <c r="D1197" t="s">
        <v>717</v>
      </c>
      <c r="E1197" t="s">
        <v>669</v>
      </c>
      <c r="F1197">
        <v>1205</v>
      </c>
      <c r="G1197">
        <v>1205</v>
      </c>
      <c r="H1197">
        <v>1205</v>
      </c>
      <c r="I1197">
        <v>1205</v>
      </c>
      <c r="J1197">
        <v>10400</v>
      </c>
    </row>
    <row r="1198" spans="4:10">
      <c r="D1198" t="s">
        <v>717</v>
      </c>
      <c r="E1198" t="s">
        <v>670</v>
      </c>
      <c r="F1198">
        <v>1206</v>
      </c>
      <c r="G1198">
        <v>1211</v>
      </c>
      <c r="H1198">
        <v>1204.5</v>
      </c>
      <c r="I1198">
        <v>1210.5</v>
      </c>
      <c r="J1198">
        <v>393900</v>
      </c>
    </row>
    <row r="1199" spans="4:10">
      <c r="D1199" t="s">
        <v>717</v>
      </c>
      <c r="E1199" t="s">
        <v>671</v>
      </c>
      <c r="F1199">
        <v>1210.5</v>
      </c>
      <c r="G1199">
        <v>1213.5</v>
      </c>
      <c r="H1199">
        <v>1209.5</v>
      </c>
      <c r="I1199">
        <v>1212.5</v>
      </c>
      <c r="J1199">
        <v>398900</v>
      </c>
    </row>
    <row r="1200" spans="4:10">
      <c r="D1200" t="s">
        <v>717</v>
      </c>
      <c r="E1200" t="s">
        <v>672</v>
      </c>
      <c r="F1200">
        <v>1213</v>
      </c>
      <c r="G1200">
        <v>1213</v>
      </c>
      <c r="H1200">
        <v>1209</v>
      </c>
      <c r="I1200">
        <v>1212</v>
      </c>
      <c r="J1200">
        <v>199200</v>
      </c>
    </row>
    <row r="1201" spans="4:10">
      <c r="D1201" t="s">
        <v>717</v>
      </c>
      <c r="E1201" t="s">
        <v>673</v>
      </c>
      <c r="F1201">
        <v>1212.5</v>
      </c>
      <c r="G1201">
        <v>1215</v>
      </c>
      <c r="H1201">
        <v>1212</v>
      </c>
      <c r="I1201">
        <v>1215</v>
      </c>
      <c r="J1201">
        <v>217100</v>
      </c>
    </row>
    <row r="1202" spans="4:10">
      <c r="D1202" t="s">
        <v>717</v>
      </c>
      <c r="E1202" t="s">
        <v>674</v>
      </c>
      <c r="F1202">
        <v>1215</v>
      </c>
      <c r="G1202">
        <v>1216.5</v>
      </c>
      <c r="H1202">
        <v>1213</v>
      </c>
      <c r="I1202">
        <v>1215.5</v>
      </c>
      <c r="J1202">
        <v>309900</v>
      </c>
    </row>
    <row r="1203" spans="4:10">
      <c r="D1203" t="s">
        <v>717</v>
      </c>
      <c r="E1203" t="s">
        <v>675</v>
      </c>
      <c r="F1203">
        <v>1215.5</v>
      </c>
      <c r="G1203">
        <v>1215.5</v>
      </c>
      <c r="H1203">
        <v>1213</v>
      </c>
      <c r="I1203">
        <v>1214</v>
      </c>
      <c r="J1203">
        <v>134600</v>
      </c>
    </row>
    <row r="1204" spans="4:10">
      <c r="D1204" t="s">
        <v>717</v>
      </c>
      <c r="E1204" t="s">
        <v>676</v>
      </c>
      <c r="F1204">
        <v>1213.5</v>
      </c>
      <c r="G1204">
        <v>1215</v>
      </c>
      <c r="H1204">
        <v>1212.5</v>
      </c>
      <c r="I1204">
        <v>1215</v>
      </c>
      <c r="J1204">
        <v>275400</v>
      </c>
    </row>
    <row r="1205" spans="4:10">
      <c r="D1205" t="s">
        <v>717</v>
      </c>
      <c r="E1205" t="s">
        <v>677</v>
      </c>
      <c r="F1205">
        <v>1215</v>
      </c>
      <c r="G1205">
        <v>1215.5</v>
      </c>
      <c r="H1205">
        <v>1214</v>
      </c>
      <c r="I1205">
        <v>1214.5</v>
      </c>
      <c r="J1205">
        <v>72100</v>
      </c>
    </row>
    <row r="1206" spans="4:10">
      <c r="D1206" t="s">
        <v>717</v>
      </c>
      <c r="E1206" t="s">
        <v>678</v>
      </c>
      <c r="F1206">
        <v>1214.5</v>
      </c>
      <c r="G1206">
        <v>1214.5</v>
      </c>
      <c r="H1206">
        <v>1212</v>
      </c>
      <c r="I1206">
        <v>1212.5</v>
      </c>
      <c r="J1206">
        <v>102100</v>
      </c>
    </row>
    <row r="1207" spans="4:10">
      <c r="D1207" t="s">
        <v>717</v>
      </c>
      <c r="E1207" t="s">
        <v>679</v>
      </c>
      <c r="F1207">
        <v>1212.5</v>
      </c>
      <c r="G1207">
        <v>1214</v>
      </c>
      <c r="H1207">
        <v>1210.5</v>
      </c>
      <c r="I1207">
        <v>1212.5</v>
      </c>
      <c r="J1207">
        <v>113000</v>
      </c>
    </row>
    <row r="1208" spans="4:10">
      <c r="D1208" t="s">
        <v>717</v>
      </c>
      <c r="E1208" t="s">
        <v>680</v>
      </c>
      <c r="F1208">
        <v>1212</v>
      </c>
      <c r="G1208">
        <v>1213</v>
      </c>
      <c r="H1208">
        <v>1211.5</v>
      </c>
      <c r="I1208">
        <v>1212.5</v>
      </c>
      <c r="J1208">
        <v>68700</v>
      </c>
    </row>
    <row r="1209" spans="4:10">
      <c r="D1209" t="s">
        <v>717</v>
      </c>
      <c r="E1209" t="s">
        <v>681</v>
      </c>
      <c r="F1209">
        <v>1212.5</v>
      </c>
      <c r="G1209">
        <v>1214</v>
      </c>
      <c r="H1209">
        <v>1211.5</v>
      </c>
      <c r="I1209">
        <v>1213.5</v>
      </c>
      <c r="J1209">
        <v>134900</v>
      </c>
    </row>
    <row r="1210" spans="4:10">
      <c r="D1210" t="s">
        <v>717</v>
      </c>
      <c r="E1210" t="s">
        <v>682</v>
      </c>
      <c r="F1210">
        <v>1213.5</v>
      </c>
      <c r="G1210">
        <v>1214</v>
      </c>
      <c r="H1210">
        <v>1212.5</v>
      </c>
      <c r="I1210">
        <v>1213</v>
      </c>
      <c r="J1210">
        <v>72800</v>
      </c>
    </row>
    <row r="1211" spans="4:10">
      <c r="D1211" t="s">
        <v>717</v>
      </c>
      <c r="E1211" t="s">
        <v>683</v>
      </c>
      <c r="F1211">
        <v>1213</v>
      </c>
      <c r="G1211">
        <v>1214.5</v>
      </c>
      <c r="H1211">
        <v>1212.5</v>
      </c>
      <c r="I1211">
        <v>1214.5</v>
      </c>
      <c r="J1211">
        <v>154500</v>
      </c>
    </row>
    <row r="1212" spans="4:10">
      <c r="D1212" t="s">
        <v>717</v>
      </c>
      <c r="E1212" t="s">
        <v>684</v>
      </c>
      <c r="F1212">
        <v>1214.5</v>
      </c>
      <c r="G1212">
        <v>1214.5</v>
      </c>
      <c r="H1212">
        <v>1212</v>
      </c>
      <c r="I1212">
        <v>1213</v>
      </c>
      <c r="J1212">
        <v>105000</v>
      </c>
    </row>
    <row r="1213" spans="4:10">
      <c r="D1213" t="s">
        <v>717</v>
      </c>
      <c r="E1213" t="s">
        <v>685</v>
      </c>
      <c r="F1213">
        <v>1213</v>
      </c>
      <c r="G1213">
        <v>1214</v>
      </c>
      <c r="H1213">
        <v>1211.5</v>
      </c>
      <c r="I1213">
        <v>1211.5</v>
      </c>
      <c r="J1213">
        <v>81100</v>
      </c>
    </row>
    <row r="1214" spans="4:10">
      <c r="D1214" t="s">
        <v>717</v>
      </c>
      <c r="E1214" t="s">
        <v>686</v>
      </c>
      <c r="F1214">
        <v>1212.5</v>
      </c>
      <c r="G1214">
        <v>1212.5</v>
      </c>
      <c r="H1214">
        <v>1210.5</v>
      </c>
      <c r="I1214">
        <v>1211</v>
      </c>
      <c r="J1214">
        <v>78900</v>
      </c>
    </row>
    <row r="1215" spans="4:10">
      <c r="D1215" t="s">
        <v>717</v>
      </c>
      <c r="E1215" t="s">
        <v>687</v>
      </c>
      <c r="F1215">
        <v>1211</v>
      </c>
      <c r="G1215">
        <v>1211.5</v>
      </c>
      <c r="H1215">
        <v>1210</v>
      </c>
      <c r="I1215">
        <v>1210</v>
      </c>
      <c r="J1215">
        <v>54400</v>
      </c>
    </row>
    <row r="1216" spans="4:10">
      <c r="D1216" t="s">
        <v>717</v>
      </c>
      <c r="E1216" t="s">
        <v>688</v>
      </c>
      <c r="F1216">
        <v>1210.5</v>
      </c>
      <c r="G1216">
        <v>1211.5</v>
      </c>
      <c r="H1216">
        <v>1209.5</v>
      </c>
      <c r="I1216">
        <v>1211.5</v>
      </c>
      <c r="J1216">
        <v>143400</v>
      </c>
    </row>
    <row r="1217" spans="4:10">
      <c r="D1217" t="s">
        <v>717</v>
      </c>
      <c r="E1217" t="s">
        <v>689</v>
      </c>
      <c r="F1217">
        <v>1211.5</v>
      </c>
      <c r="G1217">
        <v>1212.5</v>
      </c>
      <c r="H1217">
        <v>1211.5</v>
      </c>
      <c r="I1217">
        <v>1212.5</v>
      </c>
      <c r="J1217">
        <v>57600</v>
      </c>
    </row>
    <row r="1218" spans="4:10">
      <c r="D1218" t="s">
        <v>717</v>
      </c>
      <c r="E1218" t="s">
        <v>690</v>
      </c>
      <c r="F1218">
        <v>1212</v>
      </c>
      <c r="G1218">
        <v>1213</v>
      </c>
      <c r="H1218">
        <v>1211.5</v>
      </c>
      <c r="I1218">
        <v>1213</v>
      </c>
      <c r="J1218">
        <v>93000</v>
      </c>
    </row>
    <row r="1219" spans="4:10">
      <c r="D1219" t="s">
        <v>717</v>
      </c>
      <c r="E1219" t="s">
        <v>691</v>
      </c>
      <c r="F1219">
        <v>1213</v>
      </c>
      <c r="G1219">
        <v>1213</v>
      </c>
      <c r="H1219">
        <v>1210</v>
      </c>
      <c r="I1219">
        <v>1210.5</v>
      </c>
      <c r="J1219">
        <v>63400</v>
      </c>
    </row>
    <row r="1220" spans="4:10">
      <c r="D1220" t="s">
        <v>717</v>
      </c>
      <c r="E1220" t="s">
        <v>692</v>
      </c>
      <c r="F1220">
        <v>1210.5</v>
      </c>
      <c r="G1220">
        <v>1211.5</v>
      </c>
      <c r="H1220">
        <v>1208</v>
      </c>
      <c r="I1220">
        <v>1208.5</v>
      </c>
      <c r="J1220">
        <v>121300</v>
      </c>
    </row>
    <row r="1221" spans="4:10">
      <c r="D1221" t="s">
        <v>717</v>
      </c>
      <c r="E1221" t="s">
        <v>693</v>
      </c>
      <c r="F1221">
        <v>1208.5</v>
      </c>
      <c r="G1221">
        <v>1209</v>
      </c>
      <c r="H1221">
        <v>1207.5</v>
      </c>
      <c r="I1221">
        <v>1208.5</v>
      </c>
      <c r="J1221">
        <v>54000</v>
      </c>
    </row>
    <row r="1222" spans="4:10">
      <c r="D1222" t="s">
        <v>717</v>
      </c>
      <c r="E1222" t="s">
        <v>694</v>
      </c>
      <c r="F1222">
        <v>1208.5</v>
      </c>
      <c r="G1222">
        <v>1209.5</v>
      </c>
      <c r="H1222">
        <v>1208</v>
      </c>
      <c r="I1222">
        <v>1209</v>
      </c>
      <c r="J1222">
        <v>24600</v>
      </c>
    </row>
    <row r="1223" spans="4:10">
      <c r="D1223" t="s">
        <v>717</v>
      </c>
      <c r="E1223" t="s">
        <v>695</v>
      </c>
      <c r="F1223">
        <v>1209</v>
      </c>
      <c r="G1223">
        <v>1209.5</v>
      </c>
      <c r="H1223">
        <v>1206.5</v>
      </c>
      <c r="I1223">
        <v>1207.5</v>
      </c>
      <c r="J1223">
        <v>91900</v>
      </c>
    </row>
    <row r="1224" spans="4:10">
      <c r="D1224" t="s">
        <v>717</v>
      </c>
      <c r="E1224" t="s">
        <v>696</v>
      </c>
      <c r="F1224">
        <v>1207.5</v>
      </c>
      <c r="G1224">
        <v>1208</v>
      </c>
      <c r="H1224">
        <v>1207</v>
      </c>
      <c r="I1224">
        <v>1207</v>
      </c>
      <c r="J1224">
        <v>57600</v>
      </c>
    </row>
    <row r="1225" spans="4:10">
      <c r="D1225" t="s">
        <v>717</v>
      </c>
      <c r="E1225" t="s">
        <v>697</v>
      </c>
      <c r="F1225">
        <v>1207</v>
      </c>
      <c r="G1225">
        <v>1208</v>
      </c>
      <c r="H1225">
        <v>1206.5</v>
      </c>
      <c r="I1225">
        <v>1208</v>
      </c>
      <c r="J1225">
        <v>55700</v>
      </c>
    </row>
    <row r="1226" spans="4:10">
      <c r="D1226" t="s">
        <v>717</v>
      </c>
      <c r="E1226" t="s">
        <v>698</v>
      </c>
      <c r="F1226">
        <v>1208</v>
      </c>
      <c r="G1226">
        <v>1208</v>
      </c>
      <c r="H1226">
        <v>1205.5</v>
      </c>
      <c r="I1226">
        <v>1206</v>
      </c>
      <c r="J1226">
        <v>78400</v>
      </c>
    </row>
    <row r="1227" spans="4:10">
      <c r="D1227" t="s">
        <v>717</v>
      </c>
      <c r="E1227" t="s">
        <v>699</v>
      </c>
      <c r="F1227">
        <v>1206.5</v>
      </c>
      <c r="G1227">
        <v>1208.5</v>
      </c>
      <c r="H1227">
        <v>1205.5</v>
      </c>
      <c r="I1227">
        <v>1208</v>
      </c>
      <c r="J1227">
        <v>108400</v>
      </c>
    </row>
    <row r="1228" spans="4:10">
      <c r="D1228" t="s">
        <v>717</v>
      </c>
      <c r="E1228" t="s">
        <v>700</v>
      </c>
      <c r="F1228">
        <v>1208</v>
      </c>
      <c r="G1228">
        <v>1209.5</v>
      </c>
      <c r="H1228">
        <v>1206.5</v>
      </c>
      <c r="I1228">
        <v>1208</v>
      </c>
      <c r="J1228">
        <v>99900</v>
      </c>
    </row>
    <row r="1229" spans="4:10">
      <c r="D1229" t="s">
        <v>717</v>
      </c>
      <c r="E1229" t="s">
        <v>633</v>
      </c>
      <c r="F1229">
        <v>1208</v>
      </c>
      <c r="G1229">
        <v>1208</v>
      </c>
      <c r="H1229">
        <v>1206.5</v>
      </c>
      <c r="I1229">
        <v>1206.5</v>
      </c>
      <c r="J1229">
        <v>86700</v>
      </c>
    </row>
    <row r="1230" spans="4:10">
      <c r="D1230" t="s">
        <v>717</v>
      </c>
      <c r="E1230" t="s">
        <v>634</v>
      </c>
      <c r="F1230">
        <v>1206.5</v>
      </c>
      <c r="G1230">
        <v>1208</v>
      </c>
      <c r="H1230">
        <v>1206.5</v>
      </c>
      <c r="I1230">
        <v>1208</v>
      </c>
      <c r="J1230">
        <v>78100</v>
      </c>
    </row>
    <row r="1231" spans="4:10">
      <c r="D1231" t="s">
        <v>717</v>
      </c>
      <c r="E1231" t="s">
        <v>635</v>
      </c>
      <c r="F1231">
        <v>1207.5</v>
      </c>
      <c r="G1231">
        <v>1208</v>
      </c>
      <c r="H1231">
        <v>1205</v>
      </c>
      <c r="I1231">
        <v>1205.5</v>
      </c>
      <c r="J1231">
        <v>140000</v>
      </c>
    </row>
    <row r="1232" spans="4:10">
      <c r="D1232" t="s">
        <v>717</v>
      </c>
      <c r="E1232" t="s">
        <v>614</v>
      </c>
      <c r="F1232">
        <v>1205.5</v>
      </c>
      <c r="G1232">
        <v>1206.5</v>
      </c>
      <c r="H1232">
        <v>1204</v>
      </c>
      <c r="I1232">
        <v>1205</v>
      </c>
      <c r="J1232">
        <v>289100</v>
      </c>
    </row>
    <row r="1233" spans="4:10">
      <c r="D1233" t="s">
        <v>717</v>
      </c>
      <c r="E1233" t="s">
        <v>636</v>
      </c>
      <c r="F1233" t="s">
        <v>35</v>
      </c>
      <c r="G1233" t="s">
        <v>35</v>
      </c>
      <c r="H1233" t="s">
        <v>35</v>
      </c>
      <c r="I1233" t="s">
        <v>35</v>
      </c>
      <c r="J1233">
        <v>0</v>
      </c>
    </row>
    <row r="1234" spans="4:10">
      <c r="D1234" t="s">
        <v>717</v>
      </c>
      <c r="E1234" t="s">
        <v>637</v>
      </c>
      <c r="F1234">
        <v>1209.5</v>
      </c>
      <c r="G1234">
        <v>1209.5</v>
      </c>
      <c r="H1234">
        <v>1209.5</v>
      </c>
      <c r="I1234">
        <v>1209.5</v>
      </c>
      <c r="J1234">
        <v>1115900</v>
      </c>
    </row>
    <row r="1235" spans="4:10">
      <c r="D1235" t="s">
        <v>718</v>
      </c>
      <c r="E1235" t="s">
        <v>639</v>
      </c>
      <c r="F1235">
        <v>1231</v>
      </c>
      <c r="G1235">
        <v>1238.5</v>
      </c>
      <c r="H1235">
        <v>1217.5</v>
      </c>
      <c r="I1235">
        <v>1233.5</v>
      </c>
      <c r="J1235">
        <v>2064600</v>
      </c>
    </row>
    <row r="1236" spans="4:10">
      <c r="D1236" t="s">
        <v>718</v>
      </c>
      <c r="E1236" t="s">
        <v>640</v>
      </c>
      <c r="F1236">
        <v>1233.5</v>
      </c>
      <c r="G1236">
        <v>1237</v>
      </c>
      <c r="H1236">
        <v>1226.5</v>
      </c>
      <c r="I1236">
        <v>1235</v>
      </c>
      <c r="J1236">
        <v>813400</v>
      </c>
    </row>
    <row r="1237" spans="4:10">
      <c r="D1237" t="s">
        <v>718</v>
      </c>
      <c r="E1237" t="s">
        <v>641</v>
      </c>
      <c r="F1237">
        <v>1235.5</v>
      </c>
      <c r="G1237">
        <v>1241.5</v>
      </c>
      <c r="H1237">
        <v>1231.5</v>
      </c>
      <c r="I1237">
        <v>1232</v>
      </c>
      <c r="J1237">
        <v>1057500</v>
      </c>
    </row>
    <row r="1238" spans="4:10">
      <c r="D1238" t="s">
        <v>718</v>
      </c>
      <c r="E1238" t="s">
        <v>642</v>
      </c>
      <c r="F1238">
        <v>1231.5</v>
      </c>
      <c r="G1238">
        <v>1237</v>
      </c>
      <c r="H1238">
        <v>1223.5</v>
      </c>
      <c r="I1238">
        <v>1225.5</v>
      </c>
      <c r="J1238">
        <v>602500</v>
      </c>
    </row>
    <row r="1239" spans="4:10">
      <c r="D1239" t="s">
        <v>718</v>
      </c>
      <c r="E1239" t="s">
        <v>643</v>
      </c>
      <c r="F1239">
        <v>1225.5</v>
      </c>
      <c r="G1239">
        <v>1228</v>
      </c>
      <c r="H1239">
        <v>1221</v>
      </c>
      <c r="I1239">
        <v>1223</v>
      </c>
      <c r="J1239">
        <v>331800</v>
      </c>
    </row>
    <row r="1240" spans="4:10">
      <c r="D1240" t="s">
        <v>718</v>
      </c>
      <c r="E1240" t="s">
        <v>644</v>
      </c>
      <c r="F1240">
        <v>1223</v>
      </c>
      <c r="G1240">
        <v>1230</v>
      </c>
      <c r="H1240">
        <v>1223</v>
      </c>
      <c r="I1240">
        <v>1226</v>
      </c>
      <c r="J1240">
        <v>382900</v>
      </c>
    </row>
    <row r="1241" spans="4:10">
      <c r="D1241" t="s">
        <v>718</v>
      </c>
      <c r="E1241" t="s">
        <v>645</v>
      </c>
      <c r="F1241">
        <v>1225.5</v>
      </c>
      <c r="G1241">
        <v>1226</v>
      </c>
      <c r="H1241">
        <v>1213</v>
      </c>
      <c r="I1241">
        <v>1213</v>
      </c>
      <c r="J1241">
        <v>443300</v>
      </c>
    </row>
    <row r="1242" spans="4:10">
      <c r="D1242" t="s">
        <v>718</v>
      </c>
      <c r="E1242" t="s">
        <v>646</v>
      </c>
      <c r="F1242">
        <v>1213.5</v>
      </c>
      <c r="G1242">
        <v>1215.5</v>
      </c>
      <c r="H1242">
        <v>1209</v>
      </c>
      <c r="I1242">
        <v>1213.5</v>
      </c>
      <c r="J1242">
        <v>433400</v>
      </c>
    </row>
    <row r="1243" spans="4:10">
      <c r="D1243" t="s">
        <v>718</v>
      </c>
      <c r="E1243" t="s">
        <v>647</v>
      </c>
      <c r="F1243">
        <v>1213</v>
      </c>
      <c r="G1243">
        <v>1215.5</v>
      </c>
      <c r="H1243">
        <v>1210</v>
      </c>
      <c r="I1243">
        <v>1211.5</v>
      </c>
      <c r="J1243">
        <v>318300</v>
      </c>
    </row>
    <row r="1244" spans="4:10">
      <c r="D1244" t="s">
        <v>718</v>
      </c>
      <c r="E1244" t="s">
        <v>648</v>
      </c>
      <c r="F1244">
        <v>1211</v>
      </c>
      <c r="G1244">
        <v>1212.5</v>
      </c>
      <c r="H1244">
        <v>1207.5</v>
      </c>
      <c r="I1244">
        <v>1207.5</v>
      </c>
      <c r="J1244">
        <v>224400</v>
      </c>
    </row>
    <row r="1245" spans="4:10">
      <c r="D1245" t="s">
        <v>718</v>
      </c>
      <c r="E1245" t="s">
        <v>649</v>
      </c>
      <c r="F1245">
        <v>1207</v>
      </c>
      <c r="G1245">
        <v>1209</v>
      </c>
      <c r="H1245">
        <v>1205</v>
      </c>
      <c r="I1245">
        <v>1207.5</v>
      </c>
      <c r="J1245">
        <v>356000</v>
      </c>
    </row>
    <row r="1246" spans="4:10">
      <c r="D1246" t="s">
        <v>718</v>
      </c>
      <c r="E1246" t="s">
        <v>650</v>
      </c>
      <c r="F1246">
        <v>1207.5</v>
      </c>
      <c r="G1246">
        <v>1212.5</v>
      </c>
      <c r="H1246">
        <v>1205</v>
      </c>
      <c r="I1246">
        <v>1212.5</v>
      </c>
      <c r="J1246">
        <v>312500</v>
      </c>
    </row>
    <row r="1247" spans="4:10">
      <c r="D1247" t="s">
        <v>718</v>
      </c>
      <c r="E1247" t="s">
        <v>651</v>
      </c>
      <c r="F1247">
        <v>1212</v>
      </c>
      <c r="G1247">
        <v>1213</v>
      </c>
      <c r="H1247">
        <v>1208.5</v>
      </c>
      <c r="I1247">
        <v>1211.5</v>
      </c>
      <c r="J1247">
        <v>152700</v>
      </c>
    </row>
    <row r="1248" spans="4:10">
      <c r="D1248" t="s">
        <v>718</v>
      </c>
      <c r="E1248" t="s">
        <v>652</v>
      </c>
      <c r="F1248">
        <v>1212</v>
      </c>
      <c r="G1248">
        <v>1218</v>
      </c>
      <c r="H1248">
        <v>1211.5</v>
      </c>
      <c r="I1248">
        <v>1217</v>
      </c>
      <c r="J1248">
        <v>306800</v>
      </c>
    </row>
    <row r="1249" spans="4:10">
      <c r="D1249" t="s">
        <v>718</v>
      </c>
      <c r="E1249" t="s">
        <v>653</v>
      </c>
      <c r="F1249">
        <v>1217</v>
      </c>
      <c r="G1249">
        <v>1221.5</v>
      </c>
      <c r="H1249">
        <v>1215.5</v>
      </c>
      <c r="I1249">
        <v>1221</v>
      </c>
      <c r="J1249">
        <v>203000</v>
      </c>
    </row>
    <row r="1250" spans="4:10">
      <c r="D1250" t="s">
        <v>718</v>
      </c>
      <c r="E1250" t="s">
        <v>654</v>
      </c>
      <c r="F1250">
        <v>1221</v>
      </c>
      <c r="G1250">
        <v>1222</v>
      </c>
      <c r="H1250">
        <v>1214.5</v>
      </c>
      <c r="I1250">
        <v>1214.5</v>
      </c>
      <c r="J1250">
        <v>268800</v>
      </c>
    </row>
    <row r="1251" spans="4:10">
      <c r="D1251" t="s">
        <v>718</v>
      </c>
      <c r="E1251" t="s">
        <v>655</v>
      </c>
      <c r="F1251">
        <v>1214.5</v>
      </c>
      <c r="G1251">
        <v>1215.5</v>
      </c>
      <c r="H1251">
        <v>1209</v>
      </c>
      <c r="I1251">
        <v>1214.5</v>
      </c>
      <c r="J1251">
        <v>154400</v>
      </c>
    </row>
    <row r="1252" spans="4:10">
      <c r="D1252" t="s">
        <v>718</v>
      </c>
      <c r="E1252" t="s">
        <v>656</v>
      </c>
      <c r="F1252">
        <v>1214.5</v>
      </c>
      <c r="G1252">
        <v>1216.5</v>
      </c>
      <c r="H1252">
        <v>1211</v>
      </c>
      <c r="I1252">
        <v>1211.5</v>
      </c>
      <c r="J1252">
        <v>241800</v>
      </c>
    </row>
    <row r="1253" spans="4:10">
      <c r="D1253" t="s">
        <v>718</v>
      </c>
      <c r="E1253" t="s">
        <v>657</v>
      </c>
      <c r="F1253">
        <v>1211.5</v>
      </c>
      <c r="G1253">
        <v>1215.5</v>
      </c>
      <c r="H1253">
        <v>1211.5</v>
      </c>
      <c r="I1253">
        <v>1214.5</v>
      </c>
      <c r="J1253">
        <v>62000</v>
      </c>
    </row>
    <row r="1254" spans="4:10">
      <c r="D1254" t="s">
        <v>718</v>
      </c>
      <c r="E1254" t="s">
        <v>658</v>
      </c>
      <c r="F1254">
        <v>1214.5</v>
      </c>
      <c r="G1254">
        <v>1215</v>
      </c>
      <c r="H1254">
        <v>1213</v>
      </c>
      <c r="I1254">
        <v>1214</v>
      </c>
      <c r="J1254">
        <v>45300</v>
      </c>
    </row>
    <row r="1255" spans="4:10">
      <c r="D1255" t="s">
        <v>718</v>
      </c>
      <c r="E1255" t="s">
        <v>659</v>
      </c>
      <c r="F1255">
        <v>1214</v>
      </c>
      <c r="G1255">
        <v>1218.5</v>
      </c>
      <c r="H1255">
        <v>1213</v>
      </c>
      <c r="I1255">
        <v>1218</v>
      </c>
      <c r="J1255">
        <v>96700</v>
      </c>
    </row>
    <row r="1256" spans="4:10">
      <c r="D1256" t="s">
        <v>718</v>
      </c>
      <c r="E1256" t="s">
        <v>660</v>
      </c>
      <c r="F1256">
        <v>1218</v>
      </c>
      <c r="G1256">
        <v>1218.5</v>
      </c>
      <c r="H1256">
        <v>1213.5</v>
      </c>
      <c r="I1256">
        <v>1217.5</v>
      </c>
      <c r="J1256">
        <v>161800</v>
      </c>
    </row>
    <row r="1257" spans="4:10">
      <c r="D1257" t="s">
        <v>718</v>
      </c>
      <c r="E1257" t="s">
        <v>661</v>
      </c>
      <c r="F1257">
        <v>1218</v>
      </c>
      <c r="G1257">
        <v>1220</v>
      </c>
      <c r="H1257">
        <v>1218</v>
      </c>
      <c r="I1257">
        <v>1219.5</v>
      </c>
      <c r="J1257">
        <v>180700</v>
      </c>
    </row>
    <row r="1258" spans="4:10">
      <c r="D1258" t="s">
        <v>718</v>
      </c>
      <c r="E1258" t="s">
        <v>662</v>
      </c>
      <c r="F1258">
        <v>1219.5</v>
      </c>
      <c r="G1258">
        <v>1219.5</v>
      </c>
      <c r="H1258">
        <v>1219</v>
      </c>
      <c r="I1258">
        <v>1219</v>
      </c>
      <c r="J1258">
        <v>46800</v>
      </c>
    </row>
    <row r="1259" spans="4:10">
      <c r="D1259" t="s">
        <v>718</v>
      </c>
      <c r="E1259" t="s">
        <v>663</v>
      </c>
      <c r="F1259">
        <v>1218.5</v>
      </c>
      <c r="G1259">
        <v>1219</v>
      </c>
      <c r="H1259">
        <v>1215.5</v>
      </c>
      <c r="I1259">
        <v>1216</v>
      </c>
      <c r="J1259">
        <v>127200</v>
      </c>
    </row>
    <row r="1260" spans="4:10">
      <c r="D1260" t="s">
        <v>718</v>
      </c>
      <c r="E1260" t="s">
        <v>664</v>
      </c>
      <c r="F1260">
        <v>1216</v>
      </c>
      <c r="G1260">
        <v>1218.5</v>
      </c>
      <c r="H1260">
        <v>1216</v>
      </c>
      <c r="I1260">
        <v>1218.5</v>
      </c>
      <c r="J1260">
        <v>77600</v>
      </c>
    </row>
    <row r="1261" spans="4:10">
      <c r="D1261" t="s">
        <v>718</v>
      </c>
      <c r="E1261" t="s">
        <v>665</v>
      </c>
      <c r="F1261">
        <v>1219</v>
      </c>
      <c r="G1261">
        <v>1219.5</v>
      </c>
      <c r="H1261">
        <v>1217</v>
      </c>
      <c r="I1261">
        <v>1217.5</v>
      </c>
      <c r="J1261">
        <v>84600</v>
      </c>
    </row>
    <row r="1262" spans="4:10">
      <c r="D1262" t="s">
        <v>718</v>
      </c>
      <c r="E1262" t="s">
        <v>666</v>
      </c>
      <c r="F1262">
        <v>1217</v>
      </c>
      <c r="G1262">
        <v>1219</v>
      </c>
      <c r="H1262">
        <v>1216.5</v>
      </c>
      <c r="I1262">
        <v>1219</v>
      </c>
      <c r="J1262">
        <v>37500</v>
      </c>
    </row>
    <row r="1263" spans="4:10">
      <c r="D1263" t="s">
        <v>718</v>
      </c>
      <c r="E1263" t="s">
        <v>667</v>
      </c>
      <c r="F1263">
        <v>1219</v>
      </c>
      <c r="G1263">
        <v>1219.5</v>
      </c>
      <c r="H1263">
        <v>1218.5</v>
      </c>
      <c r="I1263">
        <v>1218.5</v>
      </c>
      <c r="J1263">
        <v>53800</v>
      </c>
    </row>
    <row r="1264" spans="4:10">
      <c r="D1264" t="s">
        <v>718</v>
      </c>
      <c r="E1264" t="s">
        <v>668</v>
      </c>
      <c r="F1264">
        <v>1218.5</v>
      </c>
      <c r="G1264">
        <v>1218.5</v>
      </c>
      <c r="H1264">
        <v>1216.5</v>
      </c>
      <c r="I1264">
        <v>1218.5</v>
      </c>
      <c r="J1264">
        <v>60400</v>
      </c>
    </row>
    <row r="1265" spans="4:10">
      <c r="D1265" t="s">
        <v>718</v>
      </c>
      <c r="E1265" t="s">
        <v>669</v>
      </c>
      <c r="F1265">
        <v>1218</v>
      </c>
      <c r="G1265">
        <v>1218</v>
      </c>
      <c r="H1265">
        <v>1218</v>
      </c>
      <c r="I1265">
        <v>1218</v>
      </c>
      <c r="J1265">
        <v>7100</v>
      </c>
    </row>
    <row r="1266" spans="4:10">
      <c r="D1266" t="s">
        <v>718</v>
      </c>
      <c r="E1266" t="s">
        <v>670</v>
      </c>
      <c r="F1266">
        <v>1219.5</v>
      </c>
      <c r="G1266">
        <v>1221</v>
      </c>
      <c r="H1266">
        <v>1215.5</v>
      </c>
      <c r="I1266">
        <v>1216.5</v>
      </c>
      <c r="J1266">
        <v>371500</v>
      </c>
    </row>
    <row r="1267" spans="4:10">
      <c r="D1267" t="s">
        <v>718</v>
      </c>
      <c r="E1267" t="s">
        <v>671</v>
      </c>
      <c r="F1267">
        <v>1216.5</v>
      </c>
      <c r="G1267">
        <v>1218</v>
      </c>
      <c r="H1267">
        <v>1215</v>
      </c>
      <c r="I1267">
        <v>1217</v>
      </c>
      <c r="J1267">
        <v>149700</v>
      </c>
    </row>
    <row r="1268" spans="4:10">
      <c r="D1268" t="s">
        <v>718</v>
      </c>
      <c r="E1268" t="s">
        <v>672</v>
      </c>
      <c r="F1268">
        <v>1217</v>
      </c>
      <c r="G1268">
        <v>1217.5</v>
      </c>
      <c r="H1268">
        <v>1214.5</v>
      </c>
      <c r="I1268">
        <v>1214.5</v>
      </c>
      <c r="J1268">
        <v>169200</v>
      </c>
    </row>
    <row r="1269" spans="4:10">
      <c r="D1269" t="s">
        <v>718</v>
      </c>
      <c r="E1269" t="s">
        <v>673</v>
      </c>
      <c r="F1269">
        <v>1214.5</v>
      </c>
      <c r="G1269">
        <v>1216</v>
      </c>
      <c r="H1269">
        <v>1212</v>
      </c>
      <c r="I1269">
        <v>1214</v>
      </c>
      <c r="J1269">
        <v>105200</v>
      </c>
    </row>
    <row r="1270" spans="4:10">
      <c r="D1270" t="s">
        <v>718</v>
      </c>
      <c r="E1270" t="s">
        <v>674</v>
      </c>
      <c r="F1270">
        <v>1214</v>
      </c>
      <c r="G1270">
        <v>1214.5</v>
      </c>
      <c r="H1270">
        <v>1212</v>
      </c>
      <c r="I1270">
        <v>1213</v>
      </c>
      <c r="J1270">
        <v>69100</v>
      </c>
    </row>
    <row r="1271" spans="4:10">
      <c r="D1271" t="s">
        <v>718</v>
      </c>
      <c r="E1271" t="s">
        <v>675</v>
      </c>
      <c r="F1271">
        <v>1213</v>
      </c>
      <c r="G1271">
        <v>1214</v>
      </c>
      <c r="H1271">
        <v>1212</v>
      </c>
      <c r="I1271">
        <v>1213</v>
      </c>
      <c r="J1271">
        <v>73700</v>
      </c>
    </row>
    <row r="1272" spans="4:10">
      <c r="D1272" t="s">
        <v>718</v>
      </c>
      <c r="E1272" t="s">
        <v>676</v>
      </c>
      <c r="F1272">
        <v>1213</v>
      </c>
      <c r="G1272">
        <v>1215</v>
      </c>
      <c r="H1272">
        <v>1212.5</v>
      </c>
      <c r="I1272">
        <v>1215</v>
      </c>
      <c r="J1272">
        <v>72600</v>
      </c>
    </row>
    <row r="1273" spans="4:10">
      <c r="D1273" t="s">
        <v>718</v>
      </c>
      <c r="E1273" t="s">
        <v>677</v>
      </c>
      <c r="F1273">
        <v>1215</v>
      </c>
      <c r="G1273">
        <v>1215.5</v>
      </c>
      <c r="H1273">
        <v>1214</v>
      </c>
      <c r="I1273">
        <v>1215.5</v>
      </c>
      <c r="J1273">
        <v>59300</v>
      </c>
    </row>
    <row r="1274" spans="4:10">
      <c r="D1274" t="s">
        <v>718</v>
      </c>
      <c r="E1274" t="s">
        <v>678</v>
      </c>
      <c r="F1274">
        <v>1215</v>
      </c>
      <c r="G1274">
        <v>1215.5</v>
      </c>
      <c r="H1274">
        <v>1214</v>
      </c>
      <c r="I1274">
        <v>1214.5</v>
      </c>
      <c r="J1274">
        <v>50300</v>
      </c>
    </row>
    <row r="1275" spans="4:10">
      <c r="D1275" t="s">
        <v>718</v>
      </c>
      <c r="E1275" t="s">
        <v>679</v>
      </c>
      <c r="F1275">
        <v>1214</v>
      </c>
      <c r="G1275">
        <v>1214.5</v>
      </c>
      <c r="H1275">
        <v>1211.5</v>
      </c>
      <c r="I1275">
        <v>1211.5</v>
      </c>
      <c r="J1275">
        <v>170300</v>
      </c>
    </row>
    <row r="1276" spans="4:10">
      <c r="D1276" t="s">
        <v>718</v>
      </c>
      <c r="E1276" t="s">
        <v>680</v>
      </c>
      <c r="F1276">
        <v>1212</v>
      </c>
      <c r="G1276">
        <v>1214.5</v>
      </c>
      <c r="H1276">
        <v>1211.5</v>
      </c>
      <c r="I1276">
        <v>1214</v>
      </c>
      <c r="J1276">
        <v>102300</v>
      </c>
    </row>
    <row r="1277" spans="4:10">
      <c r="D1277" t="s">
        <v>718</v>
      </c>
      <c r="E1277" t="s">
        <v>681</v>
      </c>
      <c r="F1277">
        <v>1213.5</v>
      </c>
      <c r="G1277">
        <v>1215</v>
      </c>
      <c r="H1277">
        <v>1212.5</v>
      </c>
      <c r="I1277">
        <v>1212.5</v>
      </c>
      <c r="J1277">
        <v>117900</v>
      </c>
    </row>
    <row r="1278" spans="4:10">
      <c r="D1278" t="s">
        <v>718</v>
      </c>
      <c r="E1278" t="s">
        <v>682</v>
      </c>
      <c r="F1278">
        <v>1212.5</v>
      </c>
      <c r="G1278">
        <v>1212.5</v>
      </c>
      <c r="H1278">
        <v>1209.5</v>
      </c>
      <c r="I1278">
        <v>1211</v>
      </c>
      <c r="J1278">
        <v>212900</v>
      </c>
    </row>
    <row r="1279" spans="4:10">
      <c r="D1279" t="s">
        <v>718</v>
      </c>
      <c r="E1279" t="s">
        <v>683</v>
      </c>
      <c r="F1279">
        <v>1211</v>
      </c>
      <c r="G1279">
        <v>1212</v>
      </c>
      <c r="H1279">
        <v>1210</v>
      </c>
      <c r="I1279">
        <v>1210</v>
      </c>
      <c r="J1279">
        <v>53000</v>
      </c>
    </row>
    <row r="1280" spans="4:10">
      <c r="D1280" t="s">
        <v>718</v>
      </c>
      <c r="E1280" t="s">
        <v>684</v>
      </c>
      <c r="F1280">
        <v>1210</v>
      </c>
      <c r="G1280">
        <v>1211</v>
      </c>
      <c r="H1280">
        <v>1209.5</v>
      </c>
      <c r="I1280">
        <v>1209.5</v>
      </c>
      <c r="J1280">
        <v>70800</v>
      </c>
    </row>
    <row r="1281" spans="4:10">
      <c r="D1281" t="s">
        <v>718</v>
      </c>
      <c r="E1281" t="s">
        <v>685</v>
      </c>
      <c r="F1281">
        <v>1209.5</v>
      </c>
      <c r="G1281">
        <v>1210.5</v>
      </c>
      <c r="H1281">
        <v>1209</v>
      </c>
      <c r="I1281">
        <v>1210</v>
      </c>
      <c r="J1281">
        <v>82700</v>
      </c>
    </row>
    <row r="1282" spans="4:10">
      <c r="D1282" t="s">
        <v>718</v>
      </c>
      <c r="E1282" t="s">
        <v>686</v>
      </c>
      <c r="F1282">
        <v>1210</v>
      </c>
      <c r="G1282">
        <v>1211</v>
      </c>
      <c r="H1282">
        <v>1209.5</v>
      </c>
      <c r="I1282">
        <v>1210.5</v>
      </c>
      <c r="J1282">
        <v>44500</v>
      </c>
    </row>
    <row r="1283" spans="4:10">
      <c r="D1283" t="s">
        <v>718</v>
      </c>
      <c r="E1283" t="s">
        <v>687</v>
      </c>
      <c r="F1283">
        <v>1211</v>
      </c>
      <c r="G1283">
        <v>1211.5</v>
      </c>
      <c r="H1283">
        <v>1210</v>
      </c>
      <c r="I1283">
        <v>1210.5</v>
      </c>
      <c r="J1283">
        <v>52100</v>
      </c>
    </row>
    <row r="1284" spans="4:10">
      <c r="D1284" t="s">
        <v>718</v>
      </c>
      <c r="E1284" t="s">
        <v>688</v>
      </c>
      <c r="F1284">
        <v>1210</v>
      </c>
      <c r="G1284">
        <v>1211</v>
      </c>
      <c r="H1284">
        <v>1209</v>
      </c>
      <c r="I1284">
        <v>1210.5</v>
      </c>
      <c r="J1284">
        <v>80900</v>
      </c>
    </row>
    <row r="1285" spans="4:10">
      <c r="D1285" t="s">
        <v>718</v>
      </c>
      <c r="E1285" t="s">
        <v>689</v>
      </c>
      <c r="F1285">
        <v>1210.5</v>
      </c>
      <c r="G1285">
        <v>1211</v>
      </c>
      <c r="H1285">
        <v>1210</v>
      </c>
      <c r="I1285">
        <v>1210.5</v>
      </c>
      <c r="J1285">
        <v>29700</v>
      </c>
    </row>
    <row r="1286" spans="4:10">
      <c r="D1286" t="s">
        <v>718</v>
      </c>
      <c r="E1286" t="s">
        <v>690</v>
      </c>
      <c r="F1286">
        <v>1211</v>
      </c>
      <c r="G1286">
        <v>1211.5</v>
      </c>
      <c r="H1286">
        <v>1210.5</v>
      </c>
      <c r="I1286">
        <v>1210.5</v>
      </c>
      <c r="J1286">
        <v>53400</v>
      </c>
    </row>
    <row r="1287" spans="4:10">
      <c r="D1287" t="s">
        <v>718</v>
      </c>
      <c r="E1287" t="s">
        <v>691</v>
      </c>
      <c r="F1287">
        <v>1211</v>
      </c>
      <c r="G1287">
        <v>1211</v>
      </c>
      <c r="H1287">
        <v>1210</v>
      </c>
      <c r="I1287">
        <v>1210.5</v>
      </c>
      <c r="J1287">
        <v>30800</v>
      </c>
    </row>
    <row r="1288" spans="4:10">
      <c r="D1288" t="s">
        <v>718</v>
      </c>
      <c r="E1288" t="s">
        <v>692</v>
      </c>
      <c r="F1288">
        <v>1210.5</v>
      </c>
      <c r="G1288">
        <v>1210.5</v>
      </c>
      <c r="H1288">
        <v>1209</v>
      </c>
      <c r="I1288">
        <v>1209</v>
      </c>
      <c r="J1288">
        <v>65400</v>
      </c>
    </row>
    <row r="1289" spans="4:10">
      <c r="D1289" t="s">
        <v>718</v>
      </c>
      <c r="E1289" t="s">
        <v>693</v>
      </c>
      <c r="F1289">
        <v>1209</v>
      </c>
      <c r="G1289">
        <v>1210</v>
      </c>
      <c r="H1289">
        <v>1208.5</v>
      </c>
      <c r="I1289">
        <v>1209.5</v>
      </c>
      <c r="J1289">
        <v>71500</v>
      </c>
    </row>
    <row r="1290" spans="4:10">
      <c r="D1290" t="s">
        <v>718</v>
      </c>
      <c r="E1290" t="s">
        <v>694</v>
      </c>
      <c r="F1290">
        <v>1209.5</v>
      </c>
      <c r="G1290">
        <v>1210.5</v>
      </c>
      <c r="H1290">
        <v>1209</v>
      </c>
      <c r="I1290">
        <v>1210.5</v>
      </c>
      <c r="J1290">
        <v>39600</v>
      </c>
    </row>
    <row r="1291" spans="4:10">
      <c r="D1291" t="s">
        <v>718</v>
      </c>
      <c r="E1291" t="s">
        <v>695</v>
      </c>
      <c r="F1291">
        <v>1210</v>
      </c>
      <c r="G1291">
        <v>1211</v>
      </c>
      <c r="H1291">
        <v>1209.5</v>
      </c>
      <c r="I1291">
        <v>1210</v>
      </c>
      <c r="J1291">
        <v>47800</v>
      </c>
    </row>
    <row r="1292" spans="4:10">
      <c r="D1292" t="s">
        <v>718</v>
      </c>
      <c r="E1292" t="s">
        <v>696</v>
      </c>
      <c r="F1292">
        <v>1210.5</v>
      </c>
      <c r="G1292">
        <v>1211</v>
      </c>
      <c r="H1292">
        <v>1209</v>
      </c>
      <c r="I1292">
        <v>1210</v>
      </c>
      <c r="J1292">
        <v>82200</v>
      </c>
    </row>
    <row r="1293" spans="4:10">
      <c r="D1293" t="s">
        <v>718</v>
      </c>
      <c r="E1293" t="s">
        <v>697</v>
      </c>
      <c r="F1293">
        <v>1210.5</v>
      </c>
      <c r="G1293">
        <v>1211.5</v>
      </c>
      <c r="H1293">
        <v>1209.5</v>
      </c>
      <c r="I1293">
        <v>1210.5</v>
      </c>
      <c r="J1293">
        <v>85400</v>
      </c>
    </row>
    <row r="1294" spans="4:10">
      <c r="D1294" t="s">
        <v>718</v>
      </c>
      <c r="E1294" t="s">
        <v>698</v>
      </c>
      <c r="F1294">
        <v>1210.5</v>
      </c>
      <c r="G1294">
        <v>1212.5</v>
      </c>
      <c r="H1294">
        <v>1209.5</v>
      </c>
      <c r="I1294">
        <v>1211</v>
      </c>
      <c r="J1294">
        <v>115900</v>
      </c>
    </row>
    <row r="1295" spans="4:10">
      <c r="D1295" t="s">
        <v>718</v>
      </c>
      <c r="E1295" t="s">
        <v>699</v>
      </c>
      <c r="F1295">
        <v>1210.5</v>
      </c>
      <c r="G1295">
        <v>1212</v>
      </c>
      <c r="H1295">
        <v>1210.5</v>
      </c>
      <c r="I1295">
        <v>1211</v>
      </c>
      <c r="J1295">
        <v>55800</v>
      </c>
    </row>
    <row r="1296" spans="4:10">
      <c r="D1296" t="s">
        <v>718</v>
      </c>
      <c r="E1296" t="s">
        <v>700</v>
      </c>
      <c r="F1296">
        <v>1211</v>
      </c>
      <c r="G1296">
        <v>1212</v>
      </c>
      <c r="H1296">
        <v>1210.5</v>
      </c>
      <c r="I1296">
        <v>1211</v>
      </c>
      <c r="J1296">
        <v>132900</v>
      </c>
    </row>
    <row r="1297" spans="4:10">
      <c r="D1297" t="s">
        <v>718</v>
      </c>
      <c r="E1297" t="s">
        <v>633</v>
      </c>
      <c r="F1297">
        <v>1211.5</v>
      </c>
      <c r="G1297">
        <v>1212.5</v>
      </c>
      <c r="H1297">
        <v>1211</v>
      </c>
      <c r="I1297">
        <v>1211.5</v>
      </c>
      <c r="J1297">
        <v>84300</v>
      </c>
    </row>
    <row r="1298" spans="4:10">
      <c r="D1298" t="s">
        <v>718</v>
      </c>
      <c r="E1298" t="s">
        <v>634</v>
      </c>
      <c r="F1298">
        <v>1212</v>
      </c>
      <c r="G1298">
        <v>1213.5</v>
      </c>
      <c r="H1298">
        <v>1211.5</v>
      </c>
      <c r="I1298">
        <v>1212.5</v>
      </c>
      <c r="J1298">
        <v>113500</v>
      </c>
    </row>
    <row r="1299" spans="4:10">
      <c r="D1299" t="s">
        <v>718</v>
      </c>
      <c r="E1299" t="s">
        <v>635</v>
      </c>
      <c r="F1299">
        <v>1213</v>
      </c>
      <c r="G1299">
        <v>1214.5</v>
      </c>
      <c r="H1299">
        <v>1212.5</v>
      </c>
      <c r="I1299">
        <v>1214</v>
      </c>
      <c r="J1299">
        <v>115300</v>
      </c>
    </row>
    <row r="1300" spans="4:10">
      <c r="D1300" t="s">
        <v>718</v>
      </c>
      <c r="E1300" t="s">
        <v>614</v>
      </c>
      <c r="F1300">
        <v>1214</v>
      </c>
      <c r="G1300">
        <v>1214.5</v>
      </c>
      <c r="H1300">
        <v>1213</v>
      </c>
      <c r="I1300">
        <v>1214.5</v>
      </c>
      <c r="J1300">
        <v>247800</v>
      </c>
    </row>
    <row r="1301" spans="4:10">
      <c r="D1301" t="s">
        <v>718</v>
      </c>
      <c r="E1301" t="s">
        <v>636</v>
      </c>
      <c r="F1301" t="s">
        <v>35</v>
      </c>
      <c r="G1301" t="s">
        <v>35</v>
      </c>
      <c r="H1301" t="s">
        <v>35</v>
      </c>
      <c r="I1301" t="s">
        <v>35</v>
      </c>
      <c r="J1301">
        <v>0</v>
      </c>
    </row>
    <row r="1302" spans="4:10">
      <c r="D1302" t="s">
        <v>718</v>
      </c>
      <c r="E1302" t="s">
        <v>637</v>
      </c>
      <c r="F1302">
        <v>1214.5</v>
      </c>
      <c r="G1302">
        <v>1214.5</v>
      </c>
      <c r="H1302">
        <v>1214.5</v>
      </c>
      <c r="I1302">
        <v>1214.5</v>
      </c>
      <c r="J1302">
        <v>877900</v>
      </c>
    </row>
    <row r="1303" spans="4:10">
      <c r="D1303" t="s">
        <v>719</v>
      </c>
      <c r="E1303" t="s">
        <v>639</v>
      </c>
      <c r="F1303">
        <v>1224</v>
      </c>
      <c r="G1303">
        <v>1235</v>
      </c>
      <c r="H1303">
        <v>1219.5</v>
      </c>
      <c r="I1303">
        <v>1219.5</v>
      </c>
      <c r="J1303">
        <v>1857900</v>
      </c>
    </row>
    <row r="1304" spans="4:10">
      <c r="D1304" t="s">
        <v>719</v>
      </c>
      <c r="E1304" t="s">
        <v>640</v>
      </c>
      <c r="F1304">
        <v>1220</v>
      </c>
      <c r="G1304">
        <v>1221.5</v>
      </c>
      <c r="H1304">
        <v>1214.5</v>
      </c>
      <c r="I1304">
        <v>1215.5</v>
      </c>
      <c r="J1304">
        <v>338300</v>
      </c>
    </row>
    <row r="1305" spans="4:10">
      <c r="D1305" t="s">
        <v>719</v>
      </c>
      <c r="E1305" t="s">
        <v>641</v>
      </c>
      <c r="F1305">
        <v>1215</v>
      </c>
      <c r="G1305">
        <v>1223.5</v>
      </c>
      <c r="H1305">
        <v>1215</v>
      </c>
      <c r="I1305">
        <v>1220</v>
      </c>
      <c r="J1305">
        <v>314200</v>
      </c>
    </row>
    <row r="1306" spans="4:10">
      <c r="D1306" t="s">
        <v>719</v>
      </c>
      <c r="E1306" t="s">
        <v>642</v>
      </c>
      <c r="F1306">
        <v>1219.5</v>
      </c>
      <c r="G1306">
        <v>1224.5</v>
      </c>
      <c r="H1306">
        <v>1212.5</v>
      </c>
      <c r="I1306">
        <v>1214.5</v>
      </c>
      <c r="J1306">
        <v>456900</v>
      </c>
    </row>
    <row r="1307" spans="4:10">
      <c r="D1307" t="s">
        <v>719</v>
      </c>
      <c r="E1307" t="s">
        <v>643</v>
      </c>
      <c r="F1307">
        <v>1214.5</v>
      </c>
      <c r="G1307">
        <v>1218</v>
      </c>
      <c r="H1307">
        <v>1212.5</v>
      </c>
      <c r="I1307">
        <v>1218</v>
      </c>
      <c r="J1307">
        <v>211800</v>
      </c>
    </row>
    <row r="1308" spans="4:10">
      <c r="D1308" t="s">
        <v>719</v>
      </c>
      <c r="E1308" t="s">
        <v>644</v>
      </c>
      <c r="F1308">
        <v>1218</v>
      </c>
      <c r="G1308">
        <v>1222</v>
      </c>
      <c r="H1308">
        <v>1218</v>
      </c>
      <c r="I1308">
        <v>1218.5</v>
      </c>
      <c r="J1308">
        <v>187400</v>
      </c>
    </row>
    <row r="1309" spans="4:10">
      <c r="D1309" t="s">
        <v>719</v>
      </c>
      <c r="E1309" t="s">
        <v>645</v>
      </c>
      <c r="F1309">
        <v>1218.5</v>
      </c>
      <c r="G1309">
        <v>1220.5</v>
      </c>
      <c r="H1309">
        <v>1217.5</v>
      </c>
      <c r="I1309">
        <v>1218</v>
      </c>
      <c r="J1309">
        <v>166500</v>
      </c>
    </row>
    <row r="1310" spans="4:10">
      <c r="D1310" t="s">
        <v>719</v>
      </c>
      <c r="E1310" t="s">
        <v>646</v>
      </c>
      <c r="F1310">
        <v>1217.5</v>
      </c>
      <c r="G1310">
        <v>1220</v>
      </c>
      <c r="H1310">
        <v>1217.5</v>
      </c>
      <c r="I1310">
        <v>1219.5</v>
      </c>
      <c r="J1310">
        <v>100200</v>
      </c>
    </row>
    <row r="1311" spans="4:10">
      <c r="D1311" t="s">
        <v>719</v>
      </c>
      <c r="E1311" t="s">
        <v>647</v>
      </c>
      <c r="F1311">
        <v>1219</v>
      </c>
      <c r="G1311">
        <v>1220.5</v>
      </c>
      <c r="H1311">
        <v>1218.5</v>
      </c>
      <c r="I1311">
        <v>1219</v>
      </c>
      <c r="J1311">
        <v>112900</v>
      </c>
    </row>
    <row r="1312" spans="4:10">
      <c r="D1312" t="s">
        <v>719</v>
      </c>
      <c r="E1312" t="s">
        <v>648</v>
      </c>
      <c r="F1312">
        <v>1219</v>
      </c>
      <c r="G1312">
        <v>1223</v>
      </c>
      <c r="H1312">
        <v>1219</v>
      </c>
      <c r="I1312">
        <v>1223</v>
      </c>
      <c r="J1312">
        <v>159100</v>
      </c>
    </row>
    <row r="1313" spans="4:10">
      <c r="D1313" t="s">
        <v>719</v>
      </c>
      <c r="E1313" t="s">
        <v>649</v>
      </c>
      <c r="F1313">
        <v>1223</v>
      </c>
      <c r="G1313">
        <v>1226.5</v>
      </c>
      <c r="H1313">
        <v>1223</v>
      </c>
      <c r="I1313">
        <v>1224.5</v>
      </c>
      <c r="J1313">
        <v>215100</v>
      </c>
    </row>
    <row r="1314" spans="4:10">
      <c r="D1314" t="s">
        <v>719</v>
      </c>
      <c r="E1314" t="s">
        <v>650</v>
      </c>
      <c r="F1314">
        <v>1224.5</v>
      </c>
      <c r="G1314">
        <v>1229.5</v>
      </c>
      <c r="H1314">
        <v>1224.5</v>
      </c>
      <c r="I1314">
        <v>1229</v>
      </c>
      <c r="J1314">
        <v>339100</v>
      </c>
    </row>
    <row r="1315" spans="4:10">
      <c r="D1315" t="s">
        <v>719</v>
      </c>
      <c r="E1315" t="s">
        <v>651</v>
      </c>
      <c r="F1315">
        <v>1229</v>
      </c>
      <c r="G1315">
        <v>1232</v>
      </c>
      <c r="H1315">
        <v>1221</v>
      </c>
      <c r="I1315">
        <v>1221</v>
      </c>
      <c r="J1315">
        <v>374400</v>
      </c>
    </row>
    <row r="1316" spans="4:10">
      <c r="D1316" t="s">
        <v>719</v>
      </c>
      <c r="E1316" t="s">
        <v>652</v>
      </c>
      <c r="F1316">
        <v>1221.5</v>
      </c>
      <c r="G1316">
        <v>1223</v>
      </c>
      <c r="H1316">
        <v>1218</v>
      </c>
      <c r="I1316">
        <v>1220.5</v>
      </c>
      <c r="J1316">
        <v>172300</v>
      </c>
    </row>
    <row r="1317" spans="4:10">
      <c r="D1317" t="s">
        <v>719</v>
      </c>
      <c r="E1317" t="s">
        <v>653</v>
      </c>
      <c r="F1317">
        <v>1220</v>
      </c>
      <c r="G1317">
        <v>1221.5</v>
      </c>
      <c r="H1317">
        <v>1219</v>
      </c>
      <c r="I1317">
        <v>1220</v>
      </c>
      <c r="J1317">
        <v>141700</v>
      </c>
    </row>
    <row r="1318" spans="4:10">
      <c r="D1318" t="s">
        <v>719</v>
      </c>
      <c r="E1318" t="s">
        <v>654</v>
      </c>
      <c r="F1318">
        <v>1220</v>
      </c>
      <c r="G1318">
        <v>1220</v>
      </c>
      <c r="H1318">
        <v>1218</v>
      </c>
      <c r="I1318">
        <v>1218.5</v>
      </c>
      <c r="J1318">
        <v>155300</v>
      </c>
    </row>
    <row r="1319" spans="4:10">
      <c r="D1319" t="s">
        <v>719</v>
      </c>
      <c r="E1319" t="s">
        <v>655</v>
      </c>
      <c r="F1319">
        <v>1218.5</v>
      </c>
      <c r="G1319">
        <v>1221.5</v>
      </c>
      <c r="H1319">
        <v>1217.5</v>
      </c>
      <c r="I1319">
        <v>1221.5</v>
      </c>
      <c r="J1319">
        <v>176700</v>
      </c>
    </row>
    <row r="1320" spans="4:10">
      <c r="D1320" t="s">
        <v>719</v>
      </c>
      <c r="E1320" t="s">
        <v>656</v>
      </c>
      <c r="F1320">
        <v>1221.5</v>
      </c>
      <c r="G1320">
        <v>1222.5</v>
      </c>
      <c r="H1320">
        <v>1219.5</v>
      </c>
      <c r="I1320">
        <v>1220</v>
      </c>
      <c r="J1320">
        <v>224500</v>
      </c>
    </row>
    <row r="1321" spans="4:10">
      <c r="D1321" t="s">
        <v>719</v>
      </c>
      <c r="E1321" t="s">
        <v>657</v>
      </c>
      <c r="F1321">
        <v>1220.5</v>
      </c>
      <c r="G1321">
        <v>1220.5</v>
      </c>
      <c r="H1321">
        <v>1218</v>
      </c>
      <c r="I1321">
        <v>1219</v>
      </c>
      <c r="J1321">
        <v>132800</v>
      </c>
    </row>
    <row r="1322" spans="4:10">
      <c r="D1322" t="s">
        <v>719</v>
      </c>
      <c r="E1322" t="s">
        <v>658</v>
      </c>
      <c r="F1322">
        <v>1219</v>
      </c>
      <c r="G1322">
        <v>1220</v>
      </c>
      <c r="H1322">
        <v>1218</v>
      </c>
      <c r="I1322">
        <v>1218</v>
      </c>
      <c r="J1322">
        <v>75500</v>
      </c>
    </row>
    <row r="1323" spans="4:10">
      <c r="D1323" t="s">
        <v>719</v>
      </c>
      <c r="E1323" t="s">
        <v>659</v>
      </c>
      <c r="F1323">
        <v>1218.5</v>
      </c>
      <c r="G1323">
        <v>1220.5</v>
      </c>
      <c r="H1323">
        <v>1216</v>
      </c>
      <c r="I1323">
        <v>1216.5</v>
      </c>
      <c r="J1323">
        <v>177300</v>
      </c>
    </row>
    <row r="1324" spans="4:10">
      <c r="D1324" t="s">
        <v>719</v>
      </c>
      <c r="E1324" t="s">
        <v>660</v>
      </c>
      <c r="F1324">
        <v>1216</v>
      </c>
      <c r="G1324">
        <v>1217.5</v>
      </c>
      <c r="H1324">
        <v>1215.5</v>
      </c>
      <c r="I1324">
        <v>1216.5</v>
      </c>
      <c r="J1324">
        <v>78800</v>
      </c>
    </row>
    <row r="1325" spans="4:10">
      <c r="D1325" t="s">
        <v>719</v>
      </c>
      <c r="E1325" t="s">
        <v>661</v>
      </c>
      <c r="F1325">
        <v>1216.5</v>
      </c>
      <c r="G1325">
        <v>1217</v>
      </c>
      <c r="H1325">
        <v>1213</v>
      </c>
      <c r="I1325">
        <v>1213.5</v>
      </c>
      <c r="J1325">
        <v>138900</v>
      </c>
    </row>
    <row r="1326" spans="4:10">
      <c r="D1326" t="s">
        <v>719</v>
      </c>
      <c r="E1326" t="s">
        <v>662</v>
      </c>
      <c r="F1326">
        <v>1213.5</v>
      </c>
      <c r="G1326">
        <v>1213.5</v>
      </c>
      <c r="H1326">
        <v>1209</v>
      </c>
      <c r="I1326">
        <v>1209</v>
      </c>
      <c r="J1326">
        <v>287400</v>
      </c>
    </row>
    <row r="1327" spans="4:10">
      <c r="D1327" t="s">
        <v>719</v>
      </c>
      <c r="E1327" t="s">
        <v>663</v>
      </c>
      <c r="F1327">
        <v>1209.5</v>
      </c>
      <c r="G1327">
        <v>1212</v>
      </c>
      <c r="H1327">
        <v>1209</v>
      </c>
      <c r="I1327">
        <v>1211.5</v>
      </c>
      <c r="J1327">
        <v>72900</v>
      </c>
    </row>
    <row r="1328" spans="4:10">
      <c r="D1328" t="s">
        <v>719</v>
      </c>
      <c r="E1328" t="s">
        <v>664</v>
      </c>
      <c r="F1328">
        <v>1212</v>
      </c>
      <c r="G1328">
        <v>1213.5</v>
      </c>
      <c r="H1328">
        <v>1211.5</v>
      </c>
      <c r="I1328">
        <v>1211.5</v>
      </c>
      <c r="J1328">
        <v>126800</v>
      </c>
    </row>
    <row r="1329" spans="4:10">
      <c r="D1329" t="s">
        <v>719</v>
      </c>
      <c r="E1329" t="s">
        <v>665</v>
      </c>
      <c r="F1329">
        <v>1211</v>
      </c>
      <c r="G1329">
        <v>1212</v>
      </c>
      <c r="H1329">
        <v>1209.5</v>
      </c>
      <c r="I1329">
        <v>1210</v>
      </c>
      <c r="J1329">
        <v>67900</v>
      </c>
    </row>
    <row r="1330" spans="4:10">
      <c r="D1330" t="s">
        <v>719</v>
      </c>
      <c r="E1330" t="s">
        <v>666</v>
      </c>
      <c r="F1330">
        <v>1210.5</v>
      </c>
      <c r="G1330">
        <v>1211</v>
      </c>
      <c r="H1330">
        <v>1208.5</v>
      </c>
      <c r="I1330">
        <v>1208.5</v>
      </c>
      <c r="J1330">
        <v>93100</v>
      </c>
    </row>
    <row r="1331" spans="4:10">
      <c r="D1331" t="s">
        <v>719</v>
      </c>
      <c r="E1331" t="s">
        <v>667</v>
      </c>
      <c r="F1331">
        <v>1209</v>
      </c>
      <c r="G1331">
        <v>1211</v>
      </c>
      <c r="H1331">
        <v>1208.5</v>
      </c>
      <c r="I1331">
        <v>1210.5</v>
      </c>
      <c r="J1331">
        <v>77800</v>
      </c>
    </row>
    <row r="1332" spans="4:10">
      <c r="D1332" t="s">
        <v>719</v>
      </c>
      <c r="E1332" t="s">
        <v>668</v>
      </c>
      <c r="F1332">
        <v>1211</v>
      </c>
      <c r="G1332">
        <v>1212</v>
      </c>
      <c r="H1332">
        <v>1210</v>
      </c>
      <c r="I1332">
        <v>1211.5</v>
      </c>
      <c r="J1332">
        <v>61500</v>
      </c>
    </row>
    <row r="1333" spans="4:10">
      <c r="D1333" t="s">
        <v>719</v>
      </c>
      <c r="E1333" t="s">
        <v>669</v>
      </c>
      <c r="F1333">
        <v>1212</v>
      </c>
      <c r="G1333">
        <v>1212</v>
      </c>
      <c r="H1333">
        <v>1212</v>
      </c>
      <c r="I1333">
        <v>1212</v>
      </c>
      <c r="J1333">
        <v>6900</v>
      </c>
    </row>
    <row r="1334" spans="4:10">
      <c r="D1334" t="s">
        <v>719</v>
      </c>
      <c r="E1334" t="s">
        <v>670</v>
      </c>
      <c r="F1334">
        <v>1212</v>
      </c>
      <c r="G1334">
        <v>1216</v>
      </c>
      <c r="H1334">
        <v>1210</v>
      </c>
      <c r="I1334">
        <v>1213.5</v>
      </c>
      <c r="J1334">
        <v>348700</v>
      </c>
    </row>
    <row r="1335" spans="4:10">
      <c r="D1335" t="s">
        <v>719</v>
      </c>
      <c r="E1335" t="s">
        <v>671</v>
      </c>
      <c r="F1335">
        <v>1213.5</v>
      </c>
      <c r="G1335">
        <v>1215</v>
      </c>
      <c r="H1335">
        <v>1212.5</v>
      </c>
      <c r="I1335">
        <v>1214.5</v>
      </c>
      <c r="J1335">
        <v>68200</v>
      </c>
    </row>
    <row r="1336" spans="4:10">
      <c r="D1336" t="s">
        <v>719</v>
      </c>
      <c r="E1336" t="s">
        <v>672</v>
      </c>
      <c r="F1336">
        <v>1214.5</v>
      </c>
      <c r="G1336">
        <v>1214.5</v>
      </c>
      <c r="H1336">
        <v>1211</v>
      </c>
      <c r="I1336">
        <v>1211</v>
      </c>
      <c r="J1336">
        <v>201400</v>
      </c>
    </row>
    <row r="1337" spans="4:10">
      <c r="D1337" t="s">
        <v>719</v>
      </c>
      <c r="E1337" t="s">
        <v>673</v>
      </c>
      <c r="F1337">
        <v>1211.5</v>
      </c>
      <c r="G1337">
        <v>1213.5</v>
      </c>
      <c r="H1337">
        <v>1210.5</v>
      </c>
      <c r="I1337">
        <v>1211</v>
      </c>
      <c r="J1337">
        <v>124100</v>
      </c>
    </row>
    <row r="1338" spans="4:10">
      <c r="D1338" t="s">
        <v>719</v>
      </c>
      <c r="E1338" t="s">
        <v>674</v>
      </c>
      <c r="F1338">
        <v>1211</v>
      </c>
      <c r="G1338">
        <v>1212</v>
      </c>
      <c r="H1338">
        <v>1207</v>
      </c>
      <c r="I1338">
        <v>1211.5</v>
      </c>
      <c r="J1338">
        <v>351700</v>
      </c>
    </row>
    <row r="1339" spans="4:10">
      <c r="D1339" t="s">
        <v>719</v>
      </c>
      <c r="E1339" t="s">
        <v>675</v>
      </c>
      <c r="F1339">
        <v>1211.5</v>
      </c>
      <c r="G1339">
        <v>1215</v>
      </c>
      <c r="H1339">
        <v>1211.5</v>
      </c>
      <c r="I1339">
        <v>1214.5</v>
      </c>
      <c r="J1339">
        <v>165200</v>
      </c>
    </row>
    <row r="1340" spans="4:10">
      <c r="D1340" t="s">
        <v>719</v>
      </c>
      <c r="E1340" t="s">
        <v>676</v>
      </c>
      <c r="F1340">
        <v>1214.5</v>
      </c>
      <c r="G1340">
        <v>1216</v>
      </c>
      <c r="H1340">
        <v>1214</v>
      </c>
      <c r="I1340">
        <v>1214.5</v>
      </c>
      <c r="J1340">
        <v>180900</v>
      </c>
    </row>
    <row r="1341" spans="4:10">
      <c r="D1341" t="s">
        <v>719</v>
      </c>
      <c r="E1341" t="s">
        <v>677</v>
      </c>
      <c r="F1341">
        <v>1214.5</v>
      </c>
      <c r="G1341">
        <v>1214.5</v>
      </c>
      <c r="H1341">
        <v>1211.5</v>
      </c>
      <c r="I1341">
        <v>1212</v>
      </c>
      <c r="J1341">
        <v>79000</v>
      </c>
    </row>
    <row r="1342" spans="4:10">
      <c r="D1342" t="s">
        <v>719</v>
      </c>
      <c r="E1342" t="s">
        <v>678</v>
      </c>
      <c r="F1342">
        <v>1211.5</v>
      </c>
      <c r="G1342">
        <v>1212</v>
      </c>
      <c r="H1342">
        <v>1210.5</v>
      </c>
      <c r="I1342">
        <v>1210.5</v>
      </c>
      <c r="J1342">
        <v>72800</v>
      </c>
    </row>
    <row r="1343" spans="4:10">
      <c r="D1343" t="s">
        <v>719</v>
      </c>
      <c r="E1343" t="s">
        <v>679</v>
      </c>
      <c r="F1343">
        <v>1210.5</v>
      </c>
      <c r="G1343">
        <v>1212</v>
      </c>
      <c r="H1343">
        <v>1210</v>
      </c>
      <c r="I1343">
        <v>1211</v>
      </c>
      <c r="J1343">
        <v>57900</v>
      </c>
    </row>
    <row r="1344" spans="4:10">
      <c r="D1344" t="s">
        <v>719</v>
      </c>
      <c r="E1344" t="s">
        <v>680</v>
      </c>
      <c r="F1344">
        <v>1210.5</v>
      </c>
      <c r="G1344">
        <v>1211</v>
      </c>
      <c r="H1344">
        <v>1208.5</v>
      </c>
      <c r="I1344">
        <v>1210</v>
      </c>
      <c r="J1344">
        <v>190400</v>
      </c>
    </row>
    <row r="1345" spans="4:10">
      <c r="D1345" t="s">
        <v>719</v>
      </c>
      <c r="E1345" t="s">
        <v>681</v>
      </c>
      <c r="F1345">
        <v>1210.5</v>
      </c>
      <c r="G1345">
        <v>1212</v>
      </c>
      <c r="H1345">
        <v>1210</v>
      </c>
      <c r="I1345">
        <v>1211</v>
      </c>
      <c r="J1345">
        <v>65500</v>
      </c>
    </row>
    <row r="1346" spans="4:10">
      <c r="D1346" t="s">
        <v>719</v>
      </c>
      <c r="E1346" t="s">
        <v>682</v>
      </c>
      <c r="F1346">
        <v>1210.5</v>
      </c>
      <c r="G1346">
        <v>1211.5</v>
      </c>
      <c r="H1346">
        <v>1209</v>
      </c>
      <c r="I1346">
        <v>1211</v>
      </c>
      <c r="J1346">
        <v>118200</v>
      </c>
    </row>
    <row r="1347" spans="4:10">
      <c r="D1347" t="s">
        <v>719</v>
      </c>
      <c r="E1347" t="s">
        <v>683</v>
      </c>
      <c r="F1347">
        <v>1211.5</v>
      </c>
      <c r="G1347">
        <v>1212</v>
      </c>
      <c r="H1347">
        <v>1210.5</v>
      </c>
      <c r="I1347">
        <v>1211</v>
      </c>
      <c r="J1347">
        <v>82500</v>
      </c>
    </row>
    <row r="1348" spans="4:10">
      <c r="D1348" t="s">
        <v>719</v>
      </c>
      <c r="E1348" t="s">
        <v>684</v>
      </c>
      <c r="F1348">
        <v>1211</v>
      </c>
      <c r="G1348">
        <v>1211.5</v>
      </c>
      <c r="H1348">
        <v>1210.5</v>
      </c>
      <c r="I1348">
        <v>1211</v>
      </c>
      <c r="J1348">
        <v>40800</v>
      </c>
    </row>
    <row r="1349" spans="4:10">
      <c r="D1349" t="s">
        <v>719</v>
      </c>
      <c r="E1349" t="s">
        <v>685</v>
      </c>
      <c r="F1349">
        <v>1211</v>
      </c>
      <c r="G1349">
        <v>1211</v>
      </c>
      <c r="H1349">
        <v>1209</v>
      </c>
      <c r="I1349">
        <v>1209.5</v>
      </c>
      <c r="J1349">
        <v>61300</v>
      </c>
    </row>
    <row r="1350" spans="4:10">
      <c r="D1350" t="s">
        <v>719</v>
      </c>
      <c r="E1350" t="s">
        <v>686</v>
      </c>
      <c r="F1350">
        <v>1209.5</v>
      </c>
      <c r="G1350">
        <v>1210</v>
      </c>
      <c r="H1350">
        <v>1208</v>
      </c>
      <c r="I1350">
        <v>1208.5</v>
      </c>
      <c r="J1350">
        <v>134000</v>
      </c>
    </row>
    <row r="1351" spans="4:10">
      <c r="D1351" t="s">
        <v>719</v>
      </c>
      <c r="E1351" t="s">
        <v>687</v>
      </c>
      <c r="F1351">
        <v>1209</v>
      </c>
      <c r="G1351">
        <v>1209</v>
      </c>
      <c r="H1351">
        <v>1208</v>
      </c>
      <c r="I1351">
        <v>1208</v>
      </c>
      <c r="J1351">
        <v>46000</v>
      </c>
    </row>
    <row r="1352" spans="4:10">
      <c r="D1352" t="s">
        <v>719</v>
      </c>
      <c r="E1352" t="s">
        <v>688</v>
      </c>
      <c r="F1352">
        <v>1208</v>
      </c>
      <c r="G1352">
        <v>1209</v>
      </c>
      <c r="H1352">
        <v>1207</v>
      </c>
      <c r="I1352">
        <v>1208.5</v>
      </c>
      <c r="J1352">
        <v>138900</v>
      </c>
    </row>
    <row r="1353" spans="4:10">
      <c r="D1353" t="s">
        <v>719</v>
      </c>
      <c r="E1353" t="s">
        <v>689</v>
      </c>
      <c r="F1353">
        <v>1208.5</v>
      </c>
      <c r="G1353">
        <v>1208.5</v>
      </c>
      <c r="H1353">
        <v>1207.5</v>
      </c>
      <c r="I1353">
        <v>1207.5</v>
      </c>
      <c r="J1353">
        <v>52500</v>
      </c>
    </row>
    <row r="1354" spans="4:10">
      <c r="D1354" t="s">
        <v>719</v>
      </c>
      <c r="E1354" t="s">
        <v>690</v>
      </c>
      <c r="F1354">
        <v>1207.5</v>
      </c>
      <c r="G1354">
        <v>1208</v>
      </c>
      <c r="H1354">
        <v>1207</v>
      </c>
      <c r="I1354">
        <v>1207</v>
      </c>
      <c r="J1354">
        <v>52800</v>
      </c>
    </row>
    <row r="1355" spans="4:10">
      <c r="D1355" t="s">
        <v>719</v>
      </c>
      <c r="E1355" t="s">
        <v>691</v>
      </c>
      <c r="F1355">
        <v>1207.5</v>
      </c>
      <c r="G1355">
        <v>1207.5</v>
      </c>
      <c r="H1355">
        <v>1205</v>
      </c>
      <c r="I1355">
        <v>1205.5</v>
      </c>
      <c r="J1355">
        <v>177400</v>
      </c>
    </row>
    <row r="1356" spans="4:10">
      <c r="D1356" t="s">
        <v>719</v>
      </c>
      <c r="E1356" t="s">
        <v>692</v>
      </c>
      <c r="F1356">
        <v>1205.5</v>
      </c>
      <c r="G1356">
        <v>1208</v>
      </c>
      <c r="H1356">
        <v>1205.5</v>
      </c>
      <c r="I1356">
        <v>1207.5</v>
      </c>
      <c r="J1356">
        <v>75800</v>
      </c>
    </row>
    <row r="1357" spans="4:10">
      <c r="D1357" t="s">
        <v>719</v>
      </c>
      <c r="E1357" t="s">
        <v>693</v>
      </c>
      <c r="F1357">
        <v>1207.5</v>
      </c>
      <c r="G1357">
        <v>1208.5</v>
      </c>
      <c r="H1357">
        <v>1207.5</v>
      </c>
      <c r="I1357">
        <v>1208.5</v>
      </c>
      <c r="J1357">
        <v>22100</v>
      </c>
    </row>
    <row r="1358" spans="4:10">
      <c r="D1358" t="s">
        <v>719</v>
      </c>
      <c r="E1358" t="s">
        <v>694</v>
      </c>
      <c r="F1358">
        <v>1208.5</v>
      </c>
      <c r="G1358">
        <v>1208.5</v>
      </c>
      <c r="H1358">
        <v>1206.5</v>
      </c>
      <c r="I1358">
        <v>1207</v>
      </c>
      <c r="J1358">
        <v>86000</v>
      </c>
    </row>
    <row r="1359" spans="4:10">
      <c r="D1359" t="s">
        <v>719</v>
      </c>
      <c r="E1359" t="s">
        <v>695</v>
      </c>
      <c r="F1359">
        <v>1207.5</v>
      </c>
      <c r="G1359">
        <v>1207.5</v>
      </c>
      <c r="H1359">
        <v>1206</v>
      </c>
      <c r="I1359">
        <v>1206</v>
      </c>
      <c r="J1359">
        <v>73200</v>
      </c>
    </row>
    <row r="1360" spans="4:10">
      <c r="D1360" t="s">
        <v>719</v>
      </c>
      <c r="E1360" t="s">
        <v>696</v>
      </c>
      <c r="F1360">
        <v>1206</v>
      </c>
      <c r="G1360">
        <v>1207.5</v>
      </c>
      <c r="H1360">
        <v>1205.5</v>
      </c>
      <c r="I1360">
        <v>1206.5</v>
      </c>
      <c r="J1360">
        <v>78600</v>
      </c>
    </row>
    <row r="1361" spans="4:10">
      <c r="D1361" t="s">
        <v>719</v>
      </c>
      <c r="E1361" t="s">
        <v>697</v>
      </c>
      <c r="F1361">
        <v>1207</v>
      </c>
      <c r="G1361">
        <v>1211.5</v>
      </c>
      <c r="H1361">
        <v>1206.5</v>
      </c>
      <c r="I1361">
        <v>1210.5</v>
      </c>
      <c r="J1361">
        <v>365200</v>
      </c>
    </row>
    <row r="1362" spans="4:10">
      <c r="D1362" t="s">
        <v>719</v>
      </c>
      <c r="E1362" t="s">
        <v>698</v>
      </c>
      <c r="F1362">
        <v>1211</v>
      </c>
      <c r="G1362">
        <v>1211.5</v>
      </c>
      <c r="H1362">
        <v>1210</v>
      </c>
      <c r="I1362">
        <v>1211</v>
      </c>
      <c r="J1362">
        <v>66800</v>
      </c>
    </row>
    <row r="1363" spans="4:10">
      <c r="D1363" t="s">
        <v>719</v>
      </c>
      <c r="E1363" t="s">
        <v>699</v>
      </c>
      <c r="F1363">
        <v>1211</v>
      </c>
      <c r="G1363">
        <v>1211.5</v>
      </c>
      <c r="H1363">
        <v>1209</v>
      </c>
      <c r="I1363">
        <v>1209</v>
      </c>
      <c r="J1363">
        <v>121500</v>
      </c>
    </row>
    <row r="1364" spans="4:10">
      <c r="D1364" t="s">
        <v>719</v>
      </c>
      <c r="E1364" t="s">
        <v>700</v>
      </c>
      <c r="F1364">
        <v>1209</v>
      </c>
      <c r="G1364">
        <v>1210</v>
      </c>
      <c r="H1364">
        <v>1208.5</v>
      </c>
      <c r="I1364">
        <v>1208.5</v>
      </c>
      <c r="J1364">
        <v>88400</v>
      </c>
    </row>
    <row r="1365" spans="4:10">
      <c r="D1365" t="s">
        <v>719</v>
      </c>
      <c r="E1365" t="s">
        <v>633</v>
      </c>
      <c r="F1365">
        <v>1208.5</v>
      </c>
      <c r="G1365">
        <v>1210</v>
      </c>
      <c r="H1365">
        <v>1208</v>
      </c>
      <c r="I1365">
        <v>1210</v>
      </c>
      <c r="J1365">
        <v>118700</v>
      </c>
    </row>
    <row r="1366" spans="4:10">
      <c r="D1366" t="s">
        <v>719</v>
      </c>
      <c r="E1366" t="s">
        <v>634</v>
      </c>
      <c r="F1366">
        <v>1210.5</v>
      </c>
      <c r="G1366">
        <v>1212</v>
      </c>
      <c r="H1366">
        <v>1209.5</v>
      </c>
      <c r="I1366">
        <v>1211.5</v>
      </c>
      <c r="J1366">
        <v>125200</v>
      </c>
    </row>
    <row r="1367" spans="4:10">
      <c r="D1367" t="s">
        <v>719</v>
      </c>
      <c r="E1367" t="s">
        <v>635</v>
      </c>
      <c r="F1367">
        <v>1211.5</v>
      </c>
      <c r="G1367">
        <v>1211.5</v>
      </c>
      <c r="H1367">
        <v>1209</v>
      </c>
      <c r="I1367">
        <v>1210</v>
      </c>
      <c r="J1367">
        <v>184700</v>
      </c>
    </row>
    <row r="1368" spans="4:10">
      <c r="D1368" t="s">
        <v>719</v>
      </c>
      <c r="E1368" t="s">
        <v>614</v>
      </c>
      <c r="F1368">
        <v>1209.5</v>
      </c>
      <c r="G1368">
        <v>1211</v>
      </c>
      <c r="H1368">
        <v>1209</v>
      </c>
      <c r="I1368">
        <v>1210</v>
      </c>
      <c r="J1368">
        <v>320400</v>
      </c>
    </row>
    <row r="1369" spans="4:10">
      <c r="D1369" t="s">
        <v>719</v>
      </c>
      <c r="E1369" t="s">
        <v>636</v>
      </c>
      <c r="F1369" t="s">
        <v>35</v>
      </c>
      <c r="G1369" t="s">
        <v>35</v>
      </c>
      <c r="H1369" t="s">
        <v>35</v>
      </c>
      <c r="I1369" t="s">
        <v>35</v>
      </c>
      <c r="J1369">
        <v>0</v>
      </c>
    </row>
    <row r="1370" spans="4:10">
      <c r="D1370" t="s">
        <v>719</v>
      </c>
      <c r="E1370" t="s">
        <v>637</v>
      </c>
      <c r="F1370">
        <v>1210</v>
      </c>
      <c r="G1370">
        <v>1210</v>
      </c>
      <c r="H1370">
        <v>1210</v>
      </c>
      <c r="I1370">
        <v>1210</v>
      </c>
      <c r="J1370">
        <v>1280700</v>
      </c>
    </row>
    <row r="1371" spans="4:10">
      <c r="D1371" t="s">
        <v>613</v>
      </c>
      <c r="E1371" t="s">
        <v>639</v>
      </c>
      <c r="F1371">
        <v>1196</v>
      </c>
      <c r="G1371">
        <v>1232.5</v>
      </c>
      <c r="H1371">
        <v>1191.5</v>
      </c>
      <c r="I1371">
        <v>1227</v>
      </c>
      <c r="J1371">
        <v>2912400</v>
      </c>
    </row>
    <row r="1372" spans="4:10">
      <c r="D1372" t="s">
        <v>613</v>
      </c>
      <c r="E1372" t="s">
        <v>640</v>
      </c>
      <c r="F1372">
        <v>1226.5</v>
      </c>
      <c r="G1372">
        <v>1233.5</v>
      </c>
      <c r="H1372">
        <v>1220.5</v>
      </c>
      <c r="I1372">
        <v>1232.5</v>
      </c>
      <c r="J1372">
        <v>1114700</v>
      </c>
    </row>
    <row r="1373" spans="4:10">
      <c r="D1373" t="s">
        <v>613</v>
      </c>
      <c r="E1373" t="s">
        <v>641</v>
      </c>
      <c r="F1373">
        <v>1232.5</v>
      </c>
      <c r="G1373">
        <v>1246.5</v>
      </c>
      <c r="H1373">
        <v>1232</v>
      </c>
      <c r="I1373">
        <v>1241.5</v>
      </c>
      <c r="J1373">
        <v>2117600</v>
      </c>
    </row>
    <row r="1374" spans="4:10">
      <c r="D1374" t="s">
        <v>613</v>
      </c>
      <c r="E1374" t="s">
        <v>642</v>
      </c>
      <c r="F1374">
        <v>1241.5</v>
      </c>
      <c r="G1374">
        <v>1249</v>
      </c>
      <c r="H1374">
        <v>1241.5</v>
      </c>
      <c r="I1374">
        <v>1248.5</v>
      </c>
      <c r="J1374">
        <v>994200</v>
      </c>
    </row>
    <row r="1375" spans="4:10">
      <c r="D1375" t="s">
        <v>613</v>
      </c>
      <c r="E1375" t="s">
        <v>643</v>
      </c>
      <c r="F1375">
        <v>1249</v>
      </c>
      <c r="G1375">
        <v>1259</v>
      </c>
      <c r="H1375">
        <v>1248.5</v>
      </c>
      <c r="I1375">
        <v>1251</v>
      </c>
      <c r="J1375">
        <v>1429700</v>
      </c>
    </row>
    <row r="1376" spans="4:10">
      <c r="D1376" t="s">
        <v>613</v>
      </c>
      <c r="E1376" t="s">
        <v>644</v>
      </c>
      <c r="F1376">
        <v>1251.5</v>
      </c>
      <c r="G1376">
        <v>1256</v>
      </c>
      <c r="H1376">
        <v>1250.5</v>
      </c>
      <c r="I1376">
        <v>1254</v>
      </c>
      <c r="J1376">
        <v>671000</v>
      </c>
    </row>
    <row r="1377" spans="4:10">
      <c r="D1377" t="s">
        <v>613</v>
      </c>
      <c r="E1377" t="s">
        <v>645</v>
      </c>
      <c r="F1377">
        <v>1253.5</v>
      </c>
      <c r="G1377">
        <v>1262</v>
      </c>
      <c r="H1377">
        <v>1253.5</v>
      </c>
      <c r="I1377">
        <v>1258</v>
      </c>
      <c r="J1377">
        <v>946300</v>
      </c>
    </row>
    <row r="1378" spans="4:10">
      <c r="D1378" t="s">
        <v>613</v>
      </c>
      <c r="E1378" t="s">
        <v>646</v>
      </c>
      <c r="F1378">
        <v>1258</v>
      </c>
      <c r="G1378">
        <v>1258.5</v>
      </c>
      <c r="H1378">
        <v>1252</v>
      </c>
      <c r="I1378">
        <v>1256</v>
      </c>
      <c r="J1378">
        <v>645100</v>
      </c>
    </row>
    <row r="1379" spans="4:10">
      <c r="D1379" t="s">
        <v>613</v>
      </c>
      <c r="E1379" t="s">
        <v>647</v>
      </c>
      <c r="F1379">
        <v>1256.5</v>
      </c>
      <c r="G1379">
        <v>1267</v>
      </c>
      <c r="H1379">
        <v>1255.5</v>
      </c>
      <c r="I1379">
        <v>1267</v>
      </c>
      <c r="J1379">
        <v>801600</v>
      </c>
    </row>
    <row r="1380" spans="4:10">
      <c r="D1380" t="s">
        <v>613</v>
      </c>
      <c r="E1380" t="s">
        <v>648</v>
      </c>
      <c r="F1380">
        <v>1267</v>
      </c>
      <c r="G1380">
        <v>1270</v>
      </c>
      <c r="H1380">
        <v>1264</v>
      </c>
      <c r="I1380">
        <v>1266</v>
      </c>
      <c r="J1380">
        <v>623900</v>
      </c>
    </row>
    <row r="1381" spans="4:10">
      <c r="D1381" t="s">
        <v>613</v>
      </c>
      <c r="E1381" t="s">
        <v>649</v>
      </c>
      <c r="F1381">
        <v>1266.5</v>
      </c>
      <c r="G1381">
        <v>1270</v>
      </c>
      <c r="H1381">
        <v>1265</v>
      </c>
      <c r="I1381">
        <v>1265</v>
      </c>
      <c r="J1381">
        <v>391000</v>
      </c>
    </row>
    <row r="1382" spans="4:10">
      <c r="D1382" t="s">
        <v>613</v>
      </c>
      <c r="E1382" t="s">
        <v>650</v>
      </c>
      <c r="F1382">
        <v>1265.5</v>
      </c>
      <c r="G1382">
        <v>1265.5</v>
      </c>
      <c r="H1382">
        <v>1257</v>
      </c>
      <c r="I1382">
        <v>1258.5</v>
      </c>
      <c r="J1382">
        <v>499300</v>
      </c>
    </row>
    <row r="1383" spans="4:10">
      <c r="D1383" t="s">
        <v>613</v>
      </c>
      <c r="E1383" t="s">
        <v>651</v>
      </c>
      <c r="F1383">
        <v>1258.5</v>
      </c>
      <c r="G1383">
        <v>1263.5</v>
      </c>
      <c r="H1383">
        <v>1254</v>
      </c>
      <c r="I1383">
        <v>1262.5</v>
      </c>
      <c r="J1383">
        <v>445900</v>
      </c>
    </row>
    <row r="1384" spans="4:10">
      <c r="D1384" t="s">
        <v>613</v>
      </c>
      <c r="E1384" t="s">
        <v>652</v>
      </c>
      <c r="F1384">
        <v>1262.5</v>
      </c>
      <c r="G1384">
        <v>1263</v>
      </c>
      <c r="H1384">
        <v>1255</v>
      </c>
      <c r="I1384">
        <v>1255</v>
      </c>
      <c r="J1384">
        <v>358400</v>
      </c>
    </row>
    <row r="1385" spans="4:10">
      <c r="D1385" t="s">
        <v>613</v>
      </c>
      <c r="E1385" t="s">
        <v>653</v>
      </c>
      <c r="F1385">
        <v>1255</v>
      </c>
      <c r="G1385">
        <v>1258</v>
      </c>
      <c r="H1385">
        <v>1249</v>
      </c>
      <c r="I1385">
        <v>1251</v>
      </c>
      <c r="J1385">
        <v>359100</v>
      </c>
    </row>
    <row r="1386" spans="4:10">
      <c r="D1386" t="s">
        <v>613</v>
      </c>
      <c r="E1386" t="s">
        <v>654</v>
      </c>
      <c r="F1386">
        <v>1251</v>
      </c>
      <c r="G1386">
        <v>1252</v>
      </c>
      <c r="H1386">
        <v>1243.5</v>
      </c>
      <c r="I1386">
        <v>1244</v>
      </c>
      <c r="J1386">
        <v>372600</v>
      </c>
    </row>
    <row r="1387" spans="4:10">
      <c r="D1387" t="s">
        <v>613</v>
      </c>
      <c r="E1387" t="s">
        <v>655</v>
      </c>
      <c r="F1387">
        <v>1244</v>
      </c>
      <c r="G1387">
        <v>1250</v>
      </c>
      <c r="H1387">
        <v>1242.5</v>
      </c>
      <c r="I1387">
        <v>1250</v>
      </c>
      <c r="J1387">
        <v>331700</v>
      </c>
    </row>
    <row r="1388" spans="4:10">
      <c r="D1388" t="s">
        <v>613</v>
      </c>
      <c r="E1388" t="s">
        <v>656</v>
      </c>
      <c r="F1388">
        <v>1250</v>
      </c>
      <c r="G1388">
        <v>1250</v>
      </c>
      <c r="H1388">
        <v>1242.5</v>
      </c>
      <c r="I1388">
        <v>1243.5</v>
      </c>
      <c r="J1388">
        <v>212300</v>
      </c>
    </row>
    <row r="1389" spans="4:10">
      <c r="D1389" t="s">
        <v>613</v>
      </c>
      <c r="E1389" t="s">
        <v>657</v>
      </c>
      <c r="F1389">
        <v>1243.5</v>
      </c>
      <c r="G1389">
        <v>1245</v>
      </c>
      <c r="H1389">
        <v>1241</v>
      </c>
      <c r="I1389">
        <v>1243.5</v>
      </c>
      <c r="J1389">
        <v>143700</v>
      </c>
    </row>
    <row r="1390" spans="4:10">
      <c r="D1390" t="s">
        <v>613</v>
      </c>
      <c r="E1390" t="s">
        <v>658</v>
      </c>
      <c r="F1390">
        <v>1243.5</v>
      </c>
      <c r="G1390">
        <v>1243.5</v>
      </c>
      <c r="H1390">
        <v>1240</v>
      </c>
      <c r="I1390">
        <v>1242</v>
      </c>
      <c r="J1390">
        <v>185400</v>
      </c>
    </row>
    <row r="1391" spans="4:10">
      <c r="D1391" t="s">
        <v>613</v>
      </c>
      <c r="E1391" t="s">
        <v>659</v>
      </c>
      <c r="F1391">
        <v>1242.5</v>
      </c>
      <c r="G1391">
        <v>1251</v>
      </c>
      <c r="H1391">
        <v>1241.5</v>
      </c>
      <c r="I1391">
        <v>1248.5</v>
      </c>
      <c r="J1391">
        <v>344200</v>
      </c>
    </row>
    <row r="1392" spans="4:10">
      <c r="D1392" t="s">
        <v>613</v>
      </c>
      <c r="E1392" t="s">
        <v>660</v>
      </c>
      <c r="F1392">
        <v>1248.5</v>
      </c>
      <c r="G1392">
        <v>1253</v>
      </c>
      <c r="H1392">
        <v>1248.5</v>
      </c>
      <c r="I1392">
        <v>1252</v>
      </c>
      <c r="J1392">
        <v>174400</v>
      </c>
    </row>
    <row r="1393" spans="4:10">
      <c r="D1393" t="s">
        <v>613</v>
      </c>
      <c r="E1393" t="s">
        <v>661</v>
      </c>
      <c r="F1393">
        <v>1251.5</v>
      </c>
      <c r="G1393">
        <v>1252.5</v>
      </c>
      <c r="H1393">
        <v>1249</v>
      </c>
      <c r="I1393">
        <v>1251</v>
      </c>
      <c r="J1393">
        <v>89000</v>
      </c>
    </row>
    <row r="1394" spans="4:10">
      <c r="D1394" t="s">
        <v>613</v>
      </c>
      <c r="E1394" t="s">
        <v>662</v>
      </c>
      <c r="F1394">
        <v>1251.5</v>
      </c>
      <c r="G1394">
        <v>1252.5</v>
      </c>
      <c r="H1394">
        <v>1250</v>
      </c>
      <c r="I1394">
        <v>1250.5</v>
      </c>
      <c r="J1394">
        <v>68400</v>
      </c>
    </row>
    <row r="1395" spans="4:10">
      <c r="D1395" t="s">
        <v>613</v>
      </c>
      <c r="E1395" t="s">
        <v>663</v>
      </c>
      <c r="F1395">
        <v>1250.5</v>
      </c>
      <c r="G1395">
        <v>1251.5</v>
      </c>
      <c r="H1395">
        <v>1246</v>
      </c>
      <c r="I1395">
        <v>1246.5</v>
      </c>
      <c r="J1395">
        <v>181000</v>
      </c>
    </row>
    <row r="1396" spans="4:10">
      <c r="D1396" t="s">
        <v>613</v>
      </c>
      <c r="E1396" t="s">
        <v>664</v>
      </c>
      <c r="F1396">
        <v>1247</v>
      </c>
      <c r="G1396">
        <v>1247</v>
      </c>
      <c r="H1396">
        <v>1242.5</v>
      </c>
      <c r="I1396">
        <v>1243</v>
      </c>
      <c r="J1396">
        <v>227600</v>
      </c>
    </row>
    <row r="1397" spans="4:10">
      <c r="D1397" t="s">
        <v>613</v>
      </c>
      <c r="E1397" t="s">
        <v>665</v>
      </c>
      <c r="F1397">
        <v>1243.5</v>
      </c>
      <c r="G1397">
        <v>1244.5</v>
      </c>
      <c r="H1397">
        <v>1242.5</v>
      </c>
      <c r="I1397">
        <v>1243</v>
      </c>
      <c r="J1397">
        <v>71800</v>
      </c>
    </row>
    <row r="1398" spans="4:10">
      <c r="D1398" t="s">
        <v>613</v>
      </c>
      <c r="E1398" t="s">
        <v>666</v>
      </c>
      <c r="F1398">
        <v>1242.5</v>
      </c>
      <c r="G1398">
        <v>1244</v>
      </c>
      <c r="H1398">
        <v>1241</v>
      </c>
      <c r="I1398">
        <v>1243</v>
      </c>
      <c r="J1398">
        <v>120400</v>
      </c>
    </row>
    <row r="1399" spans="4:10">
      <c r="D1399" t="s">
        <v>613</v>
      </c>
      <c r="E1399" t="s">
        <v>667</v>
      </c>
      <c r="F1399">
        <v>1243</v>
      </c>
      <c r="G1399">
        <v>1246.5</v>
      </c>
      <c r="H1399">
        <v>1243</v>
      </c>
      <c r="I1399">
        <v>1246</v>
      </c>
      <c r="J1399">
        <v>84800</v>
      </c>
    </row>
    <row r="1400" spans="4:10">
      <c r="D1400" t="s">
        <v>613</v>
      </c>
      <c r="E1400" t="s">
        <v>668</v>
      </c>
      <c r="F1400">
        <v>1246.5</v>
      </c>
      <c r="G1400">
        <v>1247</v>
      </c>
      <c r="H1400">
        <v>1245</v>
      </c>
      <c r="I1400">
        <v>1245.5</v>
      </c>
      <c r="J1400">
        <v>124100</v>
      </c>
    </row>
    <row r="1401" spans="4:10">
      <c r="D1401" t="s">
        <v>613</v>
      </c>
      <c r="E1401" t="s">
        <v>669</v>
      </c>
      <c r="F1401">
        <v>1245.5</v>
      </c>
      <c r="G1401">
        <v>1245.5</v>
      </c>
      <c r="H1401">
        <v>1245.5</v>
      </c>
      <c r="I1401">
        <v>1245.5</v>
      </c>
      <c r="J1401">
        <v>11800</v>
      </c>
    </row>
    <row r="1402" spans="4:10">
      <c r="D1402" t="s">
        <v>613</v>
      </c>
      <c r="E1402" t="s">
        <v>670</v>
      </c>
      <c r="F1402">
        <v>1245.5</v>
      </c>
      <c r="G1402">
        <v>1250</v>
      </c>
      <c r="H1402">
        <v>1239.5</v>
      </c>
      <c r="I1402">
        <v>1241</v>
      </c>
      <c r="J1402">
        <v>628800</v>
      </c>
    </row>
    <row r="1403" spans="4:10">
      <c r="D1403" t="s">
        <v>613</v>
      </c>
      <c r="E1403" t="s">
        <v>671</v>
      </c>
      <c r="F1403">
        <v>1241</v>
      </c>
      <c r="G1403">
        <v>1242</v>
      </c>
      <c r="H1403">
        <v>1237.5</v>
      </c>
      <c r="I1403">
        <v>1240</v>
      </c>
      <c r="J1403">
        <v>251300</v>
      </c>
    </row>
    <row r="1404" spans="4:10">
      <c r="D1404" t="s">
        <v>613</v>
      </c>
      <c r="E1404" t="s">
        <v>672</v>
      </c>
      <c r="F1404">
        <v>1240</v>
      </c>
      <c r="G1404">
        <v>1242</v>
      </c>
      <c r="H1404">
        <v>1237.5</v>
      </c>
      <c r="I1404">
        <v>1239.5</v>
      </c>
      <c r="J1404">
        <v>214100</v>
      </c>
    </row>
    <row r="1405" spans="4:10">
      <c r="D1405" t="s">
        <v>613</v>
      </c>
      <c r="E1405" t="s">
        <v>673</v>
      </c>
      <c r="F1405">
        <v>1239.5</v>
      </c>
      <c r="G1405">
        <v>1246</v>
      </c>
      <c r="H1405">
        <v>1239.5</v>
      </c>
      <c r="I1405">
        <v>1246</v>
      </c>
      <c r="J1405">
        <v>241600</v>
      </c>
    </row>
    <row r="1406" spans="4:10">
      <c r="D1406" t="s">
        <v>613</v>
      </c>
      <c r="E1406" t="s">
        <v>674</v>
      </c>
      <c r="F1406">
        <v>1246</v>
      </c>
      <c r="G1406">
        <v>1248.5</v>
      </c>
      <c r="H1406">
        <v>1244.5</v>
      </c>
      <c r="I1406">
        <v>1248.5</v>
      </c>
      <c r="J1406">
        <v>243500</v>
      </c>
    </row>
    <row r="1407" spans="4:10">
      <c r="D1407" t="s">
        <v>613</v>
      </c>
      <c r="E1407" t="s">
        <v>675</v>
      </c>
      <c r="F1407">
        <v>1248</v>
      </c>
      <c r="G1407">
        <v>1248</v>
      </c>
      <c r="H1407">
        <v>1245</v>
      </c>
      <c r="I1407">
        <v>1245.5</v>
      </c>
      <c r="J1407">
        <v>105200</v>
      </c>
    </row>
    <row r="1408" spans="4:10">
      <c r="D1408" t="s">
        <v>613</v>
      </c>
      <c r="E1408" t="s">
        <v>676</v>
      </c>
      <c r="F1408">
        <v>1245.5</v>
      </c>
      <c r="G1408">
        <v>1246</v>
      </c>
      <c r="H1408">
        <v>1245</v>
      </c>
      <c r="I1408">
        <v>1245</v>
      </c>
      <c r="J1408">
        <v>66000</v>
      </c>
    </row>
    <row r="1409" spans="4:10">
      <c r="D1409" t="s">
        <v>613</v>
      </c>
      <c r="E1409" t="s">
        <v>677</v>
      </c>
      <c r="F1409">
        <v>1245</v>
      </c>
      <c r="G1409">
        <v>1249.5</v>
      </c>
      <c r="H1409">
        <v>1245</v>
      </c>
      <c r="I1409">
        <v>1248.5</v>
      </c>
      <c r="J1409">
        <v>184200</v>
      </c>
    </row>
    <row r="1410" spans="4:10">
      <c r="D1410" t="s">
        <v>613</v>
      </c>
      <c r="E1410" t="s">
        <v>678</v>
      </c>
      <c r="F1410">
        <v>1249</v>
      </c>
      <c r="G1410">
        <v>1253.5</v>
      </c>
      <c r="H1410">
        <v>1249</v>
      </c>
      <c r="I1410">
        <v>1250.5</v>
      </c>
      <c r="J1410">
        <v>308600</v>
      </c>
    </row>
    <row r="1411" spans="4:10">
      <c r="D1411" t="s">
        <v>613</v>
      </c>
      <c r="E1411" t="s">
        <v>679</v>
      </c>
      <c r="F1411">
        <v>1250</v>
      </c>
      <c r="G1411">
        <v>1251</v>
      </c>
      <c r="H1411">
        <v>1249</v>
      </c>
      <c r="I1411">
        <v>1249</v>
      </c>
      <c r="J1411">
        <v>132100</v>
      </c>
    </row>
    <row r="1412" spans="4:10">
      <c r="D1412" t="s">
        <v>613</v>
      </c>
      <c r="E1412" t="s">
        <v>680</v>
      </c>
      <c r="F1412">
        <v>1249.5</v>
      </c>
      <c r="G1412">
        <v>1250</v>
      </c>
      <c r="H1412">
        <v>1248</v>
      </c>
      <c r="I1412">
        <v>1249.5</v>
      </c>
      <c r="J1412">
        <v>94600</v>
      </c>
    </row>
    <row r="1413" spans="4:10">
      <c r="D1413" t="s">
        <v>613</v>
      </c>
      <c r="E1413" t="s">
        <v>681</v>
      </c>
      <c r="F1413">
        <v>1249.5</v>
      </c>
      <c r="G1413">
        <v>1251</v>
      </c>
      <c r="H1413">
        <v>1248.5</v>
      </c>
      <c r="I1413">
        <v>1249.5</v>
      </c>
      <c r="J1413">
        <v>92600</v>
      </c>
    </row>
    <row r="1414" spans="4:10">
      <c r="D1414" t="s">
        <v>613</v>
      </c>
      <c r="E1414" t="s">
        <v>682</v>
      </c>
      <c r="F1414">
        <v>1249</v>
      </c>
      <c r="G1414">
        <v>1251.5</v>
      </c>
      <c r="H1414">
        <v>1247.5</v>
      </c>
      <c r="I1414">
        <v>1250</v>
      </c>
      <c r="J1414">
        <v>262100</v>
      </c>
    </row>
    <row r="1415" spans="4:10">
      <c r="D1415" t="s">
        <v>613</v>
      </c>
      <c r="E1415" t="s">
        <v>683</v>
      </c>
      <c r="F1415">
        <v>1250</v>
      </c>
      <c r="G1415">
        <v>1251.5</v>
      </c>
      <c r="H1415">
        <v>1248.5</v>
      </c>
      <c r="I1415">
        <v>1251</v>
      </c>
      <c r="J1415">
        <v>150600</v>
      </c>
    </row>
    <row r="1416" spans="4:10">
      <c r="D1416" t="s">
        <v>613</v>
      </c>
      <c r="E1416" t="s">
        <v>684</v>
      </c>
      <c r="F1416">
        <v>1251</v>
      </c>
      <c r="G1416">
        <v>1252.5</v>
      </c>
      <c r="H1416">
        <v>1249</v>
      </c>
      <c r="I1416">
        <v>1249.5</v>
      </c>
      <c r="J1416">
        <v>207600</v>
      </c>
    </row>
    <row r="1417" spans="4:10">
      <c r="D1417" t="s">
        <v>613</v>
      </c>
      <c r="E1417" t="s">
        <v>685</v>
      </c>
      <c r="F1417">
        <v>1249.5</v>
      </c>
      <c r="G1417">
        <v>1252</v>
      </c>
      <c r="H1417">
        <v>1249.5</v>
      </c>
      <c r="I1417">
        <v>1250</v>
      </c>
      <c r="J1417">
        <v>94900</v>
      </c>
    </row>
    <row r="1418" spans="4:10">
      <c r="D1418" t="s">
        <v>613</v>
      </c>
      <c r="E1418" t="s">
        <v>686</v>
      </c>
      <c r="F1418">
        <v>1250</v>
      </c>
      <c r="G1418">
        <v>1250</v>
      </c>
      <c r="H1418">
        <v>1248</v>
      </c>
      <c r="I1418">
        <v>1249.5</v>
      </c>
      <c r="J1418">
        <v>88300</v>
      </c>
    </row>
    <row r="1419" spans="4:10">
      <c r="D1419" t="s">
        <v>613</v>
      </c>
      <c r="E1419" t="s">
        <v>687</v>
      </c>
      <c r="F1419">
        <v>1249.5</v>
      </c>
      <c r="G1419">
        <v>1251</v>
      </c>
      <c r="H1419">
        <v>1248.5</v>
      </c>
      <c r="I1419">
        <v>1248.5</v>
      </c>
      <c r="J1419">
        <v>79000</v>
      </c>
    </row>
    <row r="1420" spans="4:10">
      <c r="D1420" t="s">
        <v>613</v>
      </c>
      <c r="E1420" t="s">
        <v>688</v>
      </c>
      <c r="F1420">
        <v>1248.5</v>
      </c>
      <c r="G1420">
        <v>1249.5</v>
      </c>
      <c r="H1420">
        <v>1248.5</v>
      </c>
      <c r="I1420">
        <v>1248.5</v>
      </c>
      <c r="J1420">
        <v>38900</v>
      </c>
    </row>
    <row r="1421" spans="4:10">
      <c r="D1421" t="s">
        <v>613</v>
      </c>
      <c r="E1421" t="s">
        <v>689</v>
      </c>
      <c r="F1421">
        <v>1248.5</v>
      </c>
      <c r="G1421">
        <v>1250</v>
      </c>
      <c r="H1421">
        <v>1248.5</v>
      </c>
      <c r="I1421">
        <v>1249.5</v>
      </c>
      <c r="J1421">
        <v>43400</v>
      </c>
    </row>
    <row r="1422" spans="4:10">
      <c r="D1422" t="s">
        <v>613</v>
      </c>
      <c r="E1422" t="s">
        <v>690</v>
      </c>
      <c r="F1422">
        <v>1249.5</v>
      </c>
      <c r="G1422">
        <v>1250</v>
      </c>
      <c r="H1422">
        <v>1246.5</v>
      </c>
      <c r="I1422">
        <v>1247</v>
      </c>
      <c r="J1422">
        <v>101100</v>
      </c>
    </row>
    <row r="1423" spans="4:10">
      <c r="D1423" t="s">
        <v>613</v>
      </c>
      <c r="E1423" t="s">
        <v>691</v>
      </c>
      <c r="F1423">
        <v>1247</v>
      </c>
      <c r="G1423">
        <v>1249.5</v>
      </c>
      <c r="H1423">
        <v>1246.5</v>
      </c>
      <c r="I1423">
        <v>1249</v>
      </c>
      <c r="J1423">
        <v>102200</v>
      </c>
    </row>
    <row r="1424" spans="4:10">
      <c r="D1424" t="s">
        <v>613</v>
      </c>
      <c r="E1424" t="s">
        <v>692</v>
      </c>
      <c r="F1424">
        <v>1249</v>
      </c>
      <c r="G1424">
        <v>1249.5</v>
      </c>
      <c r="H1424">
        <v>1248.5</v>
      </c>
      <c r="I1424">
        <v>1248.5</v>
      </c>
      <c r="J1424">
        <v>58300</v>
      </c>
    </row>
    <row r="1425" spans="4:10">
      <c r="D1425" t="s">
        <v>613</v>
      </c>
      <c r="E1425" t="s">
        <v>693</v>
      </c>
      <c r="F1425">
        <v>1248.5</v>
      </c>
      <c r="G1425">
        <v>1248.5</v>
      </c>
      <c r="H1425">
        <v>1246.5</v>
      </c>
      <c r="I1425">
        <v>1247</v>
      </c>
      <c r="J1425">
        <v>101700</v>
      </c>
    </row>
    <row r="1426" spans="4:10">
      <c r="D1426" t="s">
        <v>613</v>
      </c>
      <c r="E1426" t="s">
        <v>694</v>
      </c>
      <c r="F1426">
        <v>1247</v>
      </c>
      <c r="G1426">
        <v>1247</v>
      </c>
      <c r="H1426">
        <v>1244</v>
      </c>
      <c r="I1426">
        <v>1244</v>
      </c>
      <c r="J1426">
        <v>141500</v>
      </c>
    </row>
    <row r="1427" spans="4:10">
      <c r="D1427" t="s">
        <v>613</v>
      </c>
      <c r="E1427" t="s">
        <v>695</v>
      </c>
      <c r="F1427">
        <v>1244</v>
      </c>
      <c r="G1427">
        <v>1245.5</v>
      </c>
      <c r="H1427">
        <v>1243.5</v>
      </c>
      <c r="I1427">
        <v>1244</v>
      </c>
      <c r="J1427">
        <v>139200</v>
      </c>
    </row>
    <row r="1428" spans="4:10">
      <c r="D1428" t="s">
        <v>613</v>
      </c>
      <c r="E1428" t="s">
        <v>696</v>
      </c>
      <c r="F1428">
        <v>1244</v>
      </c>
      <c r="G1428">
        <v>1247</v>
      </c>
      <c r="H1428">
        <v>1244</v>
      </c>
      <c r="I1428">
        <v>1246.5</v>
      </c>
      <c r="J1428">
        <v>157600</v>
      </c>
    </row>
    <row r="1429" spans="4:10">
      <c r="D1429" t="s">
        <v>613</v>
      </c>
      <c r="E1429" t="s">
        <v>697</v>
      </c>
      <c r="F1429">
        <v>1246.5</v>
      </c>
      <c r="G1429">
        <v>1247</v>
      </c>
      <c r="H1429">
        <v>1244.5</v>
      </c>
      <c r="I1429">
        <v>1246</v>
      </c>
      <c r="J1429">
        <v>88300</v>
      </c>
    </row>
    <row r="1430" spans="4:10">
      <c r="D1430" t="s">
        <v>613</v>
      </c>
      <c r="E1430" t="s">
        <v>698</v>
      </c>
      <c r="F1430">
        <v>1246</v>
      </c>
      <c r="G1430">
        <v>1246.5</v>
      </c>
      <c r="H1430">
        <v>1244.5</v>
      </c>
      <c r="I1430">
        <v>1246.5</v>
      </c>
      <c r="J1430">
        <v>83700</v>
      </c>
    </row>
    <row r="1431" spans="4:10">
      <c r="D1431" t="s">
        <v>613</v>
      </c>
      <c r="E1431" t="s">
        <v>699</v>
      </c>
      <c r="F1431">
        <v>1246.5</v>
      </c>
      <c r="G1431">
        <v>1246.5</v>
      </c>
      <c r="H1431">
        <v>1244.5</v>
      </c>
      <c r="I1431">
        <v>1245.5</v>
      </c>
      <c r="J1431">
        <v>89200</v>
      </c>
    </row>
    <row r="1432" spans="4:10">
      <c r="D1432" t="s">
        <v>613</v>
      </c>
      <c r="E1432" t="s">
        <v>700</v>
      </c>
      <c r="F1432">
        <v>1245.5</v>
      </c>
      <c r="G1432">
        <v>1247</v>
      </c>
      <c r="H1432">
        <v>1242.5</v>
      </c>
      <c r="I1432">
        <v>1245.5</v>
      </c>
      <c r="J1432">
        <v>223600</v>
      </c>
    </row>
    <row r="1433" spans="4:10">
      <c r="D1433" t="s">
        <v>613</v>
      </c>
      <c r="E1433" t="s">
        <v>633</v>
      </c>
      <c r="F1433">
        <v>1245.5</v>
      </c>
      <c r="G1433">
        <v>1247.5</v>
      </c>
      <c r="H1433">
        <v>1245</v>
      </c>
      <c r="I1433">
        <v>1246.5</v>
      </c>
      <c r="J1433">
        <v>169500</v>
      </c>
    </row>
    <row r="1434" spans="4:10">
      <c r="D1434" t="s">
        <v>613</v>
      </c>
      <c r="E1434" t="s">
        <v>634</v>
      </c>
      <c r="F1434">
        <v>1246.5</v>
      </c>
      <c r="G1434">
        <v>1247.5</v>
      </c>
      <c r="H1434">
        <v>1245.5</v>
      </c>
      <c r="I1434">
        <v>1247.5</v>
      </c>
      <c r="J1434">
        <v>137900</v>
      </c>
    </row>
    <row r="1435" spans="4:10">
      <c r="D1435" t="s">
        <v>613</v>
      </c>
      <c r="E1435" t="s">
        <v>635</v>
      </c>
      <c r="F1435">
        <v>1247.5</v>
      </c>
      <c r="G1435">
        <v>1248</v>
      </c>
      <c r="H1435">
        <v>1246</v>
      </c>
      <c r="I1435">
        <v>1247.5</v>
      </c>
      <c r="J1435">
        <v>104500</v>
      </c>
    </row>
    <row r="1436" spans="4:10">
      <c r="D1436" t="s">
        <v>613</v>
      </c>
      <c r="E1436" t="s">
        <v>614</v>
      </c>
      <c r="F1436">
        <v>1247.5</v>
      </c>
      <c r="G1436">
        <v>1247.5</v>
      </c>
      <c r="H1436">
        <v>1245</v>
      </c>
      <c r="I1436">
        <v>1246.5</v>
      </c>
      <c r="J1436">
        <v>214900</v>
      </c>
    </row>
    <row r="1437" spans="4:10">
      <c r="D1437" t="s">
        <v>613</v>
      </c>
      <c r="E1437" t="s">
        <v>636</v>
      </c>
      <c r="F1437" t="s">
        <v>35</v>
      </c>
      <c r="G1437" t="s">
        <v>35</v>
      </c>
      <c r="H1437" t="s">
        <v>35</v>
      </c>
      <c r="I1437" t="s">
        <v>35</v>
      </c>
      <c r="J1437">
        <v>0</v>
      </c>
    </row>
    <row r="1438" spans="4:10">
      <c r="D1438" t="s">
        <v>613</v>
      </c>
      <c r="E1438" t="s">
        <v>637</v>
      </c>
      <c r="F1438">
        <v>1248.5</v>
      </c>
      <c r="G1438">
        <v>1248.5</v>
      </c>
      <c r="H1438">
        <v>1248.5</v>
      </c>
      <c r="I1438">
        <v>1248.5</v>
      </c>
      <c r="J1438">
        <v>1450000</v>
      </c>
    </row>
    <row r="1439" spans="4:10">
      <c r="D1439" t="s">
        <v>860</v>
      </c>
      <c r="E1439" t="s">
        <v>639</v>
      </c>
      <c r="F1439">
        <v>1245</v>
      </c>
      <c r="G1439">
        <v>1270.5</v>
      </c>
      <c r="H1439">
        <v>1238.5</v>
      </c>
      <c r="I1439">
        <v>1255</v>
      </c>
      <c r="J1439">
        <v>2034600</v>
      </c>
    </row>
    <row r="1440" spans="4:10">
      <c r="D1440" t="s">
        <v>860</v>
      </c>
      <c r="E1440" t="s">
        <v>640</v>
      </c>
      <c r="F1440">
        <v>1256</v>
      </c>
      <c r="G1440">
        <v>1267</v>
      </c>
      <c r="H1440">
        <v>1253</v>
      </c>
      <c r="I1440">
        <v>1264.5</v>
      </c>
      <c r="J1440">
        <v>653600</v>
      </c>
    </row>
    <row r="1441" spans="4:10">
      <c r="D1441" t="s">
        <v>860</v>
      </c>
      <c r="E1441" t="s">
        <v>641</v>
      </c>
      <c r="F1441">
        <v>1265</v>
      </c>
      <c r="G1441">
        <v>1269</v>
      </c>
      <c r="H1441">
        <v>1256</v>
      </c>
      <c r="I1441">
        <v>1260.5</v>
      </c>
      <c r="J1441">
        <v>677900</v>
      </c>
    </row>
    <row r="1442" spans="4:10">
      <c r="D1442" t="s">
        <v>860</v>
      </c>
      <c r="E1442" t="s">
        <v>642</v>
      </c>
      <c r="F1442">
        <v>1260.5</v>
      </c>
      <c r="G1442">
        <v>1265.5</v>
      </c>
      <c r="H1442">
        <v>1256.5</v>
      </c>
      <c r="I1442">
        <v>1261</v>
      </c>
      <c r="J1442">
        <v>508500</v>
      </c>
    </row>
    <row r="1443" spans="4:10">
      <c r="D1443" t="s">
        <v>860</v>
      </c>
      <c r="E1443" t="s">
        <v>643</v>
      </c>
      <c r="F1443">
        <v>1261</v>
      </c>
      <c r="G1443">
        <v>1265</v>
      </c>
      <c r="H1443">
        <v>1258</v>
      </c>
      <c r="I1443">
        <v>1263</v>
      </c>
      <c r="J1443">
        <v>395600</v>
      </c>
    </row>
    <row r="1444" spans="4:10">
      <c r="D1444" t="s">
        <v>860</v>
      </c>
      <c r="E1444" t="s">
        <v>644</v>
      </c>
      <c r="F1444">
        <v>1263</v>
      </c>
      <c r="G1444">
        <v>1266</v>
      </c>
      <c r="H1444">
        <v>1262</v>
      </c>
      <c r="I1444">
        <v>1262.5</v>
      </c>
      <c r="J1444">
        <v>356900</v>
      </c>
    </row>
    <row r="1445" spans="4:10">
      <c r="D1445" t="s">
        <v>860</v>
      </c>
      <c r="E1445" t="s">
        <v>645</v>
      </c>
      <c r="F1445">
        <v>1263</v>
      </c>
      <c r="G1445">
        <v>1263.5</v>
      </c>
      <c r="H1445">
        <v>1252</v>
      </c>
      <c r="I1445">
        <v>1253</v>
      </c>
      <c r="J1445">
        <v>601400</v>
      </c>
    </row>
    <row r="1446" spans="4:10">
      <c r="D1446" t="s">
        <v>860</v>
      </c>
      <c r="E1446" t="s">
        <v>646</v>
      </c>
      <c r="F1446">
        <v>1253.5</v>
      </c>
      <c r="G1446">
        <v>1255.5</v>
      </c>
      <c r="H1446">
        <v>1253</v>
      </c>
      <c r="I1446">
        <v>1255.5</v>
      </c>
      <c r="J1446">
        <v>218600</v>
      </c>
    </row>
    <row r="1447" spans="4:10">
      <c r="D1447" t="s">
        <v>860</v>
      </c>
      <c r="E1447" t="s">
        <v>647</v>
      </c>
      <c r="F1447">
        <v>1255.5</v>
      </c>
      <c r="G1447">
        <v>1257</v>
      </c>
      <c r="H1447">
        <v>1251</v>
      </c>
      <c r="I1447">
        <v>1251.5</v>
      </c>
      <c r="J1447">
        <v>267200</v>
      </c>
    </row>
    <row r="1448" spans="4:10">
      <c r="D1448" t="s">
        <v>860</v>
      </c>
      <c r="E1448" t="s">
        <v>648</v>
      </c>
      <c r="F1448">
        <v>1251.5</v>
      </c>
      <c r="G1448">
        <v>1254</v>
      </c>
      <c r="H1448">
        <v>1251.5</v>
      </c>
      <c r="I1448">
        <v>1252.5</v>
      </c>
      <c r="J1448">
        <v>161000</v>
      </c>
    </row>
    <row r="1449" spans="4:10">
      <c r="D1449" t="s">
        <v>860</v>
      </c>
      <c r="E1449" t="s">
        <v>649</v>
      </c>
      <c r="F1449">
        <v>1252.5</v>
      </c>
      <c r="G1449">
        <v>1252.5</v>
      </c>
      <c r="H1449">
        <v>1249.5</v>
      </c>
      <c r="I1449">
        <v>1250.5</v>
      </c>
      <c r="J1449">
        <v>251500</v>
      </c>
    </row>
    <row r="1450" spans="4:10">
      <c r="D1450" t="s">
        <v>860</v>
      </c>
      <c r="E1450" t="s">
        <v>650</v>
      </c>
      <c r="F1450">
        <v>1251</v>
      </c>
      <c r="G1450">
        <v>1256.5</v>
      </c>
      <c r="H1450">
        <v>1250</v>
      </c>
      <c r="I1450">
        <v>1256.5</v>
      </c>
      <c r="J1450">
        <v>210900</v>
      </c>
    </row>
    <row r="1451" spans="4:10">
      <c r="D1451" t="s">
        <v>860</v>
      </c>
      <c r="E1451" t="s">
        <v>651</v>
      </c>
      <c r="F1451">
        <v>1257</v>
      </c>
      <c r="G1451">
        <v>1262</v>
      </c>
      <c r="H1451">
        <v>1253.5</v>
      </c>
      <c r="I1451">
        <v>1254</v>
      </c>
      <c r="J1451">
        <v>430200</v>
      </c>
    </row>
    <row r="1452" spans="4:10">
      <c r="D1452" t="s">
        <v>860</v>
      </c>
      <c r="E1452" t="s">
        <v>652</v>
      </c>
      <c r="F1452">
        <v>1254</v>
      </c>
      <c r="G1452">
        <v>1255</v>
      </c>
      <c r="H1452">
        <v>1251</v>
      </c>
      <c r="I1452">
        <v>1251</v>
      </c>
      <c r="J1452">
        <v>196000</v>
      </c>
    </row>
    <row r="1453" spans="4:10">
      <c r="D1453" t="s">
        <v>860</v>
      </c>
      <c r="E1453" t="s">
        <v>653</v>
      </c>
      <c r="F1453">
        <v>1251.5</v>
      </c>
      <c r="G1453">
        <v>1253.5</v>
      </c>
      <c r="H1453">
        <v>1250</v>
      </c>
      <c r="I1453">
        <v>1253.5</v>
      </c>
      <c r="J1453">
        <v>245600</v>
      </c>
    </row>
    <row r="1454" spans="4:10">
      <c r="D1454" t="s">
        <v>860</v>
      </c>
      <c r="E1454" t="s">
        <v>654</v>
      </c>
      <c r="F1454">
        <v>1253.5</v>
      </c>
      <c r="G1454">
        <v>1254</v>
      </c>
      <c r="H1454">
        <v>1249.5</v>
      </c>
      <c r="I1454">
        <v>1250.5</v>
      </c>
      <c r="J1454">
        <v>239100</v>
      </c>
    </row>
    <row r="1455" spans="4:10">
      <c r="D1455" t="s">
        <v>860</v>
      </c>
      <c r="E1455" t="s">
        <v>655</v>
      </c>
      <c r="F1455">
        <v>1250.5</v>
      </c>
      <c r="G1455">
        <v>1251.5</v>
      </c>
      <c r="H1455">
        <v>1247.5</v>
      </c>
      <c r="I1455">
        <v>1249</v>
      </c>
      <c r="J1455">
        <v>216500</v>
      </c>
    </row>
    <row r="1456" spans="4:10">
      <c r="D1456" t="s">
        <v>860</v>
      </c>
      <c r="E1456" t="s">
        <v>656</v>
      </c>
      <c r="F1456">
        <v>1248.5</v>
      </c>
      <c r="G1456">
        <v>1249.5</v>
      </c>
      <c r="H1456">
        <v>1245.5</v>
      </c>
      <c r="I1456">
        <v>1247.5</v>
      </c>
      <c r="J1456">
        <v>135100</v>
      </c>
    </row>
    <row r="1457" spans="4:10">
      <c r="D1457" t="s">
        <v>860</v>
      </c>
      <c r="E1457" t="s">
        <v>657</v>
      </c>
      <c r="F1457">
        <v>1247.5</v>
      </c>
      <c r="G1457">
        <v>1250</v>
      </c>
      <c r="H1457">
        <v>1246.5</v>
      </c>
      <c r="I1457">
        <v>1249</v>
      </c>
      <c r="J1457">
        <v>213900</v>
      </c>
    </row>
    <row r="1458" spans="4:10">
      <c r="D1458" t="s">
        <v>860</v>
      </c>
      <c r="E1458" t="s">
        <v>658</v>
      </c>
      <c r="F1458">
        <v>1249</v>
      </c>
      <c r="G1458">
        <v>1254.5</v>
      </c>
      <c r="H1458">
        <v>1249</v>
      </c>
      <c r="I1458">
        <v>1254.5</v>
      </c>
      <c r="J1458">
        <v>172100</v>
      </c>
    </row>
    <row r="1459" spans="4:10">
      <c r="D1459" t="s">
        <v>860</v>
      </c>
      <c r="E1459" t="s">
        <v>659</v>
      </c>
      <c r="F1459">
        <v>1254.5</v>
      </c>
      <c r="G1459">
        <v>1255.5</v>
      </c>
      <c r="H1459">
        <v>1253.5</v>
      </c>
      <c r="I1459">
        <v>1254</v>
      </c>
      <c r="J1459">
        <v>124000</v>
      </c>
    </row>
    <row r="1460" spans="4:10">
      <c r="D1460" t="s">
        <v>860</v>
      </c>
      <c r="E1460" t="s">
        <v>660</v>
      </c>
      <c r="F1460">
        <v>1254</v>
      </c>
      <c r="G1460">
        <v>1262.5</v>
      </c>
      <c r="H1460">
        <v>1253.5</v>
      </c>
      <c r="I1460">
        <v>1262.5</v>
      </c>
      <c r="J1460">
        <v>339100</v>
      </c>
    </row>
    <row r="1461" spans="4:10">
      <c r="D1461" t="s">
        <v>860</v>
      </c>
      <c r="E1461" t="s">
        <v>661</v>
      </c>
      <c r="F1461">
        <v>1263</v>
      </c>
      <c r="G1461">
        <v>1269</v>
      </c>
      <c r="H1461">
        <v>1261.5</v>
      </c>
      <c r="I1461">
        <v>1265</v>
      </c>
      <c r="J1461">
        <v>379800</v>
      </c>
    </row>
    <row r="1462" spans="4:10">
      <c r="D1462" t="s">
        <v>860</v>
      </c>
      <c r="E1462" t="s">
        <v>662</v>
      </c>
      <c r="F1462">
        <v>1265</v>
      </c>
      <c r="G1462">
        <v>1268.5</v>
      </c>
      <c r="H1462">
        <v>1264.5</v>
      </c>
      <c r="I1462">
        <v>1268</v>
      </c>
      <c r="J1462">
        <v>134600</v>
      </c>
    </row>
    <row r="1463" spans="4:10">
      <c r="D1463" t="s">
        <v>860</v>
      </c>
      <c r="E1463" t="s">
        <v>663</v>
      </c>
      <c r="F1463">
        <v>1267.5</v>
      </c>
      <c r="G1463">
        <v>1269</v>
      </c>
      <c r="H1463">
        <v>1263</v>
      </c>
      <c r="I1463">
        <v>1268.5</v>
      </c>
      <c r="J1463">
        <v>297200</v>
      </c>
    </row>
    <row r="1464" spans="4:10">
      <c r="D1464" t="s">
        <v>860</v>
      </c>
      <c r="E1464" t="s">
        <v>664</v>
      </c>
      <c r="F1464">
        <v>1268.5</v>
      </c>
      <c r="G1464">
        <v>1270.5</v>
      </c>
      <c r="H1464">
        <v>1267.5</v>
      </c>
      <c r="I1464">
        <v>1269.5</v>
      </c>
      <c r="J1464">
        <v>390900</v>
      </c>
    </row>
    <row r="1465" spans="4:10">
      <c r="D1465" t="s">
        <v>860</v>
      </c>
      <c r="E1465" t="s">
        <v>665</v>
      </c>
      <c r="F1465">
        <v>1270</v>
      </c>
      <c r="G1465">
        <v>1270</v>
      </c>
      <c r="H1465">
        <v>1265</v>
      </c>
      <c r="I1465">
        <v>1265</v>
      </c>
      <c r="J1465">
        <v>197900</v>
      </c>
    </row>
    <row r="1466" spans="4:10">
      <c r="D1466" t="s">
        <v>860</v>
      </c>
      <c r="E1466" t="s">
        <v>666</v>
      </c>
      <c r="F1466">
        <v>1265</v>
      </c>
      <c r="G1466">
        <v>1266</v>
      </c>
      <c r="H1466">
        <v>1264.5</v>
      </c>
      <c r="I1466">
        <v>1265.5</v>
      </c>
      <c r="J1466">
        <v>72600</v>
      </c>
    </row>
    <row r="1467" spans="4:10">
      <c r="D1467" t="s">
        <v>860</v>
      </c>
      <c r="E1467" t="s">
        <v>667</v>
      </c>
      <c r="F1467">
        <v>1265</v>
      </c>
      <c r="G1467">
        <v>1266.5</v>
      </c>
      <c r="H1467">
        <v>1264</v>
      </c>
      <c r="I1467">
        <v>1265</v>
      </c>
      <c r="J1467">
        <v>128700</v>
      </c>
    </row>
    <row r="1468" spans="4:10">
      <c r="D1468" t="s">
        <v>860</v>
      </c>
      <c r="E1468" t="s">
        <v>668</v>
      </c>
      <c r="F1468">
        <v>1264.5</v>
      </c>
      <c r="G1468">
        <v>1267</v>
      </c>
      <c r="H1468">
        <v>1264.5</v>
      </c>
      <c r="I1468">
        <v>1265.5</v>
      </c>
      <c r="J1468">
        <v>93100</v>
      </c>
    </row>
    <row r="1469" spans="4:10">
      <c r="D1469" t="s">
        <v>860</v>
      </c>
      <c r="E1469" t="s">
        <v>669</v>
      </c>
      <c r="F1469">
        <v>1267</v>
      </c>
      <c r="G1469">
        <v>1267</v>
      </c>
      <c r="H1469">
        <v>1267</v>
      </c>
      <c r="I1469">
        <v>1267</v>
      </c>
      <c r="J1469">
        <v>26900</v>
      </c>
    </row>
    <row r="1470" spans="4:10">
      <c r="D1470" t="s">
        <v>860</v>
      </c>
      <c r="E1470" t="s">
        <v>670</v>
      </c>
      <c r="F1470">
        <v>1270</v>
      </c>
      <c r="G1470">
        <v>1271</v>
      </c>
      <c r="H1470">
        <v>1265</v>
      </c>
      <c r="I1470">
        <v>1266.5</v>
      </c>
      <c r="J1470">
        <v>517500</v>
      </c>
    </row>
    <row r="1471" spans="4:10">
      <c r="D1471" t="s">
        <v>860</v>
      </c>
      <c r="E1471" t="s">
        <v>671</v>
      </c>
      <c r="F1471">
        <v>1266</v>
      </c>
      <c r="G1471">
        <v>1270</v>
      </c>
      <c r="H1471">
        <v>1266</v>
      </c>
      <c r="I1471">
        <v>1268</v>
      </c>
      <c r="J1471">
        <v>135700</v>
      </c>
    </row>
    <row r="1472" spans="4:10">
      <c r="D1472" t="s">
        <v>860</v>
      </c>
      <c r="E1472" t="s">
        <v>672</v>
      </c>
      <c r="F1472">
        <v>1268</v>
      </c>
      <c r="G1472">
        <v>1272.5</v>
      </c>
      <c r="H1472">
        <v>1267</v>
      </c>
      <c r="I1472">
        <v>1270.5</v>
      </c>
      <c r="J1472">
        <v>342300</v>
      </c>
    </row>
    <row r="1473" spans="4:10">
      <c r="D1473" t="s">
        <v>860</v>
      </c>
      <c r="E1473" t="s">
        <v>673</v>
      </c>
      <c r="F1473">
        <v>1271</v>
      </c>
      <c r="G1473">
        <v>1277</v>
      </c>
      <c r="H1473">
        <v>1269.5</v>
      </c>
      <c r="I1473">
        <v>1270</v>
      </c>
      <c r="J1473">
        <v>532900</v>
      </c>
    </row>
    <row r="1474" spans="4:10">
      <c r="D1474" t="s">
        <v>860</v>
      </c>
      <c r="E1474" t="s">
        <v>674</v>
      </c>
      <c r="F1474">
        <v>1270</v>
      </c>
      <c r="G1474">
        <v>1273</v>
      </c>
      <c r="H1474">
        <v>1268.5</v>
      </c>
      <c r="I1474">
        <v>1273</v>
      </c>
      <c r="J1474">
        <v>118000</v>
      </c>
    </row>
    <row r="1475" spans="4:10">
      <c r="D1475" t="s">
        <v>860</v>
      </c>
      <c r="E1475" t="s">
        <v>675</v>
      </c>
      <c r="F1475">
        <v>1273</v>
      </c>
      <c r="G1475">
        <v>1274</v>
      </c>
      <c r="H1475">
        <v>1272</v>
      </c>
      <c r="I1475">
        <v>1273.5</v>
      </c>
      <c r="J1475">
        <v>114400</v>
      </c>
    </row>
    <row r="1476" spans="4:10">
      <c r="D1476" t="s">
        <v>860</v>
      </c>
      <c r="E1476" t="s">
        <v>676</v>
      </c>
      <c r="F1476">
        <v>1274</v>
      </c>
      <c r="G1476">
        <v>1274</v>
      </c>
      <c r="H1476">
        <v>1272.5</v>
      </c>
      <c r="I1476">
        <v>1273</v>
      </c>
      <c r="J1476">
        <v>82400</v>
      </c>
    </row>
    <row r="1477" spans="4:10">
      <c r="D1477" t="s">
        <v>860</v>
      </c>
      <c r="E1477" t="s">
        <v>677</v>
      </c>
      <c r="F1477">
        <v>1273</v>
      </c>
      <c r="G1477">
        <v>1274.5</v>
      </c>
      <c r="H1477">
        <v>1272</v>
      </c>
      <c r="I1477">
        <v>1274</v>
      </c>
      <c r="J1477">
        <v>183000</v>
      </c>
    </row>
    <row r="1478" spans="4:10">
      <c r="D1478" t="s">
        <v>860</v>
      </c>
      <c r="E1478" t="s">
        <v>678</v>
      </c>
      <c r="F1478">
        <v>1274</v>
      </c>
      <c r="G1478">
        <v>1274.5</v>
      </c>
      <c r="H1478">
        <v>1273</v>
      </c>
      <c r="I1478">
        <v>1273</v>
      </c>
      <c r="J1478">
        <v>78500</v>
      </c>
    </row>
    <row r="1479" spans="4:10">
      <c r="D1479" t="s">
        <v>860</v>
      </c>
      <c r="E1479" t="s">
        <v>679</v>
      </c>
      <c r="F1479">
        <v>1273.5</v>
      </c>
      <c r="G1479">
        <v>1275</v>
      </c>
      <c r="H1479">
        <v>1273</v>
      </c>
      <c r="I1479">
        <v>1274.5</v>
      </c>
      <c r="J1479">
        <v>96500</v>
      </c>
    </row>
    <row r="1480" spans="4:10">
      <c r="D1480" t="s">
        <v>860</v>
      </c>
      <c r="E1480" t="s">
        <v>680</v>
      </c>
      <c r="F1480">
        <v>1275</v>
      </c>
      <c r="G1480">
        <v>1275</v>
      </c>
      <c r="H1480">
        <v>1274.5</v>
      </c>
      <c r="I1480">
        <v>1274.5</v>
      </c>
      <c r="J1480">
        <v>26400</v>
      </c>
    </row>
    <row r="1481" spans="4:10">
      <c r="D1481" t="s">
        <v>860</v>
      </c>
      <c r="E1481" t="s">
        <v>681</v>
      </c>
      <c r="F1481">
        <v>1274.5</v>
      </c>
      <c r="G1481">
        <v>1275</v>
      </c>
      <c r="H1481">
        <v>1272</v>
      </c>
      <c r="I1481">
        <v>1274</v>
      </c>
      <c r="J1481">
        <v>101300</v>
      </c>
    </row>
    <row r="1482" spans="4:10">
      <c r="D1482" t="s">
        <v>860</v>
      </c>
      <c r="E1482" t="s">
        <v>682</v>
      </c>
      <c r="F1482">
        <v>1274</v>
      </c>
      <c r="G1482">
        <v>1275</v>
      </c>
      <c r="H1482">
        <v>1272</v>
      </c>
      <c r="I1482">
        <v>1272.5</v>
      </c>
      <c r="J1482">
        <v>96400</v>
      </c>
    </row>
    <row r="1483" spans="4:10">
      <c r="D1483" t="s">
        <v>860</v>
      </c>
      <c r="E1483" t="s">
        <v>683</v>
      </c>
      <c r="F1483">
        <v>1272</v>
      </c>
      <c r="G1483">
        <v>1273</v>
      </c>
      <c r="H1483">
        <v>1270.5</v>
      </c>
      <c r="I1483">
        <v>1270.5</v>
      </c>
      <c r="J1483">
        <v>102500</v>
      </c>
    </row>
    <row r="1484" spans="4:10">
      <c r="D1484" t="s">
        <v>860</v>
      </c>
      <c r="E1484" t="s">
        <v>684</v>
      </c>
      <c r="F1484">
        <v>1270.5</v>
      </c>
      <c r="G1484">
        <v>1272.5</v>
      </c>
      <c r="H1484">
        <v>1270.5</v>
      </c>
      <c r="I1484">
        <v>1272.5</v>
      </c>
      <c r="J1484">
        <v>56100</v>
      </c>
    </row>
    <row r="1485" spans="4:10">
      <c r="D1485" t="s">
        <v>860</v>
      </c>
      <c r="E1485" t="s">
        <v>685</v>
      </c>
      <c r="F1485">
        <v>1272.5</v>
      </c>
      <c r="G1485">
        <v>1274</v>
      </c>
      <c r="H1485">
        <v>1272</v>
      </c>
      <c r="I1485">
        <v>1273.5</v>
      </c>
      <c r="J1485">
        <v>112000</v>
      </c>
    </row>
    <row r="1486" spans="4:10">
      <c r="D1486" t="s">
        <v>860</v>
      </c>
      <c r="E1486" t="s">
        <v>686</v>
      </c>
      <c r="F1486">
        <v>1273</v>
      </c>
      <c r="G1486">
        <v>1273.5</v>
      </c>
      <c r="H1486">
        <v>1267</v>
      </c>
      <c r="I1486">
        <v>1268</v>
      </c>
      <c r="J1486">
        <v>212500</v>
      </c>
    </row>
    <row r="1487" spans="4:10">
      <c r="D1487" t="s">
        <v>860</v>
      </c>
      <c r="E1487" t="s">
        <v>687</v>
      </c>
      <c r="F1487">
        <v>1268</v>
      </c>
      <c r="G1487">
        <v>1270</v>
      </c>
      <c r="H1487">
        <v>1267</v>
      </c>
      <c r="I1487">
        <v>1268</v>
      </c>
      <c r="J1487">
        <v>65400</v>
      </c>
    </row>
    <row r="1488" spans="4:10">
      <c r="D1488" t="s">
        <v>860</v>
      </c>
      <c r="E1488" t="s">
        <v>688</v>
      </c>
      <c r="F1488">
        <v>1267.5</v>
      </c>
      <c r="G1488">
        <v>1268</v>
      </c>
      <c r="H1488">
        <v>1264</v>
      </c>
      <c r="I1488">
        <v>1265</v>
      </c>
      <c r="J1488">
        <v>177200</v>
      </c>
    </row>
    <row r="1489" spans="1:10">
      <c r="D1489" t="s">
        <v>860</v>
      </c>
      <c r="E1489" t="s">
        <v>689</v>
      </c>
      <c r="F1489">
        <v>1265</v>
      </c>
      <c r="G1489">
        <v>1267.5</v>
      </c>
      <c r="H1489">
        <v>1264</v>
      </c>
      <c r="I1489">
        <v>1266.5</v>
      </c>
      <c r="J1489">
        <v>151700</v>
      </c>
    </row>
    <row r="1490" spans="1:10">
      <c r="D1490" t="s">
        <v>860</v>
      </c>
      <c r="E1490" t="s">
        <v>690</v>
      </c>
      <c r="F1490">
        <v>1266.5</v>
      </c>
      <c r="G1490">
        <v>1266.5</v>
      </c>
      <c r="H1490">
        <v>1265</v>
      </c>
      <c r="I1490">
        <v>1265.5</v>
      </c>
      <c r="J1490">
        <v>82700</v>
      </c>
    </row>
    <row r="1491" spans="1:10">
      <c r="D1491" t="s">
        <v>860</v>
      </c>
      <c r="E1491" t="s">
        <v>691</v>
      </c>
      <c r="F1491">
        <v>1265.5</v>
      </c>
      <c r="G1491">
        <v>1266.5</v>
      </c>
      <c r="H1491">
        <v>1264</v>
      </c>
      <c r="I1491">
        <v>1264</v>
      </c>
      <c r="J1491">
        <v>60600</v>
      </c>
    </row>
    <row r="1492" spans="1:10">
      <c r="D1492" t="s">
        <v>860</v>
      </c>
      <c r="E1492" t="s">
        <v>692</v>
      </c>
      <c r="F1492">
        <v>1264</v>
      </c>
      <c r="G1492">
        <v>1264.5</v>
      </c>
      <c r="H1492">
        <v>1261.5</v>
      </c>
      <c r="I1492">
        <v>1263</v>
      </c>
      <c r="J1492">
        <v>126000</v>
      </c>
    </row>
    <row r="1493" spans="1:10">
      <c r="D1493" t="s">
        <v>860</v>
      </c>
      <c r="E1493" t="s">
        <v>693</v>
      </c>
      <c r="F1493">
        <v>1263</v>
      </c>
      <c r="G1493">
        <v>1263</v>
      </c>
      <c r="H1493">
        <v>1262</v>
      </c>
      <c r="I1493">
        <v>1262.5</v>
      </c>
      <c r="J1493">
        <v>108500</v>
      </c>
    </row>
    <row r="1494" spans="1:10">
      <c r="D1494" t="s">
        <v>860</v>
      </c>
      <c r="E1494" t="s">
        <v>694</v>
      </c>
      <c r="F1494">
        <v>1262.5</v>
      </c>
      <c r="G1494">
        <v>1262.5</v>
      </c>
      <c r="H1494">
        <v>1260</v>
      </c>
      <c r="I1494">
        <v>1261.5</v>
      </c>
      <c r="J1494">
        <v>101800</v>
      </c>
    </row>
    <row r="1495" spans="1:10">
      <c r="D1495" t="s">
        <v>860</v>
      </c>
      <c r="E1495" t="s">
        <v>695</v>
      </c>
      <c r="F1495">
        <v>1261</v>
      </c>
      <c r="G1495">
        <v>1264.5</v>
      </c>
      <c r="H1495">
        <v>1261</v>
      </c>
      <c r="I1495">
        <v>1263</v>
      </c>
      <c r="J1495">
        <v>165600</v>
      </c>
    </row>
    <row r="1496" spans="1:10">
      <c r="D1496" t="s">
        <v>860</v>
      </c>
      <c r="E1496" t="s">
        <v>696</v>
      </c>
      <c r="F1496">
        <v>1263</v>
      </c>
      <c r="G1496">
        <v>1264</v>
      </c>
      <c r="H1496">
        <v>1263</v>
      </c>
      <c r="I1496">
        <v>1263</v>
      </c>
      <c r="J1496">
        <v>64100</v>
      </c>
    </row>
    <row r="1497" spans="1:10">
      <c r="D1497" t="s">
        <v>860</v>
      </c>
      <c r="E1497" t="s">
        <v>697</v>
      </c>
      <c r="F1497">
        <v>1263</v>
      </c>
      <c r="G1497">
        <v>1263</v>
      </c>
      <c r="H1497">
        <v>1260</v>
      </c>
      <c r="I1497">
        <v>1260</v>
      </c>
      <c r="J1497">
        <v>91700</v>
      </c>
    </row>
    <row r="1498" spans="1:10">
      <c r="D1498" t="s">
        <v>860</v>
      </c>
      <c r="E1498" t="s">
        <v>698</v>
      </c>
      <c r="F1498">
        <v>1260</v>
      </c>
      <c r="G1498">
        <v>1261.5</v>
      </c>
      <c r="H1498">
        <v>1259</v>
      </c>
      <c r="I1498">
        <v>1261.5</v>
      </c>
      <c r="J1498">
        <v>121300</v>
      </c>
    </row>
    <row r="1499" spans="1:10">
      <c r="D1499" t="s">
        <v>860</v>
      </c>
      <c r="E1499" t="s">
        <v>699</v>
      </c>
      <c r="F1499">
        <v>1261.5</v>
      </c>
      <c r="G1499">
        <v>1261.5</v>
      </c>
      <c r="H1499">
        <v>1259.5</v>
      </c>
      <c r="I1499">
        <v>1261.5</v>
      </c>
      <c r="J1499">
        <v>93300</v>
      </c>
    </row>
    <row r="1500" spans="1:10">
      <c r="D1500" t="s">
        <v>860</v>
      </c>
      <c r="E1500" t="s">
        <v>700</v>
      </c>
      <c r="F1500">
        <v>1261.5</v>
      </c>
      <c r="G1500">
        <v>1263.5</v>
      </c>
      <c r="H1500">
        <v>1260.5</v>
      </c>
      <c r="I1500">
        <v>1263</v>
      </c>
      <c r="J1500">
        <v>71400</v>
      </c>
    </row>
    <row r="1501" spans="1:10">
      <c r="D1501" t="s">
        <v>860</v>
      </c>
      <c r="E1501" t="s">
        <v>633</v>
      </c>
      <c r="F1501">
        <v>1263.5</v>
      </c>
      <c r="G1501">
        <v>1264</v>
      </c>
      <c r="H1501">
        <v>1262</v>
      </c>
      <c r="I1501">
        <v>1263.5</v>
      </c>
      <c r="J1501">
        <v>82300</v>
      </c>
    </row>
    <row r="1502" spans="1:10">
      <c r="D1502" t="s">
        <v>859</v>
      </c>
      <c r="E1502" t="s">
        <v>568</v>
      </c>
      <c r="F1502">
        <v>1264</v>
      </c>
      <c r="G1502">
        <v>1266</v>
      </c>
      <c r="H1502">
        <v>1263.5</v>
      </c>
      <c r="I1502">
        <v>1265</v>
      </c>
      <c r="J1502">
        <v>119700</v>
      </c>
    </row>
    <row r="1503" spans="1:10">
      <c r="A1503" s="1" t="s">
        <v>64</v>
      </c>
      <c r="B1503" s="1" t="s">
        <v>64</v>
      </c>
      <c r="C1503" s="1" t="s">
        <v>64</v>
      </c>
      <c r="D1503" s="1" t="s">
        <v>64</v>
      </c>
      <c r="E1503" s="1" t="s">
        <v>64</v>
      </c>
      <c r="F1503" s="1" t="s">
        <v>64</v>
      </c>
      <c r="G1503" s="1" t="s">
        <v>64</v>
      </c>
      <c r="H1503" s="1" t="s">
        <v>64</v>
      </c>
      <c r="I1503" s="1" t="s">
        <v>64</v>
      </c>
      <c r="J1503" s="1" t="s">
        <v>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0B0C-1AFC-4B86-AFA8-A24EC70C2701}">
  <dimension ref="A1:J1503"/>
  <sheetViews>
    <sheetView workbookViewId="0">
      <selection activeCell="D8" sqref="D8"/>
    </sheetView>
  </sheetViews>
  <sheetFormatPr defaultRowHeight="18.75"/>
  <cols>
    <col min="4" max="4" width="12.5" customWidth="1"/>
    <col min="5" max="5" width="5.875" customWidth="1"/>
  </cols>
  <sheetData>
    <row r="1" spans="1:10">
      <c r="A1" t="s">
        <v>720</v>
      </c>
    </row>
    <row r="2" spans="1:10">
      <c r="A2" t="s">
        <v>11</v>
      </c>
      <c r="B2" t="s">
        <v>13</v>
      </c>
      <c r="C2" t="s">
        <v>531</v>
      </c>
      <c r="D2" t="s">
        <v>532</v>
      </c>
      <c r="E2" t="s">
        <v>533</v>
      </c>
      <c r="F2" t="s">
        <v>519</v>
      </c>
      <c r="G2" t="s">
        <v>520</v>
      </c>
      <c r="H2" t="s">
        <v>521</v>
      </c>
      <c r="I2" t="s">
        <v>534</v>
      </c>
      <c r="J2" t="s">
        <v>522</v>
      </c>
    </row>
    <row r="3" spans="1:10">
      <c r="A3" t="s">
        <v>152</v>
      </c>
      <c r="B3" t="s">
        <v>130</v>
      </c>
      <c r="C3" t="s">
        <v>631</v>
      </c>
      <c r="D3" t="s">
        <v>632</v>
      </c>
      <c r="E3" t="s">
        <v>633</v>
      </c>
      <c r="F3">
        <v>3749</v>
      </c>
      <c r="G3">
        <v>3752</v>
      </c>
      <c r="H3">
        <v>3739</v>
      </c>
      <c r="I3">
        <v>3747</v>
      </c>
      <c r="J3">
        <v>150100</v>
      </c>
    </row>
    <row r="4" spans="1:10">
      <c r="D4" t="s">
        <v>632</v>
      </c>
      <c r="E4" t="s">
        <v>634</v>
      </c>
      <c r="F4">
        <v>3746</v>
      </c>
      <c r="G4">
        <v>3771</v>
      </c>
      <c r="H4">
        <v>3746</v>
      </c>
      <c r="I4">
        <v>3766</v>
      </c>
      <c r="J4">
        <v>204600</v>
      </c>
    </row>
    <row r="5" spans="1:10">
      <c r="D5" t="s">
        <v>632</v>
      </c>
      <c r="E5" t="s">
        <v>635</v>
      </c>
      <c r="F5">
        <v>3765</v>
      </c>
      <c r="G5">
        <v>3769</v>
      </c>
      <c r="H5">
        <v>3762</v>
      </c>
      <c r="I5">
        <v>3765</v>
      </c>
      <c r="J5">
        <v>171800</v>
      </c>
    </row>
    <row r="6" spans="1:10">
      <c r="D6" t="s">
        <v>632</v>
      </c>
      <c r="E6" t="s">
        <v>614</v>
      </c>
      <c r="F6">
        <v>3765</v>
      </c>
      <c r="G6">
        <v>3771</v>
      </c>
      <c r="H6">
        <v>3755</v>
      </c>
      <c r="I6">
        <v>3769</v>
      </c>
      <c r="J6">
        <v>270000</v>
      </c>
    </row>
    <row r="7" spans="1:10">
      <c r="D7" t="s">
        <v>632</v>
      </c>
      <c r="E7" t="s">
        <v>636</v>
      </c>
      <c r="F7" t="s">
        <v>35</v>
      </c>
      <c r="G7" t="s">
        <v>35</v>
      </c>
      <c r="H7" t="s">
        <v>35</v>
      </c>
      <c r="I7" t="s">
        <v>35</v>
      </c>
      <c r="J7">
        <v>0</v>
      </c>
    </row>
    <row r="8" spans="1:10">
      <c r="D8" t="s">
        <v>632</v>
      </c>
      <c r="E8" t="s">
        <v>637</v>
      </c>
      <c r="F8">
        <v>3762</v>
      </c>
      <c r="G8">
        <v>3762</v>
      </c>
      <c r="H8">
        <v>3762</v>
      </c>
      <c r="I8">
        <v>3762</v>
      </c>
      <c r="J8">
        <v>943600</v>
      </c>
    </row>
    <row r="9" spans="1:10">
      <c r="D9" t="s">
        <v>638</v>
      </c>
      <c r="E9" t="s">
        <v>639</v>
      </c>
      <c r="F9" t="s">
        <v>35</v>
      </c>
      <c r="G9" t="s">
        <v>35</v>
      </c>
      <c r="H9" t="s">
        <v>35</v>
      </c>
      <c r="I9" t="s">
        <v>35</v>
      </c>
      <c r="J9">
        <v>0</v>
      </c>
    </row>
    <row r="10" spans="1:10">
      <c r="D10" t="s">
        <v>638</v>
      </c>
      <c r="E10" t="s">
        <v>640</v>
      </c>
      <c r="F10" t="s">
        <v>35</v>
      </c>
      <c r="G10" t="s">
        <v>35</v>
      </c>
      <c r="H10" t="s">
        <v>35</v>
      </c>
      <c r="I10" t="s">
        <v>35</v>
      </c>
      <c r="J10">
        <v>0</v>
      </c>
    </row>
    <row r="11" spans="1:10">
      <c r="D11" t="s">
        <v>638</v>
      </c>
      <c r="E11" t="s">
        <v>641</v>
      </c>
      <c r="F11" t="s">
        <v>35</v>
      </c>
      <c r="G11" t="s">
        <v>35</v>
      </c>
      <c r="H11" t="s">
        <v>35</v>
      </c>
      <c r="I11" t="s">
        <v>35</v>
      </c>
      <c r="J11">
        <v>0</v>
      </c>
    </row>
    <row r="12" spans="1:10">
      <c r="D12" t="s">
        <v>638</v>
      </c>
      <c r="E12" t="s">
        <v>642</v>
      </c>
      <c r="F12">
        <v>3386</v>
      </c>
      <c r="G12">
        <v>3419</v>
      </c>
      <c r="H12">
        <v>3313</v>
      </c>
      <c r="I12">
        <v>3394</v>
      </c>
      <c r="J12">
        <v>1785400</v>
      </c>
    </row>
    <row r="13" spans="1:10">
      <c r="D13" t="s">
        <v>638</v>
      </c>
      <c r="E13" t="s">
        <v>643</v>
      </c>
      <c r="F13">
        <v>3391</v>
      </c>
      <c r="G13">
        <v>3416</v>
      </c>
      <c r="H13">
        <v>3367</v>
      </c>
      <c r="I13">
        <v>3400</v>
      </c>
      <c r="J13">
        <v>532300</v>
      </c>
    </row>
    <row r="14" spans="1:10">
      <c r="D14" t="s">
        <v>638</v>
      </c>
      <c r="E14" t="s">
        <v>644</v>
      </c>
      <c r="F14">
        <v>3401</v>
      </c>
      <c r="G14">
        <v>3402</v>
      </c>
      <c r="H14">
        <v>3321</v>
      </c>
      <c r="I14">
        <v>3327</v>
      </c>
      <c r="J14">
        <v>460300</v>
      </c>
    </row>
    <row r="15" spans="1:10">
      <c r="D15" t="s">
        <v>638</v>
      </c>
      <c r="E15" t="s">
        <v>645</v>
      </c>
      <c r="F15">
        <v>3328</v>
      </c>
      <c r="G15">
        <v>3363</v>
      </c>
      <c r="H15">
        <v>3283</v>
      </c>
      <c r="I15">
        <v>3338</v>
      </c>
      <c r="J15">
        <v>586100</v>
      </c>
    </row>
    <row r="16" spans="1:10">
      <c r="D16" t="s">
        <v>638</v>
      </c>
      <c r="E16" t="s">
        <v>646</v>
      </c>
      <c r="F16">
        <v>3340</v>
      </c>
      <c r="G16">
        <v>3383</v>
      </c>
      <c r="H16">
        <v>3325</v>
      </c>
      <c r="I16">
        <v>3361</v>
      </c>
      <c r="J16">
        <v>513200</v>
      </c>
    </row>
    <row r="17" spans="4:10">
      <c r="D17" t="s">
        <v>638</v>
      </c>
      <c r="E17" t="s">
        <v>647</v>
      </c>
      <c r="F17">
        <v>3361</v>
      </c>
      <c r="G17">
        <v>3397</v>
      </c>
      <c r="H17">
        <v>3341</v>
      </c>
      <c r="I17">
        <v>3394</v>
      </c>
      <c r="J17">
        <v>382900</v>
      </c>
    </row>
    <row r="18" spans="4:10">
      <c r="D18" t="s">
        <v>638</v>
      </c>
      <c r="E18" t="s">
        <v>648</v>
      </c>
      <c r="F18">
        <v>3394</v>
      </c>
      <c r="G18">
        <v>3397</v>
      </c>
      <c r="H18">
        <v>3342</v>
      </c>
      <c r="I18">
        <v>3344</v>
      </c>
      <c r="J18">
        <v>248300</v>
      </c>
    </row>
    <row r="19" spans="4:10">
      <c r="D19" t="s">
        <v>638</v>
      </c>
      <c r="E19" t="s">
        <v>649</v>
      </c>
      <c r="F19">
        <v>3344</v>
      </c>
      <c r="G19">
        <v>3353</v>
      </c>
      <c r="H19">
        <v>3331</v>
      </c>
      <c r="I19">
        <v>3338</v>
      </c>
      <c r="J19">
        <v>157500</v>
      </c>
    </row>
    <row r="20" spans="4:10">
      <c r="D20" t="s">
        <v>638</v>
      </c>
      <c r="E20" t="s">
        <v>650</v>
      </c>
      <c r="F20">
        <v>3337</v>
      </c>
      <c r="G20">
        <v>3358</v>
      </c>
      <c r="H20">
        <v>3336</v>
      </c>
      <c r="I20">
        <v>3347</v>
      </c>
      <c r="J20">
        <v>171800</v>
      </c>
    </row>
    <row r="21" spans="4:10">
      <c r="D21" t="s">
        <v>638</v>
      </c>
      <c r="E21" t="s">
        <v>651</v>
      </c>
      <c r="F21">
        <v>3348</v>
      </c>
      <c r="G21">
        <v>3382</v>
      </c>
      <c r="H21">
        <v>3333</v>
      </c>
      <c r="I21">
        <v>3362</v>
      </c>
      <c r="J21">
        <v>205300</v>
      </c>
    </row>
    <row r="22" spans="4:10">
      <c r="D22" t="s">
        <v>638</v>
      </c>
      <c r="E22" t="s">
        <v>652</v>
      </c>
      <c r="F22">
        <v>3361</v>
      </c>
      <c r="G22">
        <v>3372</v>
      </c>
      <c r="H22">
        <v>3336</v>
      </c>
      <c r="I22">
        <v>3346</v>
      </c>
      <c r="J22">
        <v>138700</v>
      </c>
    </row>
    <row r="23" spans="4:10">
      <c r="D23" t="s">
        <v>638</v>
      </c>
      <c r="E23" t="s">
        <v>653</v>
      </c>
      <c r="F23">
        <v>3345</v>
      </c>
      <c r="G23">
        <v>3377</v>
      </c>
      <c r="H23">
        <v>3339</v>
      </c>
      <c r="I23">
        <v>3368</v>
      </c>
      <c r="J23">
        <v>177600</v>
      </c>
    </row>
    <row r="24" spans="4:10">
      <c r="D24" t="s">
        <v>638</v>
      </c>
      <c r="E24" t="s">
        <v>654</v>
      </c>
      <c r="F24">
        <v>3368</v>
      </c>
      <c r="G24">
        <v>3375</v>
      </c>
      <c r="H24">
        <v>3351</v>
      </c>
      <c r="I24">
        <v>3355</v>
      </c>
      <c r="J24">
        <v>142800</v>
      </c>
    </row>
    <row r="25" spans="4:10">
      <c r="D25" t="s">
        <v>638</v>
      </c>
      <c r="E25" t="s">
        <v>655</v>
      </c>
      <c r="F25">
        <v>3355</v>
      </c>
      <c r="G25">
        <v>3368</v>
      </c>
      <c r="H25">
        <v>3347</v>
      </c>
      <c r="I25">
        <v>3352</v>
      </c>
      <c r="J25">
        <v>173000</v>
      </c>
    </row>
    <row r="26" spans="4:10">
      <c r="D26" t="s">
        <v>638</v>
      </c>
      <c r="E26" t="s">
        <v>656</v>
      </c>
      <c r="F26">
        <v>3353</v>
      </c>
      <c r="G26">
        <v>3354</v>
      </c>
      <c r="H26">
        <v>3323</v>
      </c>
      <c r="I26">
        <v>3335</v>
      </c>
      <c r="J26">
        <v>185300</v>
      </c>
    </row>
    <row r="27" spans="4:10">
      <c r="D27" t="s">
        <v>638</v>
      </c>
      <c r="E27" t="s">
        <v>657</v>
      </c>
      <c r="F27">
        <v>3334</v>
      </c>
      <c r="G27">
        <v>3340</v>
      </c>
      <c r="H27">
        <v>3317</v>
      </c>
      <c r="I27">
        <v>3331</v>
      </c>
      <c r="J27">
        <v>163100</v>
      </c>
    </row>
    <row r="28" spans="4:10">
      <c r="D28" t="s">
        <v>638</v>
      </c>
      <c r="E28" t="s">
        <v>658</v>
      </c>
      <c r="F28">
        <v>3331</v>
      </c>
      <c r="G28">
        <v>3343</v>
      </c>
      <c r="H28">
        <v>3327</v>
      </c>
      <c r="I28">
        <v>3333</v>
      </c>
      <c r="J28">
        <v>139900</v>
      </c>
    </row>
    <row r="29" spans="4:10">
      <c r="D29" t="s">
        <v>638</v>
      </c>
      <c r="E29" t="s">
        <v>659</v>
      </c>
      <c r="F29">
        <v>3332</v>
      </c>
      <c r="G29">
        <v>3339</v>
      </c>
      <c r="H29">
        <v>3326</v>
      </c>
      <c r="I29">
        <v>3336</v>
      </c>
      <c r="J29">
        <v>106400</v>
      </c>
    </row>
    <row r="30" spans="4:10">
      <c r="D30" t="s">
        <v>638</v>
      </c>
      <c r="E30" t="s">
        <v>660</v>
      </c>
      <c r="F30">
        <v>3336</v>
      </c>
      <c r="G30">
        <v>3343</v>
      </c>
      <c r="H30">
        <v>3317</v>
      </c>
      <c r="I30">
        <v>3332</v>
      </c>
      <c r="J30">
        <v>245700</v>
      </c>
    </row>
    <row r="31" spans="4:10">
      <c r="D31" t="s">
        <v>638</v>
      </c>
      <c r="E31" t="s">
        <v>661</v>
      </c>
      <c r="F31">
        <v>3332</v>
      </c>
      <c r="G31">
        <v>3335</v>
      </c>
      <c r="H31">
        <v>3300</v>
      </c>
      <c r="I31">
        <v>3303</v>
      </c>
      <c r="J31">
        <v>221400</v>
      </c>
    </row>
    <row r="32" spans="4:10">
      <c r="D32" t="s">
        <v>638</v>
      </c>
      <c r="E32" t="s">
        <v>662</v>
      </c>
      <c r="F32">
        <v>3303</v>
      </c>
      <c r="G32">
        <v>3306</v>
      </c>
      <c r="H32">
        <v>3281</v>
      </c>
      <c r="I32">
        <v>3282</v>
      </c>
      <c r="J32">
        <v>267400</v>
      </c>
    </row>
    <row r="33" spans="4:10">
      <c r="D33" t="s">
        <v>638</v>
      </c>
      <c r="E33" t="s">
        <v>663</v>
      </c>
      <c r="F33">
        <v>3282</v>
      </c>
      <c r="G33">
        <v>3283</v>
      </c>
      <c r="H33">
        <v>3260</v>
      </c>
      <c r="I33">
        <v>3264</v>
      </c>
      <c r="J33">
        <v>224400</v>
      </c>
    </row>
    <row r="34" spans="4:10">
      <c r="D34" t="s">
        <v>638</v>
      </c>
      <c r="E34" t="s">
        <v>664</v>
      </c>
      <c r="F34">
        <v>3264</v>
      </c>
      <c r="G34">
        <v>3271</v>
      </c>
      <c r="H34">
        <v>3252</v>
      </c>
      <c r="I34">
        <v>3267</v>
      </c>
      <c r="J34">
        <v>192400</v>
      </c>
    </row>
    <row r="35" spans="4:10">
      <c r="D35" t="s">
        <v>638</v>
      </c>
      <c r="E35" t="s">
        <v>665</v>
      </c>
      <c r="F35">
        <v>3267</v>
      </c>
      <c r="G35">
        <v>3268</v>
      </c>
      <c r="H35">
        <v>3240</v>
      </c>
      <c r="I35">
        <v>3242</v>
      </c>
      <c r="J35">
        <v>218400</v>
      </c>
    </row>
    <row r="36" spans="4:10">
      <c r="D36" t="s">
        <v>638</v>
      </c>
      <c r="E36" t="s">
        <v>666</v>
      </c>
      <c r="F36">
        <v>3242</v>
      </c>
      <c r="G36">
        <v>3244</v>
      </c>
      <c r="H36">
        <v>3230</v>
      </c>
      <c r="I36">
        <v>3239</v>
      </c>
      <c r="J36">
        <v>203300</v>
      </c>
    </row>
    <row r="37" spans="4:10">
      <c r="D37" t="s">
        <v>638</v>
      </c>
      <c r="E37" t="s">
        <v>667</v>
      </c>
      <c r="F37">
        <v>3238</v>
      </c>
      <c r="G37">
        <v>3245</v>
      </c>
      <c r="H37">
        <v>3236</v>
      </c>
      <c r="I37">
        <v>3238</v>
      </c>
      <c r="J37">
        <v>156900</v>
      </c>
    </row>
    <row r="38" spans="4:10">
      <c r="D38" t="s">
        <v>638</v>
      </c>
      <c r="E38" t="s">
        <v>668</v>
      </c>
      <c r="F38">
        <v>3239</v>
      </c>
      <c r="G38">
        <v>3242</v>
      </c>
      <c r="H38">
        <v>3229</v>
      </c>
      <c r="I38">
        <v>3233</v>
      </c>
      <c r="J38">
        <v>171300</v>
      </c>
    </row>
    <row r="39" spans="4:10">
      <c r="D39" t="s">
        <v>638</v>
      </c>
      <c r="E39" t="s">
        <v>669</v>
      </c>
      <c r="F39">
        <v>3226</v>
      </c>
      <c r="G39">
        <v>3226</v>
      </c>
      <c r="H39">
        <v>3226</v>
      </c>
      <c r="I39">
        <v>3226</v>
      </c>
      <c r="J39">
        <v>24500</v>
      </c>
    </row>
    <row r="40" spans="4:10">
      <c r="D40" t="s">
        <v>638</v>
      </c>
      <c r="E40" t="s">
        <v>670</v>
      </c>
      <c r="F40">
        <v>3213</v>
      </c>
      <c r="G40">
        <v>3220</v>
      </c>
      <c r="H40">
        <v>3163</v>
      </c>
      <c r="I40">
        <v>3184</v>
      </c>
      <c r="J40">
        <v>688300</v>
      </c>
    </row>
    <row r="41" spans="4:10">
      <c r="D41" t="s">
        <v>638</v>
      </c>
      <c r="E41" t="s">
        <v>671</v>
      </c>
      <c r="F41">
        <v>3186</v>
      </c>
      <c r="G41">
        <v>3211</v>
      </c>
      <c r="H41">
        <v>3181</v>
      </c>
      <c r="I41">
        <v>3200</v>
      </c>
      <c r="J41">
        <v>332900</v>
      </c>
    </row>
    <row r="42" spans="4:10">
      <c r="D42" t="s">
        <v>638</v>
      </c>
      <c r="E42" t="s">
        <v>672</v>
      </c>
      <c r="F42">
        <v>3201</v>
      </c>
      <c r="G42">
        <v>3211</v>
      </c>
      <c r="H42">
        <v>3187</v>
      </c>
      <c r="I42">
        <v>3200</v>
      </c>
      <c r="J42">
        <v>254100</v>
      </c>
    </row>
    <row r="43" spans="4:10">
      <c r="D43" t="s">
        <v>638</v>
      </c>
      <c r="E43" t="s">
        <v>673</v>
      </c>
      <c r="F43">
        <v>3201</v>
      </c>
      <c r="G43">
        <v>3209</v>
      </c>
      <c r="H43">
        <v>3190</v>
      </c>
      <c r="I43">
        <v>3203</v>
      </c>
      <c r="J43">
        <v>198500</v>
      </c>
    </row>
    <row r="44" spans="4:10">
      <c r="D44" t="s">
        <v>638</v>
      </c>
      <c r="E44" t="s">
        <v>674</v>
      </c>
      <c r="F44">
        <v>3204</v>
      </c>
      <c r="G44">
        <v>3204</v>
      </c>
      <c r="H44">
        <v>3186</v>
      </c>
      <c r="I44">
        <v>3192</v>
      </c>
      <c r="J44">
        <v>278100</v>
      </c>
    </row>
    <row r="45" spans="4:10">
      <c r="D45" t="s">
        <v>638</v>
      </c>
      <c r="E45" t="s">
        <v>675</v>
      </c>
      <c r="F45">
        <v>3192</v>
      </c>
      <c r="G45">
        <v>3193</v>
      </c>
      <c r="H45">
        <v>3181</v>
      </c>
      <c r="I45">
        <v>3192</v>
      </c>
      <c r="J45">
        <v>247000</v>
      </c>
    </row>
    <row r="46" spans="4:10">
      <c r="D46" t="s">
        <v>638</v>
      </c>
      <c r="E46" t="s">
        <v>676</v>
      </c>
      <c r="F46">
        <v>3191</v>
      </c>
      <c r="G46">
        <v>3191</v>
      </c>
      <c r="H46">
        <v>3178</v>
      </c>
      <c r="I46">
        <v>3183</v>
      </c>
      <c r="J46">
        <v>247200</v>
      </c>
    </row>
    <row r="47" spans="4:10">
      <c r="D47" t="s">
        <v>638</v>
      </c>
      <c r="E47" t="s">
        <v>677</v>
      </c>
      <c r="F47">
        <v>3182</v>
      </c>
      <c r="G47">
        <v>3186</v>
      </c>
      <c r="H47">
        <v>3171</v>
      </c>
      <c r="I47">
        <v>3175</v>
      </c>
      <c r="J47">
        <v>189000</v>
      </c>
    </row>
    <row r="48" spans="4:10">
      <c r="D48" t="s">
        <v>638</v>
      </c>
      <c r="E48" t="s">
        <v>678</v>
      </c>
      <c r="F48">
        <v>3174</v>
      </c>
      <c r="G48">
        <v>3181</v>
      </c>
      <c r="H48">
        <v>3171</v>
      </c>
      <c r="I48">
        <v>3175</v>
      </c>
      <c r="J48">
        <v>157100</v>
      </c>
    </row>
    <row r="49" spans="4:10">
      <c r="D49" t="s">
        <v>638</v>
      </c>
      <c r="E49" t="s">
        <v>679</v>
      </c>
      <c r="F49">
        <v>3175</v>
      </c>
      <c r="G49">
        <v>3183</v>
      </c>
      <c r="H49">
        <v>3171</v>
      </c>
      <c r="I49">
        <v>3179</v>
      </c>
      <c r="J49">
        <v>191000</v>
      </c>
    </row>
    <row r="50" spans="4:10">
      <c r="D50" t="s">
        <v>638</v>
      </c>
      <c r="E50" t="s">
        <v>680</v>
      </c>
      <c r="F50">
        <v>3179</v>
      </c>
      <c r="G50">
        <v>3179</v>
      </c>
      <c r="H50">
        <v>3161</v>
      </c>
      <c r="I50">
        <v>3165</v>
      </c>
      <c r="J50">
        <v>201800</v>
      </c>
    </row>
    <row r="51" spans="4:10">
      <c r="D51" t="s">
        <v>638</v>
      </c>
      <c r="E51" t="s">
        <v>681</v>
      </c>
      <c r="F51">
        <v>3165</v>
      </c>
      <c r="G51">
        <v>3173</v>
      </c>
      <c r="H51">
        <v>3155</v>
      </c>
      <c r="I51">
        <v>3171</v>
      </c>
      <c r="J51">
        <v>267900</v>
      </c>
    </row>
    <row r="52" spans="4:10">
      <c r="D52" t="s">
        <v>638</v>
      </c>
      <c r="E52" t="s">
        <v>682</v>
      </c>
      <c r="F52">
        <v>3170</v>
      </c>
      <c r="G52">
        <v>3174</v>
      </c>
      <c r="H52">
        <v>3160</v>
      </c>
      <c r="I52">
        <v>3170</v>
      </c>
      <c r="J52">
        <v>182300</v>
      </c>
    </row>
    <row r="53" spans="4:10">
      <c r="D53" t="s">
        <v>638</v>
      </c>
      <c r="E53" t="s">
        <v>683</v>
      </c>
      <c r="F53">
        <v>3170</v>
      </c>
      <c r="G53">
        <v>3186</v>
      </c>
      <c r="H53">
        <v>3163</v>
      </c>
      <c r="I53">
        <v>3180</v>
      </c>
      <c r="J53">
        <v>189000</v>
      </c>
    </row>
    <row r="54" spans="4:10">
      <c r="D54" t="s">
        <v>638</v>
      </c>
      <c r="E54" t="s">
        <v>684</v>
      </c>
      <c r="F54">
        <v>3180</v>
      </c>
      <c r="G54">
        <v>3182</v>
      </c>
      <c r="H54">
        <v>3173</v>
      </c>
      <c r="I54">
        <v>3175</v>
      </c>
      <c r="J54">
        <v>240700</v>
      </c>
    </row>
    <row r="55" spans="4:10">
      <c r="D55" t="s">
        <v>638</v>
      </c>
      <c r="E55" t="s">
        <v>685</v>
      </c>
      <c r="F55">
        <v>3175</v>
      </c>
      <c r="G55">
        <v>3186</v>
      </c>
      <c r="H55">
        <v>3168</v>
      </c>
      <c r="I55">
        <v>3171</v>
      </c>
      <c r="J55">
        <v>231400</v>
      </c>
    </row>
    <row r="56" spans="4:10">
      <c r="D56" t="s">
        <v>638</v>
      </c>
      <c r="E56" t="s">
        <v>686</v>
      </c>
      <c r="F56">
        <v>3171</v>
      </c>
      <c r="G56">
        <v>3176</v>
      </c>
      <c r="H56">
        <v>3165</v>
      </c>
      <c r="I56">
        <v>3168</v>
      </c>
      <c r="J56">
        <v>192300</v>
      </c>
    </row>
    <row r="57" spans="4:10">
      <c r="D57" t="s">
        <v>638</v>
      </c>
      <c r="E57" t="s">
        <v>687</v>
      </c>
      <c r="F57">
        <v>3168</v>
      </c>
      <c r="G57">
        <v>3172</v>
      </c>
      <c r="H57">
        <v>3159</v>
      </c>
      <c r="I57">
        <v>3161</v>
      </c>
      <c r="J57">
        <v>209700</v>
      </c>
    </row>
    <row r="58" spans="4:10">
      <c r="D58" t="s">
        <v>638</v>
      </c>
      <c r="E58" t="s">
        <v>688</v>
      </c>
      <c r="F58">
        <v>3161</v>
      </c>
      <c r="G58">
        <v>3169</v>
      </c>
      <c r="H58">
        <v>3155</v>
      </c>
      <c r="I58">
        <v>3157</v>
      </c>
      <c r="J58">
        <v>326400</v>
      </c>
    </row>
    <row r="59" spans="4:10">
      <c r="D59" t="s">
        <v>638</v>
      </c>
      <c r="E59" t="s">
        <v>689</v>
      </c>
      <c r="F59">
        <v>3157</v>
      </c>
      <c r="G59">
        <v>3157</v>
      </c>
      <c r="H59">
        <v>3137</v>
      </c>
      <c r="I59">
        <v>3144</v>
      </c>
      <c r="J59">
        <v>449800</v>
      </c>
    </row>
    <row r="60" spans="4:10">
      <c r="D60" t="s">
        <v>638</v>
      </c>
      <c r="E60" t="s">
        <v>690</v>
      </c>
      <c r="F60">
        <v>3144</v>
      </c>
      <c r="G60">
        <v>3147</v>
      </c>
      <c r="H60">
        <v>3136</v>
      </c>
      <c r="I60">
        <v>3139</v>
      </c>
      <c r="J60">
        <v>234900</v>
      </c>
    </row>
    <row r="61" spans="4:10">
      <c r="D61" t="s">
        <v>638</v>
      </c>
      <c r="E61" t="s">
        <v>691</v>
      </c>
      <c r="F61">
        <v>3140</v>
      </c>
      <c r="G61">
        <v>3145</v>
      </c>
      <c r="H61">
        <v>3136</v>
      </c>
      <c r="I61">
        <v>3140</v>
      </c>
      <c r="J61">
        <v>193800</v>
      </c>
    </row>
    <row r="62" spans="4:10">
      <c r="D62" t="s">
        <v>638</v>
      </c>
      <c r="E62" t="s">
        <v>692</v>
      </c>
      <c r="F62">
        <v>3140</v>
      </c>
      <c r="G62">
        <v>3146</v>
      </c>
      <c r="H62">
        <v>3136</v>
      </c>
      <c r="I62">
        <v>3140</v>
      </c>
      <c r="J62">
        <v>172200</v>
      </c>
    </row>
    <row r="63" spans="4:10">
      <c r="D63" t="s">
        <v>638</v>
      </c>
      <c r="E63" t="s">
        <v>693</v>
      </c>
      <c r="F63">
        <v>3140</v>
      </c>
      <c r="G63">
        <v>3147</v>
      </c>
      <c r="H63">
        <v>3132</v>
      </c>
      <c r="I63">
        <v>3137</v>
      </c>
      <c r="J63">
        <v>239800</v>
      </c>
    </row>
    <row r="64" spans="4:10">
      <c r="D64" t="s">
        <v>638</v>
      </c>
      <c r="E64" t="s">
        <v>694</v>
      </c>
      <c r="F64">
        <v>3137</v>
      </c>
      <c r="G64">
        <v>3140</v>
      </c>
      <c r="H64">
        <v>3131</v>
      </c>
      <c r="I64">
        <v>3133</v>
      </c>
      <c r="J64">
        <v>160600</v>
      </c>
    </row>
    <row r="65" spans="4:10">
      <c r="D65" t="s">
        <v>638</v>
      </c>
      <c r="E65" t="s">
        <v>695</v>
      </c>
      <c r="F65">
        <v>3134</v>
      </c>
      <c r="G65">
        <v>3139</v>
      </c>
      <c r="H65">
        <v>3126</v>
      </c>
      <c r="I65">
        <v>3131</v>
      </c>
      <c r="J65">
        <v>228100</v>
      </c>
    </row>
    <row r="66" spans="4:10">
      <c r="D66" t="s">
        <v>638</v>
      </c>
      <c r="E66" t="s">
        <v>696</v>
      </c>
      <c r="F66">
        <v>3131</v>
      </c>
      <c r="G66">
        <v>3131</v>
      </c>
      <c r="H66">
        <v>3120</v>
      </c>
      <c r="I66">
        <v>3123</v>
      </c>
      <c r="J66">
        <v>200100</v>
      </c>
    </row>
    <row r="67" spans="4:10">
      <c r="D67" t="s">
        <v>638</v>
      </c>
      <c r="E67" t="s">
        <v>697</v>
      </c>
      <c r="F67">
        <v>3124</v>
      </c>
      <c r="G67">
        <v>3124</v>
      </c>
      <c r="H67">
        <v>3117</v>
      </c>
      <c r="I67">
        <v>3121</v>
      </c>
      <c r="J67">
        <v>144000</v>
      </c>
    </row>
    <row r="68" spans="4:10">
      <c r="D68" t="s">
        <v>638</v>
      </c>
      <c r="E68" t="s">
        <v>698</v>
      </c>
      <c r="F68">
        <v>3120</v>
      </c>
      <c r="G68">
        <v>3125</v>
      </c>
      <c r="H68">
        <v>3114</v>
      </c>
      <c r="I68">
        <v>3116</v>
      </c>
      <c r="J68">
        <v>147700</v>
      </c>
    </row>
    <row r="69" spans="4:10">
      <c r="D69" t="s">
        <v>638</v>
      </c>
      <c r="E69" t="s">
        <v>699</v>
      </c>
      <c r="F69">
        <v>3116</v>
      </c>
      <c r="G69">
        <v>3120</v>
      </c>
      <c r="H69">
        <v>3110</v>
      </c>
      <c r="I69">
        <v>3118</v>
      </c>
      <c r="J69">
        <v>211900</v>
      </c>
    </row>
    <row r="70" spans="4:10">
      <c r="D70" t="s">
        <v>638</v>
      </c>
      <c r="E70" t="s">
        <v>700</v>
      </c>
      <c r="F70">
        <v>3118</v>
      </c>
      <c r="G70">
        <v>3125</v>
      </c>
      <c r="H70">
        <v>3108</v>
      </c>
      <c r="I70">
        <v>3120</v>
      </c>
      <c r="J70">
        <v>358700</v>
      </c>
    </row>
    <row r="71" spans="4:10">
      <c r="D71" t="s">
        <v>638</v>
      </c>
      <c r="E71" t="s">
        <v>633</v>
      </c>
      <c r="F71">
        <v>3120</v>
      </c>
      <c r="G71">
        <v>3124</v>
      </c>
      <c r="H71">
        <v>3110</v>
      </c>
      <c r="I71">
        <v>3113</v>
      </c>
      <c r="J71">
        <v>303200</v>
      </c>
    </row>
    <row r="72" spans="4:10">
      <c r="D72" t="s">
        <v>638</v>
      </c>
      <c r="E72" t="s">
        <v>634</v>
      </c>
      <c r="F72">
        <v>3113</v>
      </c>
      <c r="G72">
        <v>3113</v>
      </c>
      <c r="H72">
        <v>3100</v>
      </c>
      <c r="I72">
        <v>3102</v>
      </c>
      <c r="J72">
        <v>417700</v>
      </c>
    </row>
    <row r="73" spans="4:10">
      <c r="D73" t="s">
        <v>638</v>
      </c>
      <c r="E73" t="s">
        <v>635</v>
      </c>
      <c r="F73">
        <v>3101</v>
      </c>
      <c r="G73">
        <v>3120</v>
      </c>
      <c r="H73">
        <v>3099</v>
      </c>
      <c r="I73">
        <v>3115</v>
      </c>
      <c r="J73">
        <v>394700</v>
      </c>
    </row>
    <row r="74" spans="4:10">
      <c r="D74" t="s">
        <v>638</v>
      </c>
      <c r="E74" t="s">
        <v>614</v>
      </c>
      <c r="F74">
        <v>3115</v>
      </c>
      <c r="G74">
        <v>3143</v>
      </c>
      <c r="H74">
        <v>3111</v>
      </c>
      <c r="I74">
        <v>3139</v>
      </c>
      <c r="J74">
        <v>438000</v>
      </c>
    </row>
    <row r="75" spans="4:10">
      <c r="D75" t="s">
        <v>638</v>
      </c>
      <c r="E75" t="s">
        <v>636</v>
      </c>
      <c r="F75" t="s">
        <v>35</v>
      </c>
      <c r="G75" t="s">
        <v>35</v>
      </c>
      <c r="H75" t="s">
        <v>35</v>
      </c>
      <c r="I75" t="s">
        <v>35</v>
      </c>
      <c r="J75">
        <v>0</v>
      </c>
    </row>
    <row r="76" spans="4:10">
      <c r="D76" t="s">
        <v>638</v>
      </c>
      <c r="E76" t="s">
        <v>637</v>
      </c>
      <c r="F76">
        <v>3140</v>
      </c>
      <c r="G76">
        <v>3140</v>
      </c>
      <c r="H76">
        <v>3140</v>
      </c>
      <c r="I76">
        <v>3140</v>
      </c>
      <c r="J76">
        <v>868700</v>
      </c>
    </row>
    <row r="77" spans="4:10">
      <c r="D77" t="s">
        <v>701</v>
      </c>
      <c r="E77" t="s">
        <v>639</v>
      </c>
      <c r="F77">
        <v>3141</v>
      </c>
      <c r="G77">
        <v>3141</v>
      </c>
      <c r="H77">
        <v>3032</v>
      </c>
      <c r="I77">
        <v>3056</v>
      </c>
      <c r="J77">
        <v>939100</v>
      </c>
    </row>
    <row r="78" spans="4:10">
      <c r="D78" t="s">
        <v>701</v>
      </c>
      <c r="E78" t="s">
        <v>640</v>
      </c>
      <c r="F78">
        <v>3057</v>
      </c>
      <c r="G78">
        <v>3189</v>
      </c>
      <c r="H78">
        <v>3046</v>
      </c>
      <c r="I78">
        <v>3187</v>
      </c>
      <c r="J78">
        <v>761100</v>
      </c>
    </row>
    <row r="79" spans="4:10">
      <c r="D79" t="s">
        <v>701</v>
      </c>
      <c r="E79" t="s">
        <v>641</v>
      </c>
      <c r="F79">
        <v>3186</v>
      </c>
      <c r="G79">
        <v>3190</v>
      </c>
      <c r="H79">
        <v>3118</v>
      </c>
      <c r="I79">
        <v>3142</v>
      </c>
      <c r="J79">
        <v>680600</v>
      </c>
    </row>
    <row r="80" spans="4:10">
      <c r="D80" t="s">
        <v>701</v>
      </c>
      <c r="E80" t="s">
        <v>642</v>
      </c>
      <c r="F80">
        <v>3142</v>
      </c>
      <c r="G80">
        <v>3212</v>
      </c>
      <c r="H80">
        <v>3136</v>
      </c>
      <c r="I80">
        <v>3197</v>
      </c>
      <c r="J80">
        <v>538900</v>
      </c>
    </row>
    <row r="81" spans="4:10">
      <c r="D81" t="s">
        <v>701</v>
      </c>
      <c r="E81" t="s">
        <v>643</v>
      </c>
      <c r="F81">
        <v>3197</v>
      </c>
      <c r="G81">
        <v>3204</v>
      </c>
      <c r="H81">
        <v>3153</v>
      </c>
      <c r="I81">
        <v>3164</v>
      </c>
      <c r="J81">
        <v>457700</v>
      </c>
    </row>
    <row r="82" spans="4:10">
      <c r="D82" t="s">
        <v>701</v>
      </c>
      <c r="E82" t="s">
        <v>644</v>
      </c>
      <c r="F82">
        <v>3164</v>
      </c>
      <c r="G82">
        <v>3166</v>
      </c>
      <c r="H82">
        <v>3138</v>
      </c>
      <c r="I82">
        <v>3156</v>
      </c>
      <c r="J82">
        <v>379000</v>
      </c>
    </row>
    <row r="83" spans="4:10">
      <c r="D83" t="s">
        <v>701</v>
      </c>
      <c r="E83" t="s">
        <v>645</v>
      </c>
      <c r="F83">
        <v>3157</v>
      </c>
      <c r="G83">
        <v>3177</v>
      </c>
      <c r="H83">
        <v>3135</v>
      </c>
      <c r="I83">
        <v>3140</v>
      </c>
      <c r="J83">
        <v>310200</v>
      </c>
    </row>
    <row r="84" spans="4:10">
      <c r="D84" t="s">
        <v>701</v>
      </c>
      <c r="E84" t="s">
        <v>646</v>
      </c>
      <c r="F84">
        <v>3139</v>
      </c>
      <c r="G84">
        <v>3162</v>
      </c>
      <c r="H84">
        <v>3120</v>
      </c>
      <c r="I84">
        <v>3143</v>
      </c>
      <c r="J84">
        <v>367700</v>
      </c>
    </row>
    <row r="85" spans="4:10">
      <c r="D85" t="s">
        <v>701</v>
      </c>
      <c r="E85" t="s">
        <v>647</v>
      </c>
      <c r="F85">
        <v>3144</v>
      </c>
      <c r="G85">
        <v>3166</v>
      </c>
      <c r="H85">
        <v>3128</v>
      </c>
      <c r="I85">
        <v>3138</v>
      </c>
      <c r="J85">
        <v>283700</v>
      </c>
    </row>
    <row r="86" spans="4:10">
      <c r="D86" t="s">
        <v>701</v>
      </c>
      <c r="E86" t="s">
        <v>648</v>
      </c>
      <c r="F86">
        <v>3136</v>
      </c>
      <c r="G86">
        <v>3152</v>
      </c>
      <c r="H86">
        <v>3118</v>
      </c>
      <c r="I86">
        <v>3120</v>
      </c>
      <c r="J86">
        <v>237100</v>
      </c>
    </row>
    <row r="87" spans="4:10">
      <c r="D87" t="s">
        <v>701</v>
      </c>
      <c r="E87" t="s">
        <v>649</v>
      </c>
      <c r="F87">
        <v>3119</v>
      </c>
      <c r="G87">
        <v>3120</v>
      </c>
      <c r="H87">
        <v>3083</v>
      </c>
      <c r="I87">
        <v>3091</v>
      </c>
      <c r="J87">
        <v>307900</v>
      </c>
    </row>
    <row r="88" spans="4:10">
      <c r="D88" t="s">
        <v>701</v>
      </c>
      <c r="E88" t="s">
        <v>650</v>
      </c>
      <c r="F88">
        <v>3091</v>
      </c>
      <c r="G88">
        <v>3108</v>
      </c>
      <c r="H88">
        <v>3075</v>
      </c>
      <c r="I88">
        <v>3087</v>
      </c>
      <c r="J88">
        <v>330400</v>
      </c>
    </row>
    <row r="89" spans="4:10">
      <c r="D89" t="s">
        <v>701</v>
      </c>
      <c r="E89" t="s">
        <v>651</v>
      </c>
      <c r="F89">
        <v>3086</v>
      </c>
      <c r="G89">
        <v>3092</v>
      </c>
      <c r="H89">
        <v>3055</v>
      </c>
      <c r="I89">
        <v>3067</v>
      </c>
      <c r="J89">
        <v>284900</v>
      </c>
    </row>
    <row r="90" spans="4:10">
      <c r="D90" t="s">
        <v>701</v>
      </c>
      <c r="E90" t="s">
        <v>652</v>
      </c>
      <c r="F90">
        <v>3067</v>
      </c>
      <c r="G90">
        <v>3086</v>
      </c>
      <c r="H90">
        <v>3025</v>
      </c>
      <c r="I90">
        <v>3031</v>
      </c>
      <c r="J90">
        <v>296700</v>
      </c>
    </row>
    <row r="91" spans="4:10">
      <c r="D91" t="s">
        <v>701</v>
      </c>
      <c r="E91" t="s">
        <v>653</v>
      </c>
      <c r="F91">
        <v>3031</v>
      </c>
      <c r="G91">
        <v>3035</v>
      </c>
      <c r="H91">
        <v>2985</v>
      </c>
      <c r="I91">
        <v>2993.5</v>
      </c>
      <c r="J91">
        <v>417200</v>
      </c>
    </row>
    <row r="92" spans="4:10">
      <c r="D92" t="s">
        <v>701</v>
      </c>
      <c r="E92" t="s">
        <v>654</v>
      </c>
      <c r="F92">
        <v>2992.5</v>
      </c>
      <c r="G92">
        <v>2994.5</v>
      </c>
      <c r="H92">
        <v>2951</v>
      </c>
      <c r="I92">
        <v>2977.5</v>
      </c>
      <c r="J92">
        <v>476800</v>
      </c>
    </row>
    <row r="93" spans="4:10">
      <c r="D93" t="s">
        <v>701</v>
      </c>
      <c r="E93" t="s">
        <v>655</v>
      </c>
      <c r="F93">
        <v>2977.5</v>
      </c>
      <c r="G93">
        <v>3039</v>
      </c>
      <c r="H93">
        <v>2977.5</v>
      </c>
      <c r="I93">
        <v>3026</v>
      </c>
      <c r="J93">
        <v>353200</v>
      </c>
    </row>
    <row r="94" spans="4:10">
      <c r="D94" t="s">
        <v>701</v>
      </c>
      <c r="E94" t="s">
        <v>656</v>
      </c>
      <c r="F94">
        <v>3026</v>
      </c>
      <c r="G94">
        <v>3039</v>
      </c>
      <c r="H94">
        <v>3013</v>
      </c>
      <c r="I94">
        <v>3036</v>
      </c>
      <c r="J94">
        <v>276900</v>
      </c>
    </row>
    <row r="95" spans="4:10">
      <c r="D95" t="s">
        <v>701</v>
      </c>
      <c r="E95" t="s">
        <v>657</v>
      </c>
      <c r="F95">
        <v>3034</v>
      </c>
      <c r="G95">
        <v>3055</v>
      </c>
      <c r="H95">
        <v>3013</v>
      </c>
      <c r="I95">
        <v>3053</v>
      </c>
      <c r="J95">
        <v>280700</v>
      </c>
    </row>
    <row r="96" spans="4:10">
      <c r="D96" t="s">
        <v>701</v>
      </c>
      <c r="E96" t="s">
        <v>658</v>
      </c>
      <c r="F96">
        <v>3052</v>
      </c>
      <c r="G96">
        <v>3068</v>
      </c>
      <c r="H96">
        <v>3046</v>
      </c>
      <c r="I96">
        <v>3050</v>
      </c>
      <c r="J96">
        <v>183300</v>
      </c>
    </row>
    <row r="97" spans="1:10">
      <c r="D97" t="s">
        <v>701</v>
      </c>
      <c r="E97" t="s">
        <v>659</v>
      </c>
      <c r="F97">
        <v>3050</v>
      </c>
      <c r="G97">
        <v>3052</v>
      </c>
      <c r="H97">
        <v>3026</v>
      </c>
      <c r="I97">
        <v>3033</v>
      </c>
      <c r="J97">
        <v>175800</v>
      </c>
    </row>
    <row r="98" spans="1:10">
      <c r="D98" t="s">
        <v>701</v>
      </c>
      <c r="E98" t="s">
        <v>660</v>
      </c>
      <c r="F98">
        <v>3033</v>
      </c>
      <c r="G98">
        <v>3033</v>
      </c>
      <c r="H98">
        <v>2995</v>
      </c>
      <c r="I98">
        <v>2996</v>
      </c>
      <c r="J98">
        <v>197500</v>
      </c>
    </row>
    <row r="99" spans="1:10">
      <c r="D99" t="s">
        <v>701</v>
      </c>
      <c r="E99" t="s">
        <v>661</v>
      </c>
      <c r="F99">
        <v>2997</v>
      </c>
      <c r="G99">
        <v>2997.5</v>
      </c>
      <c r="H99">
        <v>2972.5</v>
      </c>
      <c r="I99">
        <v>2981</v>
      </c>
      <c r="J99">
        <v>252700</v>
      </c>
    </row>
    <row r="100" spans="1:10">
      <c r="D100" t="s">
        <v>701</v>
      </c>
      <c r="E100" t="s">
        <v>662</v>
      </c>
      <c r="F100">
        <v>2981.5</v>
      </c>
      <c r="G100">
        <v>2981.5</v>
      </c>
      <c r="H100">
        <v>2939.5</v>
      </c>
      <c r="I100">
        <v>2941</v>
      </c>
      <c r="J100">
        <v>306100</v>
      </c>
    </row>
    <row r="101" spans="1:10">
      <c r="D101" t="s">
        <v>701</v>
      </c>
      <c r="E101" t="s">
        <v>663</v>
      </c>
      <c r="F101">
        <v>2941</v>
      </c>
      <c r="G101">
        <v>2979.5</v>
      </c>
      <c r="H101">
        <v>2926.5</v>
      </c>
      <c r="I101">
        <v>2955</v>
      </c>
      <c r="J101">
        <v>354700</v>
      </c>
    </row>
    <row r="102" spans="1:10">
      <c r="D102" t="s">
        <v>701</v>
      </c>
      <c r="E102" t="s">
        <v>664</v>
      </c>
      <c r="F102">
        <v>2954.5</v>
      </c>
      <c r="G102">
        <v>2962</v>
      </c>
      <c r="H102">
        <v>2935</v>
      </c>
      <c r="I102">
        <v>2935.5</v>
      </c>
      <c r="J102">
        <v>235700</v>
      </c>
    </row>
    <row r="103" spans="1:10">
      <c r="A103" s="1"/>
      <c r="B103" s="1"/>
      <c r="C103" s="1"/>
      <c r="D103" s="1" t="s">
        <v>701</v>
      </c>
      <c r="E103" s="1" t="s">
        <v>665</v>
      </c>
      <c r="F103" s="1">
        <v>2935</v>
      </c>
      <c r="G103" s="1">
        <v>2951.5</v>
      </c>
      <c r="H103" s="1">
        <v>2927</v>
      </c>
      <c r="I103" s="1">
        <v>2939.5</v>
      </c>
      <c r="J103" s="1">
        <v>242200</v>
      </c>
    </row>
    <row r="104" spans="1:10">
      <c r="D104" t="s">
        <v>701</v>
      </c>
      <c r="E104" t="s">
        <v>666</v>
      </c>
      <c r="F104">
        <v>2939</v>
      </c>
      <c r="G104">
        <v>2944</v>
      </c>
      <c r="H104">
        <v>2920</v>
      </c>
      <c r="I104">
        <v>2928</v>
      </c>
      <c r="J104">
        <v>212800</v>
      </c>
    </row>
    <row r="105" spans="1:10">
      <c r="D105" t="s">
        <v>701</v>
      </c>
      <c r="E105" t="s">
        <v>667</v>
      </c>
      <c r="F105">
        <v>2927</v>
      </c>
      <c r="G105">
        <v>2949.5</v>
      </c>
      <c r="H105">
        <v>2911.5</v>
      </c>
      <c r="I105">
        <v>2941</v>
      </c>
      <c r="J105">
        <v>178400</v>
      </c>
    </row>
    <row r="106" spans="1:10">
      <c r="D106" t="s">
        <v>701</v>
      </c>
      <c r="E106" t="s">
        <v>668</v>
      </c>
      <c r="F106">
        <v>2940</v>
      </c>
      <c r="G106">
        <v>2957.5</v>
      </c>
      <c r="H106">
        <v>2938.5</v>
      </c>
      <c r="I106">
        <v>2955</v>
      </c>
      <c r="J106">
        <v>151400</v>
      </c>
    </row>
    <row r="107" spans="1:10">
      <c r="D107" t="s">
        <v>701</v>
      </c>
      <c r="E107" t="s">
        <v>669</v>
      </c>
      <c r="F107">
        <v>2957.5</v>
      </c>
      <c r="G107">
        <v>2957.5</v>
      </c>
      <c r="H107">
        <v>2957.5</v>
      </c>
      <c r="I107">
        <v>2957.5</v>
      </c>
      <c r="J107">
        <v>5300</v>
      </c>
    </row>
    <row r="108" spans="1:10">
      <c r="D108" t="s">
        <v>701</v>
      </c>
      <c r="E108" t="s">
        <v>670</v>
      </c>
      <c r="F108">
        <v>2915</v>
      </c>
      <c r="G108">
        <v>2916</v>
      </c>
      <c r="H108">
        <v>2851.5</v>
      </c>
      <c r="I108">
        <v>2860</v>
      </c>
      <c r="J108">
        <v>748300</v>
      </c>
    </row>
    <row r="109" spans="1:10">
      <c r="D109" t="s">
        <v>701</v>
      </c>
      <c r="E109" t="s">
        <v>671</v>
      </c>
      <c r="F109">
        <v>2861</v>
      </c>
      <c r="G109">
        <v>2895</v>
      </c>
      <c r="H109">
        <v>2856</v>
      </c>
      <c r="I109">
        <v>2867.5</v>
      </c>
      <c r="J109">
        <v>446800</v>
      </c>
    </row>
    <row r="110" spans="1:10">
      <c r="D110" t="s">
        <v>701</v>
      </c>
      <c r="E110" t="s">
        <v>672</v>
      </c>
      <c r="F110">
        <v>2868</v>
      </c>
      <c r="G110">
        <v>2883.5</v>
      </c>
      <c r="H110">
        <v>2841</v>
      </c>
      <c r="I110">
        <v>2877.5</v>
      </c>
      <c r="J110">
        <v>384000</v>
      </c>
    </row>
    <row r="111" spans="1:10">
      <c r="D111" t="s">
        <v>701</v>
      </c>
      <c r="E111" t="s">
        <v>673</v>
      </c>
      <c r="F111">
        <v>2877.5</v>
      </c>
      <c r="G111">
        <v>2886</v>
      </c>
      <c r="H111">
        <v>2854</v>
      </c>
      <c r="I111">
        <v>2858</v>
      </c>
      <c r="J111">
        <v>276400</v>
      </c>
    </row>
    <row r="112" spans="1:10">
      <c r="D112" t="s">
        <v>701</v>
      </c>
      <c r="E112" t="s">
        <v>674</v>
      </c>
      <c r="F112">
        <v>2858</v>
      </c>
      <c r="G112">
        <v>2865</v>
      </c>
      <c r="H112">
        <v>2841</v>
      </c>
      <c r="I112">
        <v>2846.5</v>
      </c>
      <c r="J112">
        <v>273700</v>
      </c>
    </row>
    <row r="113" spans="4:10">
      <c r="D113" t="s">
        <v>701</v>
      </c>
      <c r="E113" t="s">
        <v>675</v>
      </c>
      <c r="F113">
        <v>2846.5</v>
      </c>
      <c r="G113">
        <v>2848</v>
      </c>
      <c r="H113">
        <v>2831</v>
      </c>
      <c r="I113">
        <v>2845</v>
      </c>
      <c r="J113">
        <v>310000</v>
      </c>
    </row>
    <row r="114" spans="4:10">
      <c r="D114" t="s">
        <v>701</v>
      </c>
      <c r="E114" t="s">
        <v>676</v>
      </c>
      <c r="F114">
        <v>2845.5</v>
      </c>
      <c r="G114">
        <v>2848</v>
      </c>
      <c r="H114">
        <v>2822</v>
      </c>
      <c r="I114">
        <v>2830</v>
      </c>
      <c r="J114">
        <v>260700</v>
      </c>
    </row>
    <row r="115" spans="4:10">
      <c r="D115" t="s">
        <v>701</v>
      </c>
      <c r="E115" t="s">
        <v>677</v>
      </c>
      <c r="F115">
        <v>2830</v>
      </c>
      <c r="G115">
        <v>2844.5</v>
      </c>
      <c r="H115">
        <v>2810</v>
      </c>
      <c r="I115">
        <v>2842.5</v>
      </c>
      <c r="J115">
        <v>294400</v>
      </c>
    </row>
    <row r="116" spans="4:10">
      <c r="D116" t="s">
        <v>701</v>
      </c>
      <c r="E116" t="s">
        <v>678</v>
      </c>
      <c r="F116">
        <v>2839.5</v>
      </c>
      <c r="G116">
        <v>2844</v>
      </c>
      <c r="H116">
        <v>2822.5</v>
      </c>
      <c r="I116">
        <v>2826.5</v>
      </c>
      <c r="J116">
        <v>203300</v>
      </c>
    </row>
    <row r="117" spans="4:10">
      <c r="D117" t="s">
        <v>701</v>
      </c>
      <c r="E117" t="s">
        <v>679</v>
      </c>
      <c r="F117">
        <v>2827.5</v>
      </c>
      <c r="G117">
        <v>2833</v>
      </c>
      <c r="H117">
        <v>2799</v>
      </c>
      <c r="I117">
        <v>2806.5</v>
      </c>
      <c r="J117">
        <v>335700</v>
      </c>
    </row>
    <row r="118" spans="4:10">
      <c r="D118" t="s">
        <v>701</v>
      </c>
      <c r="E118" t="s">
        <v>680</v>
      </c>
      <c r="F118">
        <v>2806.5</v>
      </c>
      <c r="G118">
        <v>2827.5</v>
      </c>
      <c r="H118">
        <v>2784.5</v>
      </c>
      <c r="I118">
        <v>2822.5</v>
      </c>
      <c r="J118">
        <v>427700</v>
      </c>
    </row>
    <row r="119" spans="4:10">
      <c r="D119" t="s">
        <v>701</v>
      </c>
      <c r="E119" t="s">
        <v>681</v>
      </c>
      <c r="F119">
        <v>2822.5</v>
      </c>
      <c r="G119">
        <v>2845.5</v>
      </c>
      <c r="H119">
        <v>2815.5</v>
      </c>
      <c r="I119">
        <v>2830</v>
      </c>
      <c r="J119">
        <v>256000</v>
      </c>
    </row>
    <row r="120" spans="4:10">
      <c r="D120" t="s">
        <v>701</v>
      </c>
      <c r="E120" t="s">
        <v>682</v>
      </c>
      <c r="F120">
        <v>2829</v>
      </c>
      <c r="G120">
        <v>2832</v>
      </c>
      <c r="H120">
        <v>2811</v>
      </c>
      <c r="I120">
        <v>2827</v>
      </c>
      <c r="J120">
        <v>155800</v>
      </c>
    </row>
    <row r="121" spans="4:10">
      <c r="D121" t="s">
        <v>701</v>
      </c>
      <c r="E121" t="s">
        <v>683</v>
      </c>
      <c r="F121">
        <v>2827</v>
      </c>
      <c r="G121">
        <v>2846.5</v>
      </c>
      <c r="H121">
        <v>2824</v>
      </c>
      <c r="I121">
        <v>2834</v>
      </c>
      <c r="J121">
        <v>182900</v>
      </c>
    </row>
    <row r="122" spans="4:10">
      <c r="D122" t="s">
        <v>701</v>
      </c>
      <c r="E122" t="s">
        <v>684</v>
      </c>
      <c r="F122">
        <v>2833.5</v>
      </c>
      <c r="G122">
        <v>2833.5</v>
      </c>
      <c r="H122">
        <v>2816</v>
      </c>
      <c r="I122">
        <v>2820</v>
      </c>
      <c r="J122">
        <v>137800</v>
      </c>
    </row>
    <row r="123" spans="4:10">
      <c r="D123" t="s">
        <v>701</v>
      </c>
      <c r="E123" t="s">
        <v>685</v>
      </c>
      <c r="F123">
        <v>2820</v>
      </c>
      <c r="G123">
        <v>2874</v>
      </c>
      <c r="H123">
        <v>2819.5</v>
      </c>
      <c r="I123">
        <v>2867</v>
      </c>
      <c r="J123">
        <v>317700</v>
      </c>
    </row>
    <row r="124" spans="4:10">
      <c r="D124" t="s">
        <v>701</v>
      </c>
      <c r="E124" t="s">
        <v>686</v>
      </c>
      <c r="F124">
        <v>2866.5</v>
      </c>
      <c r="G124">
        <v>2910.5</v>
      </c>
      <c r="H124">
        <v>2866.5</v>
      </c>
      <c r="I124">
        <v>2908.5</v>
      </c>
      <c r="J124">
        <v>404900</v>
      </c>
    </row>
    <row r="125" spans="4:10">
      <c r="D125" t="s">
        <v>701</v>
      </c>
      <c r="E125" t="s">
        <v>687</v>
      </c>
      <c r="F125">
        <v>2909</v>
      </c>
      <c r="G125">
        <v>2931</v>
      </c>
      <c r="H125">
        <v>2905</v>
      </c>
      <c r="I125">
        <v>2930</v>
      </c>
      <c r="J125">
        <v>332300</v>
      </c>
    </row>
    <row r="126" spans="4:10">
      <c r="D126" t="s">
        <v>701</v>
      </c>
      <c r="E126" t="s">
        <v>688</v>
      </c>
      <c r="F126">
        <v>2930</v>
      </c>
      <c r="G126">
        <v>2947.5</v>
      </c>
      <c r="H126">
        <v>2915</v>
      </c>
      <c r="I126">
        <v>2918.5</v>
      </c>
      <c r="J126">
        <v>307800</v>
      </c>
    </row>
    <row r="127" spans="4:10">
      <c r="D127" t="s">
        <v>701</v>
      </c>
      <c r="E127" t="s">
        <v>689</v>
      </c>
      <c r="F127">
        <v>2919</v>
      </c>
      <c r="G127">
        <v>2944.5</v>
      </c>
      <c r="H127">
        <v>2908</v>
      </c>
      <c r="I127">
        <v>2929.5</v>
      </c>
      <c r="J127">
        <v>256200</v>
      </c>
    </row>
    <row r="128" spans="4:10">
      <c r="D128" t="s">
        <v>701</v>
      </c>
      <c r="E128" t="s">
        <v>690</v>
      </c>
      <c r="F128">
        <v>2930</v>
      </c>
      <c r="G128">
        <v>2947</v>
      </c>
      <c r="H128">
        <v>2918.5</v>
      </c>
      <c r="I128">
        <v>2934</v>
      </c>
      <c r="J128">
        <v>231500</v>
      </c>
    </row>
    <row r="129" spans="4:10">
      <c r="D129" t="s">
        <v>701</v>
      </c>
      <c r="E129" t="s">
        <v>691</v>
      </c>
      <c r="F129">
        <v>2933.5</v>
      </c>
      <c r="G129">
        <v>2939.5</v>
      </c>
      <c r="H129">
        <v>2900.5</v>
      </c>
      <c r="I129">
        <v>2907.5</v>
      </c>
      <c r="J129">
        <v>238900</v>
      </c>
    </row>
    <row r="130" spans="4:10">
      <c r="D130" t="s">
        <v>701</v>
      </c>
      <c r="E130" t="s">
        <v>692</v>
      </c>
      <c r="F130">
        <v>2908</v>
      </c>
      <c r="G130">
        <v>2919</v>
      </c>
      <c r="H130">
        <v>2897.5</v>
      </c>
      <c r="I130">
        <v>2912.5</v>
      </c>
      <c r="J130">
        <v>237400</v>
      </c>
    </row>
    <row r="131" spans="4:10">
      <c r="D131" t="s">
        <v>701</v>
      </c>
      <c r="E131" t="s">
        <v>693</v>
      </c>
      <c r="F131">
        <v>2913</v>
      </c>
      <c r="G131">
        <v>2937</v>
      </c>
      <c r="H131">
        <v>2910.5</v>
      </c>
      <c r="I131">
        <v>2922.5</v>
      </c>
      <c r="J131">
        <v>219300</v>
      </c>
    </row>
    <row r="132" spans="4:10">
      <c r="D132" t="s">
        <v>701</v>
      </c>
      <c r="E132" t="s">
        <v>694</v>
      </c>
      <c r="F132">
        <v>2923</v>
      </c>
      <c r="G132">
        <v>2925.5</v>
      </c>
      <c r="H132">
        <v>2892</v>
      </c>
      <c r="I132">
        <v>2899</v>
      </c>
      <c r="J132">
        <v>441600</v>
      </c>
    </row>
    <row r="133" spans="4:10">
      <c r="D133" t="s">
        <v>701</v>
      </c>
      <c r="E133" t="s">
        <v>695</v>
      </c>
      <c r="F133">
        <v>2899.5</v>
      </c>
      <c r="G133">
        <v>2929</v>
      </c>
      <c r="H133">
        <v>2895.5</v>
      </c>
      <c r="I133">
        <v>2920</v>
      </c>
      <c r="J133">
        <v>308800</v>
      </c>
    </row>
    <row r="134" spans="4:10">
      <c r="D134" t="s">
        <v>701</v>
      </c>
      <c r="E134" t="s">
        <v>696</v>
      </c>
      <c r="F134">
        <v>2919.5</v>
      </c>
      <c r="G134">
        <v>2919.5</v>
      </c>
      <c r="H134">
        <v>2901</v>
      </c>
      <c r="I134">
        <v>2912</v>
      </c>
      <c r="J134">
        <v>157800</v>
      </c>
    </row>
    <row r="135" spans="4:10">
      <c r="D135" t="s">
        <v>701</v>
      </c>
      <c r="E135" t="s">
        <v>697</v>
      </c>
      <c r="F135">
        <v>2912</v>
      </c>
      <c r="G135">
        <v>2936</v>
      </c>
      <c r="H135">
        <v>2911</v>
      </c>
      <c r="I135">
        <v>2925</v>
      </c>
      <c r="J135">
        <v>207700</v>
      </c>
    </row>
    <row r="136" spans="4:10">
      <c r="D136" t="s">
        <v>701</v>
      </c>
      <c r="E136" t="s">
        <v>698</v>
      </c>
      <c r="F136">
        <v>2925.5</v>
      </c>
      <c r="G136">
        <v>2927</v>
      </c>
      <c r="H136">
        <v>2901.5</v>
      </c>
      <c r="I136">
        <v>2918.5</v>
      </c>
      <c r="J136">
        <v>263600</v>
      </c>
    </row>
    <row r="137" spans="4:10">
      <c r="D137" t="s">
        <v>701</v>
      </c>
      <c r="E137" t="s">
        <v>699</v>
      </c>
      <c r="F137">
        <v>2918</v>
      </c>
      <c r="G137">
        <v>2919</v>
      </c>
      <c r="H137">
        <v>2895.5</v>
      </c>
      <c r="I137">
        <v>2895.5</v>
      </c>
      <c r="J137">
        <v>210600</v>
      </c>
    </row>
    <row r="138" spans="4:10">
      <c r="D138" t="s">
        <v>701</v>
      </c>
      <c r="E138" t="s">
        <v>700</v>
      </c>
      <c r="F138">
        <v>2896</v>
      </c>
      <c r="G138">
        <v>2906.5</v>
      </c>
      <c r="H138">
        <v>2880.5</v>
      </c>
      <c r="I138">
        <v>2883</v>
      </c>
      <c r="J138">
        <v>272600</v>
      </c>
    </row>
    <row r="139" spans="4:10">
      <c r="D139" t="s">
        <v>701</v>
      </c>
      <c r="E139" t="s">
        <v>633</v>
      </c>
      <c r="F139">
        <v>2882.5</v>
      </c>
      <c r="G139">
        <v>2885.5</v>
      </c>
      <c r="H139">
        <v>2862</v>
      </c>
      <c r="I139">
        <v>2875.5</v>
      </c>
      <c r="J139">
        <v>284500</v>
      </c>
    </row>
    <row r="140" spans="4:10">
      <c r="D140" t="s">
        <v>701</v>
      </c>
      <c r="E140" t="s">
        <v>634</v>
      </c>
      <c r="F140">
        <v>2874.5</v>
      </c>
      <c r="G140">
        <v>2904.5</v>
      </c>
      <c r="H140">
        <v>2867</v>
      </c>
      <c r="I140">
        <v>2897</v>
      </c>
      <c r="J140">
        <v>294600</v>
      </c>
    </row>
    <row r="141" spans="4:10">
      <c r="D141" t="s">
        <v>701</v>
      </c>
      <c r="E141" t="s">
        <v>635</v>
      </c>
      <c r="F141">
        <v>2896.5</v>
      </c>
      <c r="G141">
        <v>2908.5</v>
      </c>
      <c r="H141">
        <v>2890.5</v>
      </c>
      <c r="I141">
        <v>2903.5</v>
      </c>
      <c r="J141">
        <v>414600</v>
      </c>
    </row>
    <row r="142" spans="4:10">
      <c r="D142" t="s">
        <v>701</v>
      </c>
      <c r="E142" t="s">
        <v>614</v>
      </c>
      <c r="F142">
        <v>2904</v>
      </c>
      <c r="G142">
        <v>2948</v>
      </c>
      <c r="H142">
        <v>2902</v>
      </c>
      <c r="I142">
        <v>2922</v>
      </c>
      <c r="J142">
        <v>743900</v>
      </c>
    </row>
    <row r="143" spans="4:10">
      <c r="D143" t="s">
        <v>701</v>
      </c>
      <c r="E143" t="s">
        <v>636</v>
      </c>
      <c r="F143" t="s">
        <v>35</v>
      </c>
      <c r="G143" t="s">
        <v>35</v>
      </c>
      <c r="H143" t="s">
        <v>35</v>
      </c>
      <c r="I143" t="s">
        <v>35</v>
      </c>
      <c r="J143">
        <v>0</v>
      </c>
    </row>
    <row r="144" spans="4:10">
      <c r="D144" t="s">
        <v>701</v>
      </c>
      <c r="E144" t="s">
        <v>637</v>
      </c>
      <c r="F144">
        <v>2948.5</v>
      </c>
      <c r="G144">
        <v>2948.5</v>
      </c>
      <c r="H144">
        <v>2948.5</v>
      </c>
      <c r="I144">
        <v>2948.5</v>
      </c>
      <c r="J144">
        <v>1249800</v>
      </c>
    </row>
    <row r="145" spans="4:10">
      <c r="D145" t="s">
        <v>702</v>
      </c>
      <c r="E145" t="s">
        <v>639</v>
      </c>
      <c r="F145">
        <v>2946</v>
      </c>
      <c r="G145">
        <v>2960</v>
      </c>
      <c r="H145">
        <v>2760</v>
      </c>
      <c r="I145">
        <v>2781</v>
      </c>
      <c r="J145">
        <v>1206400</v>
      </c>
    </row>
    <row r="146" spans="4:10">
      <c r="D146" t="s">
        <v>702</v>
      </c>
      <c r="E146" t="s">
        <v>640</v>
      </c>
      <c r="F146">
        <v>2780</v>
      </c>
      <c r="G146">
        <v>2833</v>
      </c>
      <c r="H146">
        <v>2768.5</v>
      </c>
      <c r="I146">
        <v>2829</v>
      </c>
      <c r="J146">
        <v>614200</v>
      </c>
    </row>
    <row r="147" spans="4:10">
      <c r="D147" t="s">
        <v>702</v>
      </c>
      <c r="E147" t="s">
        <v>641</v>
      </c>
      <c r="F147">
        <v>2829.5</v>
      </c>
      <c r="G147">
        <v>2849.5</v>
      </c>
      <c r="H147">
        <v>2795.5</v>
      </c>
      <c r="I147">
        <v>2805</v>
      </c>
      <c r="J147">
        <v>675300</v>
      </c>
    </row>
    <row r="148" spans="4:10">
      <c r="D148" t="s">
        <v>702</v>
      </c>
      <c r="E148" t="s">
        <v>642</v>
      </c>
      <c r="F148">
        <v>2805</v>
      </c>
      <c r="G148">
        <v>2869.5</v>
      </c>
      <c r="H148">
        <v>2790</v>
      </c>
      <c r="I148">
        <v>2851</v>
      </c>
      <c r="J148">
        <v>789300</v>
      </c>
    </row>
    <row r="149" spans="4:10">
      <c r="D149" t="s">
        <v>702</v>
      </c>
      <c r="E149" t="s">
        <v>643</v>
      </c>
      <c r="F149">
        <v>2849.5</v>
      </c>
      <c r="G149">
        <v>2925</v>
      </c>
      <c r="H149">
        <v>2846.5</v>
      </c>
      <c r="I149">
        <v>2924.5</v>
      </c>
      <c r="J149">
        <v>697700</v>
      </c>
    </row>
    <row r="150" spans="4:10">
      <c r="D150" t="s">
        <v>702</v>
      </c>
      <c r="E150" t="s">
        <v>644</v>
      </c>
      <c r="F150">
        <v>2923.5</v>
      </c>
      <c r="G150">
        <v>2965</v>
      </c>
      <c r="H150">
        <v>2922.5</v>
      </c>
      <c r="I150">
        <v>2959</v>
      </c>
      <c r="J150">
        <v>563300</v>
      </c>
    </row>
    <row r="151" spans="4:10">
      <c r="D151" t="s">
        <v>702</v>
      </c>
      <c r="E151" t="s">
        <v>645</v>
      </c>
      <c r="F151">
        <v>2959.5</v>
      </c>
      <c r="G151">
        <v>2960</v>
      </c>
      <c r="H151">
        <v>2890.5</v>
      </c>
      <c r="I151">
        <v>2894.5</v>
      </c>
      <c r="J151">
        <v>596100</v>
      </c>
    </row>
    <row r="152" spans="4:10">
      <c r="D152" t="s">
        <v>702</v>
      </c>
      <c r="E152" t="s">
        <v>646</v>
      </c>
      <c r="F152">
        <v>2894</v>
      </c>
      <c r="G152">
        <v>2895</v>
      </c>
      <c r="H152">
        <v>2825.5</v>
      </c>
      <c r="I152">
        <v>2840.5</v>
      </c>
      <c r="J152">
        <v>576300</v>
      </c>
    </row>
    <row r="153" spans="4:10">
      <c r="D153" t="s">
        <v>702</v>
      </c>
      <c r="E153" t="s">
        <v>647</v>
      </c>
      <c r="F153">
        <v>2840.5</v>
      </c>
      <c r="G153">
        <v>2848</v>
      </c>
      <c r="H153">
        <v>2815.5</v>
      </c>
      <c r="I153">
        <v>2848</v>
      </c>
      <c r="J153">
        <v>492500</v>
      </c>
    </row>
    <row r="154" spans="4:10">
      <c r="D154" t="s">
        <v>702</v>
      </c>
      <c r="E154" t="s">
        <v>648</v>
      </c>
      <c r="F154">
        <v>2847</v>
      </c>
      <c r="G154">
        <v>2888</v>
      </c>
      <c r="H154">
        <v>2839</v>
      </c>
      <c r="I154">
        <v>2880</v>
      </c>
      <c r="J154">
        <v>580600</v>
      </c>
    </row>
    <row r="155" spans="4:10">
      <c r="D155" t="s">
        <v>702</v>
      </c>
      <c r="E155" t="s">
        <v>649</v>
      </c>
      <c r="F155">
        <v>2878.5</v>
      </c>
      <c r="G155">
        <v>2899.5</v>
      </c>
      <c r="H155">
        <v>2864</v>
      </c>
      <c r="I155">
        <v>2896</v>
      </c>
      <c r="J155">
        <v>432300</v>
      </c>
    </row>
    <row r="156" spans="4:10">
      <c r="D156" t="s">
        <v>702</v>
      </c>
      <c r="E156" t="s">
        <v>650</v>
      </c>
      <c r="F156">
        <v>2896</v>
      </c>
      <c r="G156">
        <v>2917.5</v>
      </c>
      <c r="H156">
        <v>2876.5</v>
      </c>
      <c r="I156">
        <v>2911.5</v>
      </c>
      <c r="J156">
        <v>366700</v>
      </c>
    </row>
    <row r="157" spans="4:10">
      <c r="D157" t="s">
        <v>702</v>
      </c>
      <c r="E157" t="s">
        <v>651</v>
      </c>
      <c r="F157">
        <v>2911.5</v>
      </c>
      <c r="G157">
        <v>2960</v>
      </c>
      <c r="H157">
        <v>2909</v>
      </c>
      <c r="I157">
        <v>2951.5</v>
      </c>
      <c r="J157">
        <v>471600</v>
      </c>
    </row>
    <row r="158" spans="4:10">
      <c r="D158" t="s">
        <v>702</v>
      </c>
      <c r="E158" t="s">
        <v>652</v>
      </c>
      <c r="F158">
        <v>2951.5</v>
      </c>
      <c r="G158">
        <v>2980</v>
      </c>
      <c r="H158">
        <v>2937.5</v>
      </c>
      <c r="I158">
        <v>2938.5</v>
      </c>
      <c r="J158">
        <v>571700</v>
      </c>
    </row>
    <row r="159" spans="4:10">
      <c r="D159" t="s">
        <v>702</v>
      </c>
      <c r="E159" t="s">
        <v>653</v>
      </c>
      <c r="F159">
        <v>2939</v>
      </c>
      <c r="G159">
        <v>2949</v>
      </c>
      <c r="H159">
        <v>2917.5</v>
      </c>
      <c r="I159">
        <v>2944</v>
      </c>
      <c r="J159">
        <v>510400</v>
      </c>
    </row>
    <row r="160" spans="4:10">
      <c r="D160" t="s">
        <v>702</v>
      </c>
      <c r="E160" t="s">
        <v>654</v>
      </c>
      <c r="F160">
        <v>2944.5</v>
      </c>
      <c r="G160">
        <v>2948</v>
      </c>
      <c r="H160">
        <v>2896</v>
      </c>
      <c r="I160">
        <v>2914</v>
      </c>
      <c r="J160">
        <v>575800</v>
      </c>
    </row>
    <row r="161" spans="4:10">
      <c r="D161" t="s">
        <v>702</v>
      </c>
      <c r="E161" t="s">
        <v>655</v>
      </c>
      <c r="F161">
        <v>2914</v>
      </c>
      <c r="G161">
        <v>2934</v>
      </c>
      <c r="H161">
        <v>2896</v>
      </c>
      <c r="I161">
        <v>2916.5</v>
      </c>
      <c r="J161">
        <v>450300</v>
      </c>
    </row>
    <row r="162" spans="4:10">
      <c r="D162" t="s">
        <v>702</v>
      </c>
      <c r="E162" t="s">
        <v>656</v>
      </c>
      <c r="F162">
        <v>2916</v>
      </c>
      <c r="G162">
        <v>2952</v>
      </c>
      <c r="H162">
        <v>2907.5</v>
      </c>
      <c r="I162">
        <v>2949</v>
      </c>
      <c r="J162">
        <v>365600</v>
      </c>
    </row>
    <row r="163" spans="4:10">
      <c r="D163" t="s">
        <v>702</v>
      </c>
      <c r="E163" t="s">
        <v>657</v>
      </c>
      <c r="F163">
        <v>2948</v>
      </c>
      <c r="G163">
        <v>2979</v>
      </c>
      <c r="H163">
        <v>2937</v>
      </c>
      <c r="I163">
        <v>2973.5</v>
      </c>
      <c r="J163">
        <v>445900</v>
      </c>
    </row>
    <row r="164" spans="4:10">
      <c r="D164" t="s">
        <v>702</v>
      </c>
      <c r="E164" t="s">
        <v>658</v>
      </c>
      <c r="F164">
        <v>2973</v>
      </c>
      <c r="G164">
        <v>3026</v>
      </c>
      <c r="H164">
        <v>2971</v>
      </c>
      <c r="I164">
        <v>3007</v>
      </c>
      <c r="J164">
        <v>787300</v>
      </c>
    </row>
    <row r="165" spans="4:10">
      <c r="D165" t="s">
        <v>702</v>
      </c>
      <c r="E165" t="s">
        <v>659</v>
      </c>
      <c r="F165">
        <v>3008</v>
      </c>
      <c r="G165">
        <v>3024</v>
      </c>
      <c r="H165">
        <v>3001</v>
      </c>
      <c r="I165">
        <v>3005</v>
      </c>
      <c r="J165">
        <v>269800</v>
      </c>
    </row>
    <row r="166" spans="4:10">
      <c r="D166" t="s">
        <v>702</v>
      </c>
      <c r="E166" t="s">
        <v>660</v>
      </c>
      <c r="F166">
        <v>3004</v>
      </c>
      <c r="G166">
        <v>3012</v>
      </c>
      <c r="H166">
        <v>2980.5</v>
      </c>
      <c r="I166">
        <v>3004</v>
      </c>
      <c r="J166">
        <v>420900</v>
      </c>
    </row>
    <row r="167" spans="4:10">
      <c r="D167" t="s">
        <v>702</v>
      </c>
      <c r="E167" t="s">
        <v>661</v>
      </c>
      <c r="F167">
        <v>3004</v>
      </c>
      <c r="G167">
        <v>3033</v>
      </c>
      <c r="H167">
        <v>2963</v>
      </c>
      <c r="I167">
        <v>2982.5</v>
      </c>
      <c r="J167">
        <v>481800</v>
      </c>
    </row>
    <row r="168" spans="4:10">
      <c r="D168" t="s">
        <v>702</v>
      </c>
      <c r="E168" t="s">
        <v>662</v>
      </c>
      <c r="F168">
        <v>2982.5</v>
      </c>
      <c r="G168">
        <v>2993.5</v>
      </c>
      <c r="H168">
        <v>2957.5</v>
      </c>
      <c r="I168">
        <v>2961</v>
      </c>
      <c r="J168">
        <v>279600</v>
      </c>
    </row>
    <row r="169" spans="4:10">
      <c r="D169" t="s">
        <v>702</v>
      </c>
      <c r="E169" t="s">
        <v>663</v>
      </c>
      <c r="F169">
        <v>2962</v>
      </c>
      <c r="G169">
        <v>2984</v>
      </c>
      <c r="H169">
        <v>2940</v>
      </c>
      <c r="I169">
        <v>2945</v>
      </c>
      <c r="J169">
        <v>326900</v>
      </c>
    </row>
    <row r="170" spans="4:10">
      <c r="D170" t="s">
        <v>702</v>
      </c>
      <c r="E170" t="s">
        <v>664</v>
      </c>
      <c r="F170">
        <v>2945</v>
      </c>
      <c r="G170">
        <v>2946</v>
      </c>
      <c r="H170">
        <v>2917</v>
      </c>
      <c r="I170">
        <v>2921.5</v>
      </c>
      <c r="J170">
        <v>360800</v>
      </c>
    </row>
    <row r="171" spans="4:10">
      <c r="D171" t="s">
        <v>702</v>
      </c>
      <c r="E171" t="s">
        <v>665</v>
      </c>
      <c r="F171">
        <v>2922</v>
      </c>
      <c r="G171">
        <v>2924</v>
      </c>
      <c r="H171">
        <v>2887.5</v>
      </c>
      <c r="I171">
        <v>2894</v>
      </c>
      <c r="J171">
        <v>298500</v>
      </c>
    </row>
    <row r="172" spans="4:10">
      <c r="D172" t="s">
        <v>702</v>
      </c>
      <c r="E172" t="s">
        <v>666</v>
      </c>
      <c r="F172">
        <v>2893.5</v>
      </c>
      <c r="G172">
        <v>2914</v>
      </c>
      <c r="H172">
        <v>2884</v>
      </c>
      <c r="I172">
        <v>2885.5</v>
      </c>
      <c r="J172">
        <v>269300</v>
      </c>
    </row>
    <row r="173" spans="4:10">
      <c r="D173" t="s">
        <v>702</v>
      </c>
      <c r="E173" t="s">
        <v>667</v>
      </c>
      <c r="F173">
        <v>2885</v>
      </c>
      <c r="G173">
        <v>2908</v>
      </c>
      <c r="H173">
        <v>2884</v>
      </c>
      <c r="I173">
        <v>2898.5</v>
      </c>
      <c r="J173">
        <v>239900</v>
      </c>
    </row>
    <row r="174" spans="4:10">
      <c r="D174" t="s">
        <v>702</v>
      </c>
      <c r="E174" t="s">
        <v>668</v>
      </c>
      <c r="F174">
        <v>2898</v>
      </c>
      <c r="G174">
        <v>2903</v>
      </c>
      <c r="H174">
        <v>2882</v>
      </c>
      <c r="I174">
        <v>2890.5</v>
      </c>
      <c r="J174">
        <v>161500</v>
      </c>
    </row>
    <row r="175" spans="4:10">
      <c r="D175" t="s">
        <v>702</v>
      </c>
      <c r="E175" t="s">
        <v>669</v>
      </c>
      <c r="F175">
        <v>2892.5</v>
      </c>
      <c r="G175">
        <v>2892.5</v>
      </c>
      <c r="H175">
        <v>2892.5</v>
      </c>
      <c r="I175">
        <v>2892.5</v>
      </c>
      <c r="J175">
        <v>9500</v>
      </c>
    </row>
    <row r="176" spans="4:10">
      <c r="D176" t="s">
        <v>702</v>
      </c>
      <c r="E176" t="s">
        <v>670</v>
      </c>
      <c r="F176">
        <v>2871</v>
      </c>
      <c r="G176">
        <v>2872</v>
      </c>
      <c r="H176">
        <v>2816</v>
      </c>
      <c r="I176">
        <v>2857.5</v>
      </c>
      <c r="J176">
        <v>660600</v>
      </c>
    </row>
    <row r="177" spans="4:10">
      <c r="D177" t="s">
        <v>702</v>
      </c>
      <c r="E177" t="s">
        <v>671</v>
      </c>
      <c r="F177">
        <v>2858</v>
      </c>
      <c r="G177">
        <v>2874</v>
      </c>
      <c r="H177">
        <v>2835</v>
      </c>
      <c r="I177">
        <v>2838.5</v>
      </c>
      <c r="J177">
        <v>343500</v>
      </c>
    </row>
    <row r="178" spans="4:10">
      <c r="D178" t="s">
        <v>702</v>
      </c>
      <c r="E178" t="s">
        <v>672</v>
      </c>
      <c r="F178">
        <v>2837.5</v>
      </c>
      <c r="G178">
        <v>2867.5</v>
      </c>
      <c r="H178">
        <v>2829.5</v>
      </c>
      <c r="I178">
        <v>2854.5</v>
      </c>
      <c r="J178">
        <v>331500</v>
      </c>
    </row>
    <row r="179" spans="4:10">
      <c r="D179" t="s">
        <v>702</v>
      </c>
      <c r="E179" t="s">
        <v>673</v>
      </c>
      <c r="F179">
        <v>2854.5</v>
      </c>
      <c r="G179">
        <v>2859</v>
      </c>
      <c r="H179">
        <v>2832</v>
      </c>
      <c r="I179">
        <v>2854</v>
      </c>
      <c r="J179">
        <v>242100</v>
      </c>
    </row>
    <row r="180" spans="4:10">
      <c r="D180" t="s">
        <v>702</v>
      </c>
      <c r="E180" t="s">
        <v>674</v>
      </c>
      <c r="F180">
        <v>2854</v>
      </c>
      <c r="G180">
        <v>2864</v>
      </c>
      <c r="H180">
        <v>2851</v>
      </c>
      <c r="I180">
        <v>2854.5</v>
      </c>
      <c r="J180">
        <v>198100</v>
      </c>
    </row>
    <row r="181" spans="4:10">
      <c r="D181" t="s">
        <v>702</v>
      </c>
      <c r="E181" t="s">
        <v>675</v>
      </c>
      <c r="F181">
        <v>2854.5</v>
      </c>
      <c r="G181">
        <v>2877</v>
      </c>
      <c r="H181">
        <v>2847.5</v>
      </c>
      <c r="I181">
        <v>2863</v>
      </c>
      <c r="J181">
        <v>245600</v>
      </c>
    </row>
    <row r="182" spans="4:10">
      <c r="D182" t="s">
        <v>702</v>
      </c>
      <c r="E182" t="s">
        <v>676</v>
      </c>
      <c r="F182">
        <v>2864</v>
      </c>
      <c r="G182">
        <v>2881.5</v>
      </c>
      <c r="H182">
        <v>2850</v>
      </c>
      <c r="I182">
        <v>2873.5</v>
      </c>
      <c r="J182">
        <v>189800</v>
      </c>
    </row>
    <row r="183" spans="4:10">
      <c r="D183" t="s">
        <v>702</v>
      </c>
      <c r="E183" t="s">
        <v>677</v>
      </c>
      <c r="F183">
        <v>2873</v>
      </c>
      <c r="G183">
        <v>2877</v>
      </c>
      <c r="H183">
        <v>2859</v>
      </c>
      <c r="I183">
        <v>2862.5</v>
      </c>
      <c r="J183">
        <v>133400</v>
      </c>
    </row>
    <row r="184" spans="4:10">
      <c r="D184" t="s">
        <v>702</v>
      </c>
      <c r="E184" t="s">
        <v>678</v>
      </c>
      <c r="F184">
        <v>2863</v>
      </c>
      <c r="G184">
        <v>2873.5</v>
      </c>
      <c r="H184">
        <v>2860.5</v>
      </c>
      <c r="I184">
        <v>2860.5</v>
      </c>
      <c r="J184">
        <v>115400</v>
      </c>
    </row>
    <row r="185" spans="4:10">
      <c r="D185" t="s">
        <v>702</v>
      </c>
      <c r="E185" t="s">
        <v>679</v>
      </c>
      <c r="F185">
        <v>2861</v>
      </c>
      <c r="G185">
        <v>2861.5</v>
      </c>
      <c r="H185">
        <v>2851</v>
      </c>
      <c r="I185">
        <v>2860.5</v>
      </c>
      <c r="J185">
        <v>159200</v>
      </c>
    </row>
    <row r="186" spans="4:10">
      <c r="D186" t="s">
        <v>702</v>
      </c>
      <c r="E186" t="s">
        <v>680</v>
      </c>
      <c r="F186">
        <v>2860</v>
      </c>
      <c r="G186">
        <v>2877</v>
      </c>
      <c r="H186">
        <v>2854.5</v>
      </c>
      <c r="I186">
        <v>2865</v>
      </c>
      <c r="J186">
        <v>147800</v>
      </c>
    </row>
    <row r="187" spans="4:10">
      <c r="D187" t="s">
        <v>702</v>
      </c>
      <c r="E187" t="s">
        <v>681</v>
      </c>
      <c r="F187">
        <v>2865.5</v>
      </c>
      <c r="G187">
        <v>2886</v>
      </c>
      <c r="H187">
        <v>2863.5</v>
      </c>
      <c r="I187">
        <v>2882.5</v>
      </c>
      <c r="J187">
        <v>144200</v>
      </c>
    </row>
    <row r="188" spans="4:10">
      <c r="D188" t="s">
        <v>702</v>
      </c>
      <c r="E188" t="s">
        <v>682</v>
      </c>
      <c r="F188">
        <v>2882.5</v>
      </c>
      <c r="G188">
        <v>2897</v>
      </c>
      <c r="H188">
        <v>2877.5</v>
      </c>
      <c r="I188">
        <v>2883</v>
      </c>
      <c r="J188">
        <v>176900</v>
      </c>
    </row>
    <row r="189" spans="4:10">
      <c r="D189" t="s">
        <v>702</v>
      </c>
      <c r="E189" t="s">
        <v>683</v>
      </c>
      <c r="F189">
        <v>2883</v>
      </c>
      <c r="G189">
        <v>2890</v>
      </c>
      <c r="H189">
        <v>2852</v>
      </c>
      <c r="I189">
        <v>2857</v>
      </c>
      <c r="J189">
        <v>235500</v>
      </c>
    </row>
    <row r="190" spans="4:10">
      <c r="D190" t="s">
        <v>702</v>
      </c>
      <c r="E190" t="s">
        <v>684</v>
      </c>
      <c r="F190">
        <v>2856.5</v>
      </c>
      <c r="G190">
        <v>2859.5</v>
      </c>
      <c r="H190">
        <v>2838</v>
      </c>
      <c r="I190">
        <v>2846.5</v>
      </c>
      <c r="J190">
        <v>276300</v>
      </c>
    </row>
    <row r="191" spans="4:10">
      <c r="D191" t="s">
        <v>702</v>
      </c>
      <c r="E191" t="s">
        <v>685</v>
      </c>
      <c r="F191">
        <v>2846</v>
      </c>
      <c r="G191">
        <v>2861.5</v>
      </c>
      <c r="H191">
        <v>2843.5</v>
      </c>
      <c r="I191">
        <v>2845</v>
      </c>
      <c r="J191">
        <v>186300</v>
      </c>
    </row>
    <row r="192" spans="4:10">
      <c r="D192" t="s">
        <v>702</v>
      </c>
      <c r="E192" t="s">
        <v>686</v>
      </c>
      <c r="F192">
        <v>2844.5</v>
      </c>
      <c r="G192">
        <v>2846</v>
      </c>
      <c r="H192">
        <v>2829.5</v>
      </c>
      <c r="I192">
        <v>2842</v>
      </c>
      <c r="J192">
        <v>245000</v>
      </c>
    </row>
    <row r="193" spans="4:10">
      <c r="D193" t="s">
        <v>702</v>
      </c>
      <c r="E193" t="s">
        <v>687</v>
      </c>
      <c r="F193">
        <v>2840.5</v>
      </c>
      <c r="G193">
        <v>2841</v>
      </c>
      <c r="H193">
        <v>2820</v>
      </c>
      <c r="I193">
        <v>2826.5</v>
      </c>
      <c r="J193">
        <v>197300</v>
      </c>
    </row>
    <row r="194" spans="4:10">
      <c r="D194" t="s">
        <v>702</v>
      </c>
      <c r="E194" t="s">
        <v>688</v>
      </c>
      <c r="F194">
        <v>2827</v>
      </c>
      <c r="G194">
        <v>2838.5</v>
      </c>
      <c r="H194">
        <v>2818.5</v>
      </c>
      <c r="I194">
        <v>2824.5</v>
      </c>
      <c r="J194">
        <v>223700</v>
      </c>
    </row>
    <row r="195" spans="4:10">
      <c r="D195" t="s">
        <v>702</v>
      </c>
      <c r="E195" t="s">
        <v>689</v>
      </c>
      <c r="F195">
        <v>2825</v>
      </c>
      <c r="G195">
        <v>2836</v>
      </c>
      <c r="H195">
        <v>2819.5</v>
      </c>
      <c r="I195">
        <v>2836</v>
      </c>
      <c r="J195">
        <v>179600</v>
      </c>
    </row>
    <row r="196" spans="4:10">
      <c r="D196" t="s">
        <v>702</v>
      </c>
      <c r="E196" t="s">
        <v>690</v>
      </c>
      <c r="F196">
        <v>2836</v>
      </c>
      <c r="G196">
        <v>2848.5</v>
      </c>
      <c r="H196">
        <v>2830</v>
      </c>
      <c r="I196">
        <v>2848.5</v>
      </c>
      <c r="J196">
        <v>200600</v>
      </c>
    </row>
    <row r="197" spans="4:10">
      <c r="D197" t="s">
        <v>702</v>
      </c>
      <c r="E197" t="s">
        <v>691</v>
      </c>
      <c r="F197">
        <v>2849</v>
      </c>
      <c r="G197">
        <v>2862</v>
      </c>
      <c r="H197">
        <v>2844.5</v>
      </c>
      <c r="I197">
        <v>2860.5</v>
      </c>
      <c r="J197">
        <v>222100</v>
      </c>
    </row>
    <row r="198" spans="4:10">
      <c r="D198" t="s">
        <v>702</v>
      </c>
      <c r="E198" t="s">
        <v>692</v>
      </c>
      <c r="F198">
        <v>2859.5</v>
      </c>
      <c r="G198">
        <v>2867.5</v>
      </c>
      <c r="H198">
        <v>2851</v>
      </c>
      <c r="I198">
        <v>2866</v>
      </c>
      <c r="J198">
        <v>217500</v>
      </c>
    </row>
    <row r="199" spans="4:10">
      <c r="D199" t="s">
        <v>702</v>
      </c>
      <c r="E199" t="s">
        <v>693</v>
      </c>
      <c r="F199">
        <v>2866</v>
      </c>
      <c r="G199">
        <v>2874</v>
      </c>
      <c r="H199">
        <v>2859.5</v>
      </c>
      <c r="I199">
        <v>2860</v>
      </c>
      <c r="J199">
        <v>186100</v>
      </c>
    </row>
    <row r="200" spans="4:10">
      <c r="D200" t="s">
        <v>702</v>
      </c>
      <c r="E200" t="s">
        <v>694</v>
      </c>
      <c r="F200">
        <v>2860</v>
      </c>
      <c r="G200">
        <v>2864.5</v>
      </c>
      <c r="H200">
        <v>2842</v>
      </c>
      <c r="I200">
        <v>2844.5</v>
      </c>
      <c r="J200">
        <v>254100</v>
      </c>
    </row>
    <row r="201" spans="4:10">
      <c r="D201" t="s">
        <v>702</v>
      </c>
      <c r="E201" t="s">
        <v>695</v>
      </c>
      <c r="F201">
        <v>2845</v>
      </c>
      <c r="G201">
        <v>2853.5</v>
      </c>
      <c r="H201">
        <v>2841</v>
      </c>
      <c r="I201">
        <v>2846.5</v>
      </c>
      <c r="J201">
        <v>226900</v>
      </c>
    </row>
    <row r="202" spans="4:10">
      <c r="D202" t="s">
        <v>702</v>
      </c>
      <c r="E202" t="s">
        <v>696</v>
      </c>
      <c r="F202">
        <v>2847</v>
      </c>
      <c r="G202">
        <v>2866.5</v>
      </c>
      <c r="H202">
        <v>2847</v>
      </c>
      <c r="I202">
        <v>2865</v>
      </c>
      <c r="J202">
        <v>225500</v>
      </c>
    </row>
    <row r="203" spans="4:10">
      <c r="D203" t="s">
        <v>702</v>
      </c>
      <c r="E203" t="s">
        <v>697</v>
      </c>
      <c r="F203">
        <v>2865.5</v>
      </c>
      <c r="G203">
        <v>2888.5</v>
      </c>
      <c r="H203">
        <v>2864.5</v>
      </c>
      <c r="I203">
        <v>2884.5</v>
      </c>
      <c r="J203">
        <v>464300</v>
      </c>
    </row>
    <row r="204" spans="4:10">
      <c r="D204" t="s">
        <v>702</v>
      </c>
      <c r="E204" t="s">
        <v>698</v>
      </c>
      <c r="F204">
        <v>2884</v>
      </c>
      <c r="G204">
        <v>2884.5</v>
      </c>
      <c r="H204">
        <v>2848</v>
      </c>
      <c r="I204">
        <v>2857.5</v>
      </c>
      <c r="J204">
        <v>279900</v>
      </c>
    </row>
    <row r="205" spans="4:10">
      <c r="D205" t="s">
        <v>702</v>
      </c>
      <c r="E205" t="s">
        <v>699</v>
      </c>
      <c r="F205">
        <v>2857</v>
      </c>
      <c r="G205">
        <v>2857.5</v>
      </c>
      <c r="H205">
        <v>2845</v>
      </c>
      <c r="I205">
        <v>2849</v>
      </c>
      <c r="J205">
        <v>263100</v>
      </c>
    </row>
    <row r="206" spans="4:10">
      <c r="D206" t="s">
        <v>702</v>
      </c>
      <c r="E206" t="s">
        <v>700</v>
      </c>
      <c r="F206">
        <v>2848</v>
      </c>
      <c r="G206">
        <v>2853.5</v>
      </c>
      <c r="H206">
        <v>2839.5</v>
      </c>
      <c r="I206">
        <v>2845</v>
      </c>
      <c r="J206">
        <v>270100</v>
      </c>
    </row>
    <row r="207" spans="4:10">
      <c r="D207" t="s">
        <v>702</v>
      </c>
      <c r="E207" t="s">
        <v>633</v>
      </c>
      <c r="F207">
        <v>2845</v>
      </c>
      <c r="G207">
        <v>2857.5</v>
      </c>
      <c r="H207">
        <v>2841.5</v>
      </c>
      <c r="I207">
        <v>2846</v>
      </c>
      <c r="J207">
        <v>257200</v>
      </c>
    </row>
    <row r="208" spans="4:10">
      <c r="D208" t="s">
        <v>702</v>
      </c>
      <c r="E208" t="s">
        <v>634</v>
      </c>
      <c r="F208">
        <v>2846.5</v>
      </c>
      <c r="G208">
        <v>2852.5</v>
      </c>
      <c r="H208">
        <v>2835</v>
      </c>
      <c r="I208">
        <v>2836.5</v>
      </c>
      <c r="J208">
        <v>301100</v>
      </c>
    </row>
    <row r="209" spans="4:10">
      <c r="D209" t="s">
        <v>702</v>
      </c>
      <c r="E209" t="s">
        <v>635</v>
      </c>
      <c r="F209">
        <v>2836</v>
      </c>
      <c r="G209">
        <v>2836</v>
      </c>
      <c r="H209">
        <v>2817.5</v>
      </c>
      <c r="I209">
        <v>2818</v>
      </c>
      <c r="J209">
        <v>378900</v>
      </c>
    </row>
    <row r="210" spans="4:10">
      <c r="D210" t="s">
        <v>702</v>
      </c>
      <c r="E210" t="s">
        <v>614</v>
      </c>
      <c r="F210">
        <v>2818</v>
      </c>
      <c r="G210">
        <v>2848.5</v>
      </c>
      <c r="H210">
        <v>2815.5</v>
      </c>
      <c r="I210">
        <v>2844.5</v>
      </c>
      <c r="J210">
        <v>368000</v>
      </c>
    </row>
    <row r="211" spans="4:10">
      <c r="D211" t="s">
        <v>702</v>
      </c>
      <c r="E211" t="s">
        <v>636</v>
      </c>
      <c r="F211" t="s">
        <v>35</v>
      </c>
      <c r="G211" t="s">
        <v>35</v>
      </c>
      <c r="H211" t="s">
        <v>35</v>
      </c>
      <c r="I211" t="s">
        <v>35</v>
      </c>
      <c r="J211">
        <v>0</v>
      </c>
    </row>
    <row r="212" spans="4:10">
      <c r="D212" t="s">
        <v>702</v>
      </c>
      <c r="E212" t="s">
        <v>637</v>
      </c>
      <c r="F212">
        <v>2856.5</v>
      </c>
      <c r="G212">
        <v>2856.5</v>
      </c>
      <c r="H212">
        <v>2856.5</v>
      </c>
      <c r="I212">
        <v>2856.5</v>
      </c>
      <c r="J212">
        <v>1315800</v>
      </c>
    </row>
    <row r="213" spans="4:10">
      <c r="D213" t="s">
        <v>703</v>
      </c>
      <c r="E213" t="s">
        <v>639</v>
      </c>
      <c r="F213" t="s">
        <v>35</v>
      </c>
      <c r="G213" t="s">
        <v>35</v>
      </c>
      <c r="H213" t="s">
        <v>35</v>
      </c>
      <c r="I213" t="s">
        <v>35</v>
      </c>
      <c r="J213">
        <v>0</v>
      </c>
    </row>
    <row r="214" spans="4:10">
      <c r="D214" t="s">
        <v>703</v>
      </c>
      <c r="E214" t="s">
        <v>640</v>
      </c>
      <c r="F214" t="s">
        <v>35</v>
      </c>
      <c r="G214" t="s">
        <v>35</v>
      </c>
      <c r="H214" t="s">
        <v>35</v>
      </c>
      <c r="I214" t="s">
        <v>35</v>
      </c>
      <c r="J214">
        <v>0</v>
      </c>
    </row>
    <row r="215" spans="4:10">
      <c r="D215" t="s">
        <v>703</v>
      </c>
      <c r="E215" t="s">
        <v>641</v>
      </c>
      <c r="F215" t="s">
        <v>35</v>
      </c>
      <c r="G215" t="s">
        <v>35</v>
      </c>
      <c r="H215" t="s">
        <v>35</v>
      </c>
      <c r="I215" t="s">
        <v>35</v>
      </c>
      <c r="J215">
        <v>0</v>
      </c>
    </row>
    <row r="216" spans="4:10">
      <c r="D216" t="s">
        <v>703</v>
      </c>
      <c r="E216" t="s">
        <v>642</v>
      </c>
      <c r="F216" t="s">
        <v>35</v>
      </c>
      <c r="G216" t="s">
        <v>35</v>
      </c>
      <c r="H216" t="s">
        <v>35</v>
      </c>
      <c r="I216" t="s">
        <v>35</v>
      </c>
      <c r="J216">
        <v>0</v>
      </c>
    </row>
    <row r="217" spans="4:10">
      <c r="D217" t="s">
        <v>703</v>
      </c>
      <c r="E217" t="s">
        <v>643</v>
      </c>
      <c r="F217">
        <v>3357</v>
      </c>
      <c r="G217">
        <v>3357</v>
      </c>
      <c r="H217">
        <v>3210</v>
      </c>
      <c r="I217">
        <v>3258</v>
      </c>
      <c r="J217">
        <v>2681200</v>
      </c>
    </row>
    <row r="218" spans="4:10">
      <c r="D218" t="s">
        <v>703</v>
      </c>
      <c r="E218" t="s">
        <v>644</v>
      </c>
      <c r="F218">
        <v>3259</v>
      </c>
      <c r="G218">
        <v>3327</v>
      </c>
      <c r="H218">
        <v>3242</v>
      </c>
      <c r="I218">
        <v>3286</v>
      </c>
      <c r="J218">
        <v>1271200</v>
      </c>
    </row>
    <row r="219" spans="4:10">
      <c r="D219" t="s">
        <v>703</v>
      </c>
      <c r="E219" t="s">
        <v>645</v>
      </c>
      <c r="F219">
        <v>3284</v>
      </c>
      <c r="G219">
        <v>3355</v>
      </c>
      <c r="H219">
        <v>3281</v>
      </c>
      <c r="I219">
        <v>3323</v>
      </c>
      <c r="J219">
        <v>1075800</v>
      </c>
    </row>
    <row r="220" spans="4:10">
      <c r="D220" t="s">
        <v>703</v>
      </c>
      <c r="E220" t="s">
        <v>646</v>
      </c>
      <c r="F220">
        <v>3321</v>
      </c>
      <c r="G220">
        <v>3332</v>
      </c>
      <c r="H220">
        <v>3289</v>
      </c>
      <c r="I220">
        <v>3307</v>
      </c>
      <c r="J220">
        <v>745200</v>
      </c>
    </row>
    <row r="221" spans="4:10">
      <c r="D221" t="s">
        <v>703</v>
      </c>
      <c r="E221" t="s">
        <v>647</v>
      </c>
      <c r="F221">
        <v>3306</v>
      </c>
      <c r="G221">
        <v>3326</v>
      </c>
      <c r="H221">
        <v>3298</v>
      </c>
      <c r="I221">
        <v>3316</v>
      </c>
      <c r="J221">
        <v>919400</v>
      </c>
    </row>
    <row r="222" spans="4:10">
      <c r="D222" t="s">
        <v>703</v>
      </c>
      <c r="E222" t="s">
        <v>648</v>
      </c>
      <c r="F222">
        <v>3316</v>
      </c>
      <c r="G222">
        <v>3327</v>
      </c>
      <c r="H222">
        <v>3272</v>
      </c>
      <c r="I222">
        <v>3288</v>
      </c>
      <c r="J222">
        <v>609000</v>
      </c>
    </row>
    <row r="223" spans="4:10">
      <c r="D223" t="s">
        <v>703</v>
      </c>
      <c r="E223" t="s">
        <v>649</v>
      </c>
      <c r="F223">
        <v>3287</v>
      </c>
      <c r="G223">
        <v>3346</v>
      </c>
      <c r="H223">
        <v>3286</v>
      </c>
      <c r="I223">
        <v>3343</v>
      </c>
      <c r="J223">
        <v>689400</v>
      </c>
    </row>
    <row r="224" spans="4:10">
      <c r="D224" t="s">
        <v>703</v>
      </c>
      <c r="E224" t="s">
        <v>650</v>
      </c>
      <c r="F224">
        <v>3343</v>
      </c>
      <c r="G224">
        <v>3355</v>
      </c>
      <c r="H224">
        <v>3324</v>
      </c>
      <c r="I224">
        <v>3342</v>
      </c>
      <c r="J224">
        <v>636700</v>
      </c>
    </row>
    <row r="225" spans="4:10">
      <c r="D225" t="s">
        <v>703</v>
      </c>
      <c r="E225" t="s">
        <v>651</v>
      </c>
      <c r="F225">
        <v>3342</v>
      </c>
      <c r="G225">
        <v>3357</v>
      </c>
      <c r="H225">
        <v>3342</v>
      </c>
      <c r="I225">
        <v>3355</v>
      </c>
      <c r="J225">
        <v>1323100</v>
      </c>
    </row>
    <row r="226" spans="4:10">
      <c r="D226" t="s">
        <v>703</v>
      </c>
      <c r="E226" t="s">
        <v>652</v>
      </c>
      <c r="F226">
        <v>3355</v>
      </c>
      <c r="G226">
        <v>3357</v>
      </c>
      <c r="H226">
        <v>3346</v>
      </c>
      <c r="I226">
        <v>3352</v>
      </c>
      <c r="J226">
        <v>812000</v>
      </c>
    </row>
    <row r="227" spans="4:10">
      <c r="D227" t="s">
        <v>703</v>
      </c>
      <c r="E227" t="s">
        <v>653</v>
      </c>
      <c r="F227">
        <v>3353</v>
      </c>
      <c r="G227">
        <v>3357</v>
      </c>
      <c r="H227">
        <v>3345</v>
      </c>
      <c r="I227">
        <v>3355</v>
      </c>
      <c r="J227">
        <v>434100</v>
      </c>
    </row>
    <row r="228" spans="4:10">
      <c r="D228" t="s">
        <v>703</v>
      </c>
      <c r="E228" t="s">
        <v>654</v>
      </c>
      <c r="F228">
        <v>3355</v>
      </c>
      <c r="G228">
        <v>3357</v>
      </c>
      <c r="H228">
        <v>3354</v>
      </c>
      <c r="I228">
        <v>3357</v>
      </c>
      <c r="J228">
        <v>615400</v>
      </c>
    </row>
    <row r="229" spans="4:10">
      <c r="D229" t="s">
        <v>703</v>
      </c>
      <c r="E229" t="s">
        <v>655</v>
      </c>
      <c r="F229" t="s">
        <v>35</v>
      </c>
      <c r="G229" t="s">
        <v>35</v>
      </c>
      <c r="H229" t="s">
        <v>35</v>
      </c>
      <c r="I229" t="s">
        <v>35</v>
      </c>
      <c r="J229">
        <v>0</v>
      </c>
    </row>
    <row r="230" spans="4:10">
      <c r="D230" t="s">
        <v>703</v>
      </c>
      <c r="E230" t="s">
        <v>656</v>
      </c>
      <c r="F230" t="s">
        <v>35</v>
      </c>
      <c r="G230" t="s">
        <v>35</v>
      </c>
      <c r="H230" t="s">
        <v>35</v>
      </c>
      <c r="I230" t="s">
        <v>35</v>
      </c>
      <c r="J230">
        <v>0</v>
      </c>
    </row>
    <row r="231" spans="4:10">
      <c r="D231" t="s">
        <v>703</v>
      </c>
      <c r="E231" t="s">
        <v>657</v>
      </c>
      <c r="F231" t="s">
        <v>35</v>
      </c>
      <c r="G231" t="s">
        <v>35</v>
      </c>
      <c r="H231" t="s">
        <v>35</v>
      </c>
      <c r="I231" t="s">
        <v>35</v>
      </c>
      <c r="J231">
        <v>0</v>
      </c>
    </row>
    <row r="232" spans="4:10">
      <c r="D232" t="s">
        <v>703</v>
      </c>
      <c r="E232" t="s">
        <v>658</v>
      </c>
      <c r="F232" t="s">
        <v>35</v>
      </c>
      <c r="G232" t="s">
        <v>35</v>
      </c>
      <c r="H232" t="s">
        <v>35</v>
      </c>
      <c r="I232" t="s">
        <v>35</v>
      </c>
      <c r="J232">
        <v>0</v>
      </c>
    </row>
    <row r="233" spans="4:10">
      <c r="D233" t="s">
        <v>703</v>
      </c>
      <c r="E233" t="s">
        <v>659</v>
      </c>
      <c r="F233" t="s">
        <v>35</v>
      </c>
      <c r="G233" t="s">
        <v>35</v>
      </c>
      <c r="H233" t="s">
        <v>35</v>
      </c>
      <c r="I233" t="s">
        <v>35</v>
      </c>
      <c r="J233">
        <v>0</v>
      </c>
    </row>
    <row r="234" spans="4:10">
      <c r="D234" t="s">
        <v>703</v>
      </c>
      <c r="E234" t="s">
        <v>660</v>
      </c>
      <c r="F234" t="s">
        <v>35</v>
      </c>
      <c r="G234" t="s">
        <v>35</v>
      </c>
      <c r="H234" t="s">
        <v>35</v>
      </c>
      <c r="I234" t="s">
        <v>35</v>
      </c>
      <c r="J234">
        <v>0</v>
      </c>
    </row>
    <row r="235" spans="4:10">
      <c r="D235" t="s">
        <v>703</v>
      </c>
      <c r="E235" t="s">
        <v>661</v>
      </c>
      <c r="F235" t="s">
        <v>35</v>
      </c>
      <c r="G235" t="s">
        <v>35</v>
      </c>
      <c r="H235" t="s">
        <v>35</v>
      </c>
      <c r="I235" t="s">
        <v>35</v>
      </c>
      <c r="J235">
        <v>0</v>
      </c>
    </row>
    <row r="236" spans="4:10">
      <c r="D236" t="s">
        <v>703</v>
      </c>
      <c r="E236" t="s">
        <v>662</v>
      </c>
      <c r="F236" t="s">
        <v>35</v>
      </c>
      <c r="G236" t="s">
        <v>35</v>
      </c>
      <c r="H236" t="s">
        <v>35</v>
      </c>
      <c r="I236" t="s">
        <v>35</v>
      </c>
      <c r="J236">
        <v>0</v>
      </c>
    </row>
    <row r="237" spans="4:10">
      <c r="D237" t="s">
        <v>703</v>
      </c>
      <c r="E237" t="s">
        <v>663</v>
      </c>
      <c r="F237" t="s">
        <v>35</v>
      </c>
      <c r="G237" t="s">
        <v>35</v>
      </c>
      <c r="H237" t="s">
        <v>35</v>
      </c>
      <c r="I237" t="s">
        <v>35</v>
      </c>
      <c r="J237">
        <v>0</v>
      </c>
    </row>
    <row r="238" spans="4:10">
      <c r="D238" t="s">
        <v>703</v>
      </c>
      <c r="E238" t="s">
        <v>664</v>
      </c>
      <c r="F238" t="s">
        <v>35</v>
      </c>
      <c r="G238" t="s">
        <v>35</v>
      </c>
      <c r="H238" t="s">
        <v>35</v>
      </c>
      <c r="I238" t="s">
        <v>35</v>
      </c>
      <c r="J238">
        <v>0</v>
      </c>
    </row>
    <row r="239" spans="4:10">
      <c r="D239" t="s">
        <v>703</v>
      </c>
      <c r="E239" t="s">
        <v>665</v>
      </c>
      <c r="F239" t="s">
        <v>35</v>
      </c>
      <c r="G239" t="s">
        <v>35</v>
      </c>
      <c r="H239" t="s">
        <v>35</v>
      </c>
      <c r="I239" t="s">
        <v>35</v>
      </c>
      <c r="J239">
        <v>0</v>
      </c>
    </row>
    <row r="240" spans="4:10">
      <c r="D240" t="s">
        <v>703</v>
      </c>
      <c r="E240" t="s">
        <v>666</v>
      </c>
      <c r="F240" t="s">
        <v>35</v>
      </c>
      <c r="G240" t="s">
        <v>35</v>
      </c>
      <c r="H240" t="s">
        <v>35</v>
      </c>
      <c r="I240" t="s">
        <v>35</v>
      </c>
      <c r="J240">
        <v>0</v>
      </c>
    </row>
    <row r="241" spans="4:10">
      <c r="D241" t="s">
        <v>703</v>
      </c>
      <c r="E241" t="s">
        <v>667</v>
      </c>
      <c r="F241" t="s">
        <v>35</v>
      </c>
      <c r="G241" t="s">
        <v>35</v>
      </c>
      <c r="H241" t="s">
        <v>35</v>
      </c>
      <c r="I241" t="s">
        <v>35</v>
      </c>
      <c r="J241">
        <v>0</v>
      </c>
    </row>
    <row r="242" spans="4:10">
      <c r="D242" t="s">
        <v>703</v>
      </c>
      <c r="E242" t="s">
        <v>668</v>
      </c>
      <c r="F242" t="s">
        <v>35</v>
      </c>
      <c r="G242" t="s">
        <v>35</v>
      </c>
      <c r="H242" t="s">
        <v>35</v>
      </c>
      <c r="I242" t="s">
        <v>35</v>
      </c>
      <c r="J242">
        <v>0</v>
      </c>
    </row>
    <row r="243" spans="4:10">
      <c r="D243" t="s">
        <v>703</v>
      </c>
      <c r="E243" t="s">
        <v>669</v>
      </c>
      <c r="F243" t="s">
        <v>35</v>
      </c>
      <c r="G243" t="s">
        <v>35</v>
      </c>
      <c r="H243" t="s">
        <v>35</v>
      </c>
      <c r="I243" t="s">
        <v>35</v>
      </c>
      <c r="J243">
        <v>0</v>
      </c>
    </row>
    <row r="244" spans="4:10">
      <c r="D244" t="s">
        <v>703</v>
      </c>
      <c r="E244" t="s">
        <v>670</v>
      </c>
      <c r="F244" t="s">
        <v>35</v>
      </c>
      <c r="G244" t="s">
        <v>35</v>
      </c>
      <c r="H244" t="s">
        <v>35</v>
      </c>
      <c r="I244" t="s">
        <v>35</v>
      </c>
      <c r="J244">
        <v>0</v>
      </c>
    </row>
    <row r="245" spans="4:10">
      <c r="D245" t="s">
        <v>703</v>
      </c>
      <c r="E245" t="s">
        <v>671</v>
      </c>
      <c r="F245" t="s">
        <v>35</v>
      </c>
      <c r="G245" t="s">
        <v>35</v>
      </c>
      <c r="H245" t="s">
        <v>35</v>
      </c>
      <c r="I245" t="s">
        <v>35</v>
      </c>
      <c r="J245">
        <v>0</v>
      </c>
    </row>
    <row r="246" spans="4:10">
      <c r="D246" t="s">
        <v>703</v>
      </c>
      <c r="E246" t="s">
        <v>672</v>
      </c>
      <c r="F246" t="s">
        <v>35</v>
      </c>
      <c r="G246" t="s">
        <v>35</v>
      </c>
      <c r="H246" t="s">
        <v>35</v>
      </c>
      <c r="I246" t="s">
        <v>35</v>
      </c>
      <c r="J246">
        <v>0</v>
      </c>
    </row>
    <row r="247" spans="4:10">
      <c r="D247" t="s">
        <v>703</v>
      </c>
      <c r="E247" t="s">
        <v>673</v>
      </c>
      <c r="F247" t="s">
        <v>35</v>
      </c>
      <c r="G247" t="s">
        <v>35</v>
      </c>
      <c r="H247" t="s">
        <v>35</v>
      </c>
      <c r="I247" t="s">
        <v>35</v>
      </c>
      <c r="J247">
        <v>0</v>
      </c>
    </row>
    <row r="248" spans="4:10">
      <c r="D248" t="s">
        <v>703</v>
      </c>
      <c r="E248" t="s">
        <v>674</v>
      </c>
      <c r="F248" t="s">
        <v>35</v>
      </c>
      <c r="G248" t="s">
        <v>35</v>
      </c>
      <c r="H248" t="s">
        <v>35</v>
      </c>
      <c r="I248" t="s">
        <v>35</v>
      </c>
      <c r="J248">
        <v>0</v>
      </c>
    </row>
    <row r="249" spans="4:10">
      <c r="D249" t="s">
        <v>703</v>
      </c>
      <c r="E249" t="s">
        <v>675</v>
      </c>
      <c r="F249" t="s">
        <v>35</v>
      </c>
      <c r="G249" t="s">
        <v>35</v>
      </c>
      <c r="H249" t="s">
        <v>35</v>
      </c>
      <c r="I249" t="s">
        <v>35</v>
      </c>
      <c r="J249">
        <v>0</v>
      </c>
    </row>
    <row r="250" spans="4:10">
      <c r="D250" t="s">
        <v>703</v>
      </c>
      <c r="E250" t="s">
        <v>676</v>
      </c>
      <c r="F250" t="s">
        <v>35</v>
      </c>
      <c r="G250" t="s">
        <v>35</v>
      </c>
      <c r="H250" t="s">
        <v>35</v>
      </c>
      <c r="I250" t="s">
        <v>35</v>
      </c>
      <c r="J250">
        <v>0</v>
      </c>
    </row>
    <row r="251" spans="4:10">
      <c r="D251" t="s">
        <v>703</v>
      </c>
      <c r="E251" t="s">
        <v>677</v>
      </c>
      <c r="F251" t="s">
        <v>35</v>
      </c>
      <c r="G251" t="s">
        <v>35</v>
      </c>
      <c r="H251" t="s">
        <v>35</v>
      </c>
      <c r="I251" t="s">
        <v>35</v>
      </c>
      <c r="J251">
        <v>0</v>
      </c>
    </row>
    <row r="252" spans="4:10">
      <c r="D252" t="s">
        <v>703</v>
      </c>
      <c r="E252" t="s">
        <v>678</v>
      </c>
      <c r="F252" t="s">
        <v>35</v>
      </c>
      <c r="G252" t="s">
        <v>35</v>
      </c>
      <c r="H252" t="s">
        <v>35</v>
      </c>
      <c r="I252" t="s">
        <v>35</v>
      </c>
      <c r="J252">
        <v>0</v>
      </c>
    </row>
    <row r="253" spans="4:10">
      <c r="D253" t="s">
        <v>703</v>
      </c>
      <c r="E253" t="s">
        <v>679</v>
      </c>
      <c r="F253" t="s">
        <v>35</v>
      </c>
      <c r="G253" t="s">
        <v>35</v>
      </c>
      <c r="H253" t="s">
        <v>35</v>
      </c>
      <c r="I253" t="s">
        <v>35</v>
      </c>
      <c r="J253">
        <v>0</v>
      </c>
    </row>
    <row r="254" spans="4:10">
      <c r="D254" t="s">
        <v>703</v>
      </c>
      <c r="E254" t="s">
        <v>680</v>
      </c>
      <c r="F254" t="s">
        <v>35</v>
      </c>
      <c r="G254" t="s">
        <v>35</v>
      </c>
      <c r="H254" t="s">
        <v>35</v>
      </c>
      <c r="I254" t="s">
        <v>35</v>
      </c>
      <c r="J254">
        <v>0</v>
      </c>
    </row>
    <row r="255" spans="4:10">
      <c r="D255" t="s">
        <v>703</v>
      </c>
      <c r="E255" t="s">
        <v>681</v>
      </c>
      <c r="F255" t="s">
        <v>35</v>
      </c>
      <c r="G255" t="s">
        <v>35</v>
      </c>
      <c r="H255" t="s">
        <v>35</v>
      </c>
      <c r="I255" t="s">
        <v>35</v>
      </c>
      <c r="J255">
        <v>0</v>
      </c>
    </row>
    <row r="256" spans="4:10">
      <c r="D256" t="s">
        <v>703</v>
      </c>
      <c r="E256" t="s">
        <v>682</v>
      </c>
      <c r="F256" t="s">
        <v>35</v>
      </c>
      <c r="G256" t="s">
        <v>35</v>
      </c>
      <c r="H256" t="s">
        <v>35</v>
      </c>
      <c r="I256" t="s">
        <v>35</v>
      </c>
      <c r="J256">
        <v>0</v>
      </c>
    </row>
    <row r="257" spans="4:10">
      <c r="D257" t="s">
        <v>703</v>
      </c>
      <c r="E257" t="s">
        <v>683</v>
      </c>
      <c r="F257" t="s">
        <v>35</v>
      </c>
      <c r="G257" t="s">
        <v>35</v>
      </c>
      <c r="H257" t="s">
        <v>35</v>
      </c>
      <c r="I257" t="s">
        <v>35</v>
      </c>
      <c r="J257">
        <v>0</v>
      </c>
    </row>
    <row r="258" spans="4:10">
      <c r="D258" t="s">
        <v>703</v>
      </c>
      <c r="E258" t="s">
        <v>684</v>
      </c>
      <c r="F258" t="s">
        <v>35</v>
      </c>
      <c r="G258" t="s">
        <v>35</v>
      </c>
      <c r="H258" t="s">
        <v>35</v>
      </c>
      <c r="I258" t="s">
        <v>35</v>
      </c>
      <c r="J258">
        <v>0</v>
      </c>
    </row>
    <row r="259" spans="4:10">
      <c r="D259" t="s">
        <v>703</v>
      </c>
      <c r="E259" t="s">
        <v>685</v>
      </c>
      <c r="F259" t="s">
        <v>35</v>
      </c>
      <c r="G259" t="s">
        <v>35</v>
      </c>
      <c r="H259" t="s">
        <v>35</v>
      </c>
      <c r="I259" t="s">
        <v>35</v>
      </c>
      <c r="J259">
        <v>0</v>
      </c>
    </row>
    <row r="260" spans="4:10">
      <c r="D260" t="s">
        <v>703</v>
      </c>
      <c r="E260" t="s">
        <v>686</v>
      </c>
      <c r="F260" t="s">
        <v>35</v>
      </c>
      <c r="G260" t="s">
        <v>35</v>
      </c>
      <c r="H260" t="s">
        <v>35</v>
      </c>
      <c r="I260" t="s">
        <v>35</v>
      </c>
      <c r="J260">
        <v>0</v>
      </c>
    </row>
    <row r="261" spans="4:10">
      <c r="D261" t="s">
        <v>703</v>
      </c>
      <c r="E261" t="s">
        <v>687</v>
      </c>
      <c r="F261" t="s">
        <v>35</v>
      </c>
      <c r="G261" t="s">
        <v>35</v>
      </c>
      <c r="H261" t="s">
        <v>35</v>
      </c>
      <c r="I261" t="s">
        <v>35</v>
      </c>
      <c r="J261">
        <v>0</v>
      </c>
    </row>
    <row r="262" spans="4:10">
      <c r="D262" t="s">
        <v>703</v>
      </c>
      <c r="E262" t="s">
        <v>688</v>
      </c>
      <c r="F262" t="s">
        <v>35</v>
      </c>
      <c r="G262" t="s">
        <v>35</v>
      </c>
      <c r="H262" t="s">
        <v>35</v>
      </c>
      <c r="I262" t="s">
        <v>35</v>
      </c>
      <c r="J262">
        <v>0</v>
      </c>
    </row>
    <row r="263" spans="4:10">
      <c r="D263" t="s">
        <v>703</v>
      </c>
      <c r="E263" t="s">
        <v>689</v>
      </c>
      <c r="F263" t="s">
        <v>35</v>
      </c>
      <c r="G263" t="s">
        <v>35</v>
      </c>
      <c r="H263" t="s">
        <v>35</v>
      </c>
      <c r="I263" t="s">
        <v>35</v>
      </c>
      <c r="J263">
        <v>0</v>
      </c>
    </row>
    <row r="264" spans="4:10">
      <c r="D264" t="s">
        <v>703</v>
      </c>
      <c r="E264" t="s">
        <v>690</v>
      </c>
      <c r="F264" t="s">
        <v>35</v>
      </c>
      <c r="G264" t="s">
        <v>35</v>
      </c>
      <c r="H264" t="s">
        <v>35</v>
      </c>
      <c r="I264" t="s">
        <v>35</v>
      </c>
      <c r="J264">
        <v>0</v>
      </c>
    </row>
    <row r="265" spans="4:10">
      <c r="D265" t="s">
        <v>703</v>
      </c>
      <c r="E265" t="s">
        <v>691</v>
      </c>
      <c r="F265" t="s">
        <v>35</v>
      </c>
      <c r="G265" t="s">
        <v>35</v>
      </c>
      <c r="H265" t="s">
        <v>35</v>
      </c>
      <c r="I265" t="s">
        <v>35</v>
      </c>
      <c r="J265">
        <v>0</v>
      </c>
    </row>
    <row r="266" spans="4:10">
      <c r="D266" t="s">
        <v>703</v>
      </c>
      <c r="E266" t="s">
        <v>692</v>
      </c>
      <c r="F266" t="s">
        <v>35</v>
      </c>
      <c r="G266" t="s">
        <v>35</v>
      </c>
      <c r="H266" t="s">
        <v>35</v>
      </c>
      <c r="I266" t="s">
        <v>35</v>
      </c>
      <c r="J266">
        <v>0</v>
      </c>
    </row>
    <row r="267" spans="4:10">
      <c r="D267" t="s">
        <v>703</v>
      </c>
      <c r="E267" t="s">
        <v>693</v>
      </c>
      <c r="F267" t="s">
        <v>35</v>
      </c>
      <c r="G267" t="s">
        <v>35</v>
      </c>
      <c r="H267" t="s">
        <v>35</v>
      </c>
      <c r="I267" t="s">
        <v>35</v>
      </c>
      <c r="J267">
        <v>0</v>
      </c>
    </row>
    <row r="268" spans="4:10">
      <c r="D268" t="s">
        <v>703</v>
      </c>
      <c r="E268" t="s">
        <v>694</v>
      </c>
      <c r="F268" t="s">
        <v>35</v>
      </c>
      <c r="G268" t="s">
        <v>35</v>
      </c>
      <c r="H268" t="s">
        <v>35</v>
      </c>
      <c r="I268" t="s">
        <v>35</v>
      </c>
      <c r="J268">
        <v>0</v>
      </c>
    </row>
    <row r="269" spans="4:10">
      <c r="D269" t="s">
        <v>703</v>
      </c>
      <c r="E269" t="s">
        <v>695</v>
      </c>
      <c r="F269" t="s">
        <v>35</v>
      </c>
      <c r="G269" t="s">
        <v>35</v>
      </c>
      <c r="H269" t="s">
        <v>35</v>
      </c>
      <c r="I269" t="s">
        <v>35</v>
      </c>
      <c r="J269">
        <v>0</v>
      </c>
    </row>
    <row r="270" spans="4:10">
      <c r="D270" t="s">
        <v>703</v>
      </c>
      <c r="E270" t="s">
        <v>696</v>
      </c>
      <c r="F270" t="s">
        <v>35</v>
      </c>
      <c r="G270" t="s">
        <v>35</v>
      </c>
      <c r="H270" t="s">
        <v>35</v>
      </c>
      <c r="I270" t="s">
        <v>35</v>
      </c>
      <c r="J270">
        <v>0</v>
      </c>
    </row>
    <row r="271" spans="4:10">
      <c r="D271" t="s">
        <v>703</v>
      </c>
      <c r="E271" t="s">
        <v>697</v>
      </c>
      <c r="F271" t="s">
        <v>35</v>
      </c>
      <c r="G271" t="s">
        <v>35</v>
      </c>
      <c r="H271" t="s">
        <v>35</v>
      </c>
      <c r="I271" t="s">
        <v>35</v>
      </c>
      <c r="J271">
        <v>0</v>
      </c>
    </row>
    <row r="272" spans="4:10">
      <c r="D272" t="s">
        <v>703</v>
      </c>
      <c r="E272" t="s">
        <v>698</v>
      </c>
      <c r="F272" t="s">
        <v>35</v>
      </c>
      <c r="G272" t="s">
        <v>35</v>
      </c>
      <c r="H272" t="s">
        <v>35</v>
      </c>
      <c r="I272" t="s">
        <v>35</v>
      </c>
      <c r="J272">
        <v>0</v>
      </c>
    </row>
    <row r="273" spans="4:10">
      <c r="D273" t="s">
        <v>703</v>
      </c>
      <c r="E273" t="s">
        <v>699</v>
      </c>
      <c r="F273" t="s">
        <v>35</v>
      </c>
      <c r="G273" t="s">
        <v>35</v>
      </c>
      <c r="H273" t="s">
        <v>35</v>
      </c>
      <c r="I273" t="s">
        <v>35</v>
      </c>
      <c r="J273">
        <v>0</v>
      </c>
    </row>
    <row r="274" spans="4:10">
      <c r="D274" t="s">
        <v>703</v>
      </c>
      <c r="E274" t="s">
        <v>700</v>
      </c>
      <c r="F274" t="s">
        <v>35</v>
      </c>
      <c r="G274" t="s">
        <v>35</v>
      </c>
      <c r="H274" t="s">
        <v>35</v>
      </c>
      <c r="I274" t="s">
        <v>35</v>
      </c>
      <c r="J274">
        <v>0</v>
      </c>
    </row>
    <row r="275" spans="4:10">
      <c r="D275" t="s">
        <v>703</v>
      </c>
      <c r="E275" t="s">
        <v>633</v>
      </c>
      <c r="F275" t="s">
        <v>35</v>
      </c>
      <c r="G275" t="s">
        <v>35</v>
      </c>
      <c r="H275" t="s">
        <v>35</v>
      </c>
      <c r="I275" t="s">
        <v>35</v>
      </c>
      <c r="J275">
        <v>0</v>
      </c>
    </row>
    <row r="276" spans="4:10">
      <c r="D276" t="s">
        <v>703</v>
      </c>
      <c r="E276" t="s">
        <v>634</v>
      </c>
      <c r="F276" t="s">
        <v>35</v>
      </c>
      <c r="G276" t="s">
        <v>35</v>
      </c>
      <c r="H276" t="s">
        <v>35</v>
      </c>
      <c r="I276" t="s">
        <v>35</v>
      </c>
      <c r="J276">
        <v>0</v>
      </c>
    </row>
    <row r="277" spans="4:10">
      <c r="D277" t="s">
        <v>703</v>
      </c>
      <c r="E277" t="s">
        <v>635</v>
      </c>
      <c r="F277" t="s">
        <v>35</v>
      </c>
      <c r="G277" t="s">
        <v>35</v>
      </c>
      <c r="H277" t="s">
        <v>35</v>
      </c>
      <c r="I277" t="s">
        <v>35</v>
      </c>
      <c r="J277">
        <v>0</v>
      </c>
    </row>
    <row r="278" spans="4:10">
      <c r="D278" t="s">
        <v>703</v>
      </c>
      <c r="E278" t="s">
        <v>614</v>
      </c>
      <c r="F278" t="s">
        <v>35</v>
      </c>
      <c r="G278" t="s">
        <v>35</v>
      </c>
      <c r="H278" t="s">
        <v>35</v>
      </c>
      <c r="I278" t="s">
        <v>35</v>
      </c>
      <c r="J278">
        <v>0</v>
      </c>
    </row>
    <row r="279" spans="4:10">
      <c r="D279" t="s">
        <v>703</v>
      </c>
      <c r="E279" t="s">
        <v>636</v>
      </c>
      <c r="F279" t="s">
        <v>35</v>
      </c>
      <c r="G279" t="s">
        <v>35</v>
      </c>
      <c r="H279" t="s">
        <v>35</v>
      </c>
      <c r="I279" t="s">
        <v>35</v>
      </c>
      <c r="J279">
        <v>0</v>
      </c>
    </row>
    <row r="280" spans="4:10">
      <c r="D280" t="s">
        <v>703</v>
      </c>
      <c r="E280" t="s">
        <v>637</v>
      </c>
      <c r="F280">
        <v>3357</v>
      </c>
      <c r="G280">
        <v>3357</v>
      </c>
      <c r="H280">
        <v>3357</v>
      </c>
      <c r="I280">
        <v>3357</v>
      </c>
      <c r="J280">
        <v>2055100</v>
      </c>
    </row>
    <row r="281" spans="4:10">
      <c r="D281" t="s">
        <v>704</v>
      </c>
      <c r="E281" t="s">
        <v>639</v>
      </c>
      <c r="F281">
        <v>3349</v>
      </c>
      <c r="G281">
        <v>3389</v>
      </c>
      <c r="H281">
        <v>3267</v>
      </c>
      <c r="I281">
        <v>3278</v>
      </c>
      <c r="J281">
        <v>1841900</v>
      </c>
    </row>
    <row r="282" spans="4:10">
      <c r="D282" t="s">
        <v>704</v>
      </c>
      <c r="E282" t="s">
        <v>640</v>
      </c>
      <c r="F282">
        <v>3276</v>
      </c>
      <c r="G282">
        <v>3364</v>
      </c>
      <c r="H282">
        <v>3270</v>
      </c>
      <c r="I282">
        <v>3358</v>
      </c>
      <c r="J282">
        <v>796700</v>
      </c>
    </row>
    <row r="283" spans="4:10">
      <c r="D283" t="s">
        <v>704</v>
      </c>
      <c r="E283" t="s">
        <v>641</v>
      </c>
      <c r="F283">
        <v>3359</v>
      </c>
      <c r="G283">
        <v>3423</v>
      </c>
      <c r="H283">
        <v>3353</v>
      </c>
      <c r="I283">
        <v>3408</v>
      </c>
      <c r="J283">
        <v>974500</v>
      </c>
    </row>
    <row r="284" spans="4:10">
      <c r="D284" t="s">
        <v>704</v>
      </c>
      <c r="E284" t="s">
        <v>642</v>
      </c>
      <c r="F284">
        <v>3408</v>
      </c>
      <c r="G284">
        <v>3439</v>
      </c>
      <c r="H284">
        <v>3377</v>
      </c>
      <c r="I284">
        <v>3437</v>
      </c>
      <c r="J284">
        <v>758400</v>
      </c>
    </row>
    <row r="285" spans="4:10">
      <c r="D285" t="s">
        <v>704</v>
      </c>
      <c r="E285" t="s">
        <v>643</v>
      </c>
      <c r="F285">
        <v>3436</v>
      </c>
      <c r="G285">
        <v>3449</v>
      </c>
      <c r="H285">
        <v>3402</v>
      </c>
      <c r="I285">
        <v>3414</v>
      </c>
      <c r="J285">
        <v>656900</v>
      </c>
    </row>
    <row r="286" spans="4:10">
      <c r="D286" t="s">
        <v>704</v>
      </c>
      <c r="E286" t="s">
        <v>644</v>
      </c>
      <c r="F286">
        <v>3412</v>
      </c>
      <c r="G286">
        <v>3423</v>
      </c>
      <c r="H286">
        <v>3367</v>
      </c>
      <c r="I286">
        <v>3375</v>
      </c>
      <c r="J286">
        <v>668900</v>
      </c>
    </row>
    <row r="287" spans="4:10">
      <c r="D287" t="s">
        <v>704</v>
      </c>
      <c r="E287" t="s">
        <v>645</v>
      </c>
      <c r="F287">
        <v>3375</v>
      </c>
      <c r="G287">
        <v>3379</v>
      </c>
      <c r="H287">
        <v>3342</v>
      </c>
      <c r="I287">
        <v>3350</v>
      </c>
      <c r="J287">
        <v>627700</v>
      </c>
    </row>
    <row r="288" spans="4:10">
      <c r="D288" t="s">
        <v>704</v>
      </c>
      <c r="E288" t="s">
        <v>646</v>
      </c>
      <c r="F288">
        <v>3351</v>
      </c>
      <c r="G288">
        <v>3373</v>
      </c>
      <c r="H288">
        <v>3338</v>
      </c>
      <c r="I288">
        <v>3362</v>
      </c>
      <c r="J288">
        <v>552500</v>
      </c>
    </row>
    <row r="289" spans="4:10">
      <c r="D289" t="s">
        <v>704</v>
      </c>
      <c r="E289" t="s">
        <v>647</v>
      </c>
      <c r="F289">
        <v>3362</v>
      </c>
      <c r="G289">
        <v>3393</v>
      </c>
      <c r="H289">
        <v>3328</v>
      </c>
      <c r="I289">
        <v>3334</v>
      </c>
      <c r="J289">
        <v>438900</v>
      </c>
    </row>
    <row r="290" spans="4:10">
      <c r="D290" t="s">
        <v>704</v>
      </c>
      <c r="E290" t="s">
        <v>648</v>
      </c>
      <c r="F290">
        <v>3334</v>
      </c>
      <c r="G290">
        <v>3344</v>
      </c>
      <c r="H290">
        <v>3307</v>
      </c>
      <c r="I290">
        <v>3336</v>
      </c>
      <c r="J290">
        <v>406500</v>
      </c>
    </row>
    <row r="291" spans="4:10">
      <c r="D291" t="s">
        <v>704</v>
      </c>
      <c r="E291" t="s">
        <v>649</v>
      </c>
      <c r="F291">
        <v>3335</v>
      </c>
      <c r="G291">
        <v>3348</v>
      </c>
      <c r="H291">
        <v>3305</v>
      </c>
      <c r="I291">
        <v>3328</v>
      </c>
      <c r="J291">
        <v>432900</v>
      </c>
    </row>
    <row r="292" spans="4:10">
      <c r="D292" t="s">
        <v>704</v>
      </c>
      <c r="E292" t="s">
        <v>650</v>
      </c>
      <c r="F292">
        <v>3329</v>
      </c>
      <c r="G292">
        <v>3342</v>
      </c>
      <c r="H292">
        <v>3282</v>
      </c>
      <c r="I292">
        <v>3286</v>
      </c>
      <c r="J292">
        <v>610000</v>
      </c>
    </row>
    <row r="293" spans="4:10">
      <c r="D293" t="s">
        <v>704</v>
      </c>
      <c r="E293" t="s">
        <v>651</v>
      </c>
      <c r="F293">
        <v>3287</v>
      </c>
      <c r="G293">
        <v>3293</v>
      </c>
      <c r="H293">
        <v>3258</v>
      </c>
      <c r="I293">
        <v>3272</v>
      </c>
      <c r="J293">
        <v>481200</v>
      </c>
    </row>
    <row r="294" spans="4:10">
      <c r="D294" t="s">
        <v>704</v>
      </c>
      <c r="E294" t="s">
        <v>652</v>
      </c>
      <c r="F294">
        <v>3272</v>
      </c>
      <c r="G294">
        <v>3291</v>
      </c>
      <c r="H294">
        <v>3264</v>
      </c>
      <c r="I294">
        <v>3280</v>
      </c>
      <c r="J294">
        <v>409900</v>
      </c>
    </row>
    <row r="295" spans="4:10">
      <c r="D295" t="s">
        <v>704</v>
      </c>
      <c r="E295" t="s">
        <v>653</v>
      </c>
      <c r="F295">
        <v>3281</v>
      </c>
      <c r="G295">
        <v>3304</v>
      </c>
      <c r="H295">
        <v>3256</v>
      </c>
      <c r="I295">
        <v>3271</v>
      </c>
      <c r="J295">
        <v>427100</v>
      </c>
    </row>
    <row r="296" spans="4:10">
      <c r="D296" t="s">
        <v>704</v>
      </c>
      <c r="E296" t="s">
        <v>654</v>
      </c>
      <c r="F296">
        <v>3270</v>
      </c>
      <c r="G296">
        <v>3278</v>
      </c>
      <c r="H296">
        <v>3253</v>
      </c>
      <c r="I296">
        <v>3270</v>
      </c>
      <c r="J296">
        <v>300000</v>
      </c>
    </row>
    <row r="297" spans="4:10">
      <c r="D297" t="s">
        <v>704</v>
      </c>
      <c r="E297" t="s">
        <v>655</v>
      </c>
      <c r="F297">
        <v>3269</v>
      </c>
      <c r="G297">
        <v>3367</v>
      </c>
      <c r="H297">
        <v>3266</v>
      </c>
      <c r="I297">
        <v>3364</v>
      </c>
      <c r="J297">
        <v>470600</v>
      </c>
    </row>
    <row r="298" spans="4:10">
      <c r="D298" t="s">
        <v>704</v>
      </c>
      <c r="E298" t="s">
        <v>656</v>
      </c>
      <c r="F298">
        <v>3363</v>
      </c>
      <c r="G298">
        <v>3389</v>
      </c>
      <c r="H298">
        <v>3355</v>
      </c>
      <c r="I298">
        <v>3380</v>
      </c>
      <c r="J298">
        <v>471500</v>
      </c>
    </row>
    <row r="299" spans="4:10">
      <c r="D299" t="s">
        <v>704</v>
      </c>
      <c r="E299" t="s">
        <v>657</v>
      </c>
      <c r="F299">
        <v>3378</v>
      </c>
      <c r="G299">
        <v>3403</v>
      </c>
      <c r="H299">
        <v>3363</v>
      </c>
      <c r="I299">
        <v>3373</v>
      </c>
      <c r="J299">
        <v>418500</v>
      </c>
    </row>
    <row r="300" spans="4:10">
      <c r="D300" t="s">
        <v>704</v>
      </c>
      <c r="E300" t="s">
        <v>658</v>
      </c>
      <c r="F300">
        <v>3371</v>
      </c>
      <c r="G300">
        <v>3387</v>
      </c>
      <c r="H300">
        <v>3353</v>
      </c>
      <c r="I300">
        <v>3362</v>
      </c>
      <c r="J300">
        <v>240900</v>
      </c>
    </row>
    <row r="301" spans="4:10">
      <c r="D301" t="s">
        <v>704</v>
      </c>
      <c r="E301" t="s">
        <v>659</v>
      </c>
      <c r="F301">
        <v>3361</v>
      </c>
      <c r="G301">
        <v>3388</v>
      </c>
      <c r="H301">
        <v>3357</v>
      </c>
      <c r="I301">
        <v>3370</v>
      </c>
      <c r="J301">
        <v>255600</v>
      </c>
    </row>
    <row r="302" spans="4:10">
      <c r="D302" t="s">
        <v>704</v>
      </c>
      <c r="E302" t="s">
        <v>660</v>
      </c>
      <c r="F302">
        <v>3370</v>
      </c>
      <c r="G302">
        <v>3411</v>
      </c>
      <c r="H302">
        <v>3366</v>
      </c>
      <c r="I302">
        <v>3403</v>
      </c>
      <c r="J302">
        <v>235200</v>
      </c>
    </row>
    <row r="303" spans="4:10">
      <c r="D303" t="s">
        <v>704</v>
      </c>
      <c r="E303" t="s">
        <v>661</v>
      </c>
      <c r="F303">
        <v>3402</v>
      </c>
      <c r="G303">
        <v>3427</v>
      </c>
      <c r="H303">
        <v>3399</v>
      </c>
      <c r="I303">
        <v>3402</v>
      </c>
      <c r="J303">
        <v>322700</v>
      </c>
    </row>
    <row r="304" spans="4:10">
      <c r="D304" t="s">
        <v>704</v>
      </c>
      <c r="E304" t="s">
        <v>662</v>
      </c>
      <c r="F304">
        <v>3401</v>
      </c>
      <c r="G304">
        <v>3439</v>
      </c>
      <c r="H304">
        <v>3397</v>
      </c>
      <c r="I304">
        <v>3439</v>
      </c>
      <c r="J304">
        <v>271600</v>
      </c>
    </row>
    <row r="305" spans="4:10">
      <c r="D305" t="s">
        <v>704</v>
      </c>
      <c r="E305" t="s">
        <v>663</v>
      </c>
      <c r="F305">
        <v>3438</v>
      </c>
      <c r="G305">
        <v>3465</v>
      </c>
      <c r="H305">
        <v>3422</v>
      </c>
      <c r="I305">
        <v>3451</v>
      </c>
      <c r="J305">
        <v>682500</v>
      </c>
    </row>
    <row r="306" spans="4:10">
      <c r="D306" t="s">
        <v>704</v>
      </c>
      <c r="E306" t="s">
        <v>664</v>
      </c>
      <c r="F306">
        <v>3452</v>
      </c>
      <c r="G306">
        <v>3466</v>
      </c>
      <c r="H306">
        <v>3440</v>
      </c>
      <c r="I306">
        <v>3452</v>
      </c>
      <c r="J306">
        <v>242700</v>
      </c>
    </row>
    <row r="307" spans="4:10">
      <c r="D307" t="s">
        <v>704</v>
      </c>
      <c r="E307" t="s">
        <v>665</v>
      </c>
      <c r="F307">
        <v>3451</v>
      </c>
      <c r="G307">
        <v>3471</v>
      </c>
      <c r="H307">
        <v>3449</v>
      </c>
      <c r="I307">
        <v>3465</v>
      </c>
      <c r="J307">
        <v>234400</v>
      </c>
    </row>
    <row r="308" spans="4:10">
      <c r="D308" t="s">
        <v>704</v>
      </c>
      <c r="E308" t="s">
        <v>666</v>
      </c>
      <c r="F308">
        <v>3465</v>
      </c>
      <c r="G308">
        <v>3505</v>
      </c>
      <c r="H308">
        <v>3455</v>
      </c>
      <c r="I308">
        <v>3500</v>
      </c>
      <c r="J308">
        <v>432100</v>
      </c>
    </row>
    <row r="309" spans="4:10">
      <c r="D309" t="s">
        <v>704</v>
      </c>
      <c r="E309" t="s">
        <v>667</v>
      </c>
      <c r="F309">
        <v>3501</v>
      </c>
      <c r="G309">
        <v>3501</v>
      </c>
      <c r="H309">
        <v>3486</v>
      </c>
      <c r="I309">
        <v>3492</v>
      </c>
      <c r="J309">
        <v>277300</v>
      </c>
    </row>
    <row r="310" spans="4:10">
      <c r="D310" t="s">
        <v>704</v>
      </c>
      <c r="E310" t="s">
        <v>668</v>
      </c>
      <c r="F310">
        <v>3491</v>
      </c>
      <c r="G310">
        <v>3493</v>
      </c>
      <c r="H310">
        <v>3477</v>
      </c>
      <c r="I310">
        <v>3480</v>
      </c>
      <c r="J310">
        <v>291400</v>
      </c>
    </row>
    <row r="311" spans="4:10">
      <c r="D311" t="s">
        <v>704</v>
      </c>
      <c r="E311" t="s">
        <v>669</v>
      </c>
      <c r="F311">
        <v>3482</v>
      </c>
      <c r="G311">
        <v>3482</v>
      </c>
      <c r="H311">
        <v>3482</v>
      </c>
      <c r="I311">
        <v>3482</v>
      </c>
      <c r="J311">
        <v>9100</v>
      </c>
    </row>
    <row r="312" spans="4:10">
      <c r="D312" t="s">
        <v>704</v>
      </c>
      <c r="E312" t="s">
        <v>670</v>
      </c>
      <c r="F312">
        <v>3479</v>
      </c>
      <c r="G312">
        <v>3505</v>
      </c>
      <c r="H312">
        <v>3467</v>
      </c>
      <c r="I312">
        <v>3496</v>
      </c>
      <c r="J312">
        <v>648100</v>
      </c>
    </row>
    <row r="313" spans="4:10">
      <c r="D313" t="s">
        <v>704</v>
      </c>
      <c r="E313" t="s">
        <v>671</v>
      </c>
      <c r="F313">
        <v>3496</v>
      </c>
      <c r="G313">
        <v>3504</v>
      </c>
      <c r="H313">
        <v>3475</v>
      </c>
      <c r="I313">
        <v>3486</v>
      </c>
      <c r="J313">
        <v>348900</v>
      </c>
    </row>
    <row r="314" spans="4:10">
      <c r="D314" t="s">
        <v>704</v>
      </c>
      <c r="E314" t="s">
        <v>672</v>
      </c>
      <c r="F314">
        <v>3485</v>
      </c>
      <c r="G314">
        <v>3488</v>
      </c>
      <c r="H314">
        <v>3460</v>
      </c>
      <c r="I314">
        <v>3475</v>
      </c>
      <c r="J314">
        <v>316700</v>
      </c>
    </row>
    <row r="315" spans="4:10">
      <c r="D315" t="s">
        <v>704</v>
      </c>
      <c r="E315" t="s">
        <v>673</v>
      </c>
      <c r="F315">
        <v>3475</v>
      </c>
      <c r="G315">
        <v>3488</v>
      </c>
      <c r="H315">
        <v>3457</v>
      </c>
      <c r="I315">
        <v>3463</v>
      </c>
      <c r="J315">
        <v>248300</v>
      </c>
    </row>
    <row r="316" spans="4:10">
      <c r="D316" t="s">
        <v>704</v>
      </c>
      <c r="E316" t="s">
        <v>674</v>
      </c>
      <c r="F316">
        <v>3463</v>
      </c>
      <c r="G316">
        <v>3487</v>
      </c>
      <c r="H316">
        <v>3458</v>
      </c>
      <c r="I316">
        <v>3472</v>
      </c>
      <c r="J316">
        <v>216600</v>
      </c>
    </row>
    <row r="317" spans="4:10">
      <c r="D317" t="s">
        <v>704</v>
      </c>
      <c r="E317" t="s">
        <v>675</v>
      </c>
      <c r="F317">
        <v>3472</v>
      </c>
      <c r="G317">
        <v>3473</v>
      </c>
      <c r="H317">
        <v>3454</v>
      </c>
      <c r="I317">
        <v>3457</v>
      </c>
      <c r="J317">
        <v>220600</v>
      </c>
    </row>
    <row r="318" spans="4:10">
      <c r="D318" t="s">
        <v>704</v>
      </c>
      <c r="E318" t="s">
        <v>676</v>
      </c>
      <c r="F318">
        <v>3457</v>
      </c>
      <c r="G318">
        <v>3465</v>
      </c>
      <c r="H318">
        <v>3453</v>
      </c>
      <c r="I318">
        <v>3459</v>
      </c>
      <c r="J318">
        <v>152500</v>
      </c>
    </row>
    <row r="319" spans="4:10">
      <c r="D319" t="s">
        <v>704</v>
      </c>
      <c r="E319" t="s">
        <v>677</v>
      </c>
      <c r="F319">
        <v>3460</v>
      </c>
      <c r="G319">
        <v>3479</v>
      </c>
      <c r="H319">
        <v>3451</v>
      </c>
      <c r="I319">
        <v>3473</v>
      </c>
      <c r="J319">
        <v>207600</v>
      </c>
    </row>
    <row r="320" spans="4:10">
      <c r="D320" t="s">
        <v>704</v>
      </c>
      <c r="E320" t="s">
        <v>678</v>
      </c>
      <c r="F320">
        <v>3473</v>
      </c>
      <c r="G320">
        <v>3474</v>
      </c>
      <c r="H320">
        <v>3457</v>
      </c>
      <c r="I320">
        <v>3466</v>
      </c>
      <c r="J320">
        <v>157500</v>
      </c>
    </row>
    <row r="321" spans="4:10">
      <c r="D321" t="s">
        <v>704</v>
      </c>
      <c r="E321" t="s">
        <v>679</v>
      </c>
      <c r="F321">
        <v>3466</v>
      </c>
      <c r="G321">
        <v>3478</v>
      </c>
      <c r="H321">
        <v>3461</v>
      </c>
      <c r="I321">
        <v>3470</v>
      </c>
      <c r="J321">
        <v>138600</v>
      </c>
    </row>
    <row r="322" spans="4:10">
      <c r="D322" t="s">
        <v>704</v>
      </c>
      <c r="E322" t="s">
        <v>680</v>
      </c>
      <c r="F322">
        <v>3470</v>
      </c>
      <c r="G322">
        <v>3488</v>
      </c>
      <c r="H322">
        <v>3466</v>
      </c>
      <c r="I322">
        <v>3482</v>
      </c>
      <c r="J322">
        <v>196600</v>
      </c>
    </row>
    <row r="323" spans="4:10">
      <c r="D323" t="s">
        <v>704</v>
      </c>
      <c r="E323" t="s">
        <v>681</v>
      </c>
      <c r="F323">
        <v>3482</v>
      </c>
      <c r="G323">
        <v>3491</v>
      </c>
      <c r="H323">
        <v>3478</v>
      </c>
      <c r="I323">
        <v>3480</v>
      </c>
      <c r="J323">
        <v>149800</v>
      </c>
    </row>
    <row r="324" spans="4:10">
      <c r="D324" t="s">
        <v>704</v>
      </c>
      <c r="E324" t="s">
        <v>682</v>
      </c>
      <c r="F324">
        <v>3481</v>
      </c>
      <c r="G324">
        <v>3505</v>
      </c>
      <c r="H324">
        <v>3481</v>
      </c>
      <c r="I324">
        <v>3494</v>
      </c>
      <c r="J324">
        <v>241400</v>
      </c>
    </row>
    <row r="325" spans="4:10">
      <c r="D325" t="s">
        <v>704</v>
      </c>
      <c r="E325" t="s">
        <v>683</v>
      </c>
      <c r="F325">
        <v>3494</v>
      </c>
      <c r="G325">
        <v>3499</v>
      </c>
      <c r="H325">
        <v>3478</v>
      </c>
      <c r="I325">
        <v>3482</v>
      </c>
      <c r="J325">
        <v>160300</v>
      </c>
    </row>
    <row r="326" spans="4:10">
      <c r="D326" t="s">
        <v>704</v>
      </c>
      <c r="E326" t="s">
        <v>684</v>
      </c>
      <c r="F326">
        <v>3481</v>
      </c>
      <c r="G326">
        <v>3490</v>
      </c>
      <c r="H326">
        <v>3473</v>
      </c>
      <c r="I326">
        <v>3488</v>
      </c>
      <c r="J326">
        <v>158200</v>
      </c>
    </row>
    <row r="327" spans="4:10">
      <c r="D327" t="s">
        <v>704</v>
      </c>
      <c r="E327" t="s">
        <v>685</v>
      </c>
      <c r="F327">
        <v>3488</v>
      </c>
      <c r="G327">
        <v>3508</v>
      </c>
      <c r="H327">
        <v>3485</v>
      </c>
      <c r="I327">
        <v>3504</v>
      </c>
      <c r="J327">
        <v>198300</v>
      </c>
    </row>
    <row r="328" spans="4:10">
      <c r="D328" t="s">
        <v>704</v>
      </c>
      <c r="E328" t="s">
        <v>686</v>
      </c>
      <c r="F328">
        <v>3504</v>
      </c>
      <c r="G328">
        <v>3510</v>
      </c>
      <c r="H328">
        <v>3491</v>
      </c>
      <c r="I328">
        <v>3494</v>
      </c>
      <c r="J328">
        <v>162900</v>
      </c>
    </row>
    <row r="329" spans="4:10">
      <c r="D329" t="s">
        <v>704</v>
      </c>
      <c r="E329" t="s">
        <v>687</v>
      </c>
      <c r="F329">
        <v>3493</v>
      </c>
      <c r="G329">
        <v>3497</v>
      </c>
      <c r="H329">
        <v>3478</v>
      </c>
      <c r="I329">
        <v>3483</v>
      </c>
      <c r="J329">
        <v>191600</v>
      </c>
    </row>
    <row r="330" spans="4:10">
      <c r="D330" t="s">
        <v>704</v>
      </c>
      <c r="E330" t="s">
        <v>688</v>
      </c>
      <c r="F330">
        <v>3482</v>
      </c>
      <c r="G330">
        <v>3498</v>
      </c>
      <c r="H330">
        <v>3478</v>
      </c>
      <c r="I330">
        <v>3492</v>
      </c>
      <c r="J330">
        <v>146700</v>
      </c>
    </row>
    <row r="331" spans="4:10">
      <c r="D331" t="s">
        <v>704</v>
      </c>
      <c r="E331" t="s">
        <v>689</v>
      </c>
      <c r="F331">
        <v>3491</v>
      </c>
      <c r="G331">
        <v>3491</v>
      </c>
      <c r="H331">
        <v>3475</v>
      </c>
      <c r="I331">
        <v>3476</v>
      </c>
      <c r="J331">
        <v>144600</v>
      </c>
    </row>
    <row r="332" spans="4:10">
      <c r="D332" t="s">
        <v>704</v>
      </c>
      <c r="E332" t="s">
        <v>690</v>
      </c>
      <c r="F332">
        <v>3477</v>
      </c>
      <c r="G332">
        <v>3489</v>
      </c>
      <c r="H332">
        <v>3475</v>
      </c>
      <c r="I332">
        <v>3483</v>
      </c>
      <c r="J332">
        <v>147300</v>
      </c>
    </row>
    <row r="333" spans="4:10">
      <c r="D333" t="s">
        <v>704</v>
      </c>
      <c r="E333" t="s">
        <v>691</v>
      </c>
      <c r="F333">
        <v>3482</v>
      </c>
      <c r="G333">
        <v>3482</v>
      </c>
      <c r="H333">
        <v>3469</v>
      </c>
      <c r="I333">
        <v>3480</v>
      </c>
      <c r="J333">
        <v>163900</v>
      </c>
    </row>
    <row r="334" spans="4:10">
      <c r="D334" t="s">
        <v>704</v>
      </c>
      <c r="E334" t="s">
        <v>692</v>
      </c>
      <c r="F334">
        <v>3481</v>
      </c>
      <c r="G334">
        <v>3488</v>
      </c>
      <c r="H334">
        <v>3480</v>
      </c>
      <c r="I334">
        <v>3486</v>
      </c>
      <c r="J334">
        <v>138700</v>
      </c>
    </row>
    <row r="335" spans="4:10">
      <c r="D335" t="s">
        <v>704</v>
      </c>
      <c r="E335" t="s">
        <v>693</v>
      </c>
      <c r="F335">
        <v>3486</v>
      </c>
      <c r="G335">
        <v>3493</v>
      </c>
      <c r="H335">
        <v>3482</v>
      </c>
      <c r="I335">
        <v>3493</v>
      </c>
      <c r="J335">
        <v>147400</v>
      </c>
    </row>
    <row r="336" spans="4:10">
      <c r="D336" t="s">
        <v>704</v>
      </c>
      <c r="E336" t="s">
        <v>694</v>
      </c>
      <c r="F336">
        <v>3491</v>
      </c>
      <c r="G336">
        <v>3493</v>
      </c>
      <c r="H336">
        <v>3472</v>
      </c>
      <c r="I336">
        <v>3477</v>
      </c>
      <c r="J336">
        <v>173300</v>
      </c>
    </row>
    <row r="337" spans="4:10">
      <c r="D337" t="s">
        <v>704</v>
      </c>
      <c r="E337" t="s">
        <v>695</v>
      </c>
      <c r="F337">
        <v>3478</v>
      </c>
      <c r="G337">
        <v>3479</v>
      </c>
      <c r="H337">
        <v>3462</v>
      </c>
      <c r="I337">
        <v>3466</v>
      </c>
      <c r="J337">
        <v>148300</v>
      </c>
    </row>
    <row r="338" spans="4:10">
      <c r="D338" t="s">
        <v>704</v>
      </c>
      <c r="E338" t="s">
        <v>696</v>
      </c>
      <c r="F338">
        <v>3467</v>
      </c>
      <c r="G338">
        <v>3472</v>
      </c>
      <c r="H338">
        <v>3457</v>
      </c>
      <c r="I338">
        <v>3470</v>
      </c>
      <c r="J338">
        <v>165700</v>
      </c>
    </row>
    <row r="339" spans="4:10">
      <c r="D339" t="s">
        <v>704</v>
      </c>
      <c r="E339" t="s">
        <v>697</v>
      </c>
      <c r="F339">
        <v>3471</v>
      </c>
      <c r="G339">
        <v>3484</v>
      </c>
      <c r="H339">
        <v>3468</v>
      </c>
      <c r="I339">
        <v>3480</v>
      </c>
      <c r="J339">
        <v>130600</v>
      </c>
    </row>
    <row r="340" spans="4:10">
      <c r="D340" t="s">
        <v>704</v>
      </c>
      <c r="E340" t="s">
        <v>698</v>
      </c>
      <c r="F340">
        <v>3481</v>
      </c>
      <c r="G340">
        <v>3482</v>
      </c>
      <c r="H340">
        <v>3468</v>
      </c>
      <c r="I340">
        <v>3472</v>
      </c>
      <c r="J340">
        <v>110200</v>
      </c>
    </row>
    <row r="341" spans="4:10">
      <c r="D341" t="s">
        <v>704</v>
      </c>
      <c r="E341" t="s">
        <v>699</v>
      </c>
      <c r="F341">
        <v>3471</v>
      </c>
      <c r="G341">
        <v>3477</v>
      </c>
      <c r="H341">
        <v>3471</v>
      </c>
      <c r="I341">
        <v>3475</v>
      </c>
      <c r="J341">
        <v>90000</v>
      </c>
    </row>
    <row r="342" spans="4:10">
      <c r="D342" t="s">
        <v>704</v>
      </c>
      <c r="E342" t="s">
        <v>700</v>
      </c>
      <c r="F342">
        <v>3475</v>
      </c>
      <c r="G342">
        <v>3475</v>
      </c>
      <c r="H342">
        <v>3456</v>
      </c>
      <c r="I342">
        <v>3456</v>
      </c>
      <c r="J342">
        <v>148000</v>
      </c>
    </row>
    <row r="343" spans="4:10">
      <c r="D343" t="s">
        <v>704</v>
      </c>
      <c r="E343" t="s">
        <v>633</v>
      </c>
      <c r="F343">
        <v>3456</v>
      </c>
      <c r="G343">
        <v>3464</v>
      </c>
      <c r="H343">
        <v>3455</v>
      </c>
      <c r="I343">
        <v>3464</v>
      </c>
      <c r="J343">
        <v>136300</v>
      </c>
    </row>
    <row r="344" spans="4:10">
      <c r="D344" t="s">
        <v>704</v>
      </c>
      <c r="E344" t="s">
        <v>634</v>
      </c>
      <c r="F344">
        <v>3464</v>
      </c>
      <c r="G344">
        <v>3469</v>
      </c>
      <c r="H344">
        <v>3458</v>
      </c>
      <c r="I344">
        <v>3462</v>
      </c>
      <c r="J344">
        <v>159600</v>
      </c>
    </row>
    <row r="345" spans="4:10">
      <c r="D345" t="s">
        <v>704</v>
      </c>
      <c r="E345" t="s">
        <v>635</v>
      </c>
      <c r="F345">
        <v>3462</v>
      </c>
      <c r="G345">
        <v>3480</v>
      </c>
      <c r="H345">
        <v>3462</v>
      </c>
      <c r="I345">
        <v>3477</v>
      </c>
      <c r="J345">
        <v>170500</v>
      </c>
    </row>
    <row r="346" spans="4:10">
      <c r="D346" t="s">
        <v>704</v>
      </c>
      <c r="E346" t="s">
        <v>614</v>
      </c>
      <c r="F346">
        <v>3476</v>
      </c>
      <c r="G346">
        <v>3480</v>
      </c>
      <c r="H346">
        <v>3444</v>
      </c>
      <c r="I346">
        <v>3454</v>
      </c>
      <c r="J346">
        <v>261000</v>
      </c>
    </row>
    <row r="347" spans="4:10">
      <c r="D347" t="s">
        <v>704</v>
      </c>
      <c r="E347" t="s">
        <v>636</v>
      </c>
      <c r="F347" t="s">
        <v>35</v>
      </c>
      <c r="G347" t="s">
        <v>35</v>
      </c>
      <c r="H347" t="s">
        <v>35</v>
      </c>
      <c r="I347" t="s">
        <v>35</v>
      </c>
      <c r="J347">
        <v>0</v>
      </c>
    </row>
    <row r="348" spans="4:10">
      <c r="D348" t="s">
        <v>704</v>
      </c>
      <c r="E348" t="s">
        <v>637</v>
      </c>
      <c r="F348">
        <v>3457</v>
      </c>
      <c r="G348">
        <v>3457</v>
      </c>
      <c r="H348">
        <v>3457</v>
      </c>
      <c r="I348">
        <v>3457</v>
      </c>
      <c r="J348">
        <v>876700</v>
      </c>
    </row>
    <row r="349" spans="4:10">
      <c r="D349" t="s">
        <v>705</v>
      </c>
      <c r="E349" t="s">
        <v>639</v>
      </c>
      <c r="F349">
        <v>3450</v>
      </c>
      <c r="G349">
        <v>3589</v>
      </c>
      <c r="H349">
        <v>3437</v>
      </c>
      <c r="I349">
        <v>3574</v>
      </c>
      <c r="J349">
        <v>1278600</v>
      </c>
    </row>
    <row r="350" spans="4:10">
      <c r="D350" t="s">
        <v>705</v>
      </c>
      <c r="E350" t="s">
        <v>640</v>
      </c>
      <c r="F350">
        <v>3574</v>
      </c>
      <c r="G350">
        <v>3605</v>
      </c>
      <c r="H350">
        <v>3530</v>
      </c>
      <c r="I350">
        <v>3584</v>
      </c>
      <c r="J350">
        <v>697000</v>
      </c>
    </row>
    <row r="351" spans="4:10">
      <c r="D351" t="s">
        <v>705</v>
      </c>
      <c r="E351" t="s">
        <v>641</v>
      </c>
      <c r="F351">
        <v>3583</v>
      </c>
      <c r="G351">
        <v>3639</v>
      </c>
      <c r="H351">
        <v>3574</v>
      </c>
      <c r="I351">
        <v>3622</v>
      </c>
      <c r="J351">
        <v>599800</v>
      </c>
    </row>
    <row r="352" spans="4:10">
      <c r="D352" t="s">
        <v>705</v>
      </c>
      <c r="E352" t="s">
        <v>642</v>
      </c>
      <c r="F352">
        <v>3622</v>
      </c>
      <c r="G352">
        <v>3629</v>
      </c>
      <c r="H352">
        <v>3570</v>
      </c>
      <c r="I352">
        <v>3593</v>
      </c>
      <c r="J352">
        <v>513400</v>
      </c>
    </row>
    <row r="353" spans="4:10">
      <c r="D353" t="s">
        <v>705</v>
      </c>
      <c r="E353" t="s">
        <v>643</v>
      </c>
      <c r="F353">
        <v>3592</v>
      </c>
      <c r="G353">
        <v>3611</v>
      </c>
      <c r="H353">
        <v>3573</v>
      </c>
      <c r="I353">
        <v>3581</v>
      </c>
      <c r="J353">
        <v>412100</v>
      </c>
    </row>
    <row r="354" spans="4:10">
      <c r="D354" t="s">
        <v>705</v>
      </c>
      <c r="E354" t="s">
        <v>644</v>
      </c>
      <c r="F354">
        <v>3583</v>
      </c>
      <c r="G354">
        <v>3634</v>
      </c>
      <c r="H354">
        <v>3563</v>
      </c>
      <c r="I354">
        <v>3630</v>
      </c>
      <c r="J354">
        <v>433900</v>
      </c>
    </row>
    <row r="355" spans="4:10">
      <c r="D355" t="s">
        <v>705</v>
      </c>
      <c r="E355" t="s">
        <v>645</v>
      </c>
      <c r="F355">
        <v>3629</v>
      </c>
      <c r="G355">
        <v>3637</v>
      </c>
      <c r="H355">
        <v>3532</v>
      </c>
      <c r="I355">
        <v>3535</v>
      </c>
      <c r="J355">
        <v>439000</v>
      </c>
    </row>
    <row r="356" spans="4:10">
      <c r="D356" t="s">
        <v>705</v>
      </c>
      <c r="E356" t="s">
        <v>646</v>
      </c>
      <c r="F356">
        <v>3534</v>
      </c>
      <c r="G356">
        <v>3535</v>
      </c>
      <c r="H356">
        <v>3469</v>
      </c>
      <c r="I356">
        <v>3473</v>
      </c>
      <c r="J356">
        <v>496700</v>
      </c>
    </row>
    <row r="357" spans="4:10">
      <c r="D357" t="s">
        <v>705</v>
      </c>
      <c r="E357" t="s">
        <v>647</v>
      </c>
      <c r="F357">
        <v>3471</v>
      </c>
      <c r="G357">
        <v>3514</v>
      </c>
      <c r="H357">
        <v>3445</v>
      </c>
      <c r="I357">
        <v>3506</v>
      </c>
      <c r="J357">
        <v>481000</v>
      </c>
    </row>
    <row r="358" spans="4:10">
      <c r="D358" t="s">
        <v>705</v>
      </c>
      <c r="E358" t="s">
        <v>648</v>
      </c>
      <c r="F358">
        <v>3507</v>
      </c>
      <c r="G358">
        <v>3515</v>
      </c>
      <c r="H358">
        <v>3466</v>
      </c>
      <c r="I358">
        <v>3493</v>
      </c>
      <c r="J358">
        <v>311600</v>
      </c>
    </row>
    <row r="359" spans="4:10">
      <c r="D359" t="s">
        <v>705</v>
      </c>
      <c r="E359" t="s">
        <v>649</v>
      </c>
      <c r="F359">
        <v>3492</v>
      </c>
      <c r="G359">
        <v>3504</v>
      </c>
      <c r="H359">
        <v>3474</v>
      </c>
      <c r="I359">
        <v>3483</v>
      </c>
      <c r="J359">
        <v>227300</v>
      </c>
    </row>
    <row r="360" spans="4:10">
      <c r="D360" t="s">
        <v>705</v>
      </c>
      <c r="E360" t="s">
        <v>650</v>
      </c>
      <c r="F360">
        <v>3482</v>
      </c>
      <c r="G360">
        <v>3484</v>
      </c>
      <c r="H360">
        <v>3453</v>
      </c>
      <c r="I360">
        <v>3461</v>
      </c>
      <c r="J360">
        <v>216000</v>
      </c>
    </row>
    <row r="361" spans="4:10">
      <c r="D361" t="s">
        <v>705</v>
      </c>
      <c r="E361" t="s">
        <v>651</v>
      </c>
      <c r="F361">
        <v>3462</v>
      </c>
      <c r="G361">
        <v>3463</v>
      </c>
      <c r="H361">
        <v>3441</v>
      </c>
      <c r="I361">
        <v>3459</v>
      </c>
      <c r="J361">
        <v>299200</v>
      </c>
    </row>
    <row r="362" spans="4:10">
      <c r="D362" t="s">
        <v>705</v>
      </c>
      <c r="E362" t="s">
        <v>652</v>
      </c>
      <c r="F362">
        <v>3459</v>
      </c>
      <c r="G362">
        <v>3479</v>
      </c>
      <c r="H362">
        <v>3452</v>
      </c>
      <c r="I362">
        <v>3478</v>
      </c>
      <c r="J362">
        <v>200900</v>
      </c>
    </row>
    <row r="363" spans="4:10">
      <c r="D363" t="s">
        <v>705</v>
      </c>
      <c r="E363" t="s">
        <v>653</v>
      </c>
      <c r="F363">
        <v>3477</v>
      </c>
      <c r="G363">
        <v>3539</v>
      </c>
      <c r="H363">
        <v>3477</v>
      </c>
      <c r="I363">
        <v>3534</v>
      </c>
      <c r="J363">
        <v>354100</v>
      </c>
    </row>
    <row r="364" spans="4:10">
      <c r="D364" t="s">
        <v>705</v>
      </c>
      <c r="E364" t="s">
        <v>654</v>
      </c>
      <c r="F364">
        <v>3535</v>
      </c>
      <c r="G364">
        <v>3553</v>
      </c>
      <c r="H364">
        <v>3518</v>
      </c>
      <c r="I364">
        <v>3528</v>
      </c>
      <c r="J364">
        <v>360900</v>
      </c>
    </row>
    <row r="365" spans="4:10">
      <c r="D365" t="s">
        <v>705</v>
      </c>
      <c r="E365" t="s">
        <v>655</v>
      </c>
      <c r="F365">
        <v>3525</v>
      </c>
      <c r="G365">
        <v>3535</v>
      </c>
      <c r="H365">
        <v>3516</v>
      </c>
      <c r="I365">
        <v>3518</v>
      </c>
      <c r="J365">
        <v>233500</v>
      </c>
    </row>
    <row r="366" spans="4:10">
      <c r="D366" t="s">
        <v>705</v>
      </c>
      <c r="E366" t="s">
        <v>656</v>
      </c>
      <c r="F366">
        <v>3519</v>
      </c>
      <c r="G366">
        <v>3554</v>
      </c>
      <c r="H366">
        <v>3509</v>
      </c>
      <c r="I366">
        <v>3554</v>
      </c>
      <c r="J366">
        <v>212300</v>
      </c>
    </row>
    <row r="367" spans="4:10">
      <c r="D367" t="s">
        <v>705</v>
      </c>
      <c r="E367" t="s">
        <v>657</v>
      </c>
      <c r="F367">
        <v>3552</v>
      </c>
      <c r="G367">
        <v>3576</v>
      </c>
      <c r="H367">
        <v>3545</v>
      </c>
      <c r="I367">
        <v>3554</v>
      </c>
      <c r="J367">
        <v>248900</v>
      </c>
    </row>
    <row r="368" spans="4:10">
      <c r="D368" t="s">
        <v>705</v>
      </c>
      <c r="E368" t="s">
        <v>658</v>
      </c>
      <c r="F368">
        <v>3555</v>
      </c>
      <c r="G368">
        <v>3556</v>
      </c>
      <c r="H368">
        <v>3513</v>
      </c>
      <c r="I368">
        <v>3514</v>
      </c>
      <c r="J368">
        <v>203700</v>
      </c>
    </row>
    <row r="369" spans="4:10">
      <c r="D369" t="s">
        <v>705</v>
      </c>
      <c r="E369" t="s">
        <v>659</v>
      </c>
      <c r="F369">
        <v>3515</v>
      </c>
      <c r="G369">
        <v>3546</v>
      </c>
      <c r="H369">
        <v>3510</v>
      </c>
      <c r="I369">
        <v>3539</v>
      </c>
      <c r="J369">
        <v>178200</v>
      </c>
    </row>
    <row r="370" spans="4:10">
      <c r="D370" t="s">
        <v>705</v>
      </c>
      <c r="E370" t="s">
        <v>660</v>
      </c>
      <c r="F370">
        <v>3539</v>
      </c>
      <c r="G370">
        <v>3560</v>
      </c>
      <c r="H370">
        <v>3531</v>
      </c>
      <c r="I370">
        <v>3554</v>
      </c>
      <c r="J370">
        <v>151300</v>
      </c>
    </row>
    <row r="371" spans="4:10">
      <c r="D371" t="s">
        <v>705</v>
      </c>
      <c r="E371" t="s">
        <v>661</v>
      </c>
      <c r="F371">
        <v>3554</v>
      </c>
      <c r="G371">
        <v>3586</v>
      </c>
      <c r="H371">
        <v>3551</v>
      </c>
      <c r="I371">
        <v>3584</v>
      </c>
      <c r="J371">
        <v>204600</v>
      </c>
    </row>
    <row r="372" spans="4:10">
      <c r="D372" t="s">
        <v>705</v>
      </c>
      <c r="E372" t="s">
        <v>662</v>
      </c>
      <c r="F372">
        <v>3584</v>
      </c>
      <c r="G372">
        <v>3589</v>
      </c>
      <c r="H372">
        <v>3568</v>
      </c>
      <c r="I372">
        <v>3581</v>
      </c>
      <c r="J372">
        <v>242200</v>
      </c>
    </row>
    <row r="373" spans="4:10">
      <c r="D373" t="s">
        <v>705</v>
      </c>
      <c r="E373" t="s">
        <v>663</v>
      </c>
      <c r="F373">
        <v>3581</v>
      </c>
      <c r="G373">
        <v>3582</v>
      </c>
      <c r="H373">
        <v>3536</v>
      </c>
      <c r="I373">
        <v>3545</v>
      </c>
      <c r="J373">
        <v>241200</v>
      </c>
    </row>
    <row r="374" spans="4:10">
      <c r="D374" t="s">
        <v>705</v>
      </c>
      <c r="E374" t="s">
        <v>664</v>
      </c>
      <c r="F374">
        <v>3544</v>
      </c>
      <c r="G374">
        <v>3567</v>
      </c>
      <c r="H374">
        <v>3534</v>
      </c>
      <c r="I374">
        <v>3560</v>
      </c>
      <c r="J374">
        <v>191200</v>
      </c>
    </row>
    <row r="375" spans="4:10">
      <c r="D375" t="s">
        <v>705</v>
      </c>
      <c r="E375" t="s">
        <v>665</v>
      </c>
      <c r="F375">
        <v>3560</v>
      </c>
      <c r="G375">
        <v>3579</v>
      </c>
      <c r="H375">
        <v>3558</v>
      </c>
      <c r="I375">
        <v>3574</v>
      </c>
      <c r="J375">
        <v>158900</v>
      </c>
    </row>
    <row r="376" spans="4:10">
      <c r="D376" t="s">
        <v>705</v>
      </c>
      <c r="E376" t="s">
        <v>666</v>
      </c>
      <c r="F376">
        <v>3574</v>
      </c>
      <c r="G376">
        <v>3583</v>
      </c>
      <c r="H376">
        <v>3567</v>
      </c>
      <c r="I376">
        <v>3577</v>
      </c>
      <c r="J376">
        <v>158700</v>
      </c>
    </row>
    <row r="377" spans="4:10">
      <c r="D377" t="s">
        <v>705</v>
      </c>
      <c r="E377" t="s">
        <v>667</v>
      </c>
      <c r="F377">
        <v>3578</v>
      </c>
      <c r="G377">
        <v>3582</v>
      </c>
      <c r="H377">
        <v>3566</v>
      </c>
      <c r="I377">
        <v>3573</v>
      </c>
      <c r="J377">
        <v>88000</v>
      </c>
    </row>
    <row r="378" spans="4:10">
      <c r="D378" t="s">
        <v>705</v>
      </c>
      <c r="E378" t="s">
        <v>668</v>
      </c>
      <c r="F378">
        <v>3574</v>
      </c>
      <c r="G378">
        <v>3583</v>
      </c>
      <c r="H378">
        <v>3565</v>
      </c>
      <c r="I378">
        <v>3570</v>
      </c>
      <c r="J378">
        <v>102400</v>
      </c>
    </row>
    <row r="379" spans="4:10">
      <c r="D379" t="s">
        <v>705</v>
      </c>
      <c r="E379" t="s">
        <v>669</v>
      </c>
      <c r="F379">
        <v>3574</v>
      </c>
      <c r="G379">
        <v>3574</v>
      </c>
      <c r="H379">
        <v>3574</v>
      </c>
      <c r="I379">
        <v>3574</v>
      </c>
      <c r="J379">
        <v>5500</v>
      </c>
    </row>
    <row r="380" spans="4:10">
      <c r="D380" t="s">
        <v>705</v>
      </c>
      <c r="E380" t="s">
        <v>670</v>
      </c>
      <c r="F380">
        <v>3585</v>
      </c>
      <c r="G380">
        <v>3611</v>
      </c>
      <c r="H380">
        <v>3559</v>
      </c>
      <c r="I380">
        <v>3565</v>
      </c>
      <c r="J380">
        <v>422500</v>
      </c>
    </row>
    <row r="381" spans="4:10">
      <c r="D381" t="s">
        <v>705</v>
      </c>
      <c r="E381" t="s">
        <v>671</v>
      </c>
      <c r="F381">
        <v>3564</v>
      </c>
      <c r="G381">
        <v>3569</v>
      </c>
      <c r="H381">
        <v>3543</v>
      </c>
      <c r="I381">
        <v>3548</v>
      </c>
      <c r="J381">
        <v>200400</v>
      </c>
    </row>
    <row r="382" spans="4:10">
      <c r="D382" t="s">
        <v>705</v>
      </c>
      <c r="E382" t="s">
        <v>672</v>
      </c>
      <c r="F382">
        <v>3547</v>
      </c>
      <c r="G382">
        <v>3548</v>
      </c>
      <c r="H382">
        <v>3510</v>
      </c>
      <c r="I382">
        <v>3517</v>
      </c>
      <c r="J382">
        <v>253600</v>
      </c>
    </row>
    <row r="383" spans="4:10">
      <c r="D383" t="s">
        <v>705</v>
      </c>
      <c r="E383" t="s">
        <v>673</v>
      </c>
      <c r="F383">
        <v>3517</v>
      </c>
      <c r="G383">
        <v>3527</v>
      </c>
      <c r="H383">
        <v>3512</v>
      </c>
      <c r="I383">
        <v>3517</v>
      </c>
      <c r="J383">
        <v>166200</v>
      </c>
    </row>
    <row r="384" spans="4:10">
      <c r="D384" t="s">
        <v>705</v>
      </c>
      <c r="E384" t="s">
        <v>674</v>
      </c>
      <c r="F384">
        <v>3518</v>
      </c>
      <c r="G384">
        <v>3527</v>
      </c>
      <c r="H384">
        <v>3514</v>
      </c>
      <c r="I384">
        <v>3517</v>
      </c>
      <c r="J384">
        <v>157500</v>
      </c>
    </row>
    <row r="385" spans="4:10">
      <c r="D385" t="s">
        <v>705</v>
      </c>
      <c r="E385" t="s">
        <v>675</v>
      </c>
      <c r="F385">
        <v>3517</v>
      </c>
      <c r="G385">
        <v>3521</v>
      </c>
      <c r="H385">
        <v>3511</v>
      </c>
      <c r="I385">
        <v>3513</v>
      </c>
      <c r="J385">
        <v>106300</v>
      </c>
    </row>
    <row r="386" spans="4:10">
      <c r="D386" t="s">
        <v>705</v>
      </c>
      <c r="E386" t="s">
        <v>676</v>
      </c>
      <c r="F386">
        <v>3514</v>
      </c>
      <c r="G386">
        <v>3526</v>
      </c>
      <c r="H386">
        <v>3487</v>
      </c>
      <c r="I386">
        <v>3491</v>
      </c>
      <c r="J386">
        <v>184000</v>
      </c>
    </row>
    <row r="387" spans="4:10">
      <c r="D387" t="s">
        <v>705</v>
      </c>
      <c r="E387" t="s">
        <v>677</v>
      </c>
      <c r="F387">
        <v>3492</v>
      </c>
      <c r="G387">
        <v>3492</v>
      </c>
      <c r="H387">
        <v>3478</v>
      </c>
      <c r="I387">
        <v>3480</v>
      </c>
      <c r="J387">
        <v>158000</v>
      </c>
    </row>
    <row r="388" spans="4:10">
      <c r="D388" t="s">
        <v>705</v>
      </c>
      <c r="E388" t="s">
        <v>678</v>
      </c>
      <c r="F388">
        <v>3481</v>
      </c>
      <c r="G388">
        <v>3481</v>
      </c>
      <c r="H388">
        <v>3465</v>
      </c>
      <c r="I388">
        <v>3479</v>
      </c>
      <c r="J388">
        <v>118800</v>
      </c>
    </row>
    <row r="389" spans="4:10">
      <c r="D389" t="s">
        <v>705</v>
      </c>
      <c r="E389" t="s">
        <v>679</v>
      </c>
      <c r="F389">
        <v>3478</v>
      </c>
      <c r="G389">
        <v>3498</v>
      </c>
      <c r="H389">
        <v>3477</v>
      </c>
      <c r="I389">
        <v>3495</v>
      </c>
      <c r="J389">
        <v>135100</v>
      </c>
    </row>
    <row r="390" spans="4:10">
      <c r="D390" t="s">
        <v>705</v>
      </c>
      <c r="E390" t="s">
        <v>680</v>
      </c>
      <c r="F390">
        <v>3494</v>
      </c>
      <c r="G390">
        <v>3494</v>
      </c>
      <c r="H390">
        <v>3480</v>
      </c>
      <c r="I390">
        <v>3494</v>
      </c>
      <c r="J390">
        <v>103500</v>
      </c>
    </row>
    <row r="391" spans="4:10">
      <c r="D391" t="s">
        <v>705</v>
      </c>
      <c r="E391" t="s">
        <v>681</v>
      </c>
      <c r="F391">
        <v>3493</v>
      </c>
      <c r="G391">
        <v>3496</v>
      </c>
      <c r="H391">
        <v>3477</v>
      </c>
      <c r="I391">
        <v>3488</v>
      </c>
      <c r="J391">
        <v>89900</v>
      </c>
    </row>
    <row r="392" spans="4:10">
      <c r="D392" t="s">
        <v>705</v>
      </c>
      <c r="E392" t="s">
        <v>682</v>
      </c>
      <c r="F392">
        <v>3489</v>
      </c>
      <c r="G392">
        <v>3490</v>
      </c>
      <c r="H392">
        <v>3474</v>
      </c>
      <c r="I392">
        <v>3480</v>
      </c>
      <c r="J392">
        <v>79100</v>
      </c>
    </row>
    <row r="393" spans="4:10">
      <c r="D393" t="s">
        <v>705</v>
      </c>
      <c r="E393" t="s">
        <v>683</v>
      </c>
      <c r="F393">
        <v>3479</v>
      </c>
      <c r="G393">
        <v>3491</v>
      </c>
      <c r="H393">
        <v>3476</v>
      </c>
      <c r="I393">
        <v>3483</v>
      </c>
      <c r="J393">
        <v>87300</v>
      </c>
    </row>
    <row r="394" spans="4:10">
      <c r="D394" t="s">
        <v>705</v>
      </c>
      <c r="E394" t="s">
        <v>684</v>
      </c>
      <c r="F394">
        <v>3483</v>
      </c>
      <c r="G394">
        <v>3508</v>
      </c>
      <c r="H394">
        <v>3475</v>
      </c>
      <c r="I394">
        <v>3491</v>
      </c>
      <c r="J394">
        <v>145200</v>
      </c>
    </row>
    <row r="395" spans="4:10">
      <c r="D395" t="s">
        <v>705</v>
      </c>
      <c r="E395" t="s">
        <v>685</v>
      </c>
      <c r="F395">
        <v>3490</v>
      </c>
      <c r="G395">
        <v>3506</v>
      </c>
      <c r="H395">
        <v>3488</v>
      </c>
      <c r="I395">
        <v>3505</v>
      </c>
      <c r="J395">
        <v>67600</v>
      </c>
    </row>
    <row r="396" spans="4:10">
      <c r="D396" t="s">
        <v>705</v>
      </c>
      <c r="E396" t="s">
        <v>686</v>
      </c>
      <c r="F396">
        <v>3505</v>
      </c>
      <c r="G396">
        <v>3505</v>
      </c>
      <c r="H396">
        <v>3488</v>
      </c>
      <c r="I396">
        <v>3493</v>
      </c>
      <c r="J396">
        <v>65900</v>
      </c>
    </row>
    <row r="397" spans="4:10">
      <c r="D397" t="s">
        <v>705</v>
      </c>
      <c r="E397" t="s">
        <v>687</v>
      </c>
      <c r="F397">
        <v>3496</v>
      </c>
      <c r="G397">
        <v>3500</v>
      </c>
      <c r="H397">
        <v>3478</v>
      </c>
      <c r="I397">
        <v>3483</v>
      </c>
      <c r="J397">
        <v>70200</v>
      </c>
    </row>
    <row r="398" spans="4:10">
      <c r="D398" t="s">
        <v>705</v>
      </c>
      <c r="E398" t="s">
        <v>688</v>
      </c>
      <c r="F398">
        <v>3484</v>
      </c>
      <c r="G398">
        <v>3495</v>
      </c>
      <c r="H398">
        <v>3474</v>
      </c>
      <c r="I398">
        <v>3492</v>
      </c>
      <c r="J398">
        <v>92500</v>
      </c>
    </row>
    <row r="399" spans="4:10">
      <c r="D399" t="s">
        <v>705</v>
      </c>
      <c r="E399" t="s">
        <v>689</v>
      </c>
      <c r="F399">
        <v>3492</v>
      </c>
      <c r="G399">
        <v>3502</v>
      </c>
      <c r="H399">
        <v>3487</v>
      </c>
      <c r="I399">
        <v>3499</v>
      </c>
      <c r="J399">
        <v>56700</v>
      </c>
    </row>
    <row r="400" spans="4:10">
      <c r="D400" t="s">
        <v>705</v>
      </c>
      <c r="E400" t="s">
        <v>690</v>
      </c>
      <c r="F400">
        <v>3498</v>
      </c>
      <c r="G400">
        <v>3500</v>
      </c>
      <c r="H400">
        <v>3480</v>
      </c>
      <c r="I400">
        <v>3488</v>
      </c>
      <c r="J400">
        <v>67300</v>
      </c>
    </row>
    <row r="401" spans="4:10">
      <c r="D401" t="s">
        <v>705</v>
      </c>
      <c r="E401" t="s">
        <v>691</v>
      </c>
      <c r="F401">
        <v>3488</v>
      </c>
      <c r="G401">
        <v>3491</v>
      </c>
      <c r="H401">
        <v>3476</v>
      </c>
      <c r="I401">
        <v>3481</v>
      </c>
      <c r="J401">
        <v>82000</v>
      </c>
    </row>
    <row r="402" spans="4:10">
      <c r="D402" t="s">
        <v>705</v>
      </c>
      <c r="E402" t="s">
        <v>692</v>
      </c>
      <c r="F402">
        <v>3483</v>
      </c>
      <c r="G402">
        <v>3491</v>
      </c>
      <c r="H402">
        <v>3482</v>
      </c>
      <c r="I402">
        <v>3490</v>
      </c>
      <c r="J402">
        <v>48000</v>
      </c>
    </row>
    <row r="403" spans="4:10">
      <c r="D403" t="s">
        <v>705</v>
      </c>
      <c r="E403" t="s">
        <v>693</v>
      </c>
      <c r="F403">
        <v>3490</v>
      </c>
      <c r="G403">
        <v>3490</v>
      </c>
      <c r="H403">
        <v>3479</v>
      </c>
      <c r="I403">
        <v>3486</v>
      </c>
      <c r="J403">
        <v>57700</v>
      </c>
    </row>
    <row r="404" spans="4:10">
      <c r="D404" t="s">
        <v>705</v>
      </c>
      <c r="E404" t="s">
        <v>694</v>
      </c>
      <c r="F404">
        <v>3487</v>
      </c>
      <c r="G404">
        <v>3509</v>
      </c>
      <c r="H404">
        <v>3487</v>
      </c>
      <c r="I404">
        <v>3508</v>
      </c>
      <c r="J404">
        <v>126600</v>
      </c>
    </row>
    <row r="405" spans="4:10">
      <c r="D405" t="s">
        <v>705</v>
      </c>
      <c r="E405" t="s">
        <v>695</v>
      </c>
      <c r="F405">
        <v>3508</v>
      </c>
      <c r="G405">
        <v>3530</v>
      </c>
      <c r="H405">
        <v>3507</v>
      </c>
      <c r="I405">
        <v>3516</v>
      </c>
      <c r="J405">
        <v>239200</v>
      </c>
    </row>
    <row r="406" spans="4:10">
      <c r="D406" t="s">
        <v>705</v>
      </c>
      <c r="E406" t="s">
        <v>696</v>
      </c>
      <c r="F406">
        <v>3515</v>
      </c>
      <c r="G406">
        <v>3526</v>
      </c>
      <c r="H406">
        <v>3515</v>
      </c>
      <c r="I406">
        <v>3526</v>
      </c>
      <c r="J406">
        <v>70000</v>
      </c>
    </row>
    <row r="407" spans="4:10">
      <c r="D407" t="s">
        <v>705</v>
      </c>
      <c r="E407" t="s">
        <v>697</v>
      </c>
      <c r="F407">
        <v>3526</v>
      </c>
      <c r="G407">
        <v>3531</v>
      </c>
      <c r="H407">
        <v>3514</v>
      </c>
      <c r="I407">
        <v>3514</v>
      </c>
      <c r="J407">
        <v>78800</v>
      </c>
    </row>
    <row r="408" spans="4:10">
      <c r="D408" t="s">
        <v>705</v>
      </c>
      <c r="E408" t="s">
        <v>698</v>
      </c>
      <c r="F408">
        <v>3513</v>
      </c>
      <c r="G408">
        <v>3526</v>
      </c>
      <c r="H408">
        <v>3510</v>
      </c>
      <c r="I408">
        <v>3523</v>
      </c>
      <c r="J408">
        <v>76300</v>
      </c>
    </row>
    <row r="409" spans="4:10">
      <c r="D409" t="s">
        <v>705</v>
      </c>
      <c r="E409" t="s">
        <v>699</v>
      </c>
      <c r="F409">
        <v>3523</v>
      </c>
      <c r="G409">
        <v>3542</v>
      </c>
      <c r="H409">
        <v>3518</v>
      </c>
      <c r="I409">
        <v>3529</v>
      </c>
      <c r="J409">
        <v>123000</v>
      </c>
    </row>
    <row r="410" spans="4:10">
      <c r="D410" t="s">
        <v>705</v>
      </c>
      <c r="E410" t="s">
        <v>700</v>
      </c>
      <c r="F410">
        <v>3529</v>
      </c>
      <c r="G410">
        <v>3530</v>
      </c>
      <c r="H410">
        <v>3523</v>
      </c>
      <c r="I410">
        <v>3530</v>
      </c>
      <c r="J410">
        <v>74400</v>
      </c>
    </row>
    <row r="411" spans="4:10">
      <c r="D411" t="s">
        <v>705</v>
      </c>
      <c r="E411" t="s">
        <v>633</v>
      </c>
      <c r="F411">
        <v>3530</v>
      </c>
      <c r="G411">
        <v>3550</v>
      </c>
      <c r="H411">
        <v>3530</v>
      </c>
      <c r="I411">
        <v>3549</v>
      </c>
      <c r="J411">
        <v>115200</v>
      </c>
    </row>
    <row r="412" spans="4:10">
      <c r="D412" t="s">
        <v>705</v>
      </c>
      <c r="E412" t="s">
        <v>634</v>
      </c>
      <c r="F412">
        <v>3549</v>
      </c>
      <c r="G412">
        <v>3563</v>
      </c>
      <c r="H412">
        <v>3549</v>
      </c>
      <c r="I412">
        <v>3554</v>
      </c>
      <c r="J412">
        <v>142300</v>
      </c>
    </row>
    <row r="413" spans="4:10">
      <c r="D413" t="s">
        <v>705</v>
      </c>
      <c r="E413" t="s">
        <v>635</v>
      </c>
      <c r="F413">
        <v>3554</v>
      </c>
      <c r="G413">
        <v>3558</v>
      </c>
      <c r="H413">
        <v>3544</v>
      </c>
      <c r="I413">
        <v>3547</v>
      </c>
      <c r="J413">
        <v>106700</v>
      </c>
    </row>
    <row r="414" spans="4:10">
      <c r="D414" t="s">
        <v>705</v>
      </c>
      <c r="E414" t="s">
        <v>614</v>
      </c>
      <c r="F414">
        <v>3546</v>
      </c>
      <c r="G414">
        <v>3557</v>
      </c>
      <c r="H414">
        <v>3541</v>
      </c>
      <c r="I414">
        <v>3552</v>
      </c>
      <c r="J414">
        <v>135200</v>
      </c>
    </row>
    <row r="415" spans="4:10">
      <c r="D415" t="s">
        <v>705</v>
      </c>
      <c r="E415" t="s">
        <v>636</v>
      </c>
      <c r="F415" t="s">
        <v>35</v>
      </c>
      <c r="G415" t="s">
        <v>35</v>
      </c>
      <c r="H415" t="s">
        <v>35</v>
      </c>
      <c r="I415" t="s">
        <v>35</v>
      </c>
      <c r="J415">
        <v>0</v>
      </c>
    </row>
    <row r="416" spans="4:10">
      <c r="D416" t="s">
        <v>705</v>
      </c>
      <c r="E416" t="s">
        <v>637</v>
      </c>
      <c r="F416">
        <v>3545</v>
      </c>
      <c r="G416">
        <v>3545</v>
      </c>
      <c r="H416">
        <v>3545</v>
      </c>
      <c r="I416">
        <v>3545</v>
      </c>
      <c r="J416">
        <v>629200</v>
      </c>
    </row>
    <row r="417" spans="4:10">
      <c r="D417" t="s">
        <v>706</v>
      </c>
      <c r="E417" t="s">
        <v>639</v>
      </c>
      <c r="F417" t="s">
        <v>35</v>
      </c>
      <c r="G417" t="s">
        <v>35</v>
      </c>
      <c r="H417" t="s">
        <v>35</v>
      </c>
      <c r="I417" t="s">
        <v>35</v>
      </c>
      <c r="J417">
        <v>0</v>
      </c>
    </row>
    <row r="418" spans="4:10">
      <c r="D418" t="s">
        <v>706</v>
      </c>
      <c r="E418" t="s">
        <v>640</v>
      </c>
      <c r="F418">
        <v>3777</v>
      </c>
      <c r="G418">
        <v>3803</v>
      </c>
      <c r="H418">
        <v>3735</v>
      </c>
      <c r="I418">
        <v>3748</v>
      </c>
      <c r="J418">
        <v>939200</v>
      </c>
    </row>
    <row r="419" spans="4:10">
      <c r="D419" t="s">
        <v>706</v>
      </c>
      <c r="E419" t="s">
        <v>641</v>
      </c>
      <c r="F419">
        <v>3748</v>
      </c>
      <c r="G419">
        <v>3759</v>
      </c>
      <c r="H419">
        <v>3696</v>
      </c>
      <c r="I419">
        <v>3712</v>
      </c>
      <c r="J419">
        <v>763200</v>
      </c>
    </row>
    <row r="420" spans="4:10">
      <c r="D420" t="s">
        <v>706</v>
      </c>
      <c r="E420" t="s">
        <v>642</v>
      </c>
      <c r="F420">
        <v>3710</v>
      </c>
      <c r="G420">
        <v>3800</v>
      </c>
      <c r="H420">
        <v>3706</v>
      </c>
      <c r="I420">
        <v>3779</v>
      </c>
      <c r="J420">
        <v>436200</v>
      </c>
    </row>
    <row r="421" spans="4:10">
      <c r="D421" t="s">
        <v>706</v>
      </c>
      <c r="E421" t="s">
        <v>643</v>
      </c>
      <c r="F421">
        <v>3779</v>
      </c>
      <c r="G421">
        <v>3848</v>
      </c>
      <c r="H421">
        <v>3778</v>
      </c>
      <c r="I421">
        <v>3839</v>
      </c>
      <c r="J421">
        <v>467900</v>
      </c>
    </row>
    <row r="422" spans="4:10">
      <c r="D422" t="s">
        <v>706</v>
      </c>
      <c r="E422" t="s">
        <v>644</v>
      </c>
      <c r="F422">
        <v>3839</v>
      </c>
      <c r="G422">
        <v>3857</v>
      </c>
      <c r="H422">
        <v>3802</v>
      </c>
      <c r="I422">
        <v>3851</v>
      </c>
      <c r="J422">
        <v>438400</v>
      </c>
    </row>
    <row r="423" spans="4:10">
      <c r="D423" t="s">
        <v>706</v>
      </c>
      <c r="E423" t="s">
        <v>645</v>
      </c>
      <c r="F423">
        <v>3851</v>
      </c>
      <c r="G423">
        <v>3869</v>
      </c>
      <c r="H423">
        <v>3824</v>
      </c>
      <c r="I423">
        <v>3839</v>
      </c>
      <c r="J423">
        <v>351700</v>
      </c>
    </row>
    <row r="424" spans="4:10">
      <c r="D424" t="s">
        <v>706</v>
      </c>
      <c r="E424" t="s">
        <v>646</v>
      </c>
      <c r="F424">
        <v>3839</v>
      </c>
      <c r="G424">
        <v>3847</v>
      </c>
      <c r="H424">
        <v>3813</v>
      </c>
      <c r="I424">
        <v>3830</v>
      </c>
      <c r="J424">
        <v>257800</v>
      </c>
    </row>
    <row r="425" spans="4:10">
      <c r="D425" t="s">
        <v>706</v>
      </c>
      <c r="E425" t="s">
        <v>647</v>
      </c>
      <c r="F425">
        <v>3829</v>
      </c>
      <c r="G425">
        <v>3834</v>
      </c>
      <c r="H425">
        <v>3810</v>
      </c>
      <c r="I425">
        <v>3832</v>
      </c>
      <c r="J425">
        <v>255100</v>
      </c>
    </row>
    <row r="426" spans="4:10">
      <c r="D426" t="s">
        <v>706</v>
      </c>
      <c r="E426" t="s">
        <v>648</v>
      </c>
      <c r="F426">
        <v>3829</v>
      </c>
      <c r="G426">
        <v>3831</v>
      </c>
      <c r="H426">
        <v>3771</v>
      </c>
      <c r="I426">
        <v>3783</v>
      </c>
      <c r="J426">
        <v>303300</v>
      </c>
    </row>
    <row r="427" spans="4:10">
      <c r="D427" t="s">
        <v>706</v>
      </c>
      <c r="E427" t="s">
        <v>649</v>
      </c>
      <c r="F427">
        <v>3785</v>
      </c>
      <c r="G427">
        <v>3813</v>
      </c>
      <c r="H427">
        <v>3770</v>
      </c>
      <c r="I427">
        <v>3800</v>
      </c>
      <c r="J427">
        <v>259400</v>
      </c>
    </row>
    <row r="428" spans="4:10">
      <c r="D428" t="s">
        <v>706</v>
      </c>
      <c r="E428" t="s">
        <v>650</v>
      </c>
      <c r="F428">
        <v>3799</v>
      </c>
      <c r="G428">
        <v>3809</v>
      </c>
      <c r="H428">
        <v>3752</v>
      </c>
      <c r="I428">
        <v>3802</v>
      </c>
      <c r="J428">
        <v>310100</v>
      </c>
    </row>
    <row r="429" spans="4:10">
      <c r="D429" t="s">
        <v>706</v>
      </c>
      <c r="E429" t="s">
        <v>651</v>
      </c>
      <c r="F429">
        <v>3803</v>
      </c>
      <c r="G429">
        <v>3805</v>
      </c>
      <c r="H429">
        <v>3769</v>
      </c>
      <c r="I429">
        <v>3790</v>
      </c>
      <c r="J429">
        <v>200600</v>
      </c>
    </row>
    <row r="430" spans="4:10">
      <c r="D430" t="s">
        <v>706</v>
      </c>
      <c r="E430" t="s">
        <v>652</v>
      </c>
      <c r="F430">
        <v>3789</v>
      </c>
      <c r="G430">
        <v>3830</v>
      </c>
      <c r="H430">
        <v>3788</v>
      </c>
      <c r="I430">
        <v>3804</v>
      </c>
      <c r="J430">
        <v>372700</v>
      </c>
    </row>
    <row r="431" spans="4:10">
      <c r="D431" t="s">
        <v>706</v>
      </c>
      <c r="E431" t="s">
        <v>653</v>
      </c>
      <c r="F431">
        <v>3805</v>
      </c>
      <c r="G431">
        <v>3814</v>
      </c>
      <c r="H431">
        <v>3788</v>
      </c>
      <c r="I431">
        <v>3788</v>
      </c>
      <c r="J431">
        <v>128600</v>
      </c>
    </row>
    <row r="432" spans="4:10">
      <c r="D432" t="s">
        <v>706</v>
      </c>
      <c r="E432" t="s">
        <v>654</v>
      </c>
      <c r="F432">
        <v>3789</v>
      </c>
      <c r="G432">
        <v>3792</v>
      </c>
      <c r="H432">
        <v>3758</v>
      </c>
      <c r="I432">
        <v>3760</v>
      </c>
      <c r="J432">
        <v>191900</v>
      </c>
    </row>
    <row r="433" spans="4:10">
      <c r="D433" t="s">
        <v>706</v>
      </c>
      <c r="E433" t="s">
        <v>655</v>
      </c>
      <c r="F433">
        <v>3762</v>
      </c>
      <c r="G433">
        <v>3782</v>
      </c>
      <c r="H433">
        <v>3757</v>
      </c>
      <c r="I433">
        <v>3773</v>
      </c>
      <c r="J433">
        <v>158700</v>
      </c>
    </row>
    <row r="434" spans="4:10">
      <c r="D434" t="s">
        <v>706</v>
      </c>
      <c r="E434" t="s">
        <v>656</v>
      </c>
      <c r="F434">
        <v>3772</v>
      </c>
      <c r="G434">
        <v>3778</v>
      </c>
      <c r="H434">
        <v>3754</v>
      </c>
      <c r="I434">
        <v>3778</v>
      </c>
      <c r="J434">
        <v>165100</v>
      </c>
    </row>
    <row r="435" spans="4:10">
      <c r="D435" t="s">
        <v>706</v>
      </c>
      <c r="E435" t="s">
        <v>657</v>
      </c>
      <c r="F435">
        <v>3778</v>
      </c>
      <c r="G435">
        <v>3783</v>
      </c>
      <c r="H435">
        <v>3745</v>
      </c>
      <c r="I435">
        <v>3746</v>
      </c>
      <c r="J435">
        <v>185400</v>
      </c>
    </row>
    <row r="436" spans="4:10">
      <c r="D436" t="s">
        <v>706</v>
      </c>
      <c r="E436" t="s">
        <v>658</v>
      </c>
      <c r="F436">
        <v>3746</v>
      </c>
      <c r="G436">
        <v>3767</v>
      </c>
      <c r="H436">
        <v>3734</v>
      </c>
      <c r="I436">
        <v>3737</v>
      </c>
      <c r="J436">
        <v>157600</v>
      </c>
    </row>
    <row r="437" spans="4:10">
      <c r="D437" t="s">
        <v>706</v>
      </c>
      <c r="E437" t="s">
        <v>659</v>
      </c>
      <c r="F437">
        <v>3735</v>
      </c>
      <c r="G437">
        <v>3758</v>
      </c>
      <c r="H437">
        <v>3735</v>
      </c>
      <c r="I437">
        <v>3749</v>
      </c>
      <c r="J437">
        <v>110300</v>
      </c>
    </row>
    <row r="438" spans="4:10">
      <c r="D438" t="s">
        <v>706</v>
      </c>
      <c r="E438" t="s">
        <v>660</v>
      </c>
      <c r="F438">
        <v>3748</v>
      </c>
      <c r="G438">
        <v>3771</v>
      </c>
      <c r="H438">
        <v>3746</v>
      </c>
      <c r="I438">
        <v>3770</v>
      </c>
      <c r="J438">
        <v>165500</v>
      </c>
    </row>
    <row r="439" spans="4:10">
      <c r="D439" t="s">
        <v>706</v>
      </c>
      <c r="E439" t="s">
        <v>661</v>
      </c>
      <c r="F439">
        <v>3769</v>
      </c>
      <c r="G439">
        <v>3772</v>
      </c>
      <c r="H439">
        <v>3736</v>
      </c>
      <c r="I439">
        <v>3737</v>
      </c>
      <c r="J439">
        <v>163100</v>
      </c>
    </row>
    <row r="440" spans="4:10">
      <c r="D440" t="s">
        <v>706</v>
      </c>
      <c r="E440" t="s">
        <v>662</v>
      </c>
      <c r="F440">
        <v>3736</v>
      </c>
      <c r="G440">
        <v>3748</v>
      </c>
      <c r="H440">
        <v>3726</v>
      </c>
      <c r="I440">
        <v>3747</v>
      </c>
      <c r="J440">
        <v>137100</v>
      </c>
    </row>
    <row r="441" spans="4:10">
      <c r="D441" t="s">
        <v>706</v>
      </c>
      <c r="E441" t="s">
        <v>663</v>
      </c>
      <c r="F441">
        <v>3747</v>
      </c>
      <c r="G441">
        <v>3783</v>
      </c>
      <c r="H441">
        <v>3744</v>
      </c>
      <c r="I441">
        <v>3780</v>
      </c>
      <c r="J441">
        <v>130100</v>
      </c>
    </row>
    <row r="442" spans="4:10">
      <c r="D442" t="s">
        <v>706</v>
      </c>
      <c r="E442" t="s">
        <v>664</v>
      </c>
      <c r="F442">
        <v>3781</v>
      </c>
      <c r="G442">
        <v>3796</v>
      </c>
      <c r="H442">
        <v>3771</v>
      </c>
      <c r="I442">
        <v>3775</v>
      </c>
      <c r="J442">
        <v>165200</v>
      </c>
    </row>
    <row r="443" spans="4:10">
      <c r="D443" t="s">
        <v>706</v>
      </c>
      <c r="E443" t="s">
        <v>665</v>
      </c>
      <c r="F443">
        <v>3776</v>
      </c>
      <c r="G443">
        <v>3793</v>
      </c>
      <c r="H443">
        <v>3772</v>
      </c>
      <c r="I443">
        <v>3784</v>
      </c>
      <c r="J443">
        <v>116400</v>
      </c>
    </row>
    <row r="444" spans="4:10">
      <c r="D444" t="s">
        <v>706</v>
      </c>
      <c r="E444" t="s">
        <v>666</v>
      </c>
      <c r="F444">
        <v>3785</v>
      </c>
      <c r="G444">
        <v>3787</v>
      </c>
      <c r="H444">
        <v>3768</v>
      </c>
      <c r="I444">
        <v>3781</v>
      </c>
      <c r="J444">
        <v>120500</v>
      </c>
    </row>
    <row r="445" spans="4:10">
      <c r="D445" t="s">
        <v>706</v>
      </c>
      <c r="E445" t="s">
        <v>667</v>
      </c>
      <c r="F445">
        <v>3782</v>
      </c>
      <c r="G445">
        <v>3797</v>
      </c>
      <c r="H445">
        <v>3780</v>
      </c>
      <c r="I445">
        <v>3787</v>
      </c>
      <c r="J445">
        <v>123500</v>
      </c>
    </row>
    <row r="446" spans="4:10">
      <c r="D446" t="s">
        <v>706</v>
      </c>
      <c r="E446" t="s">
        <v>668</v>
      </c>
      <c r="F446">
        <v>3786</v>
      </c>
      <c r="G446">
        <v>3789</v>
      </c>
      <c r="H446">
        <v>3770</v>
      </c>
      <c r="I446">
        <v>3775</v>
      </c>
      <c r="J446">
        <v>77900</v>
      </c>
    </row>
    <row r="447" spans="4:10">
      <c r="D447" t="s">
        <v>706</v>
      </c>
      <c r="E447" t="s">
        <v>669</v>
      </c>
      <c r="F447">
        <v>3777</v>
      </c>
      <c r="G447">
        <v>3777</v>
      </c>
      <c r="H447">
        <v>3777</v>
      </c>
      <c r="I447">
        <v>3777</v>
      </c>
      <c r="J447">
        <v>7000</v>
      </c>
    </row>
    <row r="448" spans="4:10">
      <c r="D448" t="s">
        <v>706</v>
      </c>
      <c r="E448" t="s">
        <v>670</v>
      </c>
      <c r="F448">
        <v>3775</v>
      </c>
      <c r="G448">
        <v>3778</v>
      </c>
      <c r="H448">
        <v>3723</v>
      </c>
      <c r="I448">
        <v>3735</v>
      </c>
      <c r="J448">
        <v>360400</v>
      </c>
    </row>
    <row r="449" spans="4:10">
      <c r="D449" t="s">
        <v>706</v>
      </c>
      <c r="E449" t="s">
        <v>671</v>
      </c>
      <c r="F449">
        <v>3736</v>
      </c>
      <c r="G449">
        <v>3741</v>
      </c>
      <c r="H449">
        <v>3730</v>
      </c>
      <c r="I449">
        <v>3738</v>
      </c>
      <c r="J449">
        <v>128000</v>
      </c>
    </row>
    <row r="450" spans="4:10">
      <c r="D450" t="s">
        <v>706</v>
      </c>
      <c r="E450" t="s">
        <v>672</v>
      </c>
      <c r="F450">
        <v>3738</v>
      </c>
      <c r="G450">
        <v>3743</v>
      </c>
      <c r="H450">
        <v>3728</v>
      </c>
      <c r="I450">
        <v>3734</v>
      </c>
      <c r="J450">
        <v>132500</v>
      </c>
    </row>
    <row r="451" spans="4:10">
      <c r="D451" t="s">
        <v>706</v>
      </c>
      <c r="E451" t="s">
        <v>673</v>
      </c>
      <c r="F451">
        <v>3734</v>
      </c>
      <c r="G451">
        <v>3737</v>
      </c>
      <c r="H451">
        <v>3721</v>
      </c>
      <c r="I451">
        <v>3732</v>
      </c>
      <c r="J451">
        <v>134400</v>
      </c>
    </row>
    <row r="452" spans="4:10">
      <c r="D452" t="s">
        <v>706</v>
      </c>
      <c r="E452" t="s">
        <v>674</v>
      </c>
      <c r="F452">
        <v>3732</v>
      </c>
      <c r="G452">
        <v>3749</v>
      </c>
      <c r="H452">
        <v>3728</v>
      </c>
      <c r="I452">
        <v>3747</v>
      </c>
      <c r="J452">
        <v>144600</v>
      </c>
    </row>
    <row r="453" spans="4:10">
      <c r="D453" t="s">
        <v>706</v>
      </c>
      <c r="E453" t="s">
        <v>675</v>
      </c>
      <c r="F453">
        <v>3747</v>
      </c>
      <c r="G453">
        <v>3748</v>
      </c>
      <c r="H453">
        <v>3739</v>
      </c>
      <c r="I453">
        <v>3739</v>
      </c>
      <c r="J453">
        <v>67900</v>
      </c>
    </row>
    <row r="454" spans="4:10">
      <c r="D454" t="s">
        <v>706</v>
      </c>
      <c r="E454" t="s">
        <v>676</v>
      </c>
      <c r="F454">
        <v>3739</v>
      </c>
      <c r="G454">
        <v>3754</v>
      </c>
      <c r="H454">
        <v>3736</v>
      </c>
      <c r="I454">
        <v>3740</v>
      </c>
      <c r="J454">
        <v>116300</v>
      </c>
    </row>
    <row r="455" spans="4:10">
      <c r="D455" t="s">
        <v>706</v>
      </c>
      <c r="E455" t="s">
        <v>677</v>
      </c>
      <c r="F455">
        <v>3740</v>
      </c>
      <c r="G455">
        <v>3743</v>
      </c>
      <c r="H455">
        <v>3732</v>
      </c>
      <c r="I455">
        <v>3733</v>
      </c>
      <c r="J455">
        <v>92600</v>
      </c>
    </row>
    <row r="456" spans="4:10">
      <c r="D456" t="s">
        <v>706</v>
      </c>
      <c r="E456" t="s">
        <v>678</v>
      </c>
      <c r="F456">
        <v>3733</v>
      </c>
      <c r="G456">
        <v>3734</v>
      </c>
      <c r="H456">
        <v>3709</v>
      </c>
      <c r="I456">
        <v>3711</v>
      </c>
      <c r="J456">
        <v>150500</v>
      </c>
    </row>
    <row r="457" spans="4:10">
      <c r="D457" t="s">
        <v>706</v>
      </c>
      <c r="E457" t="s">
        <v>679</v>
      </c>
      <c r="F457">
        <v>3711</v>
      </c>
      <c r="G457">
        <v>3715</v>
      </c>
      <c r="H457">
        <v>3703</v>
      </c>
      <c r="I457">
        <v>3708</v>
      </c>
      <c r="J457">
        <v>118400</v>
      </c>
    </row>
    <row r="458" spans="4:10">
      <c r="D458" t="s">
        <v>706</v>
      </c>
      <c r="E458" t="s">
        <v>680</v>
      </c>
      <c r="F458">
        <v>3709</v>
      </c>
      <c r="G458">
        <v>3713</v>
      </c>
      <c r="H458">
        <v>3703</v>
      </c>
      <c r="I458">
        <v>3710</v>
      </c>
      <c r="J458">
        <v>100500</v>
      </c>
    </row>
    <row r="459" spans="4:10">
      <c r="D459" t="s">
        <v>706</v>
      </c>
      <c r="E459" t="s">
        <v>681</v>
      </c>
      <c r="F459">
        <v>3710</v>
      </c>
      <c r="G459">
        <v>3719</v>
      </c>
      <c r="H459">
        <v>3708</v>
      </c>
      <c r="I459">
        <v>3716</v>
      </c>
      <c r="J459">
        <v>94200</v>
      </c>
    </row>
    <row r="460" spans="4:10">
      <c r="D460" t="s">
        <v>706</v>
      </c>
      <c r="E460" t="s">
        <v>682</v>
      </c>
      <c r="F460">
        <v>3717</v>
      </c>
      <c r="G460">
        <v>3728</v>
      </c>
      <c r="H460">
        <v>3715</v>
      </c>
      <c r="I460">
        <v>3726</v>
      </c>
      <c r="J460">
        <v>85300</v>
      </c>
    </row>
    <row r="461" spans="4:10">
      <c r="D461" t="s">
        <v>706</v>
      </c>
      <c r="E461" t="s">
        <v>683</v>
      </c>
      <c r="F461">
        <v>3725</v>
      </c>
      <c r="G461">
        <v>3734</v>
      </c>
      <c r="H461">
        <v>3721</v>
      </c>
      <c r="I461">
        <v>3726</v>
      </c>
      <c r="J461">
        <v>108300</v>
      </c>
    </row>
    <row r="462" spans="4:10">
      <c r="D462" t="s">
        <v>706</v>
      </c>
      <c r="E462" t="s">
        <v>684</v>
      </c>
      <c r="F462">
        <v>3726</v>
      </c>
      <c r="G462">
        <v>3734</v>
      </c>
      <c r="H462">
        <v>3725</v>
      </c>
      <c r="I462">
        <v>3729</v>
      </c>
      <c r="J462">
        <v>80100</v>
      </c>
    </row>
    <row r="463" spans="4:10">
      <c r="D463" t="s">
        <v>706</v>
      </c>
      <c r="E463" t="s">
        <v>685</v>
      </c>
      <c r="F463">
        <v>3727</v>
      </c>
      <c r="G463">
        <v>3729</v>
      </c>
      <c r="H463">
        <v>3710</v>
      </c>
      <c r="I463">
        <v>3716</v>
      </c>
      <c r="J463">
        <v>109500</v>
      </c>
    </row>
    <row r="464" spans="4:10">
      <c r="D464" t="s">
        <v>706</v>
      </c>
      <c r="E464" t="s">
        <v>686</v>
      </c>
      <c r="F464">
        <v>3716</v>
      </c>
      <c r="G464">
        <v>3721</v>
      </c>
      <c r="H464">
        <v>3712</v>
      </c>
      <c r="I464">
        <v>3721</v>
      </c>
      <c r="J464">
        <v>82000</v>
      </c>
    </row>
    <row r="465" spans="4:10">
      <c r="D465" t="s">
        <v>706</v>
      </c>
      <c r="E465" t="s">
        <v>687</v>
      </c>
      <c r="F465">
        <v>3721</v>
      </c>
      <c r="G465">
        <v>3721</v>
      </c>
      <c r="H465">
        <v>3713</v>
      </c>
      <c r="I465">
        <v>3713</v>
      </c>
      <c r="J465">
        <v>49300</v>
      </c>
    </row>
    <row r="466" spans="4:10">
      <c r="D466" t="s">
        <v>706</v>
      </c>
      <c r="E466" t="s">
        <v>688</v>
      </c>
      <c r="F466">
        <v>3712</v>
      </c>
      <c r="G466">
        <v>3719</v>
      </c>
      <c r="H466">
        <v>3688</v>
      </c>
      <c r="I466">
        <v>3695</v>
      </c>
      <c r="J466">
        <v>174600</v>
      </c>
    </row>
    <row r="467" spans="4:10">
      <c r="D467" t="s">
        <v>706</v>
      </c>
      <c r="E467" t="s">
        <v>689</v>
      </c>
      <c r="F467">
        <v>3696</v>
      </c>
      <c r="G467">
        <v>3700</v>
      </c>
      <c r="H467">
        <v>3688</v>
      </c>
      <c r="I467">
        <v>3691</v>
      </c>
      <c r="J467">
        <v>91400</v>
      </c>
    </row>
    <row r="468" spans="4:10">
      <c r="D468" t="s">
        <v>706</v>
      </c>
      <c r="E468" t="s">
        <v>690</v>
      </c>
      <c r="F468">
        <v>3691</v>
      </c>
      <c r="G468">
        <v>3695</v>
      </c>
      <c r="H468">
        <v>3681</v>
      </c>
      <c r="I468">
        <v>3692</v>
      </c>
      <c r="J468">
        <v>103200</v>
      </c>
    </row>
    <row r="469" spans="4:10">
      <c r="D469" t="s">
        <v>706</v>
      </c>
      <c r="E469" t="s">
        <v>691</v>
      </c>
      <c r="F469">
        <v>3694</v>
      </c>
      <c r="G469">
        <v>3694</v>
      </c>
      <c r="H469">
        <v>3681</v>
      </c>
      <c r="I469">
        <v>3682</v>
      </c>
      <c r="J469">
        <v>58000</v>
      </c>
    </row>
    <row r="470" spans="4:10">
      <c r="D470" t="s">
        <v>706</v>
      </c>
      <c r="E470" t="s">
        <v>692</v>
      </c>
      <c r="F470">
        <v>3683</v>
      </c>
      <c r="G470">
        <v>3693</v>
      </c>
      <c r="H470">
        <v>3681</v>
      </c>
      <c r="I470">
        <v>3686</v>
      </c>
      <c r="J470">
        <v>64700</v>
      </c>
    </row>
    <row r="471" spans="4:10">
      <c r="D471" t="s">
        <v>706</v>
      </c>
      <c r="E471" t="s">
        <v>693</v>
      </c>
      <c r="F471">
        <v>3686</v>
      </c>
      <c r="G471">
        <v>3711</v>
      </c>
      <c r="H471">
        <v>3684</v>
      </c>
      <c r="I471">
        <v>3705</v>
      </c>
      <c r="J471">
        <v>142000</v>
      </c>
    </row>
    <row r="472" spans="4:10">
      <c r="D472" t="s">
        <v>706</v>
      </c>
      <c r="E472" t="s">
        <v>694</v>
      </c>
      <c r="F472">
        <v>3706</v>
      </c>
      <c r="G472">
        <v>3723</v>
      </c>
      <c r="H472">
        <v>3695</v>
      </c>
      <c r="I472">
        <v>3705</v>
      </c>
      <c r="J472">
        <v>245000</v>
      </c>
    </row>
    <row r="473" spans="4:10">
      <c r="D473" t="s">
        <v>706</v>
      </c>
      <c r="E473" t="s">
        <v>695</v>
      </c>
      <c r="F473">
        <v>3705</v>
      </c>
      <c r="G473">
        <v>3709</v>
      </c>
      <c r="H473">
        <v>3693</v>
      </c>
      <c r="I473">
        <v>3698</v>
      </c>
      <c r="J473">
        <v>102600</v>
      </c>
    </row>
    <row r="474" spans="4:10">
      <c r="D474" t="s">
        <v>706</v>
      </c>
      <c r="E474" t="s">
        <v>696</v>
      </c>
      <c r="F474">
        <v>3699</v>
      </c>
      <c r="G474">
        <v>3709</v>
      </c>
      <c r="H474">
        <v>3699</v>
      </c>
      <c r="I474">
        <v>3707</v>
      </c>
      <c r="J474">
        <v>84500</v>
      </c>
    </row>
    <row r="475" spans="4:10">
      <c r="D475" t="s">
        <v>706</v>
      </c>
      <c r="E475" t="s">
        <v>697</v>
      </c>
      <c r="F475">
        <v>3708</v>
      </c>
      <c r="G475">
        <v>3714</v>
      </c>
      <c r="H475">
        <v>3704</v>
      </c>
      <c r="I475">
        <v>3706</v>
      </c>
      <c r="J475">
        <v>98900</v>
      </c>
    </row>
    <row r="476" spans="4:10">
      <c r="D476" t="s">
        <v>706</v>
      </c>
      <c r="E476" t="s">
        <v>698</v>
      </c>
      <c r="F476">
        <v>3706</v>
      </c>
      <c r="G476">
        <v>3713</v>
      </c>
      <c r="H476">
        <v>3701</v>
      </c>
      <c r="I476">
        <v>3706</v>
      </c>
      <c r="J476">
        <v>92400</v>
      </c>
    </row>
    <row r="477" spans="4:10">
      <c r="D477" t="s">
        <v>706</v>
      </c>
      <c r="E477" t="s">
        <v>699</v>
      </c>
      <c r="F477">
        <v>3706</v>
      </c>
      <c r="G477">
        <v>3706</v>
      </c>
      <c r="H477">
        <v>3693</v>
      </c>
      <c r="I477">
        <v>3698</v>
      </c>
      <c r="J477">
        <v>106600</v>
      </c>
    </row>
    <row r="478" spans="4:10">
      <c r="D478" t="s">
        <v>706</v>
      </c>
      <c r="E478" t="s">
        <v>700</v>
      </c>
      <c r="F478">
        <v>3697</v>
      </c>
      <c r="G478">
        <v>3712</v>
      </c>
      <c r="H478">
        <v>3695</v>
      </c>
      <c r="I478">
        <v>3710</v>
      </c>
      <c r="J478">
        <v>100900</v>
      </c>
    </row>
    <row r="479" spans="4:10">
      <c r="D479" t="s">
        <v>706</v>
      </c>
      <c r="E479" t="s">
        <v>633</v>
      </c>
      <c r="F479">
        <v>3710</v>
      </c>
      <c r="G479">
        <v>3717</v>
      </c>
      <c r="H479">
        <v>3707</v>
      </c>
      <c r="I479">
        <v>3714</v>
      </c>
      <c r="J479">
        <v>151600</v>
      </c>
    </row>
    <row r="480" spans="4:10">
      <c r="D480" t="s">
        <v>706</v>
      </c>
      <c r="E480" t="s">
        <v>634</v>
      </c>
      <c r="F480">
        <v>3714</v>
      </c>
      <c r="G480">
        <v>3718</v>
      </c>
      <c r="H480">
        <v>3709</v>
      </c>
      <c r="I480">
        <v>3712</v>
      </c>
      <c r="J480">
        <v>95300</v>
      </c>
    </row>
    <row r="481" spans="4:10">
      <c r="D481" t="s">
        <v>706</v>
      </c>
      <c r="E481" t="s">
        <v>635</v>
      </c>
      <c r="F481">
        <v>3712</v>
      </c>
      <c r="G481">
        <v>3712</v>
      </c>
      <c r="H481">
        <v>3700</v>
      </c>
      <c r="I481">
        <v>3707</v>
      </c>
      <c r="J481">
        <v>190000</v>
      </c>
    </row>
    <row r="482" spans="4:10">
      <c r="D482" t="s">
        <v>706</v>
      </c>
      <c r="E482" t="s">
        <v>614</v>
      </c>
      <c r="F482">
        <v>3706</v>
      </c>
      <c r="G482">
        <v>3713</v>
      </c>
      <c r="H482">
        <v>3686</v>
      </c>
      <c r="I482">
        <v>3691</v>
      </c>
      <c r="J482">
        <v>247000</v>
      </c>
    </row>
    <row r="483" spans="4:10">
      <c r="D483" t="s">
        <v>706</v>
      </c>
      <c r="E483" t="s">
        <v>636</v>
      </c>
      <c r="F483" t="s">
        <v>35</v>
      </c>
      <c r="G483" t="s">
        <v>35</v>
      </c>
      <c r="H483" t="s">
        <v>35</v>
      </c>
      <c r="I483" t="s">
        <v>35</v>
      </c>
      <c r="J483">
        <v>0</v>
      </c>
    </row>
    <row r="484" spans="4:10">
      <c r="D484" t="s">
        <v>706</v>
      </c>
      <c r="E484" t="s">
        <v>637</v>
      </c>
      <c r="F484">
        <v>3756</v>
      </c>
      <c r="G484">
        <v>3756</v>
      </c>
      <c r="H484">
        <v>3756</v>
      </c>
      <c r="I484">
        <v>3756</v>
      </c>
      <c r="J484">
        <v>1298600</v>
      </c>
    </row>
    <row r="485" spans="4:10">
      <c r="D485" t="s">
        <v>707</v>
      </c>
      <c r="E485" t="s">
        <v>639</v>
      </c>
      <c r="F485">
        <v>3650</v>
      </c>
      <c r="G485">
        <v>3707</v>
      </c>
      <c r="H485">
        <v>3621</v>
      </c>
      <c r="I485">
        <v>3674</v>
      </c>
      <c r="J485">
        <v>863100</v>
      </c>
    </row>
    <row r="486" spans="4:10">
      <c r="D486" t="s">
        <v>707</v>
      </c>
      <c r="E486" t="s">
        <v>640</v>
      </c>
      <c r="F486">
        <v>3673</v>
      </c>
      <c r="G486">
        <v>3683</v>
      </c>
      <c r="H486">
        <v>3618</v>
      </c>
      <c r="I486">
        <v>3642</v>
      </c>
      <c r="J486">
        <v>522500</v>
      </c>
    </row>
    <row r="487" spans="4:10">
      <c r="D487" t="s">
        <v>707</v>
      </c>
      <c r="E487" t="s">
        <v>641</v>
      </c>
      <c r="F487">
        <v>3643</v>
      </c>
      <c r="G487">
        <v>3696</v>
      </c>
      <c r="H487">
        <v>3631</v>
      </c>
      <c r="I487">
        <v>3696</v>
      </c>
      <c r="J487">
        <v>345400</v>
      </c>
    </row>
    <row r="488" spans="4:10">
      <c r="D488" t="s">
        <v>707</v>
      </c>
      <c r="E488" t="s">
        <v>642</v>
      </c>
      <c r="F488">
        <v>3694</v>
      </c>
      <c r="G488">
        <v>3720</v>
      </c>
      <c r="H488">
        <v>3561</v>
      </c>
      <c r="I488">
        <v>3573</v>
      </c>
      <c r="J488">
        <v>596500</v>
      </c>
    </row>
    <row r="489" spans="4:10">
      <c r="D489" t="s">
        <v>707</v>
      </c>
      <c r="E489" t="s">
        <v>643</v>
      </c>
      <c r="F489">
        <v>3574</v>
      </c>
      <c r="G489">
        <v>3599</v>
      </c>
      <c r="H489">
        <v>3535</v>
      </c>
      <c r="I489">
        <v>3597</v>
      </c>
      <c r="J489">
        <v>428300</v>
      </c>
    </row>
    <row r="490" spans="4:10">
      <c r="D490" t="s">
        <v>707</v>
      </c>
      <c r="E490" t="s">
        <v>644</v>
      </c>
      <c r="F490">
        <v>3596</v>
      </c>
      <c r="G490">
        <v>3627</v>
      </c>
      <c r="H490">
        <v>3564</v>
      </c>
      <c r="I490">
        <v>3584</v>
      </c>
      <c r="J490">
        <v>361200</v>
      </c>
    </row>
    <row r="491" spans="4:10">
      <c r="D491" t="s">
        <v>707</v>
      </c>
      <c r="E491" t="s">
        <v>645</v>
      </c>
      <c r="F491">
        <v>3584</v>
      </c>
      <c r="G491">
        <v>3599</v>
      </c>
      <c r="H491">
        <v>3566</v>
      </c>
      <c r="I491">
        <v>3568</v>
      </c>
      <c r="J491">
        <v>268000</v>
      </c>
    </row>
    <row r="492" spans="4:10">
      <c r="D492" t="s">
        <v>707</v>
      </c>
      <c r="E492" t="s">
        <v>646</v>
      </c>
      <c r="F492">
        <v>3568</v>
      </c>
      <c r="G492">
        <v>3595</v>
      </c>
      <c r="H492">
        <v>3568</v>
      </c>
      <c r="I492">
        <v>3590</v>
      </c>
      <c r="J492">
        <v>182100</v>
      </c>
    </row>
    <row r="493" spans="4:10">
      <c r="D493" t="s">
        <v>707</v>
      </c>
      <c r="E493" t="s">
        <v>647</v>
      </c>
      <c r="F493">
        <v>3591</v>
      </c>
      <c r="G493">
        <v>3612</v>
      </c>
      <c r="H493">
        <v>3536</v>
      </c>
      <c r="I493">
        <v>3543</v>
      </c>
      <c r="J493">
        <v>315100</v>
      </c>
    </row>
    <row r="494" spans="4:10">
      <c r="D494" t="s">
        <v>707</v>
      </c>
      <c r="E494" t="s">
        <v>648</v>
      </c>
      <c r="F494">
        <v>3543</v>
      </c>
      <c r="G494">
        <v>3563</v>
      </c>
      <c r="H494">
        <v>3536</v>
      </c>
      <c r="I494">
        <v>3554</v>
      </c>
      <c r="J494">
        <v>212000</v>
      </c>
    </row>
    <row r="495" spans="4:10">
      <c r="D495" t="s">
        <v>707</v>
      </c>
      <c r="E495" t="s">
        <v>649</v>
      </c>
      <c r="F495">
        <v>3553</v>
      </c>
      <c r="G495">
        <v>3554</v>
      </c>
      <c r="H495">
        <v>3523</v>
      </c>
      <c r="I495">
        <v>3527</v>
      </c>
      <c r="J495">
        <v>284500</v>
      </c>
    </row>
    <row r="496" spans="4:10">
      <c r="D496" t="s">
        <v>707</v>
      </c>
      <c r="E496" t="s">
        <v>650</v>
      </c>
      <c r="F496">
        <v>3527</v>
      </c>
      <c r="G496">
        <v>3537</v>
      </c>
      <c r="H496">
        <v>3514</v>
      </c>
      <c r="I496">
        <v>3516</v>
      </c>
      <c r="J496">
        <v>203600</v>
      </c>
    </row>
    <row r="497" spans="1:10">
      <c r="D497" t="s">
        <v>707</v>
      </c>
      <c r="E497" t="s">
        <v>651</v>
      </c>
      <c r="F497">
        <v>3516</v>
      </c>
      <c r="G497">
        <v>3534</v>
      </c>
      <c r="H497">
        <v>3501</v>
      </c>
      <c r="I497">
        <v>3517</v>
      </c>
      <c r="J497">
        <v>265400</v>
      </c>
    </row>
    <row r="498" spans="1:10">
      <c r="D498" t="s">
        <v>707</v>
      </c>
      <c r="E498" t="s">
        <v>652</v>
      </c>
      <c r="F498">
        <v>3516</v>
      </c>
      <c r="G498">
        <v>3522</v>
      </c>
      <c r="H498">
        <v>3506</v>
      </c>
      <c r="I498">
        <v>3513</v>
      </c>
      <c r="J498">
        <v>203100</v>
      </c>
    </row>
    <row r="499" spans="1:10">
      <c r="D499" t="s">
        <v>707</v>
      </c>
      <c r="E499" t="s">
        <v>653</v>
      </c>
      <c r="F499">
        <v>3511</v>
      </c>
      <c r="G499">
        <v>3536</v>
      </c>
      <c r="H499">
        <v>3509</v>
      </c>
      <c r="I499">
        <v>3517</v>
      </c>
      <c r="J499">
        <v>194100</v>
      </c>
    </row>
    <row r="500" spans="1:10">
      <c r="D500" t="s">
        <v>707</v>
      </c>
      <c r="E500" t="s">
        <v>654</v>
      </c>
      <c r="F500">
        <v>3517</v>
      </c>
      <c r="G500">
        <v>3518</v>
      </c>
      <c r="H500">
        <v>3475</v>
      </c>
      <c r="I500">
        <v>3492</v>
      </c>
      <c r="J500">
        <v>274000</v>
      </c>
    </row>
    <row r="501" spans="1:10">
      <c r="D501" t="s">
        <v>707</v>
      </c>
      <c r="E501" t="s">
        <v>655</v>
      </c>
      <c r="F501">
        <v>3491</v>
      </c>
      <c r="G501">
        <v>3494</v>
      </c>
      <c r="H501">
        <v>3472</v>
      </c>
      <c r="I501">
        <v>3481</v>
      </c>
      <c r="J501">
        <v>152500</v>
      </c>
    </row>
    <row r="502" spans="1:10">
      <c r="D502" t="s">
        <v>707</v>
      </c>
      <c r="E502" t="s">
        <v>656</v>
      </c>
      <c r="F502">
        <v>3481</v>
      </c>
      <c r="G502">
        <v>3481</v>
      </c>
      <c r="H502">
        <v>3451</v>
      </c>
      <c r="I502">
        <v>3460</v>
      </c>
      <c r="J502">
        <v>299200</v>
      </c>
    </row>
    <row r="503" spans="1:10">
      <c r="A503" s="1"/>
      <c r="B503" s="1"/>
      <c r="C503" s="1"/>
      <c r="D503" s="1" t="s">
        <v>707</v>
      </c>
      <c r="E503" s="1" t="s">
        <v>657</v>
      </c>
      <c r="F503" s="1">
        <v>3461</v>
      </c>
      <c r="G503" s="1">
        <v>3473</v>
      </c>
      <c r="H503" s="1">
        <v>3448</v>
      </c>
      <c r="I503" s="1">
        <v>3448</v>
      </c>
      <c r="J503" s="1">
        <v>266000</v>
      </c>
    </row>
    <row r="504" spans="1:10">
      <c r="A504" s="1"/>
      <c r="B504" s="1"/>
      <c r="C504" s="1"/>
      <c r="D504" s="1" t="s">
        <v>707</v>
      </c>
      <c r="E504" s="1" t="s">
        <v>658</v>
      </c>
      <c r="F504" s="1">
        <v>3448</v>
      </c>
      <c r="G504" s="1">
        <v>3453</v>
      </c>
      <c r="H504" s="1">
        <v>3427</v>
      </c>
      <c r="I504" s="1">
        <v>3450</v>
      </c>
      <c r="J504" s="1">
        <v>331600</v>
      </c>
    </row>
    <row r="505" spans="1:10">
      <c r="D505" t="s">
        <v>707</v>
      </c>
      <c r="E505" t="s">
        <v>659</v>
      </c>
      <c r="F505">
        <v>3449</v>
      </c>
      <c r="G505">
        <v>3470</v>
      </c>
      <c r="H505">
        <v>3444</v>
      </c>
      <c r="I505">
        <v>3444</v>
      </c>
      <c r="J505">
        <v>212300</v>
      </c>
    </row>
    <row r="506" spans="1:10">
      <c r="D506" t="s">
        <v>707</v>
      </c>
      <c r="E506" t="s">
        <v>660</v>
      </c>
      <c r="F506">
        <v>3445</v>
      </c>
      <c r="G506">
        <v>3459</v>
      </c>
      <c r="H506">
        <v>3442</v>
      </c>
      <c r="I506">
        <v>3455</v>
      </c>
      <c r="J506">
        <v>178900</v>
      </c>
    </row>
    <row r="507" spans="1:10">
      <c r="D507" t="s">
        <v>707</v>
      </c>
      <c r="E507" t="s">
        <v>661</v>
      </c>
      <c r="F507">
        <v>3455</v>
      </c>
      <c r="G507">
        <v>3464</v>
      </c>
      <c r="H507">
        <v>3442</v>
      </c>
      <c r="I507">
        <v>3459</v>
      </c>
      <c r="J507">
        <v>199200</v>
      </c>
    </row>
    <row r="508" spans="1:10">
      <c r="D508" t="s">
        <v>707</v>
      </c>
      <c r="E508" t="s">
        <v>662</v>
      </c>
      <c r="F508">
        <v>3459</v>
      </c>
      <c r="G508">
        <v>3474</v>
      </c>
      <c r="H508">
        <v>3454</v>
      </c>
      <c r="I508">
        <v>3470</v>
      </c>
      <c r="J508">
        <v>201300</v>
      </c>
    </row>
    <row r="509" spans="1:10">
      <c r="D509" t="s">
        <v>707</v>
      </c>
      <c r="E509" t="s">
        <v>663</v>
      </c>
      <c r="F509">
        <v>3470</v>
      </c>
      <c r="G509">
        <v>3474</v>
      </c>
      <c r="H509">
        <v>3460</v>
      </c>
      <c r="I509">
        <v>3472</v>
      </c>
      <c r="J509">
        <v>166900</v>
      </c>
    </row>
    <row r="510" spans="1:10">
      <c r="D510" t="s">
        <v>707</v>
      </c>
      <c r="E510" t="s">
        <v>664</v>
      </c>
      <c r="F510">
        <v>3471</v>
      </c>
      <c r="G510">
        <v>3509</v>
      </c>
      <c r="H510">
        <v>3471</v>
      </c>
      <c r="I510">
        <v>3488</v>
      </c>
      <c r="J510">
        <v>281100</v>
      </c>
    </row>
    <row r="511" spans="1:10">
      <c r="D511" t="s">
        <v>707</v>
      </c>
      <c r="E511" t="s">
        <v>665</v>
      </c>
      <c r="F511">
        <v>3487</v>
      </c>
      <c r="G511">
        <v>3506</v>
      </c>
      <c r="H511">
        <v>3483</v>
      </c>
      <c r="I511">
        <v>3496</v>
      </c>
      <c r="J511">
        <v>177100</v>
      </c>
    </row>
    <row r="512" spans="1:10">
      <c r="D512" t="s">
        <v>707</v>
      </c>
      <c r="E512" t="s">
        <v>666</v>
      </c>
      <c r="F512">
        <v>3495</v>
      </c>
      <c r="G512">
        <v>3500</v>
      </c>
      <c r="H512">
        <v>3488</v>
      </c>
      <c r="I512">
        <v>3496</v>
      </c>
      <c r="J512">
        <v>119200</v>
      </c>
    </row>
    <row r="513" spans="4:10">
      <c r="D513" t="s">
        <v>707</v>
      </c>
      <c r="E513" t="s">
        <v>667</v>
      </c>
      <c r="F513">
        <v>3496</v>
      </c>
      <c r="G513">
        <v>3518</v>
      </c>
      <c r="H513">
        <v>3485</v>
      </c>
      <c r="I513">
        <v>3511</v>
      </c>
      <c r="J513">
        <v>215500</v>
      </c>
    </row>
    <row r="514" spans="4:10">
      <c r="D514" t="s">
        <v>707</v>
      </c>
      <c r="E514" t="s">
        <v>668</v>
      </c>
      <c r="F514">
        <v>3509</v>
      </c>
      <c r="G514">
        <v>3515</v>
      </c>
      <c r="H514">
        <v>3503</v>
      </c>
      <c r="I514">
        <v>3504</v>
      </c>
      <c r="J514">
        <v>124200</v>
      </c>
    </row>
    <row r="515" spans="4:10">
      <c r="D515" t="s">
        <v>707</v>
      </c>
      <c r="E515" t="s">
        <v>669</v>
      </c>
      <c r="F515">
        <v>3509</v>
      </c>
      <c r="G515">
        <v>3509</v>
      </c>
      <c r="H515">
        <v>3509</v>
      </c>
      <c r="I515">
        <v>3509</v>
      </c>
      <c r="J515">
        <v>11000</v>
      </c>
    </row>
    <row r="516" spans="4:10">
      <c r="D516" t="s">
        <v>707</v>
      </c>
      <c r="E516" t="s">
        <v>670</v>
      </c>
      <c r="F516">
        <v>3525</v>
      </c>
      <c r="G516">
        <v>3564</v>
      </c>
      <c r="H516">
        <v>3516</v>
      </c>
      <c r="I516">
        <v>3524</v>
      </c>
      <c r="J516">
        <v>467500</v>
      </c>
    </row>
    <row r="517" spans="4:10">
      <c r="D517" t="s">
        <v>707</v>
      </c>
      <c r="E517" t="s">
        <v>671</v>
      </c>
      <c r="F517">
        <v>3524</v>
      </c>
      <c r="G517">
        <v>3562</v>
      </c>
      <c r="H517">
        <v>3523</v>
      </c>
      <c r="I517">
        <v>3547</v>
      </c>
      <c r="J517">
        <v>232100</v>
      </c>
    </row>
    <row r="518" spans="4:10">
      <c r="D518" t="s">
        <v>707</v>
      </c>
      <c r="E518" t="s">
        <v>672</v>
      </c>
      <c r="F518">
        <v>3547</v>
      </c>
      <c r="G518">
        <v>3554</v>
      </c>
      <c r="H518">
        <v>3532</v>
      </c>
      <c r="I518">
        <v>3541</v>
      </c>
      <c r="J518">
        <v>191500</v>
      </c>
    </row>
    <row r="519" spans="4:10">
      <c r="D519" t="s">
        <v>707</v>
      </c>
      <c r="E519" t="s">
        <v>673</v>
      </c>
      <c r="F519">
        <v>3542</v>
      </c>
      <c r="G519">
        <v>3554</v>
      </c>
      <c r="H519">
        <v>3536</v>
      </c>
      <c r="I519">
        <v>3552</v>
      </c>
      <c r="J519">
        <v>178300</v>
      </c>
    </row>
    <row r="520" spans="4:10">
      <c r="D520" t="s">
        <v>707</v>
      </c>
      <c r="E520" t="s">
        <v>674</v>
      </c>
      <c r="F520">
        <v>3553</v>
      </c>
      <c r="G520">
        <v>3554</v>
      </c>
      <c r="H520">
        <v>3528</v>
      </c>
      <c r="I520">
        <v>3531</v>
      </c>
      <c r="J520">
        <v>173300</v>
      </c>
    </row>
    <row r="521" spans="4:10">
      <c r="D521" t="s">
        <v>707</v>
      </c>
      <c r="E521" t="s">
        <v>675</v>
      </c>
      <c r="F521">
        <v>3530</v>
      </c>
      <c r="G521">
        <v>3560</v>
      </c>
      <c r="H521">
        <v>3528</v>
      </c>
      <c r="I521">
        <v>3558</v>
      </c>
      <c r="J521">
        <v>154600</v>
      </c>
    </row>
    <row r="522" spans="4:10">
      <c r="D522" t="s">
        <v>707</v>
      </c>
      <c r="E522" t="s">
        <v>676</v>
      </c>
      <c r="F522">
        <v>3558</v>
      </c>
      <c r="G522">
        <v>3558</v>
      </c>
      <c r="H522">
        <v>3540</v>
      </c>
      <c r="I522">
        <v>3552</v>
      </c>
      <c r="J522">
        <v>132300</v>
      </c>
    </row>
    <row r="523" spans="4:10">
      <c r="D523" t="s">
        <v>707</v>
      </c>
      <c r="E523" t="s">
        <v>677</v>
      </c>
      <c r="F523">
        <v>3551</v>
      </c>
      <c r="G523">
        <v>3584</v>
      </c>
      <c r="H523">
        <v>3551</v>
      </c>
      <c r="I523">
        <v>3572</v>
      </c>
      <c r="J523">
        <v>203500</v>
      </c>
    </row>
    <row r="524" spans="4:10">
      <c r="D524" t="s">
        <v>707</v>
      </c>
      <c r="E524" t="s">
        <v>678</v>
      </c>
      <c r="F524">
        <v>3571</v>
      </c>
      <c r="G524">
        <v>3584</v>
      </c>
      <c r="H524">
        <v>3570</v>
      </c>
      <c r="I524">
        <v>3578</v>
      </c>
      <c r="J524">
        <v>147000</v>
      </c>
    </row>
    <row r="525" spans="4:10">
      <c r="D525" t="s">
        <v>707</v>
      </c>
      <c r="E525" t="s">
        <v>679</v>
      </c>
      <c r="F525">
        <v>3577</v>
      </c>
      <c r="G525">
        <v>3596</v>
      </c>
      <c r="H525">
        <v>3576</v>
      </c>
      <c r="I525">
        <v>3588</v>
      </c>
      <c r="J525">
        <v>167700</v>
      </c>
    </row>
    <row r="526" spans="4:10">
      <c r="D526" t="s">
        <v>707</v>
      </c>
      <c r="E526" t="s">
        <v>680</v>
      </c>
      <c r="F526">
        <v>3589</v>
      </c>
      <c r="G526">
        <v>3599</v>
      </c>
      <c r="H526">
        <v>3586</v>
      </c>
      <c r="I526">
        <v>3596</v>
      </c>
      <c r="J526">
        <v>136400</v>
      </c>
    </row>
    <row r="527" spans="4:10">
      <c r="D527" t="s">
        <v>707</v>
      </c>
      <c r="E527" t="s">
        <v>681</v>
      </c>
      <c r="F527">
        <v>3597</v>
      </c>
      <c r="G527">
        <v>3601</v>
      </c>
      <c r="H527">
        <v>3589</v>
      </c>
      <c r="I527">
        <v>3598</v>
      </c>
      <c r="J527">
        <v>152600</v>
      </c>
    </row>
    <row r="528" spans="4:10">
      <c r="D528" t="s">
        <v>707</v>
      </c>
      <c r="E528" t="s">
        <v>682</v>
      </c>
      <c r="F528">
        <v>3598</v>
      </c>
      <c r="G528">
        <v>3607</v>
      </c>
      <c r="H528">
        <v>3581</v>
      </c>
      <c r="I528">
        <v>3582</v>
      </c>
      <c r="J528">
        <v>159900</v>
      </c>
    </row>
    <row r="529" spans="4:10">
      <c r="D529" t="s">
        <v>707</v>
      </c>
      <c r="E529" t="s">
        <v>683</v>
      </c>
      <c r="F529">
        <v>3582</v>
      </c>
      <c r="G529">
        <v>3588</v>
      </c>
      <c r="H529">
        <v>3569</v>
      </c>
      <c r="I529">
        <v>3579</v>
      </c>
      <c r="J529">
        <v>176700</v>
      </c>
    </row>
    <row r="530" spans="4:10">
      <c r="D530" t="s">
        <v>707</v>
      </c>
      <c r="E530" t="s">
        <v>684</v>
      </c>
      <c r="F530">
        <v>3579</v>
      </c>
      <c r="G530">
        <v>3589</v>
      </c>
      <c r="H530">
        <v>3574</v>
      </c>
      <c r="I530">
        <v>3577</v>
      </c>
      <c r="J530">
        <v>132000</v>
      </c>
    </row>
    <row r="531" spans="4:10">
      <c r="D531" t="s">
        <v>707</v>
      </c>
      <c r="E531" t="s">
        <v>685</v>
      </c>
      <c r="F531">
        <v>3577</v>
      </c>
      <c r="G531">
        <v>3580</v>
      </c>
      <c r="H531">
        <v>3563</v>
      </c>
      <c r="I531">
        <v>3564</v>
      </c>
      <c r="J531">
        <v>154300</v>
      </c>
    </row>
    <row r="532" spans="4:10">
      <c r="D532" t="s">
        <v>707</v>
      </c>
      <c r="E532" t="s">
        <v>686</v>
      </c>
      <c r="F532">
        <v>3563</v>
      </c>
      <c r="G532">
        <v>3566</v>
      </c>
      <c r="H532">
        <v>3547</v>
      </c>
      <c r="I532">
        <v>3557</v>
      </c>
      <c r="J532">
        <v>213700</v>
      </c>
    </row>
    <row r="533" spans="4:10">
      <c r="D533" t="s">
        <v>707</v>
      </c>
      <c r="E533" t="s">
        <v>687</v>
      </c>
      <c r="F533">
        <v>3556</v>
      </c>
      <c r="G533">
        <v>3567</v>
      </c>
      <c r="H533">
        <v>3551</v>
      </c>
      <c r="I533">
        <v>3566</v>
      </c>
      <c r="J533">
        <v>106500</v>
      </c>
    </row>
    <row r="534" spans="4:10">
      <c r="D534" t="s">
        <v>707</v>
      </c>
      <c r="E534" t="s">
        <v>688</v>
      </c>
      <c r="F534">
        <v>3566</v>
      </c>
      <c r="G534">
        <v>3634</v>
      </c>
      <c r="H534">
        <v>3566</v>
      </c>
      <c r="I534">
        <v>3630</v>
      </c>
      <c r="J534">
        <v>357000</v>
      </c>
    </row>
    <row r="535" spans="4:10">
      <c r="D535" t="s">
        <v>707</v>
      </c>
      <c r="E535" t="s">
        <v>689</v>
      </c>
      <c r="F535">
        <v>3628</v>
      </c>
      <c r="G535">
        <v>3662</v>
      </c>
      <c r="H535">
        <v>3625</v>
      </c>
      <c r="I535">
        <v>3643</v>
      </c>
      <c r="J535">
        <v>333700</v>
      </c>
    </row>
    <row r="536" spans="4:10">
      <c r="D536" t="s">
        <v>707</v>
      </c>
      <c r="E536" t="s">
        <v>690</v>
      </c>
      <c r="F536">
        <v>3642</v>
      </c>
      <c r="G536">
        <v>3646</v>
      </c>
      <c r="H536">
        <v>3620</v>
      </c>
      <c r="I536">
        <v>3630</v>
      </c>
      <c r="J536">
        <v>236200</v>
      </c>
    </row>
    <row r="537" spans="4:10">
      <c r="D537" t="s">
        <v>707</v>
      </c>
      <c r="E537" t="s">
        <v>691</v>
      </c>
      <c r="F537">
        <v>3631</v>
      </c>
      <c r="G537">
        <v>3649</v>
      </c>
      <c r="H537">
        <v>3627</v>
      </c>
      <c r="I537">
        <v>3643</v>
      </c>
      <c r="J537">
        <v>156200</v>
      </c>
    </row>
    <row r="538" spans="4:10">
      <c r="D538" t="s">
        <v>707</v>
      </c>
      <c r="E538" t="s">
        <v>692</v>
      </c>
      <c r="F538">
        <v>3643</v>
      </c>
      <c r="G538">
        <v>3645</v>
      </c>
      <c r="H538">
        <v>3622</v>
      </c>
      <c r="I538">
        <v>3631</v>
      </c>
      <c r="J538">
        <v>153700</v>
      </c>
    </row>
    <row r="539" spans="4:10">
      <c r="D539" t="s">
        <v>707</v>
      </c>
      <c r="E539" t="s">
        <v>693</v>
      </c>
      <c r="F539">
        <v>3631</v>
      </c>
      <c r="G539">
        <v>3638</v>
      </c>
      <c r="H539">
        <v>3614</v>
      </c>
      <c r="I539">
        <v>3616</v>
      </c>
      <c r="J539">
        <v>134800</v>
      </c>
    </row>
    <row r="540" spans="4:10">
      <c r="D540" t="s">
        <v>707</v>
      </c>
      <c r="E540" t="s">
        <v>694</v>
      </c>
      <c r="F540">
        <v>3616</v>
      </c>
      <c r="G540">
        <v>3619</v>
      </c>
      <c r="H540">
        <v>3608</v>
      </c>
      <c r="I540">
        <v>3616</v>
      </c>
      <c r="J540">
        <v>92300</v>
      </c>
    </row>
    <row r="541" spans="4:10">
      <c r="D541" t="s">
        <v>707</v>
      </c>
      <c r="E541" t="s">
        <v>695</v>
      </c>
      <c r="F541">
        <v>3615</v>
      </c>
      <c r="G541">
        <v>3615</v>
      </c>
      <c r="H541">
        <v>3590</v>
      </c>
      <c r="I541">
        <v>3593</v>
      </c>
      <c r="J541">
        <v>125300</v>
      </c>
    </row>
    <row r="542" spans="4:10">
      <c r="D542" t="s">
        <v>707</v>
      </c>
      <c r="E542" t="s">
        <v>696</v>
      </c>
      <c r="F542">
        <v>3593</v>
      </c>
      <c r="G542">
        <v>3623</v>
      </c>
      <c r="H542">
        <v>3581</v>
      </c>
      <c r="I542">
        <v>3621</v>
      </c>
      <c r="J542">
        <v>138600</v>
      </c>
    </row>
    <row r="543" spans="4:10">
      <c r="D543" t="s">
        <v>707</v>
      </c>
      <c r="E543" t="s">
        <v>697</v>
      </c>
      <c r="F543">
        <v>3623</v>
      </c>
      <c r="G543">
        <v>3623</v>
      </c>
      <c r="H543">
        <v>3593</v>
      </c>
      <c r="I543">
        <v>3595</v>
      </c>
      <c r="J543">
        <v>162200</v>
      </c>
    </row>
    <row r="544" spans="4:10">
      <c r="D544" t="s">
        <v>707</v>
      </c>
      <c r="E544" t="s">
        <v>698</v>
      </c>
      <c r="F544">
        <v>3595</v>
      </c>
      <c r="G544">
        <v>3598</v>
      </c>
      <c r="H544">
        <v>3567</v>
      </c>
      <c r="I544">
        <v>3570</v>
      </c>
      <c r="J544">
        <v>199900</v>
      </c>
    </row>
    <row r="545" spans="4:10">
      <c r="D545" t="s">
        <v>707</v>
      </c>
      <c r="E545" t="s">
        <v>699</v>
      </c>
      <c r="F545">
        <v>3569</v>
      </c>
      <c r="G545">
        <v>3582</v>
      </c>
      <c r="H545">
        <v>3558</v>
      </c>
      <c r="I545">
        <v>3577</v>
      </c>
      <c r="J545">
        <v>105300</v>
      </c>
    </row>
    <row r="546" spans="4:10">
      <c r="D546" t="s">
        <v>707</v>
      </c>
      <c r="E546" t="s">
        <v>700</v>
      </c>
      <c r="F546">
        <v>3577</v>
      </c>
      <c r="G546">
        <v>3585</v>
      </c>
      <c r="H546">
        <v>3572</v>
      </c>
      <c r="I546">
        <v>3578</v>
      </c>
      <c r="J546">
        <v>84000</v>
      </c>
    </row>
    <row r="547" spans="4:10">
      <c r="D547" t="s">
        <v>707</v>
      </c>
      <c r="E547" t="s">
        <v>633</v>
      </c>
      <c r="F547">
        <v>3578</v>
      </c>
      <c r="G547">
        <v>3588</v>
      </c>
      <c r="H547">
        <v>3575</v>
      </c>
      <c r="I547">
        <v>3581</v>
      </c>
      <c r="J547">
        <v>101200</v>
      </c>
    </row>
    <row r="548" spans="4:10">
      <c r="D548" t="s">
        <v>707</v>
      </c>
      <c r="E548" t="s">
        <v>634</v>
      </c>
      <c r="F548">
        <v>3581</v>
      </c>
      <c r="G548">
        <v>3583</v>
      </c>
      <c r="H548">
        <v>3570</v>
      </c>
      <c r="I548">
        <v>3571</v>
      </c>
      <c r="J548">
        <v>152200</v>
      </c>
    </row>
    <row r="549" spans="4:10">
      <c r="D549" t="s">
        <v>707</v>
      </c>
      <c r="E549" t="s">
        <v>635</v>
      </c>
      <c r="F549">
        <v>3572</v>
      </c>
      <c r="G549">
        <v>3577</v>
      </c>
      <c r="H549">
        <v>3552</v>
      </c>
      <c r="I549">
        <v>3561</v>
      </c>
      <c r="J549">
        <v>229000</v>
      </c>
    </row>
    <row r="550" spans="4:10">
      <c r="D550" t="s">
        <v>707</v>
      </c>
      <c r="E550" t="s">
        <v>614</v>
      </c>
      <c r="F550">
        <v>3561</v>
      </c>
      <c r="G550">
        <v>3591</v>
      </c>
      <c r="H550">
        <v>3559</v>
      </c>
      <c r="I550">
        <v>3567</v>
      </c>
      <c r="J550">
        <v>220900</v>
      </c>
    </row>
    <row r="551" spans="4:10">
      <c r="D551" t="s">
        <v>707</v>
      </c>
      <c r="E551" t="s">
        <v>636</v>
      </c>
      <c r="F551" t="s">
        <v>35</v>
      </c>
      <c r="G551" t="s">
        <v>35</v>
      </c>
      <c r="H551" t="s">
        <v>35</v>
      </c>
      <c r="I551" t="s">
        <v>35</v>
      </c>
      <c r="J551">
        <v>0</v>
      </c>
    </row>
    <row r="552" spans="4:10">
      <c r="D552" t="s">
        <v>707</v>
      </c>
      <c r="E552" t="s">
        <v>637</v>
      </c>
      <c r="F552">
        <v>3544</v>
      </c>
      <c r="G552">
        <v>3544</v>
      </c>
      <c r="H552">
        <v>3544</v>
      </c>
      <c r="I552">
        <v>3544</v>
      </c>
      <c r="J552">
        <v>746600</v>
      </c>
    </row>
    <row r="553" spans="4:10">
      <c r="D553" t="s">
        <v>708</v>
      </c>
      <c r="E553" t="s">
        <v>639</v>
      </c>
      <c r="F553" t="s">
        <v>35</v>
      </c>
      <c r="G553" t="s">
        <v>35</v>
      </c>
      <c r="H553" t="s">
        <v>35</v>
      </c>
      <c r="I553" t="s">
        <v>35</v>
      </c>
      <c r="J553">
        <v>0</v>
      </c>
    </row>
    <row r="554" spans="4:10">
      <c r="D554" t="s">
        <v>708</v>
      </c>
      <c r="E554" t="s">
        <v>640</v>
      </c>
      <c r="F554">
        <v>3705</v>
      </c>
      <c r="G554">
        <v>3841</v>
      </c>
      <c r="H554">
        <v>3665</v>
      </c>
      <c r="I554">
        <v>3696</v>
      </c>
      <c r="J554">
        <v>2887800</v>
      </c>
    </row>
    <row r="555" spans="4:10">
      <c r="D555" t="s">
        <v>708</v>
      </c>
      <c r="E555" t="s">
        <v>641</v>
      </c>
      <c r="F555">
        <v>3697</v>
      </c>
      <c r="G555">
        <v>3706</v>
      </c>
      <c r="H555">
        <v>3522</v>
      </c>
      <c r="I555">
        <v>3574</v>
      </c>
      <c r="J555">
        <v>1161400</v>
      </c>
    </row>
    <row r="556" spans="4:10">
      <c r="D556" t="s">
        <v>708</v>
      </c>
      <c r="E556" t="s">
        <v>642</v>
      </c>
      <c r="F556">
        <v>3576</v>
      </c>
      <c r="G556">
        <v>3613</v>
      </c>
      <c r="H556">
        <v>3495</v>
      </c>
      <c r="I556">
        <v>3528</v>
      </c>
      <c r="J556">
        <v>1215800</v>
      </c>
    </row>
    <row r="557" spans="4:10">
      <c r="D557" t="s">
        <v>708</v>
      </c>
      <c r="E557" t="s">
        <v>643</v>
      </c>
      <c r="F557">
        <v>3527</v>
      </c>
      <c r="G557">
        <v>3578</v>
      </c>
      <c r="H557">
        <v>3490</v>
      </c>
      <c r="I557">
        <v>3575</v>
      </c>
      <c r="J557">
        <v>698900</v>
      </c>
    </row>
    <row r="558" spans="4:10">
      <c r="D558" t="s">
        <v>708</v>
      </c>
      <c r="E558" t="s">
        <v>644</v>
      </c>
      <c r="F558">
        <v>3575</v>
      </c>
      <c r="G558">
        <v>3593</v>
      </c>
      <c r="H558">
        <v>3535</v>
      </c>
      <c r="I558">
        <v>3575</v>
      </c>
      <c r="J558">
        <v>469300</v>
      </c>
    </row>
    <row r="559" spans="4:10">
      <c r="D559" t="s">
        <v>708</v>
      </c>
      <c r="E559" t="s">
        <v>645</v>
      </c>
      <c r="F559">
        <v>3578</v>
      </c>
      <c r="G559">
        <v>3589</v>
      </c>
      <c r="H559">
        <v>3532</v>
      </c>
      <c r="I559">
        <v>3587</v>
      </c>
      <c r="J559">
        <v>366200</v>
      </c>
    </row>
    <row r="560" spans="4:10">
      <c r="D560" t="s">
        <v>708</v>
      </c>
      <c r="E560" t="s">
        <v>646</v>
      </c>
      <c r="F560">
        <v>3587</v>
      </c>
      <c r="G560">
        <v>3598</v>
      </c>
      <c r="H560">
        <v>3542</v>
      </c>
      <c r="I560">
        <v>3548</v>
      </c>
      <c r="J560">
        <v>382100</v>
      </c>
    </row>
    <row r="561" spans="4:10">
      <c r="D561" t="s">
        <v>708</v>
      </c>
      <c r="E561" t="s">
        <v>647</v>
      </c>
      <c r="F561">
        <v>3548</v>
      </c>
      <c r="G561">
        <v>3555</v>
      </c>
      <c r="H561">
        <v>3467</v>
      </c>
      <c r="I561">
        <v>3477</v>
      </c>
      <c r="J561">
        <v>541600</v>
      </c>
    </row>
    <row r="562" spans="4:10">
      <c r="D562" t="s">
        <v>708</v>
      </c>
      <c r="E562" t="s">
        <v>648</v>
      </c>
      <c r="F562">
        <v>3477</v>
      </c>
      <c r="G562">
        <v>3518</v>
      </c>
      <c r="H562">
        <v>3430</v>
      </c>
      <c r="I562">
        <v>3468</v>
      </c>
      <c r="J562">
        <v>595700</v>
      </c>
    </row>
    <row r="563" spans="4:10">
      <c r="D563" t="s">
        <v>708</v>
      </c>
      <c r="E563" t="s">
        <v>649</v>
      </c>
      <c r="F563">
        <v>3469</v>
      </c>
      <c r="G563">
        <v>3494</v>
      </c>
      <c r="H563">
        <v>3450</v>
      </c>
      <c r="I563">
        <v>3453</v>
      </c>
      <c r="J563">
        <v>324400</v>
      </c>
    </row>
    <row r="564" spans="4:10">
      <c r="D564" t="s">
        <v>708</v>
      </c>
      <c r="E564" t="s">
        <v>650</v>
      </c>
      <c r="F564">
        <v>3452</v>
      </c>
      <c r="G564">
        <v>3459</v>
      </c>
      <c r="H564">
        <v>3401</v>
      </c>
      <c r="I564">
        <v>3411</v>
      </c>
      <c r="J564">
        <v>414800</v>
      </c>
    </row>
    <row r="565" spans="4:10">
      <c r="D565" t="s">
        <v>708</v>
      </c>
      <c r="E565" t="s">
        <v>651</v>
      </c>
      <c r="F565">
        <v>3411</v>
      </c>
      <c r="G565">
        <v>3437</v>
      </c>
      <c r="H565">
        <v>3403</v>
      </c>
      <c r="I565">
        <v>3431</v>
      </c>
      <c r="J565">
        <v>347500</v>
      </c>
    </row>
    <row r="566" spans="4:10">
      <c r="D566" t="s">
        <v>708</v>
      </c>
      <c r="E566" t="s">
        <v>652</v>
      </c>
      <c r="F566">
        <v>3430</v>
      </c>
      <c r="G566">
        <v>3444</v>
      </c>
      <c r="H566">
        <v>3410</v>
      </c>
      <c r="I566">
        <v>3418</v>
      </c>
      <c r="J566">
        <v>277600</v>
      </c>
    </row>
    <row r="567" spans="4:10">
      <c r="D567" t="s">
        <v>708</v>
      </c>
      <c r="E567" t="s">
        <v>653</v>
      </c>
      <c r="F567">
        <v>3418</v>
      </c>
      <c r="G567">
        <v>3467</v>
      </c>
      <c r="H567">
        <v>3410</v>
      </c>
      <c r="I567">
        <v>3432</v>
      </c>
      <c r="J567">
        <v>366000</v>
      </c>
    </row>
    <row r="568" spans="4:10">
      <c r="D568" t="s">
        <v>708</v>
      </c>
      <c r="E568" t="s">
        <v>654</v>
      </c>
      <c r="F568">
        <v>3431</v>
      </c>
      <c r="G568">
        <v>3454</v>
      </c>
      <c r="H568">
        <v>3420</v>
      </c>
      <c r="I568">
        <v>3447</v>
      </c>
      <c r="J568">
        <v>277500</v>
      </c>
    </row>
    <row r="569" spans="4:10">
      <c r="D569" t="s">
        <v>708</v>
      </c>
      <c r="E569" t="s">
        <v>655</v>
      </c>
      <c r="F569">
        <v>3448</v>
      </c>
      <c r="G569">
        <v>3454</v>
      </c>
      <c r="H569">
        <v>3388</v>
      </c>
      <c r="I569">
        <v>3396</v>
      </c>
      <c r="J569">
        <v>289900</v>
      </c>
    </row>
    <row r="570" spans="4:10">
      <c r="D570" t="s">
        <v>708</v>
      </c>
      <c r="E570" t="s">
        <v>656</v>
      </c>
      <c r="F570">
        <v>3397</v>
      </c>
      <c r="G570">
        <v>3433</v>
      </c>
      <c r="H570">
        <v>3388</v>
      </c>
      <c r="I570">
        <v>3424</v>
      </c>
      <c r="J570">
        <v>231000</v>
      </c>
    </row>
    <row r="571" spans="4:10">
      <c r="D571" t="s">
        <v>708</v>
      </c>
      <c r="E571" t="s">
        <v>657</v>
      </c>
      <c r="F571">
        <v>3425</v>
      </c>
      <c r="G571">
        <v>3427</v>
      </c>
      <c r="H571">
        <v>3364</v>
      </c>
      <c r="I571">
        <v>3364</v>
      </c>
      <c r="J571">
        <v>222900</v>
      </c>
    </row>
    <row r="572" spans="4:10">
      <c r="D572" t="s">
        <v>708</v>
      </c>
      <c r="E572" t="s">
        <v>658</v>
      </c>
      <c r="F572">
        <v>3365</v>
      </c>
      <c r="G572">
        <v>3368</v>
      </c>
      <c r="H572">
        <v>3338</v>
      </c>
      <c r="I572">
        <v>3358</v>
      </c>
      <c r="J572">
        <v>343900</v>
      </c>
    </row>
    <row r="573" spans="4:10">
      <c r="D573" t="s">
        <v>708</v>
      </c>
      <c r="E573" t="s">
        <v>659</v>
      </c>
      <c r="F573">
        <v>3361</v>
      </c>
      <c r="G573">
        <v>3367</v>
      </c>
      <c r="H573">
        <v>3353</v>
      </c>
      <c r="I573">
        <v>3364</v>
      </c>
      <c r="J573">
        <v>136200</v>
      </c>
    </row>
    <row r="574" spans="4:10">
      <c r="D574" t="s">
        <v>708</v>
      </c>
      <c r="E574" t="s">
        <v>660</v>
      </c>
      <c r="F574">
        <v>3363</v>
      </c>
      <c r="G574">
        <v>3382</v>
      </c>
      <c r="H574">
        <v>3357</v>
      </c>
      <c r="I574">
        <v>3367</v>
      </c>
      <c r="J574">
        <v>219300</v>
      </c>
    </row>
    <row r="575" spans="4:10">
      <c r="D575" t="s">
        <v>708</v>
      </c>
      <c r="E575" t="s">
        <v>661</v>
      </c>
      <c r="F575">
        <v>3369</v>
      </c>
      <c r="G575">
        <v>3393</v>
      </c>
      <c r="H575">
        <v>3355</v>
      </c>
      <c r="I575">
        <v>3387</v>
      </c>
      <c r="J575">
        <v>177200</v>
      </c>
    </row>
    <row r="576" spans="4:10">
      <c r="D576" t="s">
        <v>708</v>
      </c>
      <c r="E576" t="s">
        <v>662</v>
      </c>
      <c r="F576">
        <v>3387</v>
      </c>
      <c r="G576">
        <v>3392</v>
      </c>
      <c r="H576">
        <v>3363</v>
      </c>
      <c r="I576">
        <v>3385</v>
      </c>
      <c r="J576">
        <v>179100</v>
      </c>
    </row>
    <row r="577" spans="4:10">
      <c r="D577" t="s">
        <v>708</v>
      </c>
      <c r="E577" t="s">
        <v>663</v>
      </c>
      <c r="F577">
        <v>3385</v>
      </c>
      <c r="G577">
        <v>3421</v>
      </c>
      <c r="H577">
        <v>3371</v>
      </c>
      <c r="I577">
        <v>3410</v>
      </c>
      <c r="J577">
        <v>213900</v>
      </c>
    </row>
    <row r="578" spans="4:10">
      <c r="D578" t="s">
        <v>708</v>
      </c>
      <c r="E578" t="s">
        <v>664</v>
      </c>
      <c r="F578">
        <v>3413</v>
      </c>
      <c r="G578">
        <v>3434</v>
      </c>
      <c r="H578">
        <v>3404</v>
      </c>
      <c r="I578">
        <v>3406</v>
      </c>
      <c r="J578">
        <v>193600</v>
      </c>
    </row>
    <row r="579" spans="4:10">
      <c r="D579" t="s">
        <v>708</v>
      </c>
      <c r="E579" t="s">
        <v>665</v>
      </c>
      <c r="F579">
        <v>3405</v>
      </c>
      <c r="G579">
        <v>3414</v>
      </c>
      <c r="H579">
        <v>3387</v>
      </c>
      <c r="I579">
        <v>3410</v>
      </c>
      <c r="J579">
        <v>167400</v>
      </c>
    </row>
    <row r="580" spans="4:10">
      <c r="D580" t="s">
        <v>708</v>
      </c>
      <c r="E580" t="s">
        <v>666</v>
      </c>
      <c r="F580">
        <v>3409</v>
      </c>
      <c r="G580">
        <v>3466</v>
      </c>
      <c r="H580">
        <v>3405</v>
      </c>
      <c r="I580">
        <v>3457</v>
      </c>
      <c r="J580">
        <v>232400</v>
      </c>
    </row>
    <row r="581" spans="4:10">
      <c r="D581" t="s">
        <v>708</v>
      </c>
      <c r="E581" t="s">
        <v>667</v>
      </c>
      <c r="F581">
        <v>3455</v>
      </c>
      <c r="G581">
        <v>3473</v>
      </c>
      <c r="H581">
        <v>3449</v>
      </c>
      <c r="I581">
        <v>3462</v>
      </c>
      <c r="J581">
        <v>234900</v>
      </c>
    </row>
    <row r="582" spans="4:10">
      <c r="D582" t="s">
        <v>708</v>
      </c>
      <c r="E582" t="s">
        <v>668</v>
      </c>
      <c r="F582">
        <v>3461</v>
      </c>
      <c r="G582">
        <v>3461</v>
      </c>
      <c r="H582">
        <v>3420</v>
      </c>
      <c r="I582">
        <v>3428</v>
      </c>
      <c r="J582">
        <v>131200</v>
      </c>
    </row>
    <row r="583" spans="4:10">
      <c r="D583" t="s">
        <v>708</v>
      </c>
      <c r="E583" t="s">
        <v>669</v>
      </c>
      <c r="F583">
        <v>3433</v>
      </c>
      <c r="G583">
        <v>3433</v>
      </c>
      <c r="H583">
        <v>3433</v>
      </c>
      <c r="I583">
        <v>3433</v>
      </c>
      <c r="J583">
        <v>11100</v>
      </c>
    </row>
    <row r="584" spans="4:10">
      <c r="D584" t="s">
        <v>708</v>
      </c>
      <c r="E584" t="s">
        <v>670</v>
      </c>
      <c r="F584">
        <v>3449</v>
      </c>
      <c r="G584">
        <v>3465</v>
      </c>
      <c r="H584">
        <v>3416</v>
      </c>
      <c r="I584">
        <v>3434</v>
      </c>
      <c r="J584">
        <v>375300</v>
      </c>
    </row>
    <row r="585" spans="4:10">
      <c r="D585" t="s">
        <v>708</v>
      </c>
      <c r="E585" t="s">
        <v>671</v>
      </c>
      <c r="F585">
        <v>3435</v>
      </c>
      <c r="G585">
        <v>3507</v>
      </c>
      <c r="H585">
        <v>3435</v>
      </c>
      <c r="I585">
        <v>3503</v>
      </c>
      <c r="J585">
        <v>326600</v>
      </c>
    </row>
    <row r="586" spans="4:10">
      <c r="D586" t="s">
        <v>708</v>
      </c>
      <c r="E586" t="s">
        <v>672</v>
      </c>
      <c r="F586">
        <v>3504</v>
      </c>
      <c r="G586">
        <v>3535</v>
      </c>
      <c r="H586">
        <v>3489</v>
      </c>
      <c r="I586">
        <v>3498</v>
      </c>
      <c r="J586">
        <v>301400</v>
      </c>
    </row>
    <row r="587" spans="4:10">
      <c r="D587" t="s">
        <v>708</v>
      </c>
      <c r="E587" t="s">
        <v>673</v>
      </c>
      <c r="F587">
        <v>3498</v>
      </c>
      <c r="G587">
        <v>3499</v>
      </c>
      <c r="H587">
        <v>3475</v>
      </c>
      <c r="I587">
        <v>3490</v>
      </c>
      <c r="J587">
        <v>178400</v>
      </c>
    </row>
    <row r="588" spans="4:10">
      <c r="D588" t="s">
        <v>708</v>
      </c>
      <c r="E588" t="s">
        <v>674</v>
      </c>
      <c r="F588">
        <v>3491</v>
      </c>
      <c r="G588">
        <v>3494</v>
      </c>
      <c r="H588">
        <v>3460</v>
      </c>
      <c r="I588">
        <v>3474</v>
      </c>
      <c r="J588">
        <v>172600</v>
      </c>
    </row>
    <row r="589" spans="4:10">
      <c r="D589" t="s">
        <v>708</v>
      </c>
      <c r="E589" t="s">
        <v>675</v>
      </c>
      <c r="F589">
        <v>3474</v>
      </c>
      <c r="G589">
        <v>3499</v>
      </c>
      <c r="H589">
        <v>3467</v>
      </c>
      <c r="I589">
        <v>3490</v>
      </c>
      <c r="J589">
        <v>144300</v>
      </c>
    </row>
    <row r="590" spans="4:10">
      <c r="D590" t="s">
        <v>708</v>
      </c>
      <c r="E590" t="s">
        <v>676</v>
      </c>
      <c r="F590">
        <v>3489</v>
      </c>
      <c r="G590">
        <v>3499</v>
      </c>
      <c r="H590">
        <v>3480</v>
      </c>
      <c r="I590">
        <v>3496</v>
      </c>
      <c r="J590">
        <v>135000</v>
      </c>
    </row>
    <row r="591" spans="4:10">
      <c r="D591" t="s">
        <v>708</v>
      </c>
      <c r="E591" t="s">
        <v>677</v>
      </c>
      <c r="F591">
        <v>3496</v>
      </c>
      <c r="G591">
        <v>3527</v>
      </c>
      <c r="H591">
        <v>3493</v>
      </c>
      <c r="I591">
        <v>3520</v>
      </c>
      <c r="J591">
        <v>202900</v>
      </c>
    </row>
    <row r="592" spans="4:10">
      <c r="D592" t="s">
        <v>708</v>
      </c>
      <c r="E592" t="s">
        <v>678</v>
      </c>
      <c r="F592">
        <v>3522</v>
      </c>
      <c r="G592">
        <v>3525</v>
      </c>
      <c r="H592">
        <v>3495</v>
      </c>
      <c r="I592">
        <v>3501</v>
      </c>
      <c r="J592">
        <v>175200</v>
      </c>
    </row>
    <row r="593" spans="4:10">
      <c r="D593" t="s">
        <v>708</v>
      </c>
      <c r="E593" t="s">
        <v>679</v>
      </c>
      <c r="F593">
        <v>3500</v>
      </c>
      <c r="G593">
        <v>3500</v>
      </c>
      <c r="H593">
        <v>3479</v>
      </c>
      <c r="I593">
        <v>3493</v>
      </c>
      <c r="J593">
        <v>147300</v>
      </c>
    </row>
    <row r="594" spans="4:10">
      <c r="D594" t="s">
        <v>708</v>
      </c>
      <c r="E594" t="s">
        <v>680</v>
      </c>
      <c r="F594">
        <v>3493</v>
      </c>
      <c r="G594">
        <v>3501</v>
      </c>
      <c r="H594">
        <v>3485</v>
      </c>
      <c r="I594">
        <v>3500</v>
      </c>
      <c r="J594">
        <v>122800</v>
      </c>
    </row>
    <row r="595" spans="4:10">
      <c r="D595" t="s">
        <v>708</v>
      </c>
      <c r="E595" t="s">
        <v>681</v>
      </c>
      <c r="F595">
        <v>3499</v>
      </c>
      <c r="G595">
        <v>3514</v>
      </c>
      <c r="H595">
        <v>3496</v>
      </c>
      <c r="I595">
        <v>3512</v>
      </c>
      <c r="J595">
        <v>142200</v>
      </c>
    </row>
    <row r="596" spans="4:10">
      <c r="D596" t="s">
        <v>708</v>
      </c>
      <c r="E596" t="s">
        <v>682</v>
      </c>
      <c r="F596">
        <v>3511</v>
      </c>
      <c r="G596">
        <v>3512</v>
      </c>
      <c r="H596">
        <v>3495</v>
      </c>
      <c r="I596">
        <v>3496</v>
      </c>
      <c r="J596">
        <v>114800</v>
      </c>
    </row>
    <row r="597" spans="4:10">
      <c r="D597" t="s">
        <v>708</v>
      </c>
      <c r="E597" t="s">
        <v>683</v>
      </c>
      <c r="F597">
        <v>3497</v>
      </c>
      <c r="G597">
        <v>3528</v>
      </c>
      <c r="H597">
        <v>3497</v>
      </c>
      <c r="I597">
        <v>3522</v>
      </c>
      <c r="J597">
        <v>121600</v>
      </c>
    </row>
    <row r="598" spans="4:10">
      <c r="D598" t="s">
        <v>708</v>
      </c>
      <c r="E598" t="s">
        <v>684</v>
      </c>
      <c r="F598">
        <v>3521</v>
      </c>
      <c r="G598">
        <v>3530</v>
      </c>
      <c r="H598">
        <v>3497</v>
      </c>
      <c r="I598">
        <v>3497</v>
      </c>
      <c r="J598">
        <v>137700</v>
      </c>
    </row>
    <row r="599" spans="4:10">
      <c r="D599" t="s">
        <v>708</v>
      </c>
      <c r="E599" t="s">
        <v>685</v>
      </c>
      <c r="F599">
        <v>3498</v>
      </c>
      <c r="G599">
        <v>3507</v>
      </c>
      <c r="H599">
        <v>3484</v>
      </c>
      <c r="I599">
        <v>3485</v>
      </c>
      <c r="J599">
        <v>156000</v>
      </c>
    </row>
    <row r="600" spans="4:10">
      <c r="D600" t="s">
        <v>708</v>
      </c>
      <c r="E600" t="s">
        <v>686</v>
      </c>
      <c r="F600">
        <v>3484</v>
      </c>
      <c r="G600">
        <v>3489</v>
      </c>
      <c r="H600">
        <v>3466</v>
      </c>
      <c r="I600">
        <v>3471</v>
      </c>
      <c r="J600">
        <v>162600</v>
      </c>
    </row>
    <row r="601" spans="4:10">
      <c r="D601" t="s">
        <v>708</v>
      </c>
      <c r="E601" t="s">
        <v>687</v>
      </c>
      <c r="F601">
        <v>3470</v>
      </c>
      <c r="G601">
        <v>3490</v>
      </c>
      <c r="H601">
        <v>3465</v>
      </c>
      <c r="I601">
        <v>3489</v>
      </c>
      <c r="J601">
        <v>156500</v>
      </c>
    </row>
    <row r="602" spans="4:10">
      <c r="D602" t="s">
        <v>708</v>
      </c>
      <c r="E602" t="s">
        <v>688</v>
      </c>
      <c r="F602">
        <v>3488</v>
      </c>
      <c r="G602">
        <v>3529</v>
      </c>
      <c r="H602">
        <v>3486</v>
      </c>
      <c r="I602">
        <v>3515</v>
      </c>
      <c r="J602">
        <v>234100</v>
      </c>
    </row>
    <row r="603" spans="4:10">
      <c r="D603" t="s">
        <v>708</v>
      </c>
      <c r="E603" t="s">
        <v>689</v>
      </c>
      <c r="F603">
        <v>3516</v>
      </c>
      <c r="G603">
        <v>3521</v>
      </c>
      <c r="H603">
        <v>3498</v>
      </c>
      <c r="I603">
        <v>3500</v>
      </c>
      <c r="J603">
        <v>152000</v>
      </c>
    </row>
    <row r="604" spans="4:10">
      <c r="D604" t="s">
        <v>708</v>
      </c>
      <c r="E604" t="s">
        <v>690</v>
      </c>
      <c r="F604">
        <v>3502</v>
      </c>
      <c r="G604">
        <v>3516</v>
      </c>
      <c r="H604">
        <v>3486</v>
      </c>
      <c r="I604">
        <v>3508</v>
      </c>
      <c r="J604">
        <v>137800</v>
      </c>
    </row>
    <row r="605" spans="4:10">
      <c r="D605" t="s">
        <v>708</v>
      </c>
      <c r="E605" t="s">
        <v>691</v>
      </c>
      <c r="F605">
        <v>3509</v>
      </c>
      <c r="G605">
        <v>3540</v>
      </c>
      <c r="H605">
        <v>3507</v>
      </c>
      <c r="I605">
        <v>3532</v>
      </c>
      <c r="J605">
        <v>149400</v>
      </c>
    </row>
    <row r="606" spans="4:10">
      <c r="D606" t="s">
        <v>708</v>
      </c>
      <c r="E606" t="s">
        <v>692</v>
      </c>
      <c r="F606">
        <v>3533</v>
      </c>
      <c r="G606">
        <v>3552</v>
      </c>
      <c r="H606">
        <v>3528</v>
      </c>
      <c r="I606">
        <v>3532</v>
      </c>
      <c r="J606">
        <v>183500</v>
      </c>
    </row>
    <row r="607" spans="4:10">
      <c r="D607" t="s">
        <v>708</v>
      </c>
      <c r="E607" t="s">
        <v>693</v>
      </c>
      <c r="F607">
        <v>3534</v>
      </c>
      <c r="G607">
        <v>3555</v>
      </c>
      <c r="H607">
        <v>3533</v>
      </c>
      <c r="I607">
        <v>3554</v>
      </c>
      <c r="J607">
        <v>131600</v>
      </c>
    </row>
    <row r="608" spans="4:10">
      <c r="D608" t="s">
        <v>708</v>
      </c>
      <c r="E608" t="s">
        <v>694</v>
      </c>
      <c r="F608">
        <v>3554</v>
      </c>
      <c r="G608">
        <v>3558</v>
      </c>
      <c r="H608">
        <v>3530</v>
      </c>
      <c r="I608">
        <v>3537</v>
      </c>
      <c r="J608">
        <v>159600</v>
      </c>
    </row>
    <row r="609" spans="4:10">
      <c r="D609" t="s">
        <v>708</v>
      </c>
      <c r="E609" t="s">
        <v>695</v>
      </c>
      <c r="F609">
        <v>3537</v>
      </c>
      <c r="G609">
        <v>3541</v>
      </c>
      <c r="H609">
        <v>3526</v>
      </c>
      <c r="I609">
        <v>3527</v>
      </c>
      <c r="J609">
        <v>141500</v>
      </c>
    </row>
    <row r="610" spans="4:10">
      <c r="D610" t="s">
        <v>708</v>
      </c>
      <c r="E610" t="s">
        <v>696</v>
      </c>
      <c r="F610">
        <v>3526</v>
      </c>
      <c r="G610">
        <v>3532</v>
      </c>
      <c r="H610">
        <v>3499</v>
      </c>
      <c r="I610">
        <v>3506</v>
      </c>
      <c r="J610">
        <v>190700</v>
      </c>
    </row>
    <row r="611" spans="4:10">
      <c r="D611" t="s">
        <v>708</v>
      </c>
      <c r="E611" t="s">
        <v>697</v>
      </c>
      <c r="F611">
        <v>3507</v>
      </c>
      <c r="G611">
        <v>3530</v>
      </c>
      <c r="H611">
        <v>3499</v>
      </c>
      <c r="I611">
        <v>3528</v>
      </c>
      <c r="J611">
        <v>179200</v>
      </c>
    </row>
    <row r="612" spans="4:10">
      <c r="D612" t="s">
        <v>708</v>
      </c>
      <c r="E612" t="s">
        <v>698</v>
      </c>
      <c r="F612">
        <v>3528</v>
      </c>
      <c r="G612">
        <v>3531</v>
      </c>
      <c r="H612">
        <v>3504</v>
      </c>
      <c r="I612">
        <v>3522</v>
      </c>
      <c r="J612">
        <v>115800</v>
      </c>
    </row>
    <row r="613" spans="4:10">
      <c r="D613" t="s">
        <v>708</v>
      </c>
      <c r="E613" t="s">
        <v>699</v>
      </c>
      <c r="F613">
        <v>3522</v>
      </c>
      <c r="G613">
        <v>3536</v>
      </c>
      <c r="H613">
        <v>3519</v>
      </c>
      <c r="I613">
        <v>3532</v>
      </c>
      <c r="J613">
        <v>133500</v>
      </c>
    </row>
    <row r="614" spans="4:10">
      <c r="D614" t="s">
        <v>708</v>
      </c>
      <c r="E614" t="s">
        <v>700</v>
      </c>
      <c r="F614">
        <v>3531</v>
      </c>
      <c r="G614">
        <v>3539</v>
      </c>
      <c r="H614">
        <v>3512</v>
      </c>
      <c r="I614">
        <v>3524</v>
      </c>
      <c r="J614">
        <v>148500</v>
      </c>
    </row>
    <row r="615" spans="4:10">
      <c r="D615" t="s">
        <v>708</v>
      </c>
      <c r="E615" t="s">
        <v>633</v>
      </c>
      <c r="F615">
        <v>3524</v>
      </c>
      <c r="G615">
        <v>3534</v>
      </c>
      <c r="H615">
        <v>3521</v>
      </c>
      <c r="I615">
        <v>3524</v>
      </c>
      <c r="J615">
        <v>135900</v>
      </c>
    </row>
    <row r="616" spans="4:10">
      <c r="D616" t="s">
        <v>708</v>
      </c>
      <c r="E616" t="s">
        <v>634</v>
      </c>
      <c r="F616">
        <v>3525</v>
      </c>
      <c r="G616">
        <v>3531</v>
      </c>
      <c r="H616">
        <v>3505</v>
      </c>
      <c r="I616">
        <v>3505</v>
      </c>
      <c r="J616">
        <v>177500</v>
      </c>
    </row>
    <row r="617" spans="4:10">
      <c r="D617" t="s">
        <v>708</v>
      </c>
      <c r="E617" t="s">
        <v>635</v>
      </c>
      <c r="F617">
        <v>3505</v>
      </c>
      <c r="G617">
        <v>3513</v>
      </c>
      <c r="H617">
        <v>3497</v>
      </c>
      <c r="I617">
        <v>3506</v>
      </c>
      <c r="J617">
        <v>201000</v>
      </c>
    </row>
    <row r="618" spans="4:10">
      <c r="D618" t="s">
        <v>708</v>
      </c>
      <c r="E618" t="s">
        <v>614</v>
      </c>
      <c r="F618">
        <v>3507</v>
      </c>
      <c r="G618">
        <v>3513</v>
      </c>
      <c r="H618">
        <v>3398</v>
      </c>
      <c r="I618">
        <v>3411</v>
      </c>
      <c r="J618">
        <v>490300</v>
      </c>
    </row>
    <row r="619" spans="4:10">
      <c r="D619" t="s">
        <v>708</v>
      </c>
      <c r="E619" t="s">
        <v>636</v>
      </c>
      <c r="F619" t="s">
        <v>35</v>
      </c>
      <c r="G619" t="s">
        <v>35</v>
      </c>
      <c r="H619" t="s">
        <v>35</v>
      </c>
      <c r="I619" t="s">
        <v>35</v>
      </c>
      <c r="J619">
        <v>0</v>
      </c>
    </row>
    <row r="620" spans="4:10">
      <c r="D620" t="s">
        <v>708</v>
      </c>
      <c r="E620" t="s">
        <v>637</v>
      </c>
      <c r="F620">
        <v>3470</v>
      </c>
      <c r="G620">
        <v>3470</v>
      </c>
      <c r="H620">
        <v>3470</v>
      </c>
      <c r="I620">
        <v>3470</v>
      </c>
      <c r="J620">
        <v>1197000</v>
      </c>
    </row>
    <row r="621" spans="4:10">
      <c r="D621" t="s">
        <v>709</v>
      </c>
      <c r="E621" t="s">
        <v>639</v>
      </c>
      <c r="F621">
        <v>3519</v>
      </c>
      <c r="G621">
        <v>3528</v>
      </c>
      <c r="H621">
        <v>3378</v>
      </c>
      <c r="I621">
        <v>3379</v>
      </c>
      <c r="J621">
        <v>944000</v>
      </c>
    </row>
    <row r="622" spans="4:10">
      <c r="D622" t="s">
        <v>709</v>
      </c>
      <c r="E622" t="s">
        <v>640</v>
      </c>
      <c r="F622">
        <v>3377</v>
      </c>
      <c r="G622">
        <v>3415</v>
      </c>
      <c r="H622">
        <v>3346</v>
      </c>
      <c r="I622">
        <v>3359</v>
      </c>
      <c r="J622">
        <v>620700</v>
      </c>
    </row>
    <row r="623" spans="4:10">
      <c r="D623" t="s">
        <v>709</v>
      </c>
      <c r="E623" t="s">
        <v>641</v>
      </c>
      <c r="F623">
        <v>3359</v>
      </c>
      <c r="G623">
        <v>3368</v>
      </c>
      <c r="H623">
        <v>3302</v>
      </c>
      <c r="I623">
        <v>3308</v>
      </c>
      <c r="J623">
        <v>807400</v>
      </c>
    </row>
    <row r="624" spans="4:10">
      <c r="D624" t="s">
        <v>709</v>
      </c>
      <c r="E624" t="s">
        <v>642</v>
      </c>
      <c r="F624">
        <v>3308</v>
      </c>
      <c r="G624">
        <v>3407</v>
      </c>
      <c r="H624">
        <v>3281</v>
      </c>
      <c r="I624">
        <v>3375</v>
      </c>
      <c r="J624">
        <v>854900</v>
      </c>
    </row>
    <row r="625" spans="4:10">
      <c r="D625" t="s">
        <v>709</v>
      </c>
      <c r="E625" t="s">
        <v>643</v>
      </c>
      <c r="F625">
        <v>3375</v>
      </c>
      <c r="G625">
        <v>3410</v>
      </c>
      <c r="H625">
        <v>3329</v>
      </c>
      <c r="I625">
        <v>3353</v>
      </c>
      <c r="J625">
        <v>465500</v>
      </c>
    </row>
    <row r="626" spans="4:10">
      <c r="D626" t="s">
        <v>709</v>
      </c>
      <c r="E626" t="s">
        <v>644</v>
      </c>
      <c r="F626">
        <v>3354</v>
      </c>
      <c r="G626">
        <v>3398</v>
      </c>
      <c r="H626">
        <v>3346</v>
      </c>
      <c r="I626">
        <v>3374</v>
      </c>
      <c r="J626">
        <v>300000</v>
      </c>
    </row>
    <row r="627" spans="4:10">
      <c r="D627" t="s">
        <v>709</v>
      </c>
      <c r="E627" t="s">
        <v>645</v>
      </c>
      <c r="F627">
        <v>3374</v>
      </c>
      <c r="G627">
        <v>3395</v>
      </c>
      <c r="H627">
        <v>3359</v>
      </c>
      <c r="I627">
        <v>3368</v>
      </c>
      <c r="J627">
        <v>284400</v>
      </c>
    </row>
    <row r="628" spans="4:10">
      <c r="D628" t="s">
        <v>709</v>
      </c>
      <c r="E628" t="s">
        <v>646</v>
      </c>
      <c r="F628">
        <v>3369</v>
      </c>
      <c r="G628">
        <v>3373</v>
      </c>
      <c r="H628">
        <v>3343</v>
      </c>
      <c r="I628">
        <v>3352</v>
      </c>
      <c r="J628">
        <v>298900</v>
      </c>
    </row>
    <row r="629" spans="4:10">
      <c r="D629" t="s">
        <v>709</v>
      </c>
      <c r="E629" t="s">
        <v>647</v>
      </c>
      <c r="F629">
        <v>3351</v>
      </c>
      <c r="G629">
        <v>3351</v>
      </c>
      <c r="H629">
        <v>3294</v>
      </c>
      <c r="I629">
        <v>3331</v>
      </c>
      <c r="J629">
        <v>393300</v>
      </c>
    </row>
    <row r="630" spans="4:10">
      <c r="D630" t="s">
        <v>709</v>
      </c>
      <c r="E630" t="s">
        <v>648</v>
      </c>
      <c r="F630">
        <v>3333</v>
      </c>
      <c r="G630">
        <v>3397</v>
      </c>
      <c r="H630">
        <v>3331</v>
      </c>
      <c r="I630">
        <v>3396</v>
      </c>
      <c r="J630">
        <v>360800</v>
      </c>
    </row>
    <row r="631" spans="4:10">
      <c r="D631" t="s">
        <v>709</v>
      </c>
      <c r="E631" t="s">
        <v>649</v>
      </c>
      <c r="F631">
        <v>3395</v>
      </c>
      <c r="G631">
        <v>3432</v>
      </c>
      <c r="H631">
        <v>3380</v>
      </c>
      <c r="I631">
        <v>3409</v>
      </c>
      <c r="J631">
        <v>389900</v>
      </c>
    </row>
    <row r="632" spans="4:10">
      <c r="D632" t="s">
        <v>709</v>
      </c>
      <c r="E632" t="s">
        <v>650</v>
      </c>
      <c r="F632">
        <v>3408</v>
      </c>
      <c r="G632">
        <v>3419</v>
      </c>
      <c r="H632">
        <v>3372</v>
      </c>
      <c r="I632">
        <v>3403</v>
      </c>
      <c r="J632">
        <v>351800</v>
      </c>
    </row>
    <row r="633" spans="4:10">
      <c r="D633" t="s">
        <v>709</v>
      </c>
      <c r="E633" t="s">
        <v>651</v>
      </c>
      <c r="F633">
        <v>3404</v>
      </c>
      <c r="G633">
        <v>3443</v>
      </c>
      <c r="H633">
        <v>3391</v>
      </c>
      <c r="I633">
        <v>3426</v>
      </c>
      <c r="J633">
        <v>243700</v>
      </c>
    </row>
    <row r="634" spans="4:10">
      <c r="D634" t="s">
        <v>709</v>
      </c>
      <c r="E634" t="s">
        <v>652</v>
      </c>
      <c r="F634">
        <v>3425</v>
      </c>
      <c r="G634">
        <v>3438</v>
      </c>
      <c r="H634">
        <v>3418</v>
      </c>
      <c r="I634">
        <v>3431</v>
      </c>
      <c r="J634">
        <v>163600</v>
      </c>
    </row>
    <row r="635" spans="4:10">
      <c r="D635" t="s">
        <v>709</v>
      </c>
      <c r="E635" t="s">
        <v>653</v>
      </c>
      <c r="F635">
        <v>3431</v>
      </c>
      <c r="G635">
        <v>3449</v>
      </c>
      <c r="H635">
        <v>3429</v>
      </c>
      <c r="I635">
        <v>3446</v>
      </c>
      <c r="J635">
        <v>180500</v>
      </c>
    </row>
    <row r="636" spans="4:10">
      <c r="D636" t="s">
        <v>709</v>
      </c>
      <c r="E636" t="s">
        <v>654</v>
      </c>
      <c r="F636">
        <v>3446</v>
      </c>
      <c r="G636">
        <v>3472</v>
      </c>
      <c r="H636">
        <v>3433</v>
      </c>
      <c r="I636">
        <v>3442</v>
      </c>
      <c r="J636">
        <v>256700</v>
      </c>
    </row>
    <row r="637" spans="4:10">
      <c r="D637" t="s">
        <v>709</v>
      </c>
      <c r="E637" t="s">
        <v>655</v>
      </c>
      <c r="F637">
        <v>3442</v>
      </c>
      <c r="G637">
        <v>3453</v>
      </c>
      <c r="H637">
        <v>3418</v>
      </c>
      <c r="I637">
        <v>3445</v>
      </c>
      <c r="J637">
        <v>194300</v>
      </c>
    </row>
    <row r="638" spans="4:10">
      <c r="D638" t="s">
        <v>709</v>
      </c>
      <c r="E638" t="s">
        <v>656</v>
      </c>
      <c r="F638">
        <v>3445</v>
      </c>
      <c r="G638">
        <v>3447</v>
      </c>
      <c r="H638">
        <v>3420</v>
      </c>
      <c r="I638">
        <v>3435</v>
      </c>
      <c r="J638">
        <v>160900</v>
      </c>
    </row>
    <row r="639" spans="4:10">
      <c r="D639" t="s">
        <v>709</v>
      </c>
      <c r="E639" t="s">
        <v>657</v>
      </c>
      <c r="F639">
        <v>3434</v>
      </c>
      <c r="G639">
        <v>3458</v>
      </c>
      <c r="H639">
        <v>3427</v>
      </c>
      <c r="I639">
        <v>3449</v>
      </c>
      <c r="J639">
        <v>129300</v>
      </c>
    </row>
    <row r="640" spans="4:10">
      <c r="D640" t="s">
        <v>709</v>
      </c>
      <c r="E640" t="s">
        <v>658</v>
      </c>
      <c r="F640">
        <v>3449</v>
      </c>
      <c r="G640">
        <v>3469</v>
      </c>
      <c r="H640">
        <v>3440</v>
      </c>
      <c r="I640">
        <v>3468</v>
      </c>
      <c r="J640">
        <v>128200</v>
      </c>
    </row>
    <row r="641" spans="4:10">
      <c r="D641" t="s">
        <v>709</v>
      </c>
      <c r="E641" t="s">
        <v>659</v>
      </c>
      <c r="F641">
        <v>3468</v>
      </c>
      <c r="G641">
        <v>3468</v>
      </c>
      <c r="H641">
        <v>3445</v>
      </c>
      <c r="I641">
        <v>3462</v>
      </c>
      <c r="J641">
        <v>126400</v>
      </c>
    </row>
    <row r="642" spans="4:10">
      <c r="D642" t="s">
        <v>709</v>
      </c>
      <c r="E642" t="s">
        <v>660</v>
      </c>
      <c r="F642">
        <v>3463</v>
      </c>
      <c r="G642">
        <v>3488</v>
      </c>
      <c r="H642">
        <v>3446</v>
      </c>
      <c r="I642">
        <v>3466</v>
      </c>
      <c r="J642">
        <v>192400</v>
      </c>
    </row>
    <row r="643" spans="4:10">
      <c r="D643" t="s">
        <v>709</v>
      </c>
      <c r="E643" t="s">
        <v>661</v>
      </c>
      <c r="F643">
        <v>3465</v>
      </c>
      <c r="G643">
        <v>3477</v>
      </c>
      <c r="H643">
        <v>3460</v>
      </c>
      <c r="I643">
        <v>3465</v>
      </c>
      <c r="J643">
        <v>124500</v>
      </c>
    </row>
    <row r="644" spans="4:10">
      <c r="D644" t="s">
        <v>709</v>
      </c>
      <c r="E644" t="s">
        <v>662</v>
      </c>
      <c r="F644">
        <v>3466</v>
      </c>
      <c r="G644">
        <v>3470</v>
      </c>
      <c r="H644">
        <v>3459</v>
      </c>
      <c r="I644">
        <v>3459</v>
      </c>
      <c r="J644">
        <v>90500</v>
      </c>
    </row>
    <row r="645" spans="4:10">
      <c r="D645" t="s">
        <v>709</v>
      </c>
      <c r="E645" t="s">
        <v>663</v>
      </c>
      <c r="F645">
        <v>3460</v>
      </c>
      <c r="G645">
        <v>3472</v>
      </c>
      <c r="H645">
        <v>3453</v>
      </c>
      <c r="I645">
        <v>3462</v>
      </c>
      <c r="J645">
        <v>122600</v>
      </c>
    </row>
    <row r="646" spans="4:10">
      <c r="D646" t="s">
        <v>709</v>
      </c>
      <c r="E646" t="s">
        <v>664</v>
      </c>
      <c r="F646">
        <v>3462</v>
      </c>
      <c r="G646">
        <v>3467</v>
      </c>
      <c r="H646">
        <v>3440</v>
      </c>
      <c r="I646">
        <v>3458</v>
      </c>
      <c r="J646">
        <v>153100</v>
      </c>
    </row>
    <row r="647" spans="4:10">
      <c r="D647" t="s">
        <v>709</v>
      </c>
      <c r="E647" t="s">
        <v>665</v>
      </c>
      <c r="F647">
        <v>3457</v>
      </c>
      <c r="G647">
        <v>3488</v>
      </c>
      <c r="H647">
        <v>3454</v>
      </c>
      <c r="I647">
        <v>3484</v>
      </c>
      <c r="J647">
        <v>135400</v>
      </c>
    </row>
    <row r="648" spans="4:10">
      <c r="D648" t="s">
        <v>709</v>
      </c>
      <c r="E648" t="s">
        <v>666</v>
      </c>
      <c r="F648">
        <v>3483</v>
      </c>
      <c r="G648">
        <v>3489</v>
      </c>
      <c r="H648">
        <v>3473</v>
      </c>
      <c r="I648">
        <v>3489</v>
      </c>
      <c r="J648">
        <v>110200</v>
      </c>
    </row>
    <row r="649" spans="4:10">
      <c r="D649" t="s">
        <v>709</v>
      </c>
      <c r="E649" t="s">
        <v>667</v>
      </c>
      <c r="F649">
        <v>3489</v>
      </c>
      <c r="G649">
        <v>3497</v>
      </c>
      <c r="H649">
        <v>3484</v>
      </c>
      <c r="I649">
        <v>3488</v>
      </c>
      <c r="J649">
        <v>123100</v>
      </c>
    </row>
    <row r="650" spans="4:10">
      <c r="D650" t="s">
        <v>709</v>
      </c>
      <c r="E650" t="s">
        <v>668</v>
      </c>
      <c r="F650">
        <v>3488</v>
      </c>
      <c r="G650">
        <v>3502</v>
      </c>
      <c r="H650">
        <v>3471</v>
      </c>
      <c r="I650">
        <v>3486</v>
      </c>
      <c r="J650">
        <v>163000</v>
      </c>
    </row>
    <row r="651" spans="4:10">
      <c r="D651" t="s">
        <v>709</v>
      </c>
      <c r="E651" t="s">
        <v>669</v>
      </c>
      <c r="F651">
        <v>3487</v>
      </c>
      <c r="G651">
        <v>3487</v>
      </c>
      <c r="H651">
        <v>3487</v>
      </c>
      <c r="I651">
        <v>3487</v>
      </c>
      <c r="J651">
        <v>6900</v>
      </c>
    </row>
    <row r="652" spans="4:10">
      <c r="D652" t="s">
        <v>709</v>
      </c>
      <c r="E652" t="s">
        <v>670</v>
      </c>
      <c r="F652">
        <v>3487</v>
      </c>
      <c r="G652">
        <v>3487</v>
      </c>
      <c r="H652">
        <v>3435</v>
      </c>
      <c r="I652">
        <v>3481</v>
      </c>
      <c r="J652">
        <v>333500</v>
      </c>
    </row>
    <row r="653" spans="4:10">
      <c r="D653" t="s">
        <v>709</v>
      </c>
      <c r="E653" t="s">
        <v>671</v>
      </c>
      <c r="F653">
        <v>3481</v>
      </c>
      <c r="G653">
        <v>3493</v>
      </c>
      <c r="H653">
        <v>3466</v>
      </c>
      <c r="I653">
        <v>3488</v>
      </c>
      <c r="J653">
        <v>178700</v>
      </c>
    </row>
    <row r="654" spans="4:10">
      <c r="D654" t="s">
        <v>709</v>
      </c>
      <c r="E654" t="s">
        <v>672</v>
      </c>
      <c r="F654">
        <v>3488</v>
      </c>
      <c r="G654">
        <v>3490</v>
      </c>
      <c r="H654">
        <v>3474</v>
      </c>
      <c r="I654">
        <v>3483</v>
      </c>
      <c r="J654">
        <v>133700</v>
      </c>
    </row>
    <row r="655" spans="4:10">
      <c r="D655" t="s">
        <v>709</v>
      </c>
      <c r="E655" t="s">
        <v>673</v>
      </c>
      <c r="F655">
        <v>3483</v>
      </c>
      <c r="G655">
        <v>3484</v>
      </c>
      <c r="H655">
        <v>3465</v>
      </c>
      <c r="I655">
        <v>3468</v>
      </c>
      <c r="J655">
        <v>129600</v>
      </c>
    </row>
    <row r="656" spans="4:10">
      <c r="D656" t="s">
        <v>709</v>
      </c>
      <c r="E656" t="s">
        <v>674</v>
      </c>
      <c r="F656">
        <v>3468</v>
      </c>
      <c r="G656">
        <v>3474</v>
      </c>
      <c r="H656">
        <v>3461</v>
      </c>
      <c r="I656">
        <v>3465</v>
      </c>
      <c r="J656">
        <v>108100</v>
      </c>
    </row>
    <row r="657" spans="4:10">
      <c r="D657" t="s">
        <v>709</v>
      </c>
      <c r="E657" t="s">
        <v>675</v>
      </c>
      <c r="F657">
        <v>3466</v>
      </c>
      <c r="G657">
        <v>3471</v>
      </c>
      <c r="H657">
        <v>3458</v>
      </c>
      <c r="I657">
        <v>3464</v>
      </c>
      <c r="J657">
        <v>108200</v>
      </c>
    </row>
    <row r="658" spans="4:10">
      <c r="D658" t="s">
        <v>709</v>
      </c>
      <c r="E658" t="s">
        <v>676</v>
      </c>
      <c r="F658">
        <v>3464</v>
      </c>
      <c r="G658">
        <v>3474</v>
      </c>
      <c r="H658">
        <v>3459</v>
      </c>
      <c r="I658">
        <v>3460</v>
      </c>
      <c r="J658">
        <v>106400</v>
      </c>
    </row>
    <row r="659" spans="4:10">
      <c r="D659" t="s">
        <v>709</v>
      </c>
      <c r="E659" t="s">
        <v>677</v>
      </c>
      <c r="F659">
        <v>3461</v>
      </c>
      <c r="G659">
        <v>3479</v>
      </c>
      <c r="H659">
        <v>3460</v>
      </c>
      <c r="I659">
        <v>3476</v>
      </c>
      <c r="J659">
        <v>85200</v>
      </c>
    </row>
    <row r="660" spans="4:10">
      <c r="D660" t="s">
        <v>709</v>
      </c>
      <c r="E660" t="s">
        <v>678</v>
      </c>
      <c r="F660">
        <v>3477</v>
      </c>
      <c r="G660">
        <v>3477</v>
      </c>
      <c r="H660">
        <v>3467</v>
      </c>
      <c r="I660">
        <v>3476</v>
      </c>
      <c r="J660">
        <v>76400</v>
      </c>
    </row>
    <row r="661" spans="4:10">
      <c r="D661" t="s">
        <v>709</v>
      </c>
      <c r="E661" t="s">
        <v>679</v>
      </c>
      <c r="F661">
        <v>3475</v>
      </c>
      <c r="G661">
        <v>3476</v>
      </c>
      <c r="H661">
        <v>3464</v>
      </c>
      <c r="I661">
        <v>3472</v>
      </c>
      <c r="J661">
        <v>89600</v>
      </c>
    </row>
    <row r="662" spans="4:10">
      <c r="D662" t="s">
        <v>709</v>
      </c>
      <c r="E662" t="s">
        <v>680</v>
      </c>
      <c r="F662">
        <v>3472</v>
      </c>
      <c r="G662">
        <v>3482</v>
      </c>
      <c r="H662">
        <v>3468</v>
      </c>
      <c r="I662">
        <v>3476</v>
      </c>
      <c r="J662">
        <v>96400</v>
      </c>
    </row>
    <row r="663" spans="4:10">
      <c r="D663" t="s">
        <v>709</v>
      </c>
      <c r="E663" t="s">
        <v>681</v>
      </c>
      <c r="F663">
        <v>3475</v>
      </c>
      <c r="G663">
        <v>3481</v>
      </c>
      <c r="H663">
        <v>3474</v>
      </c>
      <c r="I663">
        <v>3479</v>
      </c>
      <c r="J663">
        <v>60600</v>
      </c>
    </row>
    <row r="664" spans="4:10">
      <c r="D664" t="s">
        <v>709</v>
      </c>
      <c r="E664" t="s">
        <v>682</v>
      </c>
      <c r="F664">
        <v>3479</v>
      </c>
      <c r="G664">
        <v>3487</v>
      </c>
      <c r="H664">
        <v>3475</v>
      </c>
      <c r="I664">
        <v>3485</v>
      </c>
      <c r="J664">
        <v>73900</v>
      </c>
    </row>
    <row r="665" spans="4:10">
      <c r="D665" t="s">
        <v>709</v>
      </c>
      <c r="E665" t="s">
        <v>683</v>
      </c>
      <c r="F665">
        <v>3485</v>
      </c>
      <c r="G665">
        <v>3489</v>
      </c>
      <c r="H665">
        <v>3477</v>
      </c>
      <c r="I665">
        <v>3478</v>
      </c>
      <c r="J665">
        <v>82700</v>
      </c>
    </row>
    <row r="666" spans="4:10">
      <c r="D666" t="s">
        <v>709</v>
      </c>
      <c r="E666" t="s">
        <v>684</v>
      </c>
      <c r="F666">
        <v>3478</v>
      </c>
      <c r="G666">
        <v>3488</v>
      </c>
      <c r="H666">
        <v>3466</v>
      </c>
      <c r="I666">
        <v>3487</v>
      </c>
      <c r="J666">
        <v>100700</v>
      </c>
    </row>
    <row r="667" spans="4:10">
      <c r="D667" t="s">
        <v>709</v>
      </c>
      <c r="E667" t="s">
        <v>685</v>
      </c>
      <c r="F667">
        <v>3487</v>
      </c>
      <c r="G667">
        <v>3499</v>
      </c>
      <c r="H667">
        <v>3485</v>
      </c>
      <c r="I667">
        <v>3493</v>
      </c>
      <c r="J667">
        <v>113100</v>
      </c>
    </row>
    <row r="668" spans="4:10">
      <c r="D668" t="s">
        <v>709</v>
      </c>
      <c r="E668" t="s">
        <v>686</v>
      </c>
      <c r="F668">
        <v>3494</v>
      </c>
      <c r="G668">
        <v>3496</v>
      </c>
      <c r="H668">
        <v>3477</v>
      </c>
      <c r="I668">
        <v>3478</v>
      </c>
      <c r="J668">
        <v>115400</v>
      </c>
    </row>
    <row r="669" spans="4:10">
      <c r="D669" t="s">
        <v>709</v>
      </c>
      <c r="E669" t="s">
        <v>687</v>
      </c>
      <c r="F669">
        <v>3478</v>
      </c>
      <c r="G669">
        <v>3481</v>
      </c>
      <c r="H669">
        <v>3470</v>
      </c>
      <c r="I669">
        <v>3476</v>
      </c>
      <c r="J669">
        <v>104300</v>
      </c>
    </row>
    <row r="670" spans="4:10">
      <c r="D670" t="s">
        <v>709</v>
      </c>
      <c r="E670" t="s">
        <v>688</v>
      </c>
      <c r="F670">
        <v>3478</v>
      </c>
      <c r="G670">
        <v>3489</v>
      </c>
      <c r="H670">
        <v>3473</v>
      </c>
      <c r="I670">
        <v>3477</v>
      </c>
      <c r="J670">
        <v>114500</v>
      </c>
    </row>
    <row r="671" spans="4:10">
      <c r="D671" t="s">
        <v>709</v>
      </c>
      <c r="E671" t="s">
        <v>689</v>
      </c>
      <c r="F671">
        <v>3477</v>
      </c>
      <c r="G671">
        <v>3486</v>
      </c>
      <c r="H671">
        <v>3474</v>
      </c>
      <c r="I671">
        <v>3482</v>
      </c>
      <c r="J671">
        <v>77900</v>
      </c>
    </row>
    <row r="672" spans="4:10">
      <c r="D672" t="s">
        <v>709</v>
      </c>
      <c r="E672" t="s">
        <v>690</v>
      </c>
      <c r="F672">
        <v>3482</v>
      </c>
      <c r="G672">
        <v>3485</v>
      </c>
      <c r="H672">
        <v>3481</v>
      </c>
      <c r="I672">
        <v>3483</v>
      </c>
      <c r="J672">
        <v>58400</v>
      </c>
    </row>
    <row r="673" spans="4:10">
      <c r="D673" t="s">
        <v>709</v>
      </c>
      <c r="E673" t="s">
        <v>691</v>
      </c>
      <c r="F673">
        <v>3483</v>
      </c>
      <c r="G673">
        <v>3483</v>
      </c>
      <c r="H673">
        <v>3463</v>
      </c>
      <c r="I673">
        <v>3477</v>
      </c>
      <c r="J673">
        <v>127700</v>
      </c>
    </row>
    <row r="674" spans="4:10">
      <c r="D674" t="s">
        <v>709</v>
      </c>
      <c r="E674" t="s">
        <v>692</v>
      </c>
      <c r="F674">
        <v>3477</v>
      </c>
      <c r="G674">
        <v>3484</v>
      </c>
      <c r="H674">
        <v>3470</v>
      </c>
      <c r="I674">
        <v>3476</v>
      </c>
      <c r="J674">
        <v>73600</v>
      </c>
    </row>
    <row r="675" spans="4:10">
      <c r="D675" t="s">
        <v>709</v>
      </c>
      <c r="E675" t="s">
        <v>693</v>
      </c>
      <c r="F675">
        <v>3476</v>
      </c>
      <c r="G675">
        <v>3480</v>
      </c>
      <c r="H675">
        <v>3464</v>
      </c>
      <c r="I675">
        <v>3465</v>
      </c>
      <c r="J675">
        <v>104100</v>
      </c>
    </row>
    <row r="676" spans="4:10">
      <c r="D676" t="s">
        <v>709</v>
      </c>
      <c r="E676" t="s">
        <v>694</v>
      </c>
      <c r="F676">
        <v>3465</v>
      </c>
      <c r="G676">
        <v>3470</v>
      </c>
      <c r="H676">
        <v>3458</v>
      </c>
      <c r="I676">
        <v>3469</v>
      </c>
      <c r="J676">
        <v>105600</v>
      </c>
    </row>
    <row r="677" spans="4:10">
      <c r="D677" t="s">
        <v>709</v>
      </c>
      <c r="E677" t="s">
        <v>695</v>
      </c>
      <c r="F677">
        <v>3469</v>
      </c>
      <c r="G677">
        <v>3479</v>
      </c>
      <c r="H677">
        <v>3467</v>
      </c>
      <c r="I677">
        <v>3477</v>
      </c>
      <c r="J677">
        <v>60200</v>
      </c>
    </row>
    <row r="678" spans="4:10">
      <c r="D678" t="s">
        <v>709</v>
      </c>
      <c r="E678" t="s">
        <v>696</v>
      </c>
      <c r="F678">
        <v>3476</v>
      </c>
      <c r="G678">
        <v>3494</v>
      </c>
      <c r="H678">
        <v>3474</v>
      </c>
      <c r="I678">
        <v>3490</v>
      </c>
      <c r="J678">
        <v>128300</v>
      </c>
    </row>
    <row r="679" spans="4:10">
      <c r="D679" t="s">
        <v>709</v>
      </c>
      <c r="E679" t="s">
        <v>697</v>
      </c>
      <c r="F679">
        <v>3489</v>
      </c>
      <c r="G679">
        <v>3489</v>
      </c>
      <c r="H679">
        <v>3480</v>
      </c>
      <c r="I679">
        <v>3483</v>
      </c>
      <c r="J679">
        <v>77800</v>
      </c>
    </row>
    <row r="680" spans="4:10">
      <c r="D680" t="s">
        <v>709</v>
      </c>
      <c r="E680" t="s">
        <v>698</v>
      </c>
      <c r="F680">
        <v>3482</v>
      </c>
      <c r="G680">
        <v>3482</v>
      </c>
      <c r="H680">
        <v>3464</v>
      </c>
      <c r="I680">
        <v>3465</v>
      </c>
      <c r="J680">
        <v>88500</v>
      </c>
    </row>
    <row r="681" spans="4:10">
      <c r="D681" t="s">
        <v>709</v>
      </c>
      <c r="E681" t="s">
        <v>699</v>
      </c>
      <c r="F681">
        <v>3464</v>
      </c>
      <c r="G681">
        <v>3485</v>
      </c>
      <c r="H681">
        <v>3463</v>
      </c>
      <c r="I681">
        <v>3484</v>
      </c>
      <c r="J681">
        <v>106300</v>
      </c>
    </row>
    <row r="682" spans="4:10">
      <c r="D682" t="s">
        <v>709</v>
      </c>
      <c r="E682" t="s">
        <v>700</v>
      </c>
      <c r="F682">
        <v>3484</v>
      </c>
      <c r="G682">
        <v>3492</v>
      </c>
      <c r="H682">
        <v>3483</v>
      </c>
      <c r="I682">
        <v>3488</v>
      </c>
      <c r="J682">
        <v>103300</v>
      </c>
    </row>
    <row r="683" spans="4:10">
      <c r="D683" t="s">
        <v>709</v>
      </c>
      <c r="E683" t="s">
        <v>633</v>
      </c>
      <c r="F683">
        <v>3488</v>
      </c>
      <c r="G683">
        <v>3507</v>
      </c>
      <c r="H683">
        <v>3483</v>
      </c>
      <c r="I683">
        <v>3507</v>
      </c>
      <c r="J683">
        <v>171100</v>
      </c>
    </row>
    <row r="684" spans="4:10">
      <c r="D684" t="s">
        <v>709</v>
      </c>
      <c r="E684" t="s">
        <v>634</v>
      </c>
      <c r="F684">
        <v>3507</v>
      </c>
      <c r="G684">
        <v>3518</v>
      </c>
      <c r="H684">
        <v>3502</v>
      </c>
      <c r="I684">
        <v>3513</v>
      </c>
      <c r="J684">
        <v>154600</v>
      </c>
    </row>
    <row r="685" spans="4:10">
      <c r="D685" t="s">
        <v>709</v>
      </c>
      <c r="E685" t="s">
        <v>635</v>
      </c>
      <c r="F685">
        <v>3513</v>
      </c>
      <c r="G685">
        <v>3522</v>
      </c>
      <c r="H685">
        <v>3508</v>
      </c>
      <c r="I685">
        <v>3520</v>
      </c>
      <c r="J685">
        <v>166100</v>
      </c>
    </row>
    <row r="686" spans="4:10">
      <c r="D686" t="s">
        <v>709</v>
      </c>
      <c r="E686" t="s">
        <v>614</v>
      </c>
      <c r="F686">
        <v>3521</v>
      </c>
      <c r="G686">
        <v>3527</v>
      </c>
      <c r="H686">
        <v>3493</v>
      </c>
      <c r="I686">
        <v>3508</v>
      </c>
      <c r="J686">
        <v>306800</v>
      </c>
    </row>
    <row r="687" spans="4:10">
      <c r="D687" t="s">
        <v>709</v>
      </c>
      <c r="E687" t="s">
        <v>636</v>
      </c>
      <c r="F687" t="s">
        <v>35</v>
      </c>
      <c r="G687" t="s">
        <v>35</v>
      </c>
      <c r="H687" t="s">
        <v>35</v>
      </c>
      <c r="I687" t="s">
        <v>35</v>
      </c>
      <c r="J687">
        <v>0</v>
      </c>
    </row>
    <row r="688" spans="4:10">
      <c r="D688" t="s">
        <v>709</v>
      </c>
      <c r="E688" t="s">
        <v>637</v>
      </c>
      <c r="F688">
        <v>3487</v>
      </c>
      <c r="G688">
        <v>3487</v>
      </c>
      <c r="H688">
        <v>3487</v>
      </c>
      <c r="I688">
        <v>3487</v>
      </c>
      <c r="J688">
        <v>850500</v>
      </c>
    </row>
    <row r="689" spans="4:10">
      <c r="D689" t="s">
        <v>710</v>
      </c>
      <c r="E689" t="s">
        <v>639</v>
      </c>
      <c r="F689">
        <v>3488</v>
      </c>
      <c r="G689">
        <v>3488</v>
      </c>
      <c r="H689">
        <v>3370</v>
      </c>
      <c r="I689">
        <v>3416</v>
      </c>
      <c r="J689">
        <v>703900</v>
      </c>
    </row>
    <row r="690" spans="4:10">
      <c r="D690" t="s">
        <v>710</v>
      </c>
      <c r="E690" t="s">
        <v>640</v>
      </c>
      <c r="F690">
        <v>3414</v>
      </c>
      <c r="G690">
        <v>3471</v>
      </c>
      <c r="H690">
        <v>3390</v>
      </c>
      <c r="I690">
        <v>3418</v>
      </c>
      <c r="J690">
        <v>397200</v>
      </c>
    </row>
    <row r="691" spans="4:10">
      <c r="D691" t="s">
        <v>710</v>
      </c>
      <c r="E691" t="s">
        <v>641</v>
      </c>
      <c r="F691">
        <v>3421</v>
      </c>
      <c r="G691">
        <v>3458</v>
      </c>
      <c r="H691">
        <v>3415</v>
      </c>
      <c r="I691">
        <v>3458</v>
      </c>
      <c r="J691">
        <v>412500</v>
      </c>
    </row>
    <row r="692" spans="4:10">
      <c r="D692" t="s">
        <v>710</v>
      </c>
      <c r="E692" t="s">
        <v>642</v>
      </c>
      <c r="F692">
        <v>3457</v>
      </c>
      <c r="G692">
        <v>3509</v>
      </c>
      <c r="H692">
        <v>3432</v>
      </c>
      <c r="I692">
        <v>3492</v>
      </c>
      <c r="J692">
        <v>469500</v>
      </c>
    </row>
    <row r="693" spans="4:10">
      <c r="D693" t="s">
        <v>710</v>
      </c>
      <c r="E693" t="s">
        <v>643</v>
      </c>
      <c r="F693">
        <v>3492</v>
      </c>
      <c r="G693">
        <v>3531</v>
      </c>
      <c r="H693">
        <v>3474</v>
      </c>
      <c r="I693">
        <v>3523</v>
      </c>
      <c r="J693">
        <v>424500</v>
      </c>
    </row>
    <row r="694" spans="4:10">
      <c r="D694" t="s">
        <v>710</v>
      </c>
      <c r="E694" t="s">
        <v>644</v>
      </c>
      <c r="F694">
        <v>3524</v>
      </c>
      <c r="G694">
        <v>3562</v>
      </c>
      <c r="H694">
        <v>3496</v>
      </c>
      <c r="I694">
        <v>3540</v>
      </c>
      <c r="J694">
        <v>605000</v>
      </c>
    </row>
    <row r="695" spans="4:10">
      <c r="D695" t="s">
        <v>710</v>
      </c>
      <c r="E695" t="s">
        <v>645</v>
      </c>
      <c r="F695">
        <v>3539</v>
      </c>
      <c r="G695">
        <v>3540</v>
      </c>
      <c r="H695">
        <v>3485</v>
      </c>
      <c r="I695">
        <v>3494</v>
      </c>
      <c r="J695">
        <v>397400</v>
      </c>
    </row>
    <row r="696" spans="4:10">
      <c r="D696" t="s">
        <v>710</v>
      </c>
      <c r="E696" t="s">
        <v>646</v>
      </c>
      <c r="F696">
        <v>3492</v>
      </c>
      <c r="G696">
        <v>3503</v>
      </c>
      <c r="H696">
        <v>3468</v>
      </c>
      <c r="I696">
        <v>3493</v>
      </c>
      <c r="J696">
        <v>307100</v>
      </c>
    </row>
    <row r="697" spans="4:10">
      <c r="D697" t="s">
        <v>710</v>
      </c>
      <c r="E697" t="s">
        <v>647</v>
      </c>
      <c r="F697">
        <v>3494</v>
      </c>
      <c r="G697">
        <v>3515</v>
      </c>
      <c r="H697">
        <v>3480</v>
      </c>
      <c r="I697">
        <v>3500</v>
      </c>
      <c r="J697">
        <v>230400</v>
      </c>
    </row>
    <row r="698" spans="4:10">
      <c r="D698" t="s">
        <v>710</v>
      </c>
      <c r="E698" t="s">
        <v>648</v>
      </c>
      <c r="F698">
        <v>3501</v>
      </c>
      <c r="G698">
        <v>3524</v>
      </c>
      <c r="H698">
        <v>3493</v>
      </c>
      <c r="I698">
        <v>3507</v>
      </c>
      <c r="J698">
        <v>191700</v>
      </c>
    </row>
    <row r="699" spans="4:10">
      <c r="D699" t="s">
        <v>710</v>
      </c>
      <c r="E699" t="s">
        <v>649</v>
      </c>
      <c r="F699">
        <v>3507</v>
      </c>
      <c r="G699">
        <v>3539</v>
      </c>
      <c r="H699">
        <v>3500</v>
      </c>
      <c r="I699">
        <v>3534</v>
      </c>
      <c r="J699">
        <v>181700</v>
      </c>
    </row>
    <row r="700" spans="4:10">
      <c r="D700" t="s">
        <v>710</v>
      </c>
      <c r="E700" t="s">
        <v>650</v>
      </c>
      <c r="F700">
        <v>3532</v>
      </c>
      <c r="G700">
        <v>3535</v>
      </c>
      <c r="H700">
        <v>3511</v>
      </c>
      <c r="I700">
        <v>3526</v>
      </c>
      <c r="J700">
        <v>210800</v>
      </c>
    </row>
    <row r="701" spans="4:10">
      <c r="D701" t="s">
        <v>710</v>
      </c>
      <c r="E701" t="s">
        <v>651</v>
      </c>
      <c r="F701">
        <v>3525</v>
      </c>
      <c r="G701">
        <v>3543</v>
      </c>
      <c r="H701">
        <v>3516</v>
      </c>
      <c r="I701">
        <v>3521</v>
      </c>
      <c r="J701">
        <v>195200</v>
      </c>
    </row>
    <row r="702" spans="4:10">
      <c r="D702" t="s">
        <v>710</v>
      </c>
      <c r="E702" t="s">
        <v>652</v>
      </c>
      <c r="F702">
        <v>3521</v>
      </c>
      <c r="G702">
        <v>3557</v>
      </c>
      <c r="H702">
        <v>3521</v>
      </c>
      <c r="I702">
        <v>3554</v>
      </c>
      <c r="J702">
        <v>261500</v>
      </c>
    </row>
    <row r="703" spans="4:10">
      <c r="D703" t="s">
        <v>710</v>
      </c>
      <c r="E703" t="s">
        <v>653</v>
      </c>
      <c r="F703">
        <v>3554</v>
      </c>
      <c r="G703">
        <v>3585</v>
      </c>
      <c r="H703">
        <v>3549</v>
      </c>
      <c r="I703">
        <v>3583</v>
      </c>
      <c r="J703">
        <v>273200</v>
      </c>
    </row>
    <row r="704" spans="4:10">
      <c r="D704" t="s">
        <v>710</v>
      </c>
      <c r="E704" t="s">
        <v>654</v>
      </c>
      <c r="F704">
        <v>3584</v>
      </c>
      <c r="G704">
        <v>3612</v>
      </c>
      <c r="H704">
        <v>3565</v>
      </c>
      <c r="I704">
        <v>3612</v>
      </c>
      <c r="J704">
        <v>328000</v>
      </c>
    </row>
    <row r="705" spans="4:10">
      <c r="D705" t="s">
        <v>710</v>
      </c>
      <c r="E705" t="s">
        <v>655</v>
      </c>
      <c r="F705">
        <v>3612</v>
      </c>
      <c r="G705">
        <v>3625</v>
      </c>
      <c r="H705">
        <v>3591</v>
      </c>
      <c r="I705">
        <v>3609</v>
      </c>
      <c r="J705">
        <v>352800</v>
      </c>
    </row>
    <row r="706" spans="4:10">
      <c r="D706" t="s">
        <v>710</v>
      </c>
      <c r="E706" t="s">
        <v>656</v>
      </c>
      <c r="F706">
        <v>3609</v>
      </c>
      <c r="G706">
        <v>3658</v>
      </c>
      <c r="H706">
        <v>3605</v>
      </c>
      <c r="I706">
        <v>3654</v>
      </c>
      <c r="J706">
        <v>307000</v>
      </c>
    </row>
    <row r="707" spans="4:10">
      <c r="D707" t="s">
        <v>710</v>
      </c>
      <c r="E707" t="s">
        <v>657</v>
      </c>
      <c r="F707">
        <v>3654</v>
      </c>
      <c r="G707">
        <v>3663</v>
      </c>
      <c r="H707">
        <v>3638</v>
      </c>
      <c r="I707">
        <v>3644</v>
      </c>
      <c r="J707">
        <v>226400</v>
      </c>
    </row>
    <row r="708" spans="4:10">
      <c r="D708" t="s">
        <v>710</v>
      </c>
      <c r="E708" t="s">
        <v>658</v>
      </c>
      <c r="F708">
        <v>3645</v>
      </c>
      <c r="G708">
        <v>3655</v>
      </c>
      <c r="H708">
        <v>3623</v>
      </c>
      <c r="I708">
        <v>3652</v>
      </c>
      <c r="J708">
        <v>277700</v>
      </c>
    </row>
    <row r="709" spans="4:10">
      <c r="D709" t="s">
        <v>710</v>
      </c>
      <c r="E709" t="s">
        <v>659</v>
      </c>
      <c r="F709">
        <v>3651</v>
      </c>
      <c r="G709">
        <v>3662</v>
      </c>
      <c r="H709">
        <v>3639</v>
      </c>
      <c r="I709">
        <v>3650</v>
      </c>
      <c r="J709">
        <v>272400</v>
      </c>
    </row>
    <row r="710" spans="4:10">
      <c r="D710" t="s">
        <v>710</v>
      </c>
      <c r="E710" t="s">
        <v>660</v>
      </c>
      <c r="F710">
        <v>3649</v>
      </c>
      <c r="G710">
        <v>3654</v>
      </c>
      <c r="H710">
        <v>3632</v>
      </c>
      <c r="I710">
        <v>3640</v>
      </c>
      <c r="J710">
        <v>153900</v>
      </c>
    </row>
    <row r="711" spans="4:10">
      <c r="D711" t="s">
        <v>710</v>
      </c>
      <c r="E711" t="s">
        <v>661</v>
      </c>
      <c r="F711">
        <v>3640</v>
      </c>
      <c r="G711">
        <v>3649</v>
      </c>
      <c r="H711">
        <v>3605</v>
      </c>
      <c r="I711">
        <v>3613</v>
      </c>
      <c r="J711">
        <v>227400</v>
      </c>
    </row>
    <row r="712" spans="4:10">
      <c r="D712" t="s">
        <v>710</v>
      </c>
      <c r="E712" t="s">
        <v>662</v>
      </c>
      <c r="F712">
        <v>3612</v>
      </c>
      <c r="G712">
        <v>3635</v>
      </c>
      <c r="H712">
        <v>3609</v>
      </c>
      <c r="I712">
        <v>3630</v>
      </c>
      <c r="J712">
        <v>176100</v>
      </c>
    </row>
    <row r="713" spans="4:10">
      <c r="D713" t="s">
        <v>710</v>
      </c>
      <c r="E713" t="s">
        <v>663</v>
      </c>
      <c r="F713">
        <v>3630</v>
      </c>
      <c r="G713">
        <v>3633</v>
      </c>
      <c r="H713">
        <v>3607</v>
      </c>
      <c r="I713">
        <v>3620</v>
      </c>
      <c r="J713">
        <v>126000</v>
      </c>
    </row>
    <row r="714" spans="4:10">
      <c r="D714" t="s">
        <v>710</v>
      </c>
      <c r="E714" t="s">
        <v>664</v>
      </c>
      <c r="F714">
        <v>3621</v>
      </c>
      <c r="G714">
        <v>3623</v>
      </c>
      <c r="H714">
        <v>3611</v>
      </c>
      <c r="I714">
        <v>3615</v>
      </c>
      <c r="J714">
        <v>86700</v>
      </c>
    </row>
    <row r="715" spans="4:10">
      <c r="D715" t="s">
        <v>710</v>
      </c>
      <c r="E715" t="s">
        <v>665</v>
      </c>
      <c r="F715">
        <v>3615</v>
      </c>
      <c r="G715">
        <v>3635</v>
      </c>
      <c r="H715">
        <v>3614</v>
      </c>
      <c r="I715">
        <v>3630</v>
      </c>
      <c r="J715">
        <v>117100</v>
      </c>
    </row>
    <row r="716" spans="4:10">
      <c r="D716" t="s">
        <v>710</v>
      </c>
      <c r="E716" t="s">
        <v>666</v>
      </c>
      <c r="F716">
        <v>3628</v>
      </c>
      <c r="G716">
        <v>3630</v>
      </c>
      <c r="H716">
        <v>3603</v>
      </c>
      <c r="I716">
        <v>3618</v>
      </c>
      <c r="J716">
        <v>123900</v>
      </c>
    </row>
    <row r="717" spans="4:10">
      <c r="D717" t="s">
        <v>710</v>
      </c>
      <c r="E717" t="s">
        <v>667</v>
      </c>
      <c r="F717">
        <v>3618</v>
      </c>
      <c r="G717">
        <v>3629</v>
      </c>
      <c r="H717">
        <v>3611</v>
      </c>
      <c r="I717">
        <v>3623</v>
      </c>
      <c r="J717">
        <v>93200</v>
      </c>
    </row>
    <row r="718" spans="4:10">
      <c r="D718" t="s">
        <v>710</v>
      </c>
      <c r="E718" t="s">
        <v>668</v>
      </c>
      <c r="F718">
        <v>3624</v>
      </c>
      <c r="G718">
        <v>3629</v>
      </c>
      <c r="H718">
        <v>3618</v>
      </c>
      <c r="I718">
        <v>3625</v>
      </c>
      <c r="J718">
        <v>102900</v>
      </c>
    </row>
    <row r="719" spans="4:10">
      <c r="D719" t="s">
        <v>710</v>
      </c>
      <c r="E719" t="s">
        <v>669</v>
      </c>
      <c r="F719">
        <v>3625</v>
      </c>
      <c r="G719">
        <v>3625</v>
      </c>
      <c r="H719">
        <v>3625</v>
      </c>
      <c r="I719">
        <v>3625</v>
      </c>
      <c r="J719">
        <v>8100</v>
      </c>
    </row>
    <row r="720" spans="4:10">
      <c r="D720" t="s">
        <v>710</v>
      </c>
      <c r="E720" t="s">
        <v>670</v>
      </c>
      <c r="F720">
        <v>3650</v>
      </c>
      <c r="G720">
        <v>3699</v>
      </c>
      <c r="H720">
        <v>3645</v>
      </c>
      <c r="I720">
        <v>3687</v>
      </c>
      <c r="J720">
        <v>595300</v>
      </c>
    </row>
    <row r="721" spans="4:10">
      <c r="D721" t="s">
        <v>710</v>
      </c>
      <c r="E721" t="s">
        <v>671</v>
      </c>
      <c r="F721">
        <v>3688</v>
      </c>
      <c r="G721">
        <v>3707</v>
      </c>
      <c r="H721">
        <v>3658</v>
      </c>
      <c r="I721">
        <v>3671</v>
      </c>
      <c r="J721">
        <v>259200</v>
      </c>
    </row>
    <row r="722" spans="4:10">
      <c r="D722" t="s">
        <v>710</v>
      </c>
      <c r="E722" t="s">
        <v>672</v>
      </c>
      <c r="F722">
        <v>3671</v>
      </c>
      <c r="G722">
        <v>3702</v>
      </c>
      <c r="H722">
        <v>3661</v>
      </c>
      <c r="I722">
        <v>3681</v>
      </c>
      <c r="J722">
        <v>191500</v>
      </c>
    </row>
    <row r="723" spans="4:10">
      <c r="D723" t="s">
        <v>710</v>
      </c>
      <c r="E723" t="s">
        <v>673</v>
      </c>
      <c r="F723">
        <v>3680</v>
      </c>
      <c r="G723">
        <v>3693</v>
      </c>
      <c r="H723">
        <v>3676</v>
      </c>
      <c r="I723">
        <v>3689</v>
      </c>
      <c r="J723">
        <v>101000</v>
      </c>
    </row>
    <row r="724" spans="4:10">
      <c r="D724" t="s">
        <v>710</v>
      </c>
      <c r="E724" t="s">
        <v>674</v>
      </c>
      <c r="F724">
        <v>3690</v>
      </c>
      <c r="G724">
        <v>3699</v>
      </c>
      <c r="H724">
        <v>3672</v>
      </c>
      <c r="I724">
        <v>3678</v>
      </c>
      <c r="J724">
        <v>114000</v>
      </c>
    </row>
    <row r="725" spans="4:10">
      <c r="D725" t="s">
        <v>710</v>
      </c>
      <c r="E725" t="s">
        <v>675</v>
      </c>
      <c r="F725">
        <v>3678</v>
      </c>
      <c r="G725">
        <v>3683</v>
      </c>
      <c r="H725">
        <v>3669</v>
      </c>
      <c r="I725">
        <v>3676</v>
      </c>
      <c r="J725">
        <v>79000</v>
      </c>
    </row>
    <row r="726" spans="4:10">
      <c r="D726" t="s">
        <v>710</v>
      </c>
      <c r="E726" t="s">
        <v>676</v>
      </c>
      <c r="F726">
        <v>3677</v>
      </c>
      <c r="G726">
        <v>3686</v>
      </c>
      <c r="H726">
        <v>3666</v>
      </c>
      <c r="I726">
        <v>3668</v>
      </c>
      <c r="J726">
        <v>116300</v>
      </c>
    </row>
    <row r="727" spans="4:10">
      <c r="D727" t="s">
        <v>710</v>
      </c>
      <c r="E727" t="s">
        <v>677</v>
      </c>
      <c r="F727">
        <v>3669</v>
      </c>
      <c r="G727">
        <v>3676</v>
      </c>
      <c r="H727">
        <v>3669</v>
      </c>
      <c r="I727">
        <v>3673</v>
      </c>
      <c r="J727">
        <v>58100</v>
      </c>
    </row>
    <row r="728" spans="4:10">
      <c r="D728" t="s">
        <v>710</v>
      </c>
      <c r="E728" t="s">
        <v>678</v>
      </c>
      <c r="F728">
        <v>3672</v>
      </c>
      <c r="G728">
        <v>3676</v>
      </c>
      <c r="H728">
        <v>3664</v>
      </c>
      <c r="I728">
        <v>3668</v>
      </c>
      <c r="J728">
        <v>71200</v>
      </c>
    </row>
    <row r="729" spans="4:10">
      <c r="D729" t="s">
        <v>710</v>
      </c>
      <c r="E729" t="s">
        <v>679</v>
      </c>
      <c r="F729">
        <v>3668</v>
      </c>
      <c r="G729">
        <v>3669</v>
      </c>
      <c r="H729">
        <v>3661</v>
      </c>
      <c r="I729">
        <v>3666</v>
      </c>
      <c r="J729">
        <v>81900</v>
      </c>
    </row>
    <row r="730" spans="4:10">
      <c r="D730" t="s">
        <v>710</v>
      </c>
      <c r="E730" t="s">
        <v>680</v>
      </c>
      <c r="F730">
        <v>3666</v>
      </c>
      <c r="G730">
        <v>3670</v>
      </c>
      <c r="H730">
        <v>3658</v>
      </c>
      <c r="I730">
        <v>3669</v>
      </c>
      <c r="J730">
        <v>78600</v>
      </c>
    </row>
    <row r="731" spans="4:10">
      <c r="D731" t="s">
        <v>710</v>
      </c>
      <c r="E731" t="s">
        <v>681</v>
      </c>
      <c r="F731">
        <v>3669</v>
      </c>
      <c r="G731">
        <v>3669</v>
      </c>
      <c r="H731">
        <v>3655</v>
      </c>
      <c r="I731">
        <v>3659</v>
      </c>
      <c r="J731">
        <v>75500</v>
      </c>
    </row>
    <row r="732" spans="4:10">
      <c r="D732" t="s">
        <v>710</v>
      </c>
      <c r="E732" t="s">
        <v>682</v>
      </c>
      <c r="F732">
        <v>3659</v>
      </c>
      <c r="G732">
        <v>3664</v>
      </c>
      <c r="H732">
        <v>3633</v>
      </c>
      <c r="I732">
        <v>3638</v>
      </c>
      <c r="J732">
        <v>146200</v>
      </c>
    </row>
    <row r="733" spans="4:10">
      <c r="D733" t="s">
        <v>710</v>
      </c>
      <c r="E733" t="s">
        <v>683</v>
      </c>
      <c r="F733">
        <v>3639</v>
      </c>
      <c r="G733">
        <v>3649</v>
      </c>
      <c r="H733">
        <v>3631</v>
      </c>
      <c r="I733">
        <v>3632</v>
      </c>
      <c r="J733">
        <v>85700</v>
      </c>
    </row>
    <row r="734" spans="4:10">
      <c r="D734" t="s">
        <v>710</v>
      </c>
      <c r="E734" t="s">
        <v>684</v>
      </c>
      <c r="F734">
        <v>3632</v>
      </c>
      <c r="G734">
        <v>3642</v>
      </c>
      <c r="H734">
        <v>3625</v>
      </c>
      <c r="I734">
        <v>3634</v>
      </c>
      <c r="J734">
        <v>90500</v>
      </c>
    </row>
    <row r="735" spans="4:10">
      <c r="D735" t="s">
        <v>710</v>
      </c>
      <c r="E735" t="s">
        <v>685</v>
      </c>
      <c r="F735">
        <v>3633</v>
      </c>
      <c r="G735">
        <v>3663</v>
      </c>
      <c r="H735">
        <v>3630</v>
      </c>
      <c r="I735">
        <v>3656</v>
      </c>
      <c r="J735">
        <v>139100</v>
      </c>
    </row>
    <row r="736" spans="4:10">
      <c r="D736" t="s">
        <v>710</v>
      </c>
      <c r="E736" t="s">
        <v>686</v>
      </c>
      <c r="F736">
        <v>3656</v>
      </c>
      <c r="G736">
        <v>3659</v>
      </c>
      <c r="H736">
        <v>3650</v>
      </c>
      <c r="I736">
        <v>3650</v>
      </c>
      <c r="J736">
        <v>71000</v>
      </c>
    </row>
    <row r="737" spans="4:10">
      <c r="D737" t="s">
        <v>710</v>
      </c>
      <c r="E737" t="s">
        <v>687</v>
      </c>
      <c r="F737">
        <v>3651</v>
      </c>
      <c r="G737">
        <v>3666</v>
      </c>
      <c r="H737">
        <v>3650</v>
      </c>
      <c r="I737">
        <v>3664</v>
      </c>
      <c r="J737">
        <v>85100</v>
      </c>
    </row>
    <row r="738" spans="4:10">
      <c r="D738" t="s">
        <v>710</v>
      </c>
      <c r="E738" t="s">
        <v>688</v>
      </c>
      <c r="F738">
        <v>3663</v>
      </c>
      <c r="G738">
        <v>3672</v>
      </c>
      <c r="H738">
        <v>3652</v>
      </c>
      <c r="I738">
        <v>3655</v>
      </c>
      <c r="J738">
        <v>112400</v>
      </c>
    </row>
    <row r="739" spans="4:10">
      <c r="D739" t="s">
        <v>710</v>
      </c>
      <c r="E739" t="s">
        <v>689</v>
      </c>
      <c r="F739">
        <v>3654</v>
      </c>
      <c r="G739">
        <v>3671</v>
      </c>
      <c r="H739">
        <v>3646</v>
      </c>
      <c r="I739">
        <v>3653</v>
      </c>
      <c r="J739">
        <v>101500</v>
      </c>
    </row>
    <row r="740" spans="4:10">
      <c r="D740" t="s">
        <v>710</v>
      </c>
      <c r="E740" t="s">
        <v>690</v>
      </c>
      <c r="F740">
        <v>3653</v>
      </c>
      <c r="G740">
        <v>3658</v>
      </c>
      <c r="H740">
        <v>3650</v>
      </c>
      <c r="I740">
        <v>3656</v>
      </c>
      <c r="J740">
        <v>52400</v>
      </c>
    </row>
    <row r="741" spans="4:10">
      <c r="D741" t="s">
        <v>710</v>
      </c>
      <c r="E741" t="s">
        <v>691</v>
      </c>
      <c r="F741">
        <v>3656</v>
      </c>
      <c r="G741">
        <v>3665</v>
      </c>
      <c r="H741">
        <v>3653</v>
      </c>
      <c r="I741">
        <v>3661</v>
      </c>
      <c r="J741">
        <v>53800</v>
      </c>
    </row>
    <row r="742" spans="4:10">
      <c r="D742" t="s">
        <v>710</v>
      </c>
      <c r="E742" t="s">
        <v>692</v>
      </c>
      <c r="F742">
        <v>3661</v>
      </c>
      <c r="G742">
        <v>3661</v>
      </c>
      <c r="H742">
        <v>3639</v>
      </c>
      <c r="I742">
        <v>3643</v>
      </c>
      <c r="J742">
        <v>115200</v>
      </c>
    </row>
    <row r="743" spans="4:10">
      <c r="D743" t="s">
        <v>710</v>
      </c>
      <c r="E743" t="s">
        <v>693</v>
      </c>
      <c r="F743">
        <v>3644</v>
      </c>
      <c r="G743">
        <v>3650</v>
      </c>
      <c r="H743">
        <v>3637</v>
      </c>
      <c r="I743">
        <v>3644</v>
      </c>
      <c r="J743">
        <v>77600</v>
      </c>
    </row>
    <row r="744" spans="4:10">
      <c r="D744" t="s">
        <v>710</v>
      </c>
      <c r="E744" t="s">
        <v>694</v>
      </c>
      <c r="F744">
        <v>3643</v>
      </c>
      <c r="G744">
        <v>3662</v>
      </c>
      <c r="H744">
        <v>3632</v>
      </c>
      <c r="I744">
        <v>3657</v>
      </c>
      <c r="J744">
        <v>120200</v>
      </c>
    </row>
    <row r="745" spans="4:10">
      <c r="D745" t="s">
        <v>710</v>
      </c>
      <c r="E745" t="s">
        <v>695</v>
      </c>
      <c r="F745">
        <v>3658</v>
      </c>
      <c r="G745">
        <v>3661</v>
      </c>
      <c r="H745">
        <v>3655</v>
      </c>
      <c r="I745">
        <v>3658</v>
      </c>
      <c r="J745">
        <v>63800</v>
      </c>
    </row>
    <row r="746" spans="4:10">
      <c r="D746" t="s">
        <v>710</v>
      </c>
      <c r="E746" t="s">
        <v>696</v>
      </c>
      <c r="F746">
        <v>3659</v>
      </c>
      <c r="G746">
        <v>3670</v>
      </c>
      <c r="H746">
        <v>3656</v>
      </c>
      <c r="I746">
        <v>3656</v>
      </c>
      <c r="J746">
        <v>96200</v>
      </c>
    </row>
    <row r="747" spans="4:10">
      <c r="D747" t="s">
        <v>710</v>
      </c>
      <c r="E747" t="s">
        <v>697</v>
      </c>
      <c r="F747">
        <v>3657</v>
      </c>
      <c r="G747">
        <v>3660</v>
      </c>
      <c r="H747">
        <v>3652</v>
      </c>
      <c r="I747">
        <v>3656</v>
      </c>
      <c r="J747">
        <v>57400</v>
      </c>
    </row>
    <row r="748" spans="4:10">
      <c r="D748" t="s">
        <v>710</v>
      </c>
      <c r="E748" t="s">
        <v>698</v>
      </c>
      <c r="F748">
        <v>3656</v>
      </c>
      <c r="G748">
        <v>3659</v>
      </c>
      <c r="H748">
        <v>3654</v>
      </c>
      <c r="I748">
        <v>3658</v>
      </c>
      <c r="J748">
        <v>50400</v>
      </c>
    </row>
    <row r="749" spans="4:10">
      <c r="D749" t="s">
        <v>710</v>
      </c>
      <c r="E749" t="s">
        <v>699</v>
      </c>
      <c r="F749">
        <v>3658</v>
      </c>
      <c r="G749">
        <v>3658</v>
      </c>
      <c r="H749">
        <v>3645</v>
      </c>
      <c r="I749">
        <v>3647</v>
      </c>
      <c r="J749">
        <v>83500</v>
      </c>
    </row>
    <row r="750" spans="4:10">
      <c r="D750" t="s">
        <v>710</v>
      </c>
      <c r="E750" t="s">
        <v>700</v>
      </c>
      <c r="F750">
        <v>3646</v>
      </c>
      <c r="G750">
        <v>3658</v>
      </c>
      <c r="H750">
        <v>3646</v>
      </c>
      <c r="I750">
        <v>3654</v>
      </c>
      <c r="J750">
        <v>74700</v>
      </c>
    </row>
    <row r="751" spans="4:10">
      <c r="D751" t="s">
        <v>710</v>
      </c>
      <c r="E751" t="s">
        <v>633</v>
      </c>
      <c r="F751">
        <v>3654</v>
      </c>
      <c r="G751">
        <v>3657</v>
      </c>
      <c r="H751">
        <v>3650</v>
      </c>
      <c r="I751">
        <v>3655</v>
      </c>
      <c r="J751">
        <v>122700</v>
      </c>
    </row>
    <row r="752" spans="4:10">
      <c r="D752" t="s">
        <v>710</v>
      </c>
      <c r="E752" t="s">
        <v>634</v>
      </c>
      <c r="F752">
        <v>3655</v>
      </c>
      <c r="G752">
        <v>3655</v>
      </c>
      <c r="H752">
        <v>3644</v>
      </c>
      <c r="I752">
        <v>3645</v>
      </c>
      <c r="J752">
        <v>116500</v>
      </c>
    </row>
    <row r="753" spans="4:10">
      <c r="D753" t="s">
        <v>710</v>
      </c>
      <c r="E753" t="s">
        <v>635</v>
      </c>
      <c r="F753">
        <v>3645</v>
      </c>
      <c r="G753">
        <v>3649</v>
      </c>
      <c r="H753">
        <v>3641</v>
      </c>
      <c r="I753">
        <v>3649</v>
      </c>
      <c r="J753">
        <v>119000</v>
      </c>
    </row>
    <row r="754" spans="4:10">
      <c r="D754" t="s">
        <v>710</v>
      </c>
      <c r="E754" t="s">
        <v>614</v>
      </c>
      <c r="F754">
        <v>3648</v>
      </c>
      <c r="G754">
        <v>3651</v>
      </c>
      <c r="H754">
        <v>3641</v>
      </c>
      <c r="I754">
        <v>3648</v>
      </c>
      <c r="J754">
        <v>192300</v>
      </c>
    </row>
    <row r="755" spans="4:10">
      <c r="D755" t="s">
        <v>710</v>
      </c>
      <c r="E755" t="s">
        <v>636</v>
      </c>
      <c r="F755" t="s">
        <v>35</v>
      </c>
      <c r="G755" t="s">
        <v>35</v>
      </c>
      <c r="H755" t="s">
        <v>35</v>
      </c>
      <c r="I755" t="s">
        <v>35</v>
      </c>
      <c r="J755">
        <v>0</v>
      </c>
    </row>
    <row r="756" spans="4:10">
      <c r="D756" t="s">
        <v>710</v>
      </c>
      <c r="E756" t="s">
        <v>637</v>
      </c>
      <c r="F756">
        <v>3647</v>
      </c>
      <c r="G756">
        <v>3647</v>
      </c>
      <c r="H756">
        <v>3647</v>
      </c>
      <c r="I756">
        <v>3647</v>
      </c>
      <c r="J756">
        <v>765400</v>
      </c>
    </row>
    <row r="757" spans="4:10">
      <c r="D757" t="s">
        <v>711</v>
      </c>
      <c r="E757" t="s">
        <v>639</v>
      </c>
      <c r="F757">
        <v>3784</v>
      </c>
      <c r="G757">
        <v>3941</v>
      </c>
      <c r="H757">
        <v>3750</v>
      </c>
      <c r="I757">
        <v>3899</v>
      </c>
      <c r="J757">
        <v>1071700</v>
      </c>
    </row>
    <row r="758" spans="4:10">
      <c r="D758" t="s">
        <v>711</v>
      </c>
      <c r="E758" t="s">
        <v>640</v>
      </c>
      <c r="F758">
        <v>3898</v>
      </c>
      <c r="G758">
        <v>3931</v>
      </c>
      <c r="H758">
        <v>3853</v>
      </c>
      <c r="I758">
        <v>3894</v>
      </c>
      <c r="J758">
        <v>621600</v>
      </c>
    </row>
    <row r="759" spans="4:10">
      <c r="D759" t="s">
        <v>711</v>
      </c>
      <c r="E759" t="s">
        <v>641</v>
      </c>
      <c r="F759">
        <v>3892</v>
      </c>
      <c r="G759">
        <v>3917</v>
      </c>
      <c r="H759">
        <v>3867</v>
      </c>
      <c r="I759">
        <v>3895</v>
      </c>
      <c r="J759">
        <v>438500</v>
      </c>
    </row>
    <row r="760" spans="4:10">
      <c r="D760" t="s">
        <v>711</v>
      </c>
      <c r="E760" t="s">
        <v>642</v>
      </c>
      <c r="F760">
        <v>3896</v>
      </c>
      <c r="G760">
        <v>3913</v>
      </c>
      <c r="H760">
        <v>3855</v>
      </c>
      <c r="I760">
        <v>3877</v>
      </c>
      <c r="J760">
        <v>516300</v>
      </c>
    </row>
    <row r="761" spans="4:10">
      <c r="D761" t="s">
        <v>711</v>
      </c>
      <c r="E761" t="s">
        <v>643</v>
      </c>
      <c r="F761">
        <v>3877</v>
      </c>
      <c r="G761">
        <v>3959</v>
      </c>
      <c r="H761">
        <v>3857</v>
      </c>
      <c r="I761">
        <v>3955</v>
      </c>
      <c r="J761">
        <v>719900</v>
      </c>
    </row>
    <row r="762" spans="4:10">
      <c r="D762" t="s">
        <v>711</v>
      </c>
      <c r="E762" t="s">
        <v>644</v>
      </c>
      <c r="F762">
        <v>3954</v>
      </c>
      <c r="G762">
        <v>3955</v>
      </c>
      <c r="H762">
        <v>3871</v>
      </c>
      <c r="I762">
        <v>3873</v>
      </c>
      <c r="J762">
        <v>475000</v>
      </c>
    </row>
    <row r="763" spans="4:10">
      <c r="D763" t="s">
        <v>711</v>
      </c>
      <c r="E763" t="s">
        <v>645</v>
      </c>
      <c r="F763">
        <v>3874</v>
      </c>
      <c r="G763">
        <v>3904</v>
      </c>
      <c r="H763">
        <v>3837</v>
      </c>
      <c r="I763">
        <v>3854</v>
      </c>
      <c r="J763">
        <v>615700</v>
      </c>
    </row>
    <row r="764" spans="4:10">
      <c r="D764" t="s">
        <v>711</v>
      </c>
      <c r="E764" t="s">
        <v>646</v>
      </c>
      <c r="F764">
        <v>3852</v>
      </c>
      <c r="G764">
        <v>3862</v>
      </c>
      <c r="H764">
        <v>3814</v>
      </c>
      <c r="I764">
        <v>3821</v>
      </c>
      <c r="J764">
        <v>357000</v>
      </c>
    </row>
    <row r="765" spans="4:10">
      <c r="D765" t="s">
        <v>711</v>
      </c>
      <c r="E765" t="s">
        <v>647</v>
      </c>
      <c r="F765">
        <v>3822</v>
      </c>
      <c r="G765">
        <v>3850</v>
      </c>
      <c r="H765">
        <v>3815</v>
      </c>
      <c r="I765">
        <v>3844</v>
      </c>
      <c r="J765">
        <v>293900</v>
      </c>
    </row>
    <row r="766" spans="4:10">
      <c r="D766" t="s">
        <v>711</v>
      </c>
      <c r="E766" t="s">
        <v>648</v>
      </c>
      <c r="F766">
        <v>3843</v>
      </c>
      <c r="G766">
        <v>3848</v>
      </c>
      <c r="H766">
        <v>3817</v>
      </c>
      <c r="I766">
        <v>3827</v>
      </c>
      <c r="J766">
        <v>254100</v>
      </c>
    </row>
    <row r="767" spans="4:10">
      <c r="D767" t="s">
        <v>711</v>
      </c>
      <c r="E767" t="s">
        <v>649</v>
      </c>
      <c r="F767">
        <v>3827</v>
      </c>
      <c r="G767">
        <v>3834</v>
      </c>
      <c r="H767">
        <v>3811</v>
      </c>
      <c r="I767">
        <v>3818</v>
      </c>
      <c r="J767">
        <v>198100</v>
      </c>
    </row>
    <row r="768" spans="4:10">
      <c r="D768" t="s">
        <v>711</v>
      </c>
      <c r="E768" t="s">
        <v>650</v>
      </c>
      <c r="F768">
        <v>3817</v>
      </c>
      <c r="G768">
        <v>3864</v>
      </c>
      <c r="H768">
        <v>3804</v>
      </c>
      <c r="I768">
        <v>3842</v>
      </c>
      <c r="J768">
        <v>301400</v>
      </c>
    </row>
    <row r="769" spans="4:10">
      <c r="D769" t="s">
        <v>711</v>
      </c>
      <c r="E769" t="s">
        <v>651</v>
      </c>
      <c r="F769">
        <v>3842</v>
      </c>
      <c r="G769">
        <v>3864</v>
      </c>
      <c r="H769">
        <v>3828</v>
      </c>
      <c r="I769">
        <v>3829</v>
      </c>
      <c r="J769">
        <v>211500</v>
      </c>
    </row>
    <row r="770" spans="4:10">
      <c r="D770" t="s">
        <v>711</v>
      </c>
      <c r="E770" t="s">
        <v>652</v>
      </c>
      <c r="F770">
        <v>3829</v>
      </c>
      <c r="G770">
        <v>3867</v>
      </c>
      <c r="H770">
        <v>3824</v>
      </c>
      <c r="I770">
        <v>3860</v>
      </c>
      <c r="J770">
        <v>170400</v>
      </c>
    </row>
    <row r="771" spans="4:10">
      <c r="D771" t="s">
        <v>711</v>
      </c>
      <c r="E771" t="s">
        <v>653</v>
      </c>
      <c r="F771">
        <v>3859</v>
      </c>
      <c r="G771">
        <v>3928</v>
      </c>
      <c r="H771">
        <v>3856</v>
      </c>
      <c r="I771">
        <v>3896</v>
      </c>
      <c r="J771">
        <v>454200</v>
      </c>
    </row>
    <row r="772" spans="4:10">
      <c r="D772" t="s">
        <v>711</v>
      </c>
      <c r="E772" t="s">
        <v>654</v>
      </c>
      <c r="F772">
        <v>3895</v>
      </c>
      <c r="G772">
        <v>3895</v>
      </c>
      <c r="H772">
        <v>3864</v>
      </c>
      <c r="I772">
        <v>3884</v>
      </c>
      <c r="J772">
        <v>190800</v>
      </c>
    </row>
    <row r="773" spans="4:10">
      <c r="D773" t="s">
        <v>711</v>
      </c>
      <c r="E773" t="s">
        <v>655</v>
      </c>
      <c r="F773">
        <v>3886</v>
      </c>
      <c r="G773">
        <v>3891</v>
      </c>
      <c r="H773">
        <v>3847</v>
      </c>
      <c r="I773">
        <v>3855</v>
      </c>
      <c r="J773">
        <v>221400</v>
      </c>
    </row>
    <row r="774" spans="4:10">
      <c r="D774" t="s">
        <v>711</v>
      </c>
      <c r="E774" t="s">
        <v>656</v>
      </c>
      <c r="F774">
        <v>3856</v>
      </c>
      <c r="G774">
        <v>3866</v>
      </c>
      <c r="H774">
        <v>3843</v>
      </c>
      <c r="I774">
        <v>3855</v>
      </c>
      <c r="J774">
        <v>149200</v>
      </c>
    </row>
    <row r="775" spans="4:10">
      <c r="D775" t="s">
        <v>711</v>
      </c>
      <c r="E775" t="s">
        <v>657</v>
      </c>
      <c r="F775">
        <v>3854</v>
      </c>
      <c r="G775">
        <v>3857</v>
      </c>
      <c r="H775">
        <v>3838</v>
      </c>
      <c r="I775">
        <v>3850</v>
      </c>
      <c r="J775">
        <v>123500</v>
      </c>
    </row>
    <row r="776" spans="4:10">
      <c r="D776" t="s">
        <v>711</v>
      </c>
      <c r="E776" t="s">
        <v>658</v>
      </c>
      <c r="F776">
        <v>3851</v>
      </c>
      <c r="G776">
        <v>3875</v>
      </c>
      <c r="H776">
        <v>3841</v>
      </c>
      <c r="I776">
        <v>3869</v>
      </c>
      <c r="J776">
        <v>149500</v>
      </c>
    </row>
    <row r="777" spans="4:10">
      <c r="D777" t="s">
        <v>711</v>
      </c>
      <c r="E777" t="s">
        <v>659</v>
      </c>
      <c r="F777">
        <v>3869</v>
      </c>
      <c r="G777">
        <v>3882</v>
      </c>
      <c r="H777">
        <v>3851</v>
      </c>
      <c r="I777">
        <v>3877</v>
      </c>
      <c r="J777">
        <v>145400</v>
      </c>
    </row>
    <row r="778" spans="4:10">
      <c r="D778" t="s">
        <v>711</v>
      </c>
      <c r="E778" t="s">
        <v>660</v>
      </c>
      <c r="F778">
        <v>3878</v>
      </c>
      <c r="G778">
        <v>3918</v>
      </c>
      <c r="H778">
        <v>3878</v>
      </c>
      <c r="I778">
        <v>3911</v>
      </c>
      <c r="J778">
        <v>287700</v>
      </c>
    </row>
    <row r="779" spans="4:10">
      <c r="D779" t="s">
        <v>711</v>
      </c>
      <c r="E779" t="s">
        <v>661</v>
      </c>
      <c r="F779">
        <v>3910</v>
      </c>
      <c r="G779">
        <v>3931</v>
      </c>
      <c r="H779">
        <v>3910</v>
      </c>
      <c r="I779">
        <v>3929</v>
      </c>
      <c r="J779">
        <v>169000</v>
      </c>
    </row>
    <row r="780" spans="4:10">
      <c r="D780" t="s">
        <v>711</v>
      </c>
      <c r="E780" t="s">
        <v>662</v>
      </c>
      <c r="F780">
        <v>3929</v>
      </c>
      <c r="G780">
        <v>3940</v>
      </c>
      <c r="H780">
        <v>3916</v>
      </c>
      <c r="I780">
        <v>3917</v>
      </c>
      <c r="J780">
        <v>174700</v>
      </c>
    </row>
    <row r="781" spans="4:10">
      <c r="D781" t="s">
        <v>711</v>
      </c>
      <c r="E781" t="s">
        <v>663</v>
      </c>
      <c r="F781">
        <v>3919</v>
      </c>
      <c r="G781">
        <v>3937</v>
      </c>
      <c r="H781">
        <v>3912</v>
      </c>
      <c r="I781">
        <v>3926</v>
      </c>
      <c r="J781">
        <v>135900</v>
      </c>
    </row>
    <row r="782" spans="4:10">
      <c r="D782" t="s">
        <v>711</v>
      </c>
      <c r="E782" t="s">
        <v>664</v>
      </c>
      <c r="F782">
        <v>3927</v>
      </c>
      <c r="G782">
        <v>3932</v>
      </c>
      <c r="H782">
        <v>3912</v>
      </c>
      <c r="I782">
        <v>3917</v>
      </c>
      <c r="J782">
        <v>85900</v>
      </c>
    </row>
    <row r="783" spans="4:10">
      <c r="D783" t="s">
        <v>711</v>
      </c>
      <c r="E783" t="s">
        <v>665</v>
      </c>
      <c r="F783">
        <v>3917</v>
      </c>
      <c r="G783">
        <v>3930</v>
      </c>
      <c r="H783">
        <v>3913</v>
      </c>
      <c r="I783">
        <v>3917</v>
      </c>
      <c r="J783">
        <v>92400</v>
      </c>
    </row>
    <row r="784" spans="4:10">
      <c r="D784" t="s">
        <v>711</v>
      </c>
      <c r="E784" t="s">
        <v>666</v>
      </c>
      <c r="F784">
        <v>3916</v>
      </c>
      <c r="G784">
        <v>3926</v>
      </c>
      <c r="H784">
        <v>3913</v>
      </c>
      <c r="I784">
        <v>3921</v>
      </c>
      <c r="J784">
        <v>77100</v>
      </c>
    </row>
    <row r="785" spans="4:10">
      <c r="D785" t="s">
        <v>711</v>
      </c>
      <c r="E785" t="s">
        <v>667</v>
      </c>
      <c r="F785">
        <v>3920</v>
      </c>
      <c r="G785">
        <v>3926</v>
      </c>
      <c r="H785">
        <v>3911</v>
      </c>
      <c r="I785">
        <v>3916</v>
      </c>
      <c r="J785">
        <v>75400</v>
      </c>
    </row>
    <row r="786" spans="4:10">
      <c r="D786" t="s">
        <v>711</v>
      </c>
      <c r="E786" t="s">
        <v>668</v>
      </c>
      <c r="F786">
        <v>3915</v>
      </c>
      <c r="G786">
        <v>3918</v>
      </c>
      <c r="H786">
        <v>3903</v>
      </c>
      <c r="I786">
        <v>3910</v>
      </c>
      <c r="J786">
        <v>98600</v>
      </c>
    </row>
    <row r="787" spans="4:10">
      <c r="D787" t="s">
        <v>711</v>
      </c>
      <c r="E787" t="s">
        <v>669</v>
      </c>
      <c r="F787">
        <v>3911</v>
      </c>
      <c r="G787">
        <v>3911</v>
      </c>
      <c r="H787">
        <v>3911</v>
      </c>
      <c r="I787">
        <v>3911</v>
      </c>
      <c r="J787">
        <v>11500</v>
      </c>
    </row>
    <row r="788" spans="4:10">
      <c r="D788" t="s">
        <v>711</v>
      </c>
      <c r="E788" t="s">
        <v>670</v>
      </c>
      <c r="F788">
        <v>3907</v>
      </c>
      <c r="G788">
        <v>3925</v>
      </c>
      <c r="H788">
        <v>3854</v>
      </c>
      <c r="I788">
        <v>3867</v>
      </c>
      <c r="J788">
        <v>398500</v>
      </c>
    </row>
    <row r="789" spans="4:10">
      <c r="D789" t="s">
        <v>711</v>
      </c>
      <c r="E789" t="s">
        <v>671</v>
      </c>
      <c r="F789">
        <v>3864</v>
      </c>
      <c r="G789">
        <v>3877</v>
      </c>
      <c r="H789">
        <v>3861</v>
      </c>
      <c r="I789">
        <v>3874</v>
      </c>
      <c r="J789">
        <v>107800</v>
      </c>
    </row>
    <row r="790" spans="4:10">
      <c r="D790" t="s">
        <v>711</v>
      </c>
      <c r="E790" t="s">
        <v>672</v>
      </c>
      <c r="F790">
        <v>3874</v>
      </c>
      <c r="G790">
        <v>3892</v>
      </c>
      <c r="H790">
        <v>3859</v>
      </c>
      <c r="I790">
        <v>3861</v>
      </c>
      <c r="J790">
        <v>268900</v>
      </c>
    </row>
    <row r="791" spans="4:10">
      <c r="D791" t="s">
        <v>711</v>
      </c>
      <c r="E791" t="s">
        <v>673</v>
      </c>
      <c r="F791">
        <v>3862</v>
      </c>
      <c r="G791">
        <v>3872</v>
      </c>
      <c r="H791">
        <v>3835</v>
      </c>
      <c r="I791">
        <v>3838</v>
      </c>
      <c r="J791">
        <v>317400</v>
      </c>
    </row>
    <row r="792" spans="4:10">
      <c r="D792" t="s">
        <v>711</v>
      </c>
      <c r="E792" t="s">
        <v>674</v>
      </c>
      <c r="F792">
        <v>3837</v>
      </c>
      <c r="G792">
        <v>3864</v>
      </c>
      <c r="H792">
        <v>3835</v>
      </c>
      <c r="I792">
        <v>3864</v>
      </c>
      <c r="J792">
        <v>143100</v>
      </c>
    </row>
    <row r="793" spans="4:10">
      <c r="D793" t="s">
        <v>711</v>
      </c>
      <c r="E793" t="s">
        <v>675</v>
      </c>
      <c r="F793">
        <v>3864</v>
      </c>
      <c r="G793">
        <v>3865</v>
      </c>
      <c r="H793">
        <v>3827</v>
      </c>
      <c r="I793">
        <v>3832</v>
      </c>
      <c r="J793">
        <v>130500</v>
      </c>
    </row>
    <row r="794" spans="4:10">
      <c r="D794" t="s">
        <v>711</v>
      </c>
      <c r="E794" t="s">
        <v>676</v>
      </c>
      <c r="F794">
        <v>3832</v>
      </c>
      <c r="G794">
        <v>3852</v>
      </c>
      <c r="H794">
        <v>3827</v>
      </c>
      <c r="I794">
        <v>3834</v>
      </c>
      <c r="J794">
        <v>179600</v>
      </c>
    </row>
    <row r="795" spans="4:10">
      <c r="D795" t="s">
        <v>711</v>
      </c>
      <c r="E795" t="s">
        <v>677</v>
      </c>
      <c r="F795">
        <v>3835</v>
      </c>
      <c r="G795">
        <v>3845</v>
      </c>
      <c r="H795">
        <v>3835</v>
      </c>
      <c r="I795">
        <v>3844</v>
      </c>
      <c r="J795">
        <v>75300</v>
      </c>
    </row>
    <row r="796" spans="4:10">
      <c r="D796" t="s">
        <v>711</v>
      </c>
      <c r="E796" t="s">
        <v>678</v>
      </c>
      <c r="F796">
        <v>3845</v>
      </c>
      <c r="G796">
        <v>3848</v>
      </c>
      <c r="H796">
        <v>3833</v>
      </c>
      <c r="I796">
        <v>3835</v>
      </c>
      <c r="J796">
        <v>107400</v>
      </c>
    </row>
    <row r="797" spans="4:10">
      <c r="D797" t="s">
        <v>711</v>
      </c>
      <c r="E797" t="s">
        <v>679</v>
      </c>
      <c r="F797">
        <v>3835</v>
      </c>
      <c r="G797">
        <v>3843</v>
      </c>
      <c r="H797">
        <v>3831</v>
      </c>
      <c r="I797">
        <v>3838</v>
      </c>
      <c r="J797">
        <v>109400</v>
      </c>
    </row>
    <row r="798" spans="4:10">
      <c r="D798" t="s">
        <v>711</v>
      </c>
      <c r="E798" t="s">
        <v>680</v>
      </c>
      <c r="F798">
        <v>3838</v>
      </c>
      <c r="G798">
        <v>3841</v>
      </c>
      <c r="H798">
        <v>3830</v>
      </c>
      <c r="I798">
        <v>3836</v>
      </c>
      <c r="J798">
        <v>79000</v>
      </c>
    </row>
    <row r="799" spans="4:10">
      <c r="D799" t="s">
        <v>711</v>
      </c>
      <c r="E799" t="s">
        <v>681</v>
      </c>
      <c r="F799">
        <v>3836</v>
      </c>
      <c r="G799">
        <v>3867</v>
      </c>
      <c r="H799">
        <v>3836</v>
      </c>
      <c r="I799">
        <v>3862</v>
      </c>
      <c r="J799">
        <v>190500</v>
      </c>
    </row>
    <row r="800" spans="4:10">
      <c r="D800" t="s">
        <v>711</v>
      </c>
      <c r="E800" t="s">
        <v>682</v>
      </c>
      <c r="F800">
        <v>3863</v>
      </c>
      <c r="G800">
        <v>3875</v>
      </c>
      <c r="H800">
        <v>3857</v>
      </c>
      <c r="I800">
        <v>3871</v>
      </c>
      <c r="J800">
        <v>110800</v>
      </c>
    </row>
    <row r="801" spans="4:10">
      <c r="D801" t="s">
        <v>711</v>
      </c>
      <c r="E801" t="s">
        <v>683</v>
      </c>
      <c r="F801">
        <v>3871</v>
      </c>
      <c r="G801">
        <v>3922</v>
      </c>
      <c r="H801">
        <v>3870</v>
      </c>
      <c r="I801">
        <v>3916</v>
      </c>
      <c r="J801">
        <v>319500</v>
      </c>
    </row>
    <row r="802" spans="4:10">
      <c r="D802" t="s">
        <v>711</v>
      </c>
      <c r="E802" t="s">
        <v>684</v>
      </c>
      <c r="F802">
        <v>3916</v>
      </c>
      <c r="G802">
        <v>3919</v>
      </c>
      <c r="H802">
        <v>3908</v>
      </c>
      <c r="I802">
        <v>3913</v>
      </c>
      <c r="J802">
        <v>176400</v>
      </c>
    </row>
    <row r="803" spans="4:10">
      <c r="D803" t="s">
        <v>711</v>
      </c>
      <c r="E803" t="s">
        <v>685</v>
      </c>
      <c r="F803">
        <v>3913</v>
      </c>
      <c r="G803">
        <v>3913</v>
      </c>
      <c r="H803">
        <v>3892</v>
      </c>
      <c r="I803">
        <v>3903</v>
      </c>
      <c r="J803">
        <v>172200</v>
      </c>
    </row>
    <row r="804" spans="4:10">
      <c r="D804" t="s">
        <v>711</v>
      </c>
      <c r="E804" t="s">
        <v>686</v>
      </c>
      <c r="F804">
        <v>3903</v>
      </c>
      <c r="G804">
        <v>3908</v>
      </c>
      <c r="H804">
        <v>3894</v>
      </c>
      <c r="I804">
        <v>3905</v>
      </c>
      <c r="J804">
        <v>93600</v>
      </c>
    </row>
    <row r="805" spans="4:10">
      <c r="D805" t="s">
        <v>711</v>
      </c>
      <c r="E805" t="s">
        <v>687</v>
      </c>
      <c r="F805">
        <v>3905</v>
      </c>
      <c r="G805">
        <v>3906</v>
      </c>
      <c r="H805">
        <v>3894</v>
      </c>
      <c r="I805">
        <v>3898</v>
      </c>
      <c r="J805">
        <v>76500</v>
      </c>
    </row>
    <row r="806" spans="4:10">
      <c r="D806" t="s">
        <v>711</v>
      </c>
      <c r="E806" t="s">
        <v>688</v>
      </c>
      <c r="F806">
        <v>3898</v>
      </c>
      <c r="G806">
        <v>3904</v>
      </c>
      <c r="H806">
        <v>3881</v>
      </c>
      <c r="I806">
        <v>3900</v>
      </c>
      <c r="J806">
        <v>141800</v>
      </c>
    </row>
    <row r="807" spans="4:10">
      <c r="D807" t="s">
        <v>711</v>
      </c>
      <c r="E807" t="s">
        <v>689</v>
      </c>
      <c r="F807">
        <v>3899</v>
      </c>
      <c r="G807">
        <v>3908</v>
      </c>
      <c r="H807">
        <v>3893</v>
      </c>
      <c r="I807">
        <v>3906</v>
      </c>
      <c r="J807">
        <v>102300</v>
      </c>
    </row>
    <row r="808" spans="4:10">
      <c r="D808" t="s">
        <v>711</v>
      </c>
      <c r="E808" t="s">
        <v>690</v>
      </c>
      <c r="F808">
        <v>3907</v>
      </c>
      <c r="G808">
        <v>3910</v>
      </c>
      <c r="H808">
        <v>3902</v>
      </c>
      <c r="I808">
        <v>3908</v>
      </c>
      <c r="J808">
        <v>54400</v>
      </c>
    </row>
    <row r="809" spans="4:10">
      <c r="D809" t="s">
        <v>711</v>
      </c>
      <c r="E809" t="s">
        <v>691</v>
      </c>
      <c r="F809">
        <v>3907</v>
      </c>
      <c r="G809">
        <v>3910</v>
      </c>
      <c r="H809">
        <v>3900</v>
      </c>
      <c r="I809">
        <v>3902</v>
      </c>
      <c r="J809">
        <v>60100</v>
      </c>
    </row>
    <row r="810" spans="4:10">
      <c r="D810" t="s">
        <v>711</v>
      </c>
      <c r="E810" t="s">
        <v>692</v>
      </c>
      <c r="F810">
        <v>3901</v>
      </c>
      <c r="G810">
        <v>3902</v>
      </c>
      <c r="H810">
        <v>3893</v>
      </c>
      <c r="I810">
        <v>3900</v>
      </c>
      <c r="J810">
        <v>166000</v>
      </c>
    </row>
    <row r="811" spans="4:10">
      <c r="D811" t="s">
        <v>711</v>
      </c>
      <c r="E811" t="s">
        <v>693</v>
      </c>
      <c r="F811">
        <v>3900</v>
      </c>
      <c r="G811">
        <v>3901</v>
      </c>
      <c r="H811">
        <v>3881</v>
      </c>
      <c r="I811">
        <v>3887</v>
      </c>
      <c r="J811">
        <v>139500</v>
      </c>
    </row>
    <row r="812" spans="4:10">
      <c r="D812" t="s">
        <v>711</v>
      </c>
      <c r="E812" t="s">
        <v>694</v>
      </c>
      <c r="F812">
        <v>3886</v>
      </c>
      <c r="G812">
        <v>3892</v>
      </c>
      <c r="H812">
        <v>3881</v>
      </c>
      <c r="I812">
        <v>3886</v>
      </c>
      <c r="J812">
        <v>113500</v>
      </c>
    </row>
    <row r="813" spans="4:10">
      <c r="D813" t="s">
        <v>711</v>
      </c>
      <c r="E813" t="s">
        <v>695</v>
      </c>
      <c r="F813">
        <v>3886</v>
      </c>
      <c r="G813">
        <v>3897</v>
      </c>
      <c r="H813">
        <v>3876</v>
      </c>
      <c r="I813">
        <v>3882</v>
      </c>
      <c r="J813">
        <v>158300</v>
      </c>
    </row>
    <row r="814" spans="4:10">
      <c r="D814" t="s">
        <v>711</v>
      </c>
      <c r="E814" t="s">
        <v>696</v>
      </c>
      <c r="F814">
        <v>3881</v>
      </c>
      <c r="G814">
        <v>3888</v>
      </c>
      <c r="H814">
        <v>3872</v>
      </c>
      <c r="I814">
        <v>3885</v>
      </c>
      <c r="J814">
        <v>123900</v>
      </c>
    </row>
    <row r="815" spans="4:10">
      <c r="D815" t="s">
        <v>711</v>
      </c>
      <c r="E815" t="s">
        <v>697</v>
      </c>
      <c r="F815">
        <v>3884</v>
      </c>
      <c r="G815">
        <v>3884</v>
      </c>
      <c r="H815">
        <v>3869</v>
      </c>
      <c r="I815">
        <v>3875</v>
      </c>
      <c r="J815">
        <v>143700</v>
      </c>
    </row>
    <row r="816" spans="4:10">
      <c r="D816" t="s">
        <v>711</v>
      </c>
      <c r="E816" t="s">
        <v>698</v>
      </c>
      <c r="F816">
        <v>3874</v>
      </c>
      <c r="G816">
        <v>3874</v>
      </c>
      <c r="H816">
        <v>3844</v>
      </c>
      <c r="I816">
        <v>3845</v>
      </c>
      <c r="J816">
        <v>162600</v>
      </c>
    </row>
    <row r="817" spans="4:10">
      <c r="D817" t="s">
        <v>711</v>
      </c>
      <c r="E817" t="s">
        <v>699</v>
      </c>
      <c r="F817">
        <v>3845</v>
      </c>
      <c r="G817">
        <v>3858</v>
      </c>
      <c r="H817">
        <v>3837</v>
      </c>
      <c r="I817">
        <v>3842</v>
      </c>
      <c r="J817">
        <v>150700</v>
      </c>
    </row>
    <row r="818" spans="4:10">
      <c r="D818" t="s">
        <v>711</v>
      </c>
      <c r="E818" t="s">
        <v>700</v>
      </c>
      <c r="F818">
        <v>3842</v>
      </c>
      <c r="G818">
        <v>3847</v>
      </c>
      <c r="H818">
        <v>3820</v>
      </c>
      <c r="I818">
        <v>3824</v>
      </c>
      <c r="J818">
        <v>193800</v>
      </c>
    </row>
    <row r="819" spans="4:10">
      <c r="D819" t="s">
        <v>711</v>
      </c>
      <c r="E819" t="s">
        <v>633</v>
      </c>
      <c r="F819">
        <v>3824</v>
      </c>
      <c r="G819">
        <v>3827</v>
      </c>
      <c r="H819">
        <v>3812</v>
      </c>
      <c r="I819">
        <v>3827</v>
      </c>
      <c r="J819">
        <v>173400</v>
      </c>
    </row>
    <row r="820" spans="4:10">
      <c r="D820" t="s">
        <v>711</v>
      </c>
      <c r="E820" t="s">
        <v>634</v>
      </c>
      <c r="F820">
        <v>3826</v>
      </c>
      <c r="G820">
        <v>3829</v>
      </c>
      <c r="H820">
        <v>3818</v>
      </c>
      <c r="I820">
        <v>3822</v>
      </c>
      <c r="J820">
        <v>119700</v>
      </c>
    </row>
    <row r="821" spans="4:10">
      <c r="D821" t="s">
        <v>711</v>
      </c>
      <c r="E821" t="s">
        <v>635</v>
      </c>
      <c r="F821">
        <v>3821</v>
      </c>
      <c r="G821">
        <v>3843</v>
      </c>
      <c r="H821">
        <v>3817</v>
      </c>
      <c r="I821">
        <v>3842</v>
      </c>
      <c r="J821">
        <v>167100</v>
      </c>
    </row>
    <row r="822" spans="4:10">
      <c r="D822" t="s">
        <v>711</v>
      </c>
      <c r="E822" t="s">
        <v>614</v>
      </c>
      <c r="F822">
        <v>3843</v>
      </c>
      <c r="G822">
        <v>3850</v>
      </c>
      <c r="H822">
        <v>3832</v>
      </c>
      <c r="I822">
        <v>3849</v>
      </c>
      <c r="J822">
        <v>202900</v>
      </c>
    </row>
    <row r="823" spans="4:10">
      <c r="D823" t="s">
        <v>711</v>
      </c>
      <c r="E823" t="s">
        <v>636</v>
      </c>
      <c r="F823" t="s">
        <v>35</v>
      </c>
      <c r="G823" t="s">
        <v>35</v>
      </c>
      <c r="H823" t="s">
        <v>35</v>
      </c>
      <c r="I823" t="s">
        <v>35</v>
      </c>
      <c r="J823">
        <v>0</v>
      </c>
    </row>
    <row r="824" spans="4:10">
      <c r="D824" t="s">
        <v>711</v>
      </c>
      <c r="E824" t="s">
        <v>637</v>
      </c>
      <c r="F824">
        <v>3846</v>
      </c>
      <c r="G824">
        <v>3846</v>
      </c>
      <c r="H824">
        <v>3846</v>
      </c>
      <c r="I824">
        <v>3846</v>
      </c>
      <c r="J824">
        <v>646600</v>
      </c>
    </row>
    <row r="825" spans="4:10">
      <c r="D825" t="s">
        <v>200</v>
      </c>
      <c r="E825" t="s">
        <v>639</v>
      </c>
      <c r="F825" t="s">
        <v>35</v>
      </c>
      <c r="G825" t="s">
        <v>35</v>
      </c>
      <c r="H825" t="s">
        <v>35</v>
      </c>
      <c r="I825" t="s">
        <v>35</v>
      </c>
      <c r="J825">
        <v>0</v>
      </c>
    </row>
    <row r="826" spans="4:10">
      <c r="D826" t="s">
        <v>200</v>
      </c>
      <c r="E826" t="s">
        <v>640</v>
      </c>
      <c r="F826">
        <v>4012</v>
      </c>
      <c r="G826">
        <v>4167</v>
      </c>
      <c r="H826">
        <v>3970</v>
      </c>
      <c r="I826">
        <v>4113</v>
      </c>
      <c r="J826">
        <v>2266300</v>
      </c>
    </row>
    <row r="827" spans="4:10">
      <c r="D827" t="s">
        <v>200</v>
      </c>
      <c r="E827" t="s">
        <v>641</v>
      </c>
      <c r="F827">
        <v>4113</v>
      </c>
      <c r="G827">
        <v>4187</v>
      </c>
      <c r="H827">
        <v>4105</v>
      </c>
      <c r="I827">
        <v>4151</v>
      </c>
      <c r="J827">
        <v>1199200</v>
      </c>
    </row>
    <row r="828" spans="4:10">
      <c r="D828" t="s">
        <v>200</v>
      </c>
      <c r="E828" t="s">
        <v>642</v>
      </c>
      <c r="F828">
        <v>4152</v>
      </c>
      <c r="G828">
        <v>4245</v>
      </c>
      <c r="H828">
        <v>4085</v>
      </c>
      <c r="I828">
        <v>4147</v>
      </c>
      <c r="J828">
        <v>1530100</v>
      </c>
    </row>
    <row r="829" spans="4:10">
      <c r="D829" t="s">
        <v>200</v>
      </c>
      <c r="E829" t="s">
        <v>643</v>
      </c>
      <c r="F829">
        <v>4148</v>
      </c>
      <c r="G829">
        <v>4184</v>
      </c>
      <c r="H829">
        <v>4112</v>
      </c>
      <c r="I829">
        <v>4126</v>
      </c>
      <c r="J829">
        <v>663600</v>
      </c>
    </row>
    <row r="830" spans="4:10">
      <c r="D830" t="s">
        <v>200</v>
      </c>
      <c r="E830" t="s">
        <v>644</v>
      </c>
      <c r="F830">
        <v>4125</v>
      </c>
      <c r="G830">
        <v>4179</v>
      </c>
      <c r="H830">
        <v>4123</v>
      </c>
      <c r="I830">
        <v>4142</v>
      </c>
      <c r="J830">
        <v>513900</v>
      </c>
    </row>
    <row r="831" spans="4:10">
      <c r="D831" t="s">
        <v>200</v>
      </c>
      <c r="E831" t="s">
        <v>645</v>
      </c>
      <c r="F831">
        <v>4144</v>
      </c>
      <c r="G831">
        <v>4145</v>
      </c>
      <c r="H831">
        <v>4033</v>
      </c>
      <c r="I831">
        <v>4070</v>
      </c>
      <c r="J831">
        <v>693100</v>
      </c>
    </row>
    <row r="832" spans="4:10">
      <c r="D832" t="s">
        <v>200</v>
      </c>
      <c r="E832" t="s">
        <v>646</v>
      </c>
      <c r="F832">
        <v>4072</v>
      </c>
      <c r="G832">
        <v>4088</v>
      </c>
      <c r="H832">
        <v>4041</v>
      </c>
      <c r="I832">
        <v>4081</v>
      </c>
      <c r="J832">
        <v>359500</v>
      </c>
    </row>
    <row r="833" spans="4:10">
      <c r="D833" t="s">
        <v>200</v>
      </c>
      <c r="E833" t="s">
        <v>647</v>
      </c>
      <c r="F833">
        <v>4082</v>
      </c>
      <c r="G833">
        <v>4084</v>
      </c>
      <c r="H833">
        <v>4025</v>
      </c>
      <c r="I833">
        <v>4041</v>
      </c>
      <c r="J833">
        <v>457400</v>
      </c>
    </row>
    <row r="834" spans="4:10">
      <c r="D834" t="s">
        <v>200</v>
      </c>
      <c r="E834" t="s">
        <v>648</v>
      </c>
      <c r="F834">
        <v>4042</v>
      </c>
      <c r="G834">
        <v>4059</v>
      </c>
      <c r="H834">
        <v>4018</v>
      </c>
      <c r="I834">
        <v>4042</v>
      </c>
      <c r="J834">
        <v>475300</v>
      </c>
    </row>
    <row r="835" spans="4:10">
      <c r="D835" t="s">
        <v>200</v>
      </c>
      <c r="E835" t="s">
        <v>649</v>
      </c>
      <c r="F835">
        <v>4041</v>
      </c>
      <c r="G835">
        <v>4071</v>
      </c>
      <c r="H835">
        <v>4025</v>
      </c>
      <c r="I835">
        <v>4035</v>
      </c>
      <c r="J835">
        <v>352200</v>
      </c>
    </row>
    <row r="836" spans="4:10">
      <c r="D836" t="s">
        <v>200</v>
      </c>
      <c r="E836" t="s">
        <v>650</v>
      </c>
      <c r="F836">
        <v>4035</v>
      </c>
      <c r="G836">
        <v>4035</v>
      </c>
      <c r="H836">
        <v>3994</v>
      </c>
      <c r="I836">
        <v>4022</v>
      </c>
      <c r="J836">
        <v>399600</v>
      </c>
    </row>
    <row r="837" spans="4:10">
      <c r="D837" t="s">
        <v>200</v>
      </c>
      <c r="E837" t="s">
        <v>651</v>
      </c>
      <c r="F837">
        <v>4019</v>
      </c>
      <c r="G837">
        <v>4021</v>
      </c>
      <c r="H837">
        <v>3975</v>
      </c>
      <c r="I837">
        <v>3980</v>
      </c>
      <c r="J837">
        <v>368800</v>
      </c>
    </row>
    <row r="838" spans="4:10">
      <c r="D838" t="s">
        <v>200</v>
      </c>
      <c r="E838" t="s">
        <v>652</v>
      </c>
      <c r="F838">
        <v>3979</v>
      </c>
      <c r="G838">
        <v>4008</v>
      </c>
      <c r="H838">
        <v>3975</v>
      </c>
      <c r="I838">
        <v>3989</v>
      </c>
      <c r="J838">
        <v>312300</v>
      </c>
    </row>
    <row r="839" spans="4:10">
      <c r="D839" t="s">
        <v>200</v>
      </c>
      <c r="E839" t="s">
        <v>653</v>
      </c>
      <c r="F839">
        <v>3989</v>
      </c>
      <c r="G839">
        <v>3989</v>
      </c>
      <c r="H839">
        <v>3925</v>
      </c>
      <c r="I839">
        <v>3937</v>
      </c>
      <c r="J839">
        <v>356500</v>
      </c>
    </row>
    <row r="840" spans="4:10">
      <c r="D840" t="s">
        <v>200</v>
      </c>
      <c r="E840" t="s">
        <v>654</v>
      </c>
      <c r="F840">
        <v>3938</v>
      </c>
      <c r="G840">
        <v>3954</v>
      </c>
      <c r="H840">
        <v>3923</v>
      </c>
      <c r="I840">
        <v>3946</v>
      </c>
      <c r="J840">
        <v>290800</v>
      </c>
    </row>
    <row r="841" spans="4:10">
      <c r="D841" t="s">
        <v>200</v>
      </c>
      <c r="E841" t="s">
        <v>655</v>
      </c>
      <c r="F841">
        <v>3947</v>
      </c>
      <c r="G841">
        <v>3990</v>
      </c>
      <c r="H841">
        <v>3929</v>
      </c>
      <c r="I841">
        <v>3973</v>
      </c>
      <c r="J841">
        <v>421600</v>
      </c>
    </row>
    <row r="842" spans="4:10">
      <c r="D842" t="s">
        <v>200</v>
      </c>
      <c r="E842" t="s">
        <v>656</v>
      </c>
      <c r="F842">
        <v>3972</v>
      </c>
      <c r="G842">
        <v>3973</v>
      </c>
      <c r="H842">
        <v>3940</v>
      </c>
      <c r="I842">
        <v>3959</v>
      </c>
      <c r="J842">
        <v>329900</v>
      </c>
    </row>
    <row r="843" spans="4:10">
      <c r="D843" t="s">
        <v>200</v>
      </c>
      <c r="E843" t="s">
        <v>657</v>
      </c>
      <c r="F843">
        <v>3959</v>
      </c>
      <c r="G843">
        <v>3970</v>
      </c>
      <c r="H843">
        <v>3938</v>
      </c>
      <c r="I843">
        <v>3946</v>
      </c>
      <c r="J843">
        <v>294100</v>
      </c>
    </row>
    <row r="844" spans="4:10">
      <c r="D844" t="s">
        <v>200</v>
      </c>
      <c r="E844" t="s">
        <v>658</v>
      </c>
      <c r="F844">
        <v>3947</v>
      </c>
      <c r="G844">
        <v>3980</v>
      </c>
      <c r="H844">
        <v>3947</v>
      </c>
      <c r="I844">
        <v>3962</v>
      </c>
      <c r="J844">
        <v>233900</v>
      </c>
    </row>
    <row r="845" spans="4:10">
      <c r="D845" t="s">
        <v>200</v>
      </c>
      <c r="E845" t="s">
        <v>659</v>
      </c>
      <c r="F845">
        <v>3962</v>
      </c>
      <c r="G845">
        <v>3982</v>
      </c>
      <c r="H845">
        <v>3939</v>
      </c>
      <c r="I845">
        <v>3952</v>
      </c>
      <c r="J845">
        <v>206800</v>
      </c>
    </row>
    <row r="846" spans="4:10">
      <c r="D846" t="s">
        <v>200</v>
      </c>
      <c r="E846" t="s">
        <v>660</v>
      </c>
      <c r="F846">
        <v>3952</v>
      </c>
      <c r="G846">
        <v>3952</v>
      </c>
      <c r="H846">
        <v>3933</v>
      </c>
      <c r="I846">
        <v>3933</v>
      </c>
      <c r="J846">
        <v>141300</v>
      </c>
    </row>
    <row r="847" spans="4:10">
      <c r="D847" t="s">
        <v>200</v>
      </c>
      <c r="E847" t="s">
        <v>661</v>
      </c>
      <c r="F847">
        <v>3933</v>
      </c>
      <c r="G847">
        <v>3944</v>
      </c>
      <c r="H847">
        <v>3924</v>
      </c>
      <c r="I847">
        <v>3924</v>
      </c>
      <c r="J847">
        <v>133600</v>
      </c>
    </row>
    <row r="848" spans="4:10">
      <c r="D848" t="s">
        <v>200</v>
      </c>
      <c r="E848" t="s">
        <v>662</v>
      </c>
      <c r="F848">
        <v>3923</v>
      </c>
      <c r="G848">
        <v>3938</v>
      </c>
      <c r="H848">
        <v>3922</v>
      </c>
      <c r="I848">
        <v>3936</v>
      </c>
      <c r="J848">
        <v>131600</v>
      </c>
    </row>
    <row r="849" spans="4:10">
      <c r="D849" t="s">
        <v>200</v>
      </c>
      <c r="E849" t="s">
        <v>663</v>
      </c>
      <c r="F849">
        <v>3936</v>
      </c>
      <c r="G849">
        <v>3944</v>
      </c>
      <c r="H849">
        <v>3917</v>
      </c>
      <c r="I849">
        <v>3932</v>
      </c>
      <c r="J849">
        <v>166500</v>
      </c>
    </row>
    <row r="850" spans="4:10">
      <c r="D850" t="s">
        <v>200</v>
      </c>
      <c r="E850" t="s">
        <v>664</v>
      </c>
      <c r="F850">
        <v>3932</v>
      </c>
      <c r="G850">
        <v>3958</v>
      </c>
      <c r="H850">
        <v>3927</v>
      </c>
      <c r="I850">
        <v>3943</v>
      </c>
      <c r="J850">
        <v>168400</v>
      </c>
    </row>
    <row r="851" spans="4:10">
      <c r="D851" t="s">
        <v>200</v>
      </c>
      <c r="E851" t="s">
        <v>665</v>
      </c>
      <c r="F851">
        <v>3942</v>
      </c>
      <c r="G851">
        <v>3954</v>
      </c>
      <c r="H851">
        <v>3938</v>
      </c>
      <c r="I851">
        <v>3947</v>
      </c>
      <c r="J851">
        <v>106900</v>
      </c>
    </row>
    <row r="852" spans="4:10">
      <c r="D852" t="s">
        <v>200</v>
      </c>
      <c r="E852" t="s">
        <v>666</v>
      </c>
      <c r="F852">
        <v>3948</v>
      </c>
      <c r="G852">
        <v>3956</v>
      </c>
      <c r="H852">
        <v>3927</v>
      </c>
      <c r="I852">
        <v>3928</v>
      </c>
      <c r="J852">
        <v>106600</v>
      </c>
    </row>
    <row r="853" spans="4:10">
      <c r="D853" t="s">
        <v>200</v>
      </c>
      <c r="E853" t="s">
        <v>667</v>
      </c>
      <c r="F853">
        <v>3927</v>
      </c>
      <c r="G853">
        <v>3955</v>
      </c>
      <c r="H853">
        <v>3918</v>
      </c>
      <c r="I853">
        <v>3951</v>
      </c>
      <c r="J853">
        <v>107800</v>
      </c>
    </row>
    <row r="854" spans="4:10">
      <c r="D854" t="s">
        <v>200</v>
      </c>
      <c r="E854" t="s">
        <v>668</v>
      </c>
      <c r="F854">
        <v>3950</v>
      </c>
      <c r="G854">
        <v>3950</v>
      </c>
      <c r="H854">
        <v>3932</v>
      </c>
      <c r="I854">
        <v>3944</v>
      </c>
      <c r="J854">
        <v>98200</v>
      </c>
    </row>
    <row r="855" spans="4:10">
      <c r="D855" t="s">
        <v>200</v>
      </c>
      <c r="E855" t="s">
        <v>669</v>
      </c>
      <c r="F855">
        <v>3943</v>
      </c>
      <c r="G855">
        <v>3943</v>
      </c>
      <c r="H855">
        <v>3943</v>
      </c>
      <c r="I855">
        <v>3943</v>
      </c>
      <c r="J855">
        <v>5100</v>
      </c>
    </row>
    <row r="856" spans="4:10">
      <c r="D856" t="s">
        <v>200</v>
      </c>
      <c r="E856" t="s">
        <v>670</v>
      </c>
      <c r="F856">
        <v>3950</v>
      </c>
      <c r="G856">
        <v>3993</v>
      </c>
      <c r="H856">
        <v>3945</v>
      </c>
      <c r="I856">
        <v>3953</v>
      </c>
      <c r="J856">
        <v>470000</v>
      </c>
    </row>
    <row r="857" spans="4:10">
      <c r="D857" t="s">
        <v>200</v>
      </c>
      <c r="E857" t="s">
        <v>671</v>
      </c>
      <c r="F857">
        <v>3953</v>
      </c>
      <c r="G857">
        <v>3970</v>
      </c>
      <c r="H857">
        <v>3950</v>
      </c>
      <c r="I857">
        <v>3967</v>
      </c>
      <c r="J857">
        <v>202800</v>
      </c>
    </row>
    <row r="858" spans="4:10">
      <c r="D858" t="s">
        <v>200</v>
      </c>
      <c r="E858" t="s">
        <v>672</v>
      </c>
      <c r="F858">
        <v>3966</v>
      </c>
      <c r="G858">
        <v>3969</v>
      </c>
      <c r="H858">
        <v>3951</v>
      </c>
      <c r="I858">
        <v>3952</v>
      </c>
      <c r="J858">
        <v>236000</v>
      </c>
    </row>
    <row r="859" spans="4:10">
      <c r="D859" t="s">
        <v>200</v>
      </c>
      <c r="E859" t="s">
        <v>673</v>
      </c>
      <c r="F859">
        <v>3953</v>
      </c>
      <c r="G859">
        <v>3958</v>
      </c>
      <c r="H859">
        <v>3933</v>
      </c>
      <c r="I859">
        <v>3935</v>
      </c>
      <c r="J859">
        <v>160100</v>
      </c>
    </row>
    <row r="860" spans="4:10">
      <c r="D860" t="s">
        <v>200</v>
      </c>
      <c r="E860" t="s">
        <v>674</v>
      </c>
      <c r="F860">
        <v>3937</v>
      </c>
      <c r="G860">
        <v>3947</v>
      </c>
      <c r="H860">
        <v>3936</v>
      </c>
      <c r="I860">
        <v>3946</v>
      </c>
      <c r="J860">
        <v>122600</v>
      </c>
    </row>
    <row r="861" spans="4:10">
      <c r="D861" t="s">
        <v>200</v>
      </c>
      <c r="E861" t="s">
        <v>675</v>
      </c>
      <c r="F861">
        <v>3946</v>
      </c>
      <c r="G861">
        <v>3947</v>
      </c>
      <c r="H861">
        <v>3933</v>
      </c>
      <c r="I861">
        <v>3936</v>
      </c>
      <c r="J861">
        <v>116100</v>
      </c>
    </row>
    <row r="862" spans="4:10">
      <c r="D862" t="s">
        <v>200</v>
      </c>
      <c r="E862" t="s">
        <v>676</v>
      </c>
      <c r="F862">
        <v>3936</v>
      </c>
      <c r="G862">
        <v>3939</v>
      </c>
      <c r="H862">
        <v>3909</v>
      </c>
      <c r="I862">
        <v>3911</v>
      </c>
      <c r="J862">
        <v>162900</v>
      </c>
    </row>
    <row r="863" spans="4:10">
      <c r="D863" t="s">
        <v>200</v>
      </c>
      <c r="E863" t="s">
        <v>677</v>
      </c>
      <c r="F863">
        <v>3911</v>
      </c>
      <c r="G863">
        <v>3923</v>
      </c>
      <c r="H863">
        <v>3910</v>
      </c>
      <c r="I863">
        <v>3918</v>
      </c>
      <c r="J863">
        <v>115700</v>
      </c>
    </row>
    <row r="864" spans="4:10">
      <c r="D864" t="s">
        <v>200</v>
      </c>
      <c r="E864" t="s">
        <v>678</v>
      </c>
      <c r="F864">
        <v>3919</v>
      </c>
      <c r="G864">
        <v>3922</v>
      </c>
      <c r="H864">
        <v>3904</v>
      </c>
      <c r="I864">
        <v>3911</v>
      </c>
      <c r="J864">
        <v>118300</v>
      </c>
    </row>
    <row r="865" spans="4:10">
      <c r="D865" t="s">
        <v>200</v>
      </c>
      <c r="E865" t="s">
        <v>679</v>
      </c>
      <c r="F865">
        <v>3910</v>
      </c>
      <c r="G865">
        <v>3916</v>
      </c>
      <c r="H865">
        <v>3904</v>
      </c>
      <c r="I865">
        <v>3911</v>
      </c>
      <c r="J865">
        <v>107900</v>
      </c>
    </row>
    <row r="866" spans="4:10">
      <c r="D866" t="s">
        <v>200</v>
      </c>
      <c r="E866" t="s">
        <v>680</v>
      </c>
      <c r="F866">
        <v>3910</v>
      </c>
      <c r="G866">
        <v>3918</v>
      </c>
      <c r="H866">
        <v>3910</v>
      </c>
      <c r="I866">
        <v>3914</v>
      </c>
      <c r="J866">
        <v>86500</v>
      </c>
    </row>
    <row r="867" spans="4:10">
      <c r="D867" t="s">
        <v>200</v>
      </c>
      <c r="E867" t="s">
        <v>681</v>
      </c>
      <c r="F867">
        <v>3913</v>
      </c>
      <c r="G867">
        <v>3928</v>
      </c>
      <c r="H867">
        <v>3905</v>
      </c>
      <c r="I867">
        <v>3911</v>
      </c>
      <c r="J867">
        <v>158700</v>
      </c>
    </row>
    <row r="868" spans="4:10">
      <c r="D868" t="s">
        <v>200</v>
      </c>
      <c r="E868" t="s">
        <v>682</v>
      </c>
      <c r="F868">
        <v>3912</v>
      </c>
      <c r="G868">
        <v>3936</v>
      </c>
      <c r="H868">
        <v>3901</v>
      </c>
      <c r="I868">
        <v>3902</v>
      </c>
      <c r="J868">
        <v>221400</v>
      </c>
    </row>
    <row r="869" spans="4:10">
      <c r="D869" t="s">
        <v>200</v>
      </c>
      <c r="E869" t="s">
        <v>683</v>
      </c>
      <c r="F869">
        <v>3902</v>
      </c>
      <c r="G869">
        <v>3909</v>
      </c>
      <c r="H869">
        <v>3898</v>
      </c>
      <c r="I869">
        <v>3905</v>
      </c>
      <c r="J869">
        <v>120100</v>
      </c>
    </row>
    <row r="870" spans="4:10">
      <c r="D870" t="s">
        <v>200</v>
      </c>
      <c r="E870" t="s">
        <v>684</v>
      </c>
      <c r="F870">
        <v>3904</v>
      </c>
      <c r="G870">
        <v>3914</v>
      </c>
      <c r="H870">
        <v>3901</v>
      </c>
      <c r="I870">
        <v>3901</v>
      </c>
      <c r="J870">
        <v>98900</v>
      </c>
    </row>
    <row r="871" spans="4:10">
      <c r="D871" t="s">
        <v>200</v>
      </c>
      <c r="E871" t="s">
        <v>685</v>
      </c>
      <c r="F871">
        <v>3902</v>
      </c>
      <c r="G871">
        <v>3909</v>
      </c>
      <c r="H871">
        <v>3900</v>
      </c>
      <c r="I871">
        <v>3902</v>
      </c>
      <c r="J871">
        <v>78100</v>
      </c>
    </row>
    <row r="872" spans="4:10">
      <c r="D872" t="s">
        <v>200</v>
      </c>
      <c r="E872" t="s">
        <v>686</v>
      </c>
      <c r="F872">
        <v>3901</v>
      </c>
      <c r="G872">
        <v>3906</v>
      </c>
      <c r="H872">
        <v>3899</v>
      </c>
      <c r="I872">
        <v>3901</v>
      </c>
      <c r="J872">
        <v>103400</v>
      </c>
    </row>
    <row r="873" spans="4:10">
      <c r="D873" t="s">
        <v>200</v>
      </c>
      <c r="E873" t="s">
        <v>687</v>
      </c>
      <c r="F873">
        <v>3901</v>
      </c>
      <c r="G873">
        <v>3909</v>
      </c>
      <c r="H873">
        <v>3897</v>
      </c>
      <c r="I873">
        <v>3907</v>
      </c>
      <c r="J873">
        <v>100800</v>
      </c>
    </row>
    <row r="874" spans="4:10">
      <c r="D874" t="s">
        <v>200</v>
      </c>
      <c r="E874" t="s">
        <v>688</v>
      </c>
      <c r="F874">
        <v>3907</v>
      </c>
      <c r="G874">
        <v>3931</v>
      </c>
      <c r="H874">
        <v>3891</v>
      </c>
      <c r="I874">
        <v>3892</v>
      </c>
      <c r="J874">
        <v>215800</v>
      </c>
    </row>
    <row r="875" spans="4:10">
      <c r="D875" t="s">
        <v>200</v>
      </c>
      <c r="E875" t="s">
        <v>689</v>
      </c>
      <c r="F875">
        <v>3893</v>
      </c>
      <c r="G875">
        <v>3896</v>
      </c>
      <c r="H875">
        <v>3884</v>
      </c>
      <c r="I875">
        <v>3884</v>
      </c>
      <c r="J875">
        <v>94400</v>
      </c>
    </row>
    <row r="876" spans="4:10">
      <c r="D876" t="s">
        <v>200</v>
      </c>
      <c r="E876" t="s">
        <v>690</v>
      </c>
      <c r="F876">
        <v>3885</v>
      </c>
      <c r="G876">
        <v>3905</v>
      </c>
      <c r="H876">
        <v>3881</v>
      </c>
      <c r="I876">
        <v>3898</v>
      </c>
      <c r="J876">
        <v>144200</v>
      </c>
    </row>
    <row r="877" spans="4:10">
      <c r="D877" t="s">
        <v>200</v>
      </c>
      <c r="E877" t="s">
        <v>691</v>
      </c>
      <c r="F877">
        <v>3899</v>
      </c>
      <c r="G877">
        <v>3913</v>
      </c>
      <c r="H877">
        <v>3898</v>
      </c>
      <c r="I877">
        <v>3906</v>
      </c>
      <c r="J877">
        <v>110700</v>
      </c>
    </row>
    <row r="878" spans="4:10">
      <c r="D878" t="s">
        <v>200</v>
      </c>
      <c r="E878" t="s">
        <v>692</v>
      </c>
      <c r="F878">
        <v>3906</v>
      </c>
      <c r="G878">
        <v>3906</v>
      </c>
      <c r="H878">
        <v>3892</v>
      </c>
      <c r="I878">
        <v>3894</v>
      </c>
      <c r="J878">
        <v>104700</v>
      </c>
    </row>
    <row r="879" spans="4:10">
      <c r="D879" t="s">
        <v>200</v>
      </c>
      <c r="E879" t="s">
        <v>693</v>
      </c>
      <c r="F879">
        <v>3894</v>
      </c>
      <c r="G879">
        <v>3897</v>
      </c>
      <c r="H879">
        <v>3891</v>
      </c>
      <c r="I879">
        <v>3893</v>
      </c>
      <c r="J879">
        <v>81800</v>
      </c>
    </row>
    <row r="880" spans="4:10">
      <c r="D880" t="s">
        <v>200</v>
      </c>
      <c r="E880" t="s">
        <v>694</v>
      </c>
      <c r="F880">
        <v>3892</v>
      </c>
      <c r="G880">
        <v>3895</v>
      </c>
      <c r="H880">
        <v>3891</v>
      </c>
      <c r="I880">
        <v>3894</v>
      </c>
      <c r="J880">
        <v>65700</v>
      </c>
    </row>
    <row r="881" spans="4:10">
      <c r="D881" t="s">
        <v>200</v>
      </c>
      <c r="E881" t="s">
        <v>695</v>
      </c>
      <c r="F881">
        <v>3893</v>
      </c>
      <c r="G881">
        <v>3897</v>
      </c>
      <c r="H881">
        <v>3890</v>
      </c>
      <c r="I881">
        <v>3894</v>
      </c>
      <c r="J881">
        <v>100200</v>
      </c>
    </row>
    <row r="882" spans="4:10">
      <c r="D882" t="s">
        <v>200</v>
      </c>
      <c r="E882" t="s">
        <v>696</v>
      </c>
      <c r="F882">
        <v>3894</v>
      </c>
      <c r="G882">
        <v>3904</v>
      </c>
      <c r="H882">
        <v>3878</v>
      </c>
      <c r="I882">
        <v>3898</v>
      </c>
      <c r="J882">
        <v>191400</v>
      </c>
    </row>
    <row r="883" spans="4:10">
      <c r="D883" t="s">
        <v>200</v>
      </c>
      <c r="E883" t="s">
        <v>697</v>
      </c>
      <c r="F883">
        <v>3897</v>
      </c>
      <c r="G883">
        <v>3927</v>
      </c>
      <c r="H883">
        <v>3897</v>
      </c>
      <c r="I883">
        <v>3919</v>
      </c>
      <c r="J883">
        <v>182600</v>
      </c>
    </row>
    <row r="884" spans="4:10">
      <c r="D884" t="s">
        <v>200</v>
      </c>
      <c r="E884" t="s">
        <v>698</v>
      </c>
      <c r="F884">
        <v>3918</v>
      </c>
      <c r="G884">
        <v>3931</v>
      </c>
      <c r="H884">
        <v>3913</v>
      </c>
      <c r="I884">
        <v>3922</v>
      </c>
      <c r="J884">
        <v>127000</v>
      </c>
    </row>
    <row r="885" spans="4:10">
      <c r="D885" t="s">
        <v>200</v>
      </c>
      <c r="E885" t="s">
        <v>699</v>
      </c>
      <c r="F885">
        <v>3922</v>
      </c>
      <c r="G885">
        <v>3923</v>
      </c>
      <c r="H885">
        <v>3915</v>
      </c>
      <c r="I885">
        <v>3916</v>
      </c>
      <c r="J885">
        <v>92500</v>
      </c>
    </row>
    <row r="886" spans="4:10">
      <c r="D886" t="s">
        <v>200</v>
      </c>
      <c r="E886" t="s">
        <v>700</v>
      </c>
      <c r="F886">
        <v>3916</v>
      </c>
      <c r="G886">
        <v>3927</v>
      </c>
      <c r="H886">
        <v>3912</v>
      </c>
      <c r="I886">
        <v>3913</v>
      </c>
      <c r="J886">
        <v>161900</v>
      </c>
    </row>
    <row r="887" spans="4:10">
      <c r="D887" t="s">
        <v>200</v>
      </c>
      <c r="E887" t="s">
        <v>633</v>
      </c>
      <c r="F887">
        <v>3914</v>
      </c>
      <c r="G887">
        <v>3914</v>
      </c>
      <c r="H887">
        <v>3901</v>
      </c>
      <c r="I887">
        <v>3910</v>
      </c>
      <c r="J887">
        <v>122400</v>
      </c>
    </row>
    <row r="888" spans="4:10">
      <c r="D888" t="s">
        <v>200</v>
      </c>
      <c r="E888" t="s">
        <v>634</v>
      </c>
      <c r="F888">
        <v>3910</v>
      </c>
      <c r="G888">
        <v>3914</v>
      </c>
      <c r="H888">
        <v>3906</v>
      </c>
      <c r="I888">
        <v>3907</v>
      </c>
      <c r="J888">
        <v>92000</v>
      </c>
    </row>
    <row r="889" spans="4:10">
      <c r="D889" t="s">
        <v>200</v>
      </c>
      <c r="E889" t="s">
        <v>635</v>
      </c>
      <c r="F889">
        <v>3907</v>
      </c>
      <c r="G889">
        <v>3917</v>
      </c>
      <c r="H889">
        <v>3904</v>
      </c>
      <c r="I889">
        <v>3917</v>
      </c>
      <c r="J889">
        <v>137100</v>
      </c>
    </row>
    <row r="890" spans="4:10">
      <c r="D890" t="s">
        <v>200</v>
      </c>
      <c r="E890" t="s">
        <v>614</v>
      </c>
      <c r="F890">
        <v>3915</v>
      </c>
      <c r="G890">
        <v>3924</v>
      </c>
      <c r="H890">
        <v>3910</v>
      </c>
      <c r="I890">
        <v>3919</v>
      </c>
      <c r="J890">
        <v>167800</v>
      </c>
    </row>
    <row r="891" spans="4:10">
      <c r="D891" t="s">
        <v>200</v>
      </c>
      <c r="E891" t="s">
        <v>636</v>
      </c>
      <c r="F891" t="s">
        <v>35</v>
      </c>
      <c r="G891" t="s">
        <v>35</v>
      </c>
      <c r="H891" t="s">
        <v>35</v>
      </c>
      <c r="I891" t="s">
        <v>35</v>
      </c>
      <c r="J891">
        <v>0</v>
      </c>
    </row>
    <row r="892" spans="4:10">
      <c r="D892" t="s">
        <v>200</v>
      </c>
      <c r="E892" t="s">
        <v>637</v>
      </c>
      <c r="F892">
        <v>3920</v>
      </c>
      <c r="G892">
        <v>3920</v>
      </c>
      <c r="H892">
        <v>3920</v>
      </c>
      <c r="I892">
        <v>3920</v>
      </c>
      <c r="J892">
        <v>790700</v>
      </c>
    </row>
    <row r="893" spans="4:10">
      <c r="D893" t="s">
        <v>712</v>
      </c>
      <c r="E893" t="s">
        <v>639</v>
      </c>
      <c r="F893">
        <v>3986</v>
      </c>
      <c r="G893">
        <v>4019</v>
      </c>
      <c r="H893">
        <v>3815</v>
      </c>
      <c r="I893">
        <v>3864</v>
      </c>
      <c r="J893">
        <v>1091500</v>
      </c>
    </row>
    <row r="894" spans="4:10">
      <c r="D894" t="s">
        <v>712</v>
      </c>
      <c r="E894" t="s">
        <v>640</v>
      </c>
      <c r="F894">
        <v>3865</v>
      </c>
      <c r="G894">
        <v>3872</v>
      </c>
      <c r="H894">
        <v>3822</v>
      </c>
      <c r="I894">
        <v>3841</v>
      </c>
      <c r="J894">
        <v>379100</v>
      </c>
    </row>
    <row r="895" spans="4:10">
      <c r="D895" t="s">
        <v>712</v>
      </c>
      <c r="E895" t="s">
        <v>641</v>
      </c>
      <c r="F895">
        <v>3841</v>
      </c>
      <c r="G895">
        <v>3863</v>
      </c>
      <c r="H895">
        <v>3821</v>
      </c>
      <c r="I895">
        <v>3853</v>
      </c>
      <c r="J895">
        <v>317000</v>
      </c>
    </row>
    <row r="896" spans="4:10">
      <c r="D896" t="s">
        <v>712</v>
      </c>
      <c r="E896" t="s">
        <v>642</v>
      </c>
      <c r="F896">
        <v>3852</v>
      </c>
      <c r="G896">
        <v>3885</v>
      </c>
      <c r="H896">
        <v>3839</v>
      </c>
      <c r="I896">
        <v>3849</v>
      </c>
      <c r="J896">
        <v>268900</v>
      </c>
    </row>
    <row r="897" spans="4:10">
      <c r="D897" t="s">
        <v>712</v>
      </c>
      <c r="E897" t="s">
        <v>643</v>
      </c>
      <c r="F897">
        <v>3851</v>
      </c>
      <c r="G897">
        <v>3860</v>
      </c>
      <c r="H897">
        <v>3837</v>
      </c>
      <c r="I897">
        <v>3855</v>
      </c>
      <c r="J897">
        <v>178400</v>
      </c>
    </row>
    <row r="898" spans="4:10">
      <c r="D898" t="s">
        <v>712</v>
      </c>
      <c r="E898" t="s">
        <v>644</v>
      </c>
      <c r="F898">
        <v>3855</v>
      </c>
      <c r="G898">
        <v>3910</v>
      </c>
      <c r="H898">
        <v>3849</v>
      </c>
      <c r="I898">
        <v>3897</v>
      </c>
      <c r="J898">
        <v>369200</v>
      </c>
    </row>
    <row r="899" spans="4:10">
      <c r="D899" t="s">
        <v>712</v>
      </c>
      <c r="E899" t="s">
        <v>645</v>
      </c>
      <c r="F899">
        <v>3897</v>
      </c>
      <c r="G899">
        <v>3912</v>
      </c>
      <c r="H899">
        <v>3825</v>
      </c>
      <c r="I899">
        <v>3836</v>
      </c>
      <c r="J899">
        <v>376500</v>
      </c>
    </row>
    <row r="900" spans="4:10">
      <c r="D900" t="s">
        <v>712</v>
      </c>
      <c r="E900" t="s">
        <v>646</v>
      </c>
      <c r="F900">
        <v>3836</v>
      </c>
      <c r="G900">
        <v>3838</v>
      </c>
      <c r="H900">
        <v>3804</v>
      </c>
      <c r="I900">
        <v>3820</v>
      </c>
      <c r="J900">
        <v>264200</v>
      </c>
    </row>
    <row r="901" spans="4:10">
      <c r="D901" t="s">
        <v>712</v>
      </c>
      <c r="E901" t="s">
        <v>647</v>
      </c>
      <c r="F901">
        <v>3819</v>
      </c>
      <c r="G901">
        <v>3827</v>
      </c>
      <c r="H901">
        <v>3793</v>
      </c>
      <c r="I901">
        <v>3796</v>
      </c>
      <c r="J901">
        <v>276600</v>
      </c>
    </row>
    <row r="902" spans="4:10">
      <c r="D902" t="s">
        <v>712</v>
      </c>
      <c r="E902" t="s">
        <v>648</v>
      </c>
      <c r="F902">
        <v>3796</v>
      </c>
      <c r="G902">
        <v>3808</v>
      </c>
      <c r="H902">
        <v>3788</v>
      </c>
      <c r="I902">
        <v>3792</v>
      </c>
      <c r="J902">
        <v>200900</v>
      </c>
    </row>
    <row r="903" spans="4:10">
      <c r="D903" t="s">
        <v>712</v>
      </c>
      <c r="E903" t="s">
        <v>649</v>
      </c>
      <c r="F903">
        <v>3793</v>
      </c>
      <c r="G903">
        <v>3809</v>
      </c>
      <c r="H903">
        <v>3787</v>
      </c>
      <c r="I903">
        <v>3799</v>
      </c>
      <c r="J903">
        <v>150600</v>
      </c>
    </row>
    <row r="904" spans="4:10">
      <c r="D904" t="s">
        <v>712</v>
      </c>
      <c r="E904" t="s">
        <v>650</v>
      </c>
      <c r="F904">
        <v>3799</v>
      </c>
      <c r="G904">
        <v>3804</v>
      </c>
      <c r="H904">
        <v>3785</v>
      </c>
      <c r="I904">
        <v>3793</v>
      </c>
      <c r="J904">
        <v>170500</v>
      </c>
    </row>
    <row r="905" spans="4:10">
      <c r="D905" t="s">
        <v>712</v>
      </c>
      <c r="E905" t="s">
        <v>651</v>
      </c>
      <c r="F905">
        <v>3791</v>
      </c>
      <c r="G905">
        <v>3800</v>
      </c>
      <c r="H905">
        <v>3789</v>
      </c>
      <c r="I905">
        <v>3795</v>
      </c>
      <c r="J905">
        <v>103700</v>
      </c>
    </row>
    <row r="906" spans="4:10">
      <c r="D906" t="s">
        <v>712</v>
      </c>
      <c r="E906" t="s">
        <v>652</v>
      </c>
      <c r="F906">
        <v>3796</v>
      </c>
      <c r="G906">
        <v>3811</v>
      </c>
      <c r="H906">
        <v>3782</v>
      </c>
      <c r="I906">
        <v>3810</v>
      </c>
      <c r="J906">
        <v>196200</v>
      </c>
    </row>
    <row r="907" spans="4:10">
      <c r="D907" t="s">
        <v>712</v>
      </c>
      <c r="E907" t="s">
        <v>653</v>
      </c>
      <c r="F907">
        <v>3809</v>
      </c>
      <c r="G907">
        <v>3845</v>
      </c>
      <c r="H907">
        <v>3808</v>
      </c>
      <c r="I907">
        <v>3840</v>
      </c>
      <c r="J907">
        <v>253400</v>
      </c>
    </row>
    <row r="908" spans="4:10">
      <c r="D908" t="s">
        <v>712</v>
      </c>
      <c r="E908" t="s">
        <v>654</v>
      </c>
      <c r="F908">
        <v>3841</v>
      </c>
      <c r="G908">
        <v>3923</v>
      </c>
      <c r="H908">
        <v>3841</v>
      </c>
      <c r="I908">
        <v>3918</v>
      </c>
      <c r="J908">
        <v>514400</v>
      </c>
    </row>
    <row r="909" spans="4:10">
      <c r="D909" t="s">
        <v>712</v>
      </c>
      <c r="E909" t="s">
        <v>655</v>
      </c>
      <c r="F909">
        <v>3918</v>
      </c>
      <c r="G909">
        <v>3946</v>
      </c>
      <c r="H909">
        <v>3907</v>
      </c>
      <c r="I909">
        <v>3917</v>
      </c>
      <c r="J909">
        <v>561900</v>
      </c>
    </row>
    <row r="910" spans="4:10">
      <c r="D910" t="s">
        <v>712</v>
      </c>
      <c r="E910" t="s">
        <v>656</v>
      </c>
      <c r="F910">
        <v>3917</v>
      </c>
      <c r="G910">
        <v>3982</v>
      </c>
      <c r="H910">
        <v>3915</v>
      </c>
      <c r="I910">
        <v>3975</v>
      </c>
      <c r="J910">
        <v>570900</v>
      </c>
    </row>
    <row r="911" spans="4:10">
      <c r="D911" t="s">
        <v>712</v>
      </c>
      <c r="E911" t="s">
        <v>657</v>
      </c>
      <c r="F911">
        <v>3976</v>
      </c>
      <c r="G911">
        <v>4014</v>
      </c>
      <c r="H911">
        <v>3947</v>
      </c>
      <c r="I911">
        <v>3952</v>
      </c>
      <c r="J911">
        <v>476100</v>
      </c>
    </row>
    <row r="912" spans="4:10">
      <c r="D912" t="s">
        <v>712</v>
      </c>
      <c r="E912" t="s">
        <v>658</v>
      </c>
      <c r="F912">
        <v>3952</v>
      </c>
      <c r="G912">
        <v>3983</v>
      </c>
      <c r="H912">
        <v>3947</v>
      </c>
      <c r="I912">
        <v>3975</v>
      </c>
      <c r="J912">
        <v>222100</v>
      </c>
    </row>
    <row r="913" spans="4:10">
      <c r="D913" t="s">
        <v>712</v>
      </c>
      <c r="E913" t="s">
        <v>659</v>
      </c>
      <c r="F913">
        <v>3975</v>
      </c>
      <c r="G913">
        <v>3987</v>
      </c>
      <c r="H913">
        <v>3971</v>
      </c>
      <c r="I913">
        <v>3981</v>
      </c>
      <c r="J913">
        <v>136200</v>
      </c>
    </row>
    <row r="914" spans="4:10">
      <c r="D914" t="s">
        <v>712</v>
      </c>
      <c r="E914" t="s">
        <v>660</v>
      </c>
      <c r="F914">
        <v>3981</v>
      </c>
      <c r="G914">
        <v>3989</v>
      </c>
      <c r="H914">
        <v>3960</v>
      </c>
      <c r="I914">
        <v>3960</v>
      </c>
      <c r="J914">
        <v>114500</v>
      </c>
    </row>
    <row r="915" spans="4:10">
      <c r="D915" t="s">
        <v>712</v>
      </c>
      <c r="E915" t="s">
        <v>661</v>
      </c>
      <c r="F915">
        <v>3959</v>
      </c>
      <c r="G915">
        <v>3967</v>
      </c>
      <c r="H915">
        <v>3947</v>
      </c>
      <c r="I915">
        <v>3959</v>
      </c>
      <c r="J915">
        <v>137100</v>
      </c>
    </row>
    <row r="916" spans="4:10">
      <c r="D916" t="s">
        <v>712</v>
      </c>
      <c r="E916" t="s">
        <v>662</v>
      </c>
      <c r="F916">
        <v>3958</v>
      </c>
      <c r="G916">
        <v>3959</v>
      </c>
      <c r="H916">
        <v>3951</v>
      </c>
      <c r="I916">
        <v>3957</v>
      </c>
      <c r="J916">
        <v>60800</v>
      </c>
    </row>
    <row r="917" spans="4:10">
      <c r="D917" t="s">
        <v>712</v>
      </c>
      <c r="E917" t="s">
        <v>663</v>
      </c>
      <c r="F917">
        <v>3958</v>
      </c>
      <c r="G917">
        <v>3978</v>
      </c>
      <c r="H917">
        <v>3955</v>
      </c>
      <c r="I917">
        <v>3957</v>
      </c>
      <c r="J917">
        <v>99800</v>
      </c>
    </row>
    <row r="918" spans="4:10">
      <c r="D918" t="s">
        <v>712</v>
      </c>
      <c r="E918" t="s">
        <v>664</v>
      </c>
      <c r="F918">
        <v>3957</v>
      </c>
      <c r="G918">
        <v>3984</v>
      </c>
      <c r="H918">
        <v>3929</v>
      </c>
      <c r="I918">
        <v>3931</v>
      </c>
      <c r="J918">
        <v>203700</v>
      </c>
    </row>
    <row r="919" spans="4:10">
      <c r="D919" t="s">
        <v>712</v>
      </c>
      <c r="E919" t="s">
        <v>665</v>
      </c>
      <c r="F919">
        <v>3931</v>
      </c>
      <c r="G919">
        <v>3943</v>
      </c>
      <c r="H919">
        <v>3928</v>
      </c>
      <c r="I919">
        <v>3930</v>
      </c>
      <c r="J919">
        <v>83500</v>
      </c>
    </row>
    <row r="920" spans="4:10">
      <c r="D920" t="s">
        <v>712</v>
      </c>
      <c r="E920" t="s">
        <v>666</v>
      </c>
      <c r="F920">
        <v>3929</v>
      </c>
      <c r="G920">
        <v>3948</v>
      </c>
      <c r="H920">
        <v>3929</v>
      </c>
      <c r="I920">
        <v>3934</v>
      </c>
      <c r="J920">
        <v>88800</v>
      </c>
    </row>
    <row r="921" spans="4:10">
      <c r="D921" t="s">
        <v>712</v>
      </c>
      <c r="E921" t="s">
        <v>667</v>
      </c>
      <c r="F921">
        <v>3934</v>
      </c>
      <c r="G921">
        <v>3950</v>
      </c>
      <c r="H921">
        <v>3934</v>
      </c>
      <c r="I921">
        <v>3943</v>
      </c>
      <c r="J921">
        <v>74700</v>
      </c>
    </row>
    <row r="922" spans="4:10">
      <c r="D922" t="s">
        <v>712</v>
      </c>
      <c r="E922" t="s">
        <v>668</v>
      </c>
      <c r="F922">
        <v>3943</v>
      </c>
      <c r="G922">
        <v>3954</v>
      </c>
      <c r="H922">
        <v>3937</v>
      </c>
      <c r="I922">
        <v>3954</v>
      </c>
      <c r="J922">
        <v>102600</v>
      </c>
    </row>
    <row r="923" spans="4:10">
      <c r="D923" t="s">
        <v>712</v>
      </c>
      <c r="E923" t="s">
        <v>669</v>
      </c>
      <c r="F923">
        <v>3950</v>
      </c>
      <c r="G923">
        <v>3950</v>
      </c>
      <c r="H923">
        <v>3950</v>
      </c>
      <c r="I923">
        <v>3950</v>
      </c>
      <c r="J923">
        <v>15200</v>
      </c>
    </row>
    <row r="924" spans="4:10">
      <c r="D924" t="s">
        <v>712</v>
      </c>
      <c r="E924" t="s">
        <v>670</v>
      </c>
      <c r="F924">
        <v>3960</v>
      </c>
      <c r="G924">
        <v>4038</v>
      </c>
      <c r="H924">
        <v>3956</v>
      </c>
      <c r="I924">
        <v>4023</v>
      </c>
      <c r="J924">
        <v>467900</v>
      </c>
    </row>
    <row r="925" spans="4:10">
      <c r="D925" t="s">
        <v>712</v>
      </c>
      <c r="E925" t="s">
        <v>671</v>
      </c>
      <c r="F925">
        <v>4022</v>
      </c>
      <c r="G925">
        <v>4032</v>
      </c>
      <c r="H925">
        <v>3969</v>
      </c>
      <c r="I925">
        <v>3970</v>
      </c>
      <c r="J925">
        <v>258900</v>
      </c>
    </row>
    <row r="926" spans="4:10">
      <c r="D926" t="s">
        <v>712</v>
      </c>
      <c r="E926" t="s">
        <v>672</v>
      </c>
      <c r="F926">
        <v>3971</v>
      </c>
      <c r="G926">
        <v>4004</v>
      </c>
      <c r="H926">
        <v>3970</v>
      </c>
      <c r="I926">
        <v>3989</v>
      </c>
      <c r="J926">
        <v>115400</v>
      </c>
    </row>
    <row r="927" spans="4:10">
      <c r="D927" t="s">
        <v>712</v>
      </c>
      <c r="E927" t="s">
        <v>673</v>
      </c>
      <c r="F927">
        <v>3990</v>
      </c>
      <c r="G927">
        <v>3996</v>
      </c>
      <c r="H927">
        <v>3982</v>
      </c>
      <c r="I927">
        <v>3985</v>
      </c>
      <c r="J927">
        <v>61900</v>
      </c>
    </row>
    <row r="928" spans="4:10">
      <c r="D928" t="s">
        <v>712</v>
      </c>
      <c r="E928" t="s">
        <v>674</v>
      </c>
      <c r="F928">
        <v>3985</v>
      </c>
      <c r="G928">
        <v>4010</v>
      </c>
      <c r="H928">
        <v>3985</v>
      </c>
      <c r="I928">
        <v>4007</v>
      </c>
      <c r="J928">
        <v>145200</v>
      </c>
    </row>
    <row r="929" spans="4:10">
      <c r="D929" t="s">
        <v>712</v>
      </c>
      <c r="E929" t="s">
        <v>675</v>
      </c>
      <c r="F929">
        <v>4007</v>
      </c>
      <c r="G929">
        <v>4008</v>
      </c>
      <c r="H929">
        <v>3982</v>
      </c>
      <c r="I929">
        <v>3982</v>
      </c>
      <c r="J929">
        <v>78700</v>
      </c>
    </row>
    <row r="930" spans="4:10">
      <c r="D930" t="s">
        <v>712</v>
      </c>
      <c r="E930" t="s">
        <v>676</v>
      </c>
      <c r="F930">
        <v>3981</v>
      </c>
      <c r="G930">
        <v>4002</v>
      </c>
      <c r="H930">
        <v>3980</v>
      </c>
      <c r="I930">
        <v>3990</v>
      </c>
      <c r="J930">
        <v>80800</v>
      </c>
    </row>
    <row r="931" spans="4:10">
      <c r="D931" t="s">
        <v>712</v>
      </c>
      <c r="E931" t="s">
        <v>677</v>
      </c>
      <c r="F931">
        <v>3991</v>
      </c>
      <c r="G931">
        <v>4010</v>
      </c>
      <c r="H931">
        <v>3990</v>
      </c>
      <c r="I931">
        <v>4009</v>
      </c>
      <c r="J931">
        <v>64900</v>
      </c>
    </row>
    <row r="932" spans="4:10">
      <c r="D932" t="s">
        <v>712</v>
      </c>
      <c r="E932" t="s">
        <v>678</v>
      </c>
      <c r="F932">
        <v>4009</v>
      </c>
      <c r="G932">
        <v>4046</v>
      </c>
      <c r="H932">
        <v>4009</v>
      </c>
      <c r="I932">
        <v>4044</v>
      </c>
      <c r="J932">
        <v>213400</v>
      </c>
    </row>
    <row r="933" spans="4:10">
      <c r="D933" t="s">
        <v>712</v>
      </c>
      <c r="E933" t="s">
        <v>679</v>
      </c>
      <c r="F933">
        <v>4044</v>
      </c>
      <c r="G933">
        <v>4044</v>
      </c>
      <c r="H933">
        <v>4030</v>
      </c>
      <c r="I933">
        <v>4035</v>
      </c>
      <c r="J933">
        <v>77800</v>
      </c>
    </row>
    <row r="934" spans="4:10">
      <c r="D934" t="s">
        <v>712</v>
      </c>
      <c r="E934" t="s">
        <v>680</v>
      </c>
      <c r="F934">
        <v>4035</v>
      </c>
      <c r="G934">
        <v>4052</v>
      </c>
      <c r="H934">
        <v>4027</v>
      </c>
      <c r="I934">
        <v>4039</v>
      </c>
      <c r="J934">
        <v>177800</v>
      </c>
    </row>
    <row r="935" spans="4:10">
      <c r="D935" t="s">
        <v>712</v>
      </c>
      <c r="E935" t="s">
        <v>681</v>
      </c>
      <c r="F935">
        <v>4038</v>
      </c>
      <c r="G935">
        <v>4052</v>
      </c>
      <c r="H935">
        <v>4027</v>
      </c>
      <c r="I935">
        <v>4028</v>
      </c>
      <c r="J935">
        <v>116300</v>
      </c>
    </row>
    <row r="936" spans="4:10">
      <c r="D936" t="s">
        <v>712</v>
      </c>
      <c r="E936" t="s">
        <v>682</v>
      </c>
      <c r="F936">
        <v>4027</v>
      </c>
      <c r="G936">
        <v>4035</v>
      </c>
      <c r="H936">
        <v>4016</v>
      </c>
      <c r="I936">
        <v>4019</v>
      </c>
      <c r="J936">
        <v>74100</v>
      </c>
    </row>
    <row r="937" spans="4:10">
      <c r="D937" t="s">
        <v>712</v>
      </c>
      <c r="E937" t="s">
        <v>683</v>
      </c>
      <c r="F937">
        <v>4021</v>
      </c>
      <c r="G937">
        <v>4027</v>
      </c>
      <c r="H937">
        <v>4017</v>
      </c>
      <c r="I937">
        <v>4023</v>
      </c>
      <c r="J937">
        <v>40400</v>
      </c>
    </row>
    <row r="938" spans="4:10">
      <c r="D938" t="s">
        <v>712</v>
      </c>
      <c r="E938" t="s">
        <v>684</v>
      </c>
      <c r="F938">
        <v>4023</v>
      </c>
      <c r="G938">
        <v>4024</v>
      </c>
      <c r="H938">
        <v>4004</v>
      </c>
      <c r="I938">
        <v>4012</v>
      </c>
      <c r="J938">
        <v>68100</v>
      </c>
    </row>
    <row r="939" spans="4:10">
      <c r="D939" t="s">
        <v>712</v>
      </c>
      <c r="E939" t="s">
        <v>685</v>
      </c>
      <c r="F939">
        <v>4011</v>
      </c>
      <c r="G939">
        <v>4012</v>
      </c>
      <c r="H939">
        <v>4001</v>
      </c>
      <c r="I939">
        <v>4008</v>
      </c>
      <c r="J939">
        <v>54000</v>
      </c>
    </row>
    <row r="940" spans="4:10">
      <c r="D940" t="s">
        <v>712</v>
      </c>
      <c r="E940" t="s">
        <v>686</v>
      </c>
      <c r="F940">
        <v>4007</v>
      </c>
      <c r="G940">
        <v>4009</v>
      </c>
      <c r="H940">
        <v>4000</v>
      </c>
      <c r="I940">
        <v>4001</v>
      </c>
      <c r="J940">
        <v>32400</v>
      </c>
    </row>
    <row r="941" spans="4:10">
      <c r="D941" t="s">
        <v>712</v>
      </c>
      <c r="E941" t="s">
        <v>687</v>
      </c>
      <c r="F941">
        <v>4001</v>
      </c>
      <c r="G941">
        <v>4006</v>
      </c>
      <c r="H941">
        <v>3999</v>
      </c>
      <c r="I941">
        <v>4004</v>
      </c>
      <c r="J941">
        <v>43500</v>
      </c>
    </row>
    <row r="942" spans="4:10">
      <c r="D942" t="s">
        <v>712</v>
      </c>
      <c r="E942" t="s">
        <v>688</v>
      </c>
      <c r="F942">
        <v>4003</v>
      </c>
      <c r="G942">
        <v>4009</v>
      </c>
      <c r="H942">
        <v>3992</v>
      </c>
      <c r="I942">
        <v>3994</v>
      </c>
      <c r="J942">
        <v>79400</v>
      </c>
    </row>
    <row r="943" spans="4:10">
      <c r="D943" t="s">
        <v>712</v>
      </c>
      <c r="E943" t="s">
        <v>689</v>
      </c>
      <c r="F943">
        <v>3994</v>
      </c>
      <c r="G943">
        <v>4004</v>
      </c>
      <c r="H943">
        <v>3991</v>
      </c>
      <c r="I943">
        <v>3992</v>
      </c>
      <c r="J943">
        <v>60100</v>
      </c>
    </row>
    <row r="944" spans="4:10">
      <c r="D944" t="s">
        <v>712</v>
      </c>
      <c r="E944" t="s">
        <v>690</v>
      </c>
      <c r="F944">
        <v>3991</v>
      </c>
      <c r="G944">
        <v>3991</v>
      </c>
      <c r="H944">
        <v>3975</v>
      </c>
      <c r="I944">
        <v>3975</v>
      </c>
      <c r="J944">
        <v>81000</v>
      </c>
    </row>
    <row r="945" spans="4:10">
      <c r="D945" t="s">
        <v>712</v>
      </c>
      <c r="E945" t="s">
        <v>691</v>
      </c>
      <c r="F945">
        <v>3976</v>
      </c>
      <c r="G945">
        <v>3982</v>
      </c>
      <c r="H945">
        <v>3976</v>
      </c>
      <c r="I945">
        <v>3980</v>
      </c>
      <c r="J945">
        <v>54300</v>
      </c>
    </row>
    <row r="946" spans="4:10">
      <c r="D946" t="s">
        <v>712</v>
      </c>
      <c r="E946" t="s">
        <v>692</v>
      </c>
      <c r="F946">
        <v>3979</v>
      </c>
      <c r="G946">
        <v>4020</v>
      </c>
      <c r="H946">
        <v>3979</v>
      </c>
      <c r="I946">
        <v>4002</v>
      </c>
      <c r="J946">
        <v>154100</v>
      </c>
    </row>
    <row r="947" spans="4:10">
      <c r="D947" t="s">
        <v>712</v>
      </c>
      <c r="E947" t="s">
        <v>693</v>
      </c>
      <c r="F947">
        <v>4002</v>
      </c>
      <c r="G947">
        <v>4004</v>
      </c>
      <c r="H947">
        <v>3988</v>
      </c>
      <c r="I947">
        <v>3990</v>
      </c>
      <c r="J947">
        <v>56400</v>
      </c>
    </row>
    <row r="948" spans="4:10">
      <c r="D948" t="s">
        <v>712</v>
      </c>
      <c r="E948" t="s">
        <v>694</v>
      </c>
      <c r="F948">
        <v>3990</v>
      </c>
      <c r="G948">
        <v>4022</v>
      </c>
      <c r="H948">
        <v>3989</v>
      </c>
      <c r="I948">
        <v>4019</v>
      </c>
      <c r="J948">
        <v>102600</v>
      </c>
    </row>
    <row r="949" spans="4:10">
      <c r="D949" t="s">
        <v>712</v>
      </c>
      <c r="E949" t="s">
        <v>695</v>
      </c>
      <c r="F949">
        <v>4019</v>
      </c>
      <c r="G949">
        <v>4036</v>
      </c>
      <c r="H949">
        <v>4014</v>
      </c>
      <c r="I949">
        <v>4036</v>
      </c>
      <c r="J949">
        <v>107000</v>
      </c>
    </row>
    <row r="950" spans="4:10">
      <c r="D950" t="s">
        <v>712</v>
      </c>
      <c r="E950" t="s">
        <v>696</v>
      </c>
      <c r="F950">
        <v>4035</v>
      </c>
      <c r="G950">
        <v>4042</v>
      </c>
      <c r="H950">
        <v>4032</v>
      </c>
      <c r="I950">
        <v>4038</v>
      </c>
      <c r="J950">
        <v>108200</v>
      </c>
    </row>
    <row r="951" spans="4:10">
      <c r="D951" t="s">
        <v>712</v>
      </c>
      <c r="E951" t="s">
        <v>697</v>
      </c>
      <c r="F951">
        <v>4038</v>
      </c>
      <c r="G951">
        <v>4073</v>
      </c>
      <c r="H951">
        <v>4033</v>
      </c>
      <c r="I951">
        <v>4061</v>
      </c>
      <c r="J951">
        <v>255700</v>
      </c>
    </row>
    <row r="952" spans="4:10">
      <c r="D952" t="s">
        <v>712</v>
      </c>
      <c r="E952" t="s">
        <v>698</v>
      </c>
      <c r="F952">
        <v>4062</v>
      </c>
      <c r="G952">
        <v>4068</v>
      </c>
      <c r="H952">
        <v>4052</v>
      </c>
      <c r="I952">
        <v>4063</v>
      </c>
      <c r="J952">
        <v>82200</v>
      </c>
    </row>
    <row r="953" spans="4:10">
      <c r="D953" t="s">
        <v>712</v>
      </c>
      <c r="E953" t="s">
        <v>699</v>
      </c>
      <c r="F953">
        <v>4062</v>
      </c>
      <c r="G953">
        <v>4066</v>
      </c>
      <c r="H953">
        <v>4054</v>
      </c>
      <c r="I953">
        <v>4055</v>
      </c>
      <c r="J953">
        <v>76900</v>
      </c>
    </row>
    <row r="954" spans="4:10">
      <c r="D954" t="s">
        <v>712</v>
      </c>
      <c r="E954" t="s">
        <v>700</v>
      </c>
      <c r="F954">
        <v>4055</v>
      </c>
      <c r="G954">
        <v>4062</v>
      </c>
      <c r="H954">
        <v>4052</v>
      </c>
      <c r="I954">
        <v>4053</v>
      </c>
      <c r="J954">
        <v>61900</v>
      </c>
    </row>
    <row r="955" spans="4:10">
      <c r="D955" t="s">
        <v>712</v>
      </c>
      <c r="E955" t="s">
        <v>633</v>
      </c>
      <c r="F955">
        <v>4053</v>
      </c>
      <c r="G955">
        <v>4060</v>
      </c>
      <c r="H955">
        <v>4050</v>
      </c>
      <c r="I955">
        <v>4051</v>
      </c>
      <c r="J955">
        <v>85500</v>
      </c>
    </row>
    <row r="956" spans="4:10">
      <c r="D956" t="s">
        <v>712</v>
      </c>
      <c r="E956" t="s">
        <v>634</v>
      </c>
      <c r="F956">
        <v>4051</v>
      </c>
      <c r="G956">
        <v>4051</v>
      </c>
      <c r="H956">
        <v>4042</v>
      </c>
      <c r="I956">
        <v>4042</v>
      </c>
      <c r="J956">
        <v>85400</v>
      </c>
    </row>
    <row r="957" spans="4:10">
      <c r="D957" t="s">
        <v>712</v>
      </c>
      <c r="E957" t="s">
        <v>635</v>
      </c>
      <c r="F957">
        <v>4042</v>
      </c>
      <c r="G957">
        <v>4055</v>
      </c>
      <c r="H957">
        <v>4042</v>
      </c>
      <c r="I957">
        <v>4047</v>
      </c>
      <c r="J957">
        <v>106300</v>
      </c>
    </row>
    <row r="958" spans="4:10">
      <c r="D958" t="s">
        <v>712</v>
      </c>
      <c r="E958" t="s">
        <v>614</v>
      </c>
      <c r="F958">
        <v>4047</v>
      </c>
      <c r="G958">
        <v>4060</v>
      </c>
      <c r="H958">
        <v>4045</v>
      </c>
      <c r="I958">
        <v>4058</v>
      </c>
      <c r="J958">
        <v>156200</v>
      </c>
    </row>
    <row r="959" spans="4:10">
      <c r="D959" t="s">
        <v>712</v>
      </c>
      <c r="E959" t="s">
        <v>636</v>
      </c>
      <c r="F959" t="s">
        <v>35</v>
      </c>
      <c r="G959" t="s">
        <v>35</v>
      </c>
      <c r="H959" t="s">
        <v>35</v>
      </c>
      <c r="I959" t="s">
        <v>35</v>
      </c>
      <c r="J959">
        <v>0</v>
      </c>
    </row>
    <row r="960" spans="4:10">
      <c r="D960" t="s">
        <v>712</v>
      </c>
      <c r="E960" t="s">
        <v>637</v>
      </c>
      <c r="F960">
        <v>4061</v>
      </c>
      <c r="G960">
        <v>4061</v>
      </c>
      <c r="H960">
        <v>4061</v>
      </c>
      <c r="I960">
        <v>4061</v>
      </c>
      <c r="J960">
        <v>422300</v>
      </c>
    </row>
    <row r="961" spans="4:10">
      <c r="D961" t="s">
        <v>713</v>
      </c>
      <c r="E961" t="s">
        <v>639</v>
      </c>
      <c r="F961">
        <v>4131</v>
      </c>
      <c r="G961">
        <v>4178</v>
      </c>
      <c r="H961">
        <v>4044</v>
      </c>
      <c r="I961">
        <v>4104</v>
      </c>
      <c r="J961">
        <v>1284700</v>
      </c>
    </row>
    <row r="962" spans="4:10">
      <c r="D962" t="s">
        <v>713</v>
      </c>
      <c r="E962" t="s">
        <v>640</v>
      </c>
      <c r="F962">
        <v>4104</v>
      </c>
      <c r="G962">
        <v>4178</v>
      </c>
      <c r="H962">
        <v>4097</v>
      </c>
      <c r="I962">
        <v>4150</v>
      </c>
      <c r="J962">
        <v>576100</v>
      </c>
    </row>
    <row r="963" spans="4:10">
      <c r="D963" t="s">
        <v>713</v>
      </c>
      <c r="E963" t="s">
        <v>641</v>
      </c>
      <c r="F963">
        <v>4150</v>
      </c>
      <c r="G963">
        <v>4150</v>
      </c>
      <c r="H963">
        <v>4080</v>
      </c>
      <c r="I963">
        <v>4098</v>
      </c>
      <c r="J963">
        <v>495900</v>
      </c>
    </row>
    <row r="964" spans="4:10">
      <c r="D964" t="s">
        <v>713</v>
      </c>
      <c r="E964" t="s">
        <v>642</v>
      </c>
      <c r="F964">
        <v>4099</v>
      </c>
      <c r="G964">
        <v>4114</v>
      </c>
      <c r="H964">
        <v>4008</v>
      </c>
      <c r="I964">
        <v>4027</v>
      </c>
      <c r="J964">
        <v>517800</v>
      </c>
    </row>
    <row r="965" spans="4:10">
      <c r="D965" t="s">
        <v>713</v>
      </c>
      <c r="E965" t="s">
        <v>643</v>
      </c>
      <c r="F965">
        <v>4027</v>
      </c>
      <c r="G965">
        <v>4051</v>
      </c>
      <c r="H965">
        <v>4021</v>
      </c>
      <c r="I965">
        <v>4048</v>
      </c>
      <c r="J965">
        <v>274900</v>
      </c>
    </row>
    <row r="966" spans="4:10">
      <c r="D966" t="s">
        <v>713</v>
      </c>
      <c r="E966" t="s">
        <v>644</v>
      </c>
      <c r="F966">
        <v>4049</v>
      </c>
      <c r="G966">
        <v>4066</v>
      </c>
      <c r="H966">
        <v>4033</v>
      </c>
      <c r="I966">
        <v>4058</v>
      </c>
      <c r="J966">
        <v>246700</v>
      </c>
    </row>
    <row r="967" spans="4:10">
      <c r="D967" t="s">
        <v>713</v>
      </c>
      <c r="E967" t="s">
        <v>645</v>
      </c>
      <c r="F967">
        <v>4055</v>
      </c>
      <c r="G967">
        <v>4055</v>
      </c>
      <c r="H967">
        <v>4004</v>
      </c>
      <c r="I967">
        <v>4022</v>
      </c>
      <c r="J967">
        <v>296400</v>
      </c>
    </row>
    <row r="968" spans="4:10">
      <c r="D968" t="s">
        <v>713</v>
      </c>
      <c r="E968" t="s">
        <v>646</v>
      </c>
      <c r="F968">
        <v>4021</v>
      </c>
      <c r="G968">
        <v>4042</v>
      </c>
      <c r="H968">
        <v>4014</v>
      </c>
      <c r="I968">
        <v>4033</v>
      </c>
      <c r="J968">
        <v>161000</v>
      </c>
    </row>
    <row r="969" spans="4:10">
      <c r="D969" t="s">
        <v>713</v>
      </c>
      <c r="E969" t="s">
        <v>647</v>
      </c>
      <c r="F969">
        <v>4031</v>
      </c>
      <c r="G969">
        <v>4040</v>
      </c>
      <c r="H969">
        <v>4015</v>
      </c>
      <c r="I969">
        <v>4022</v>
      </c>
      <c r="J969">
        <v>173300</v>
      </c>
    </row>
    <row r="970" spans="4:10">
      <c r="D970" t="s">
        <v>713</v>
      </c>
      <c r="E970" t="s">
        <v>648</v>
      </c>
      <c r="F970">
        <v>4023</v>
      </c>
      <c r="G970">
        <v>4028</v>
      </c>
      <c r="H970">
        <v>4004</v>
      </c>
      <c r="I970">
        <v>4012</v>
      </c>
      <c r="J970">
        <v>179700</v>
      </c>
    </row>
    <row r="971" spans="4:10">
      <c r="D971" t="s">
        <v>713</v>
      </c>
      <c r="E971" t="s">
        <v>649</v>
      </c>
      <c r="F971">
        <v>4013</v>
      </c>
      <c r="G971">
        <v>4029</v>
      </c>
      <c r="H971">
        <v>4007</v>
      </c>
      <c r="I971">
        <v>4011</v>
      </c>
      <c r="J971">
        <v>138400</v>
      </c>
    </row>
    <row r="972" spans="4:10">
      <c r="D972" t="s">
        <v>713</v>
      </c>
      <c r="E972" t="s">
        <v>650</v>
      </c>
      <c r="F972">
        <v>4011</v>
      </c>
      <c r="G972">
        <v>4013</v>
      </c>
      <c r="H972">
        <v>3974</v>
      </c>
      <c r="I972">
        <v>3975</v>
      </c>
      <c r="J972">
        <v>276100</v>
      </c>
    </row>
    <row r="973" spans="4:10">
      <c r="D973" t="s">
        <v>713</v>
      </c>
      <c r="E973" t="s">
        <v>651</v>
      </c>
      <c r="F973">
        <v>3976</v>
      </c>
      <c r="G973">
        <v>3983</v>
      </c>
      <c r="H973">
        <v>3967</v>
      </c>
      <c r="I973">
        <v>3967</v>
      </c>
      <c r="J973">
        <v>162700</v>
      </c>
    </row>
    <row r="974" spans="4:10">
      <c r="D974" t="s">
        <v>713</v>
      </c>
      <c r="E974" t="s">
        <v>652</v>
      </c>
      <c r="F974">
        <v>3969</v>
      </c>
      <c r="G974">
        <v>3969</v>
      </c>
      <c r="H974">
        <v>3940</v>
      </c>
      <c r="I974">
        <v>3946</v>
      </c>
      <c r="J974">
        <v>192100</v>
      </c>
    </row>
    <row r="975" spans="4:10">
      <c r="D975" t="s">
        <v>713</v>
      </c>
      <c r="E975" t="s">
        <v>653</v>
      </c>
      <c r="F975">
        <v>3947</v>
      </c>
      <c r="G975">
        <v>3960</v>
      </c>
      <c r="H975">
        <v>3937</v>
      </c>
      <c r="I975">
        <v>3954</v>
      </c>
      <c r="J975">
        <v>166000</v>
      </c>
    </row>
    <row r="976" spans="4:10">
      <c r="D976" t="s">
        <v>713</v>
      </c>
      <c r="E976" t="s">
        <v>654</v>
      </c>
      <c r="F976">
        <v>3954</v>
      </c>
      <c r="G976">
        <v>3978</v>
      </c>
      <c r="H976">
        <v>3951</v>
      </c>
      <c r="I976">
        <v>3977</v>
      </c>
      <c r="J976">
        <v>152100</v>
      </c>
    </row>
    <row r="977" spans="4:10">
      <c r="D977" t="s">
        <v>713</v>
      </c>
      <c r="E977" t="s">
        <v>655</v>
      </c>
      <c r="F977">
        <v>3976</v>
      </c>
      <c r="G977">
        <v>4020</v>
      </c>
      <c r="H977">
        <v>3972</v>
      </c>
      <c r="I977">
        <v>3997</v>
      </c>
      <c r="J977">
        <v>367100</v>
      </c>
    </row>
    <row r="978" spans="4:10">
      <c r="D978" t="s">
        <v>713</v>
      </c>
      <c r="E978" t="s">
        <v>656</v>
      </c>
      <c r="F978">
        <v>3997</v>
      </c>
      <c r="G978">
        <v>4013</v>
      </c>
      <c r="H978">
        <v>3983</v>
      </c>
      <c r="I978">
        <v>4004</v>
      </c>
      <c r="J978">
        <v>213600</v>
      </c>
    </row>
    <row r="979" spans="4:10">
      <c r="D979" t="s">
        <v>713</v>
      </c>
      <c r="E979" t="s">
        <v>657</v>
      </c>
      <c r="F979">
        <v>4003</v>
      </c>
      <c r="G979">
        <v>4007</v>
      </c>
      <c r="H979">
        <v>3980</v>
      </c>
      <c r="I979">
        <v>3993</v>
      </c>
      <c r="J979">
        <v>139300</v>
      </c>
    </row>
    <row r="980" spans="4:10">
      <c r="D980" t="s">
        <v>713</v>
      </c>
      <c r="E980" t="s">
        <v>658</v>
      </c>
      <c r="F980">
        <v>3992</v>
      </c>
      <c r="G980">
        <v>4020</v>
      </c>
      <c r="H980">
        <v>3989</v>
      </c>
      <c r="I980">
        <v>4012</v>
      </c>
      <c r="J980">
        <v>168200</v>
      </c>
    </row>
    <row r="981" spans="4:10">
      <c r="D981" t="s">
        <v>713</v>
      </c>
      <c r="E981" t="s">
        <v>659</v>
      </c>
      <c r="F981">
        <v>4011</v>
      </c>
      <c r="G981">
        <v>4020</v>
      </c>
      <c r="H981">
        <v>3982</v>
      </c>
      <c r="I981">
        <v>3989</v>
      </c>
      <c r="J981">
        <v>128500</v>
      </c>
    </row>
    <row r="982" spans="4:10">
      <c r="D982" t="s">
        <v>713</v>
      </c>
      <c r="E982" t="s">
        <v>660</v>
      </c>
      <c r="F982">
        <v>3987</v>
      </c>
      <c r="G982">
        <v>4008</v>
      </c>
      <c r="H982">
        <v>3982</v>
      </c>
      <c r="I982">
        <v>3989</v>
      </c>
      <c r="J982">
        <v>133700</v>
      </c>
    </row>
    <row r="983" spans="4:10">
      <c r="D983" t="s">
        <v>713</v>
      </c>
      <c r="E983" t="s">
        <v>661</v>
      </c>
      <c r="F983">
        <v>3988</v>
      </c>
      <c r="G983">
        <v>3998</v>
      </c>
      <c r="H983">
        <v>3963</v>
      </c>
      <c r="I983">
        <v>3998</v>
      </c>
      <c r="J983">
        <v>156500</v>
      </c>
    </row>
    <row r="984" spans="4:10">
      <c r="D984" t="s">
        <v>713</v>
      </c>
      <c r="E984" t="s">
        <v>662</v>
      </c>
      <c r="F984">
        <v>3999</v>
      </c>
      <c r="G984">
        <v>4004</v>
      </c>
      <c r="H984">
        <v>3982</v>
      </c>
      <c r="I984">
        <v>3998</v>
      </c>
      <c r="J984">
        <v>117900</v>
      </c>
    </row>
    <row r="985" spans="4:10">
      <c r="D985" t="s">
        <v>713</v>
      </c>
      <c r="E985" t="s">
        <v>663</v>
      </c>
      <c r="F985">
        <v>3999</v>
      </c>
      <c r="G985">
        <v>4013</v>
      </c>
      <c r="H985">
        <v>3995</v>
      </c>
      <c r="I985">
        <v>4000</v>
      </c>
      <c r="J985">
        <v>115600</v>
      </c>
    </row>
    <row r="986" spans="4:10">
      <c r="D986" t="s">
        <v>713</v>
      </c>
      <c r="E986" t="s">
        <v>664</v>
      </c>
      <c r="F986">
        <v>3999</v>
      </c>
      <c r="G986">
        <v>4002</v>
      </c>
      <c r="H986">
        <v>3964</v>
      </c>
      <c r="I986">
        <v>3977</v>
      </c>
      <c r="J986">
        <v>99200</v>
      </c>
    </row>
    <row r="987" spans="4:10">
      <c r="D987" t="s">
        <v>713</v>
      </c>
      <c r="E987" t="s">
        <v>665</v>
      </c>
      <c r="F987">
        <v>3976</v>
      </c>
      <c r="G987">
        <v>3983</v>
      </c>
      <c r="H987">
        <v>3941</v>
      </c>
      <c r="I987">
        <v>3945</v>
      </c>
      <c r="J987">
        <v>110200</v>
      </c>
    </row>
    <row r="988" spans="4:10">
      <c r="D988" t="s">
        <v>713</v>
      </c>
      <c r="E988" t="s">
        <v>666</v>
      </c>
      <c r="F988">
        <v>3944</v>
      </c>
      <c r="G988">
        <v>3950</v>
      </c>
      <c r="H988">
        <v>3927</v>
      </c>
      <c r="I988">
        <v>3939</v>
      </c>
      <c r="J988">
        <v>156400</v>
      </c>
    </row>
    <row r="989" spans="4:10">
      <c r="D989" t="s">
        <v>713</v>
      </c>
      <c r="E989" t="s">
        <v>667</v>
      </c>
      <c r="F989">
        <v>3939</v>
      </c>
      <c r="G989">
        <v>3943</v>
      </c>
      <c r="H989">
        <v>3911</v>
      </c>
      <c r="I989">
        <v>3915</v>
      </c>
      <c r="J989">
        <v>154100</v>
      </c>
    </row>
    <row r="990" spans="4:10">
      <c r="D990" t="s">
        <v>713</v>
      </c>
      <c r="E990" t="s">
        <v>668</v>
      </c>
      <c r="F990">
        <v>3915</v>
      </c>
      <c r="G990">
        <v>3916</v>
      </c>
      <c r="H990">
        <v>3885</v>
      </c>
      <c r="I990">
        <v>3888</v>
      </c>
      <c r="J990">
        <v>239300</v>
      </c>
    </row>
    <row r="991" spans="4:10">
      <c r="D991" t="s">
        <v>713</v>
      </c>
      <c r="E991" t="s">
        <v>669</v>
      </c>
      <c r="F991">
        <v>3885</v>
      </c>
      <c r="G991">
        <v>3885</v>
      </c>
      <c r="H991">
        <v>3885</v>
      </c>
      <c r="I991">
        <v>3885</v>
      </c>
      <c r="J991">
        <v>10500</v>
      </c>
    </row>
    <row r="992" spans="4:10">
      <c r="D992" t="s">
        <v>713</v>
      </c>
      <c r="E992" t="s">
        <v>670</v>
      </c>
      <c r="F992">
        <v>3873</v>
      </c>
      <c r="G992">
        <v>3874</v>
      </c>
      <c r="H992">
        <v>3806</v>
      </c>
      <c r="I992">
        <v>3809</v>
      </c>
      <c r="J992">
        <v>504500</v>
      </c>
    </row>
    <row r="993" spans="1:10">
      <c r="D993" t="s">
        <v>713</v>
      </c>
      <c r="E993" t="s">
        <v>671</v>
      </c>
      <c r="F993">
        <v>3807</v>
      </c>
      <c r="G993">
        <v>3854</v>
      </c>
      <c r="H993">
        <v>3796</v>
      </c>
      <c r="I993">
        <v>3848</v>
      </c>
      <c r="J993">
        <v>342300</v>
      </c>
    </row>
    <row r="994" spans="1:10">
      <c r="D994" t="s">
        <v>713</v>
      </c>
      <c r="E994" t="s">
        <v>672</v>
      </c>
      <c r="F994">
        <v>3847</v>
      </c>
      <c r="G994">
        <v>3855</v>
      </c>
      <c r="H994">
        <v>3831</v>
      </c>
      <c r="I994">
        <v>3837</v>
      </c>
      <c r="J994">
        <v>160600</v>
      </c>
    </row>
    <row r="995" spans="1:10">
      <c r="D995" t="s">
        <v>713</v>
      </c>
      <c r="E995" t="s">
        <v>673</v>
      </c>
      <c r="F995">
        <v>3838</v>
      </c>
      <c r="G995">
        <v>3853</v>
      </c>
      <c r="H995">
        <v>3835</v>
      </c>
      <c r="I995">
        <v>3848</v>
      </c>
      <c r="J995">
        <v>146200</v>
      </c>
    </row>
    <row r="996" spans="1:10">
      <c r="D996" t="s">
        <v>713</v>
      </c>
      <c r="E996" t="s">
        <v>674</v>
      </c>
      <c r="F996">
        <v>3848</v>
      </c>
      <c r="G996">
        <v>3859</v>
      </c>
      <c r="H996">
        <v>3846</v>
      </c>
      <c r="I996">
        <v>3852</v>
      </c>
      <c r="J996">
        <v>134800</v>
      </c>
    </row>
    <row r="997" spans="1:10">
      <c r="D997" t="s">
        <v>713</v>
      </c>
      <c r="E997" t="s">
        <v>675</v>
      </c>
      <c r="F997">
        <v>3850</v>
      </c>
      <c r="G997">
        <v>3877</v>
      </c>
      <c r="H997">
        <v>3846</v>
      </c>
      <c r="I997">
        <v>3873</v>
      </c>
      <c r="J997">
        <v>126600</v>
      </c>
    </row>
    <row r="998" spans="1:10">
      <c r="D998" t="s">
        <v>713</v>
      </c>
      <c r="E998" t="s">
        <v>676</v>
      </c>
      <c r="F998">
        <v>3872</v>
      </c>
      <c r="G998">
        <v>3898</v>
      </c>
      <c r="H998">
        <v>3870</v>
      </c>
      <c r="I998">
        <v>3893</v>
      </c>
      <c r="J998">
        <v>149800</v>
      </c>
    </row>
    <row r="999" spans="1:10">
      <c r="D999" t="s">
        <v>713</v>
      </c>
      <c r="E999" t="s">
        <v>677</v>
      </c>
      <c r="F999">
        <v>3892</v>
      </c>
      <c r="G999">
        <v>3913</v>
      </c>
      <c r="H999">
        <v>3892</v>
      </c>
      <c r="I999">
        <v>3912</v>
      </c>
      <c r="J999">
        <v>131000</v>
      </c>
    </row>
    <row r="1000" spans="1:10">
      <c r="D1000" t="s">
        <v>713</v>
      </c>
      <c r="E1000" t="s">
        <v>678</v>
      </c>
      <c r="F1000">
        <v>3913</v>
      </c>
      <c r="G1000">
        <v>3919</v>
      </c>
      <c r="H1000">
        <v>3904</v>
      </c>
      <c r="I1000">
        <v>3905</v>
      </c>
      <c r="J1000">
        <v>114000</v>
      </c>
    </row>
    <row r="1001" spans="1:10">
      <c r="D1001" t="s">
        <v>713</v>
      </c>
      <c r="E1001" t="s">
        <v>679</v>
      </c>
      <c r="F1001">
        <v>3905</v>
      </c>
      <c r="G1001">
        <v>3907</v>
      </c>
      <c r="H1001">
        <v>3879</v>
      </c>
      <c r="I1001">
        <v>3885</v>
      </c>
      <c r="J1001">
        <v>146600</v>
      </c>
    </row>
    <row r="1002" spans="1:10">
      <c r="D1002" t="s">
        <v>713</v>
      </c>
      <c r="E1002" t="s">
        <v>680</v>
      </c>
      <c r="F1002">
        <v>3884</v>
      </c>
      <c r="G1002">
        <v>3886</v>
      </c>
      <c r="H1002">
        <v>3844</v>
      </c>
      <c r="I1002">
        <v>3846</v>
      </c>
      <c r="J1002">
        <v>153000</v>
      </c>
    </row>
    <row r="1003" spans="1:10">
      <c r="A1003" s="1"/>
      <c r="B1003" s="1"/>
      <c r="C1003" s="1"/>
      <c r="D1003" s="1" t="s">
        <v>713</v>
      </c>
      <c r="E1003" s="1" t="s">
        <v>681</v>
      </c>
      <c r="F1003" s="1">
        <v>3847</v>
      </c>
      <c r="G1003" s="1">
        <v>3873</v>
      </c>
      <c r="H1003" s="1">
        <v>3846</v>
      </c>
      <c r="I1003" s="1">
        <v>3863</v>
      </c>
      <c r="J1003" s="1">
        <v>109800</v>
      </c>
    </row>
    <row r="1004" spans="1:10">
      <c r="D1004" t="s">
        <v>713</v>
      </c>
      <c r="E1004" t="s">
        <v>682</v>
      </c>
      <c r="F1004">
        <v>3863</v>
      </c>
      <c r="G1004">
        <v>3872</v>
      </c>
      <c r="H1004">
        <v>3857</v>
      </c>
      <c r="I1004">
        <v>3862</v>
      </c>
      <c r="J1004">
        <v>93300</v>
      </c>
    </row>
    <row r="1005" spans="1:10">
      <c r="D1005" t="s">
        <v>713</v>
      </c>
      <c r="E1005" t="s">
        <v>683</v>
      </c>
      <c r="F1005">
        <v>3862</v>
      </c>
      <c r="G1005">
        <v>3872</v>
      </c>
      <c r="H1005">
        <v>3859</v>
      </c>
      <c r="I1005">
        <v>3860</v>
      </c>
      <c r="J1005">
        <v>91800</v>
      </c>
    </row>
    <row r="1006" spans="1:10">
      <c r="D1006" t="s">
        <v>713</v>
      </c>
      <c r="E1006" t="s">
        <v>684</v>
      </c>
      <c r="F1006">
        <v>3860</v>
      </c>
      <c r="G1006">
        <v>3865</v>
      </c>
      <c r="H1006">
        <v>3856</v>
      </c>
      <c r="I1006">
        <v>3856</v>
      </c>
      <c r="J1006">
        <v>64000</v>
      </c>
    </row>
    <row r="1007" spans="1:10">
      <c r="D1007" t="s">
        <v>713</v>
      </c>
      <c r="E1007" t="s">
        <v>685</v>
      </c>
      <c r="F1007">
        <v>3855</v>
      </c>
      <c r="G1007">
        <v>3859</v>
      </c>
      <c r="H1007">
        <v>3853</v>
      </c>
      <c r="I1007">
        <v>3859</v>
      </c>
      <c r="J1007">
        <v>75100</v>
      </c>
    </row>
    <row r="1008" spans="1:10">
      <c r="D1008" t="s">
        <v>713</v>
      </c>
      <c r="E1008" t="s">
        <v>686</v>
      </c>
      <c r="F1008">
        <v>3859</v>
      </c>
      <c r="G1008">
        <v>3864</v>
      </c>
      <c r="H1008">
        <v>3851</v>
      </c>
      <c r="I1008">
        <v>3859</v>
      </c>
      <c r="J1008">
        <v>88200</v>
      </c>
    </row>
    <row r="1009" spans="4:10">
      <c r="D1009" t="s">
        <v>713</v>
      </c>
      <c r="E1009" t="s">
        <v>687</v>
      </c>
      <c r="F1009">
        <v>3859</v>
      </c>
      <c r="G1009">
        <v>3860</v>
      </c>
      <c r="H1009">
        <v>3842</v>
      </c>
      <c r="I1009">
        <v>3846</v>
      </c>
      <c r="J1009">
        <v>93400</v>
      </c>
    </row>
    <row r="1010" spans="4:10">
      <c r="D1010" t="s">
        <v>713</v>
      </c>
      <c r="E1010" t="s">
        <v>688</v>
      </c>
      <c r="F1010">
        <v>3844</v>
      </c>
      <c r="G1010">
        <v>3846</v>
      </c>
      <c r="H1010">
        <v>3824</v>
      </c>
      <c r="I1010">
        <v>3827</v>
      </c>
      <c r="J1010">
        <v>136100</v>
      </c>
    </row>
    <row r="1011" spans="4:10">
      <c r="D1011" t="s">
        <v>713</v>
      </c>
      <c r="E1011" t="s">
        <v>689</v>
      </c>
      <c r="F1011">
        <v>3828</v>
      </c>
      <c r="G1011">
        <v>3838</v>
      </c>
      <c r="H1011">
        <v>3824</v>
      </c>
      <c r="I1011">
        <v>3825</v>
      </c>
      <c r="J1011">
        <v>111500</v>
      </c>
    </row>
    <row r="1012" spans="4:10">
      <c r="D1012" t="s">
        <v>713</v>
      </c>
      <c r="E1012" t="s">
        <v>690</v>
      </c>
      <c r="F1012">
        <v>3825</v>
      </c>
      <c r="G1012">
        <v>3829</v>
      </c>
      <c r="H1012">
        <v>3818</v>
      </c>
      <c r="I1012">
        <v>3825</v>
      </c>
      <c r="J1012">
        <v>102900</v>
      </c>
    </row>
    <row r="1013" spans="4:10">
      <c r="D1013" t="s">
        <v>713</v>
      </c>
      <c r="E1013" t="s">
        <v>691</v>
      </c>
      <c r="F1013">
        <v>3825</v>
      </c>
      <c r="G1013">
        <v>3829</v>
      </c>
      <c r="H1013">
        <v>3821</v>
      </c>
      <c r="I1013">
        <v>3826</v>
      </c>
      <c r="J1013">
        <v>70800</v>
      </c>
    </row>
    <row r="1014" spans="4:10">
      <c r="D1014" t="s">
        <v>713</v>
      </c>
      <c r="E1014" t="s">
        <v>692</v>
      </c>
      <c r="F1014">
        <v>3827</v>
      </c>
      <c r="G1014">
        <v>3831</v>
      </c>
      <c r="H1014">
        <v>3814</v>
      </c>
      <c r="I1014">
        <v>3819</v>
      </c>
      <c r="J1014">
        <v>123400</v>
      </c>
    </row>
    <row r="1015" spans="4:10">
      <c r="D1015" t="s">
        <v>713</v>
      </c>
      <c r="E1015" t="s">
        <v>693</v>
      </c>
      <c r="F1015">
        <v>3820</v>
      </c>
      <c r="G1015">
        <v>3825</v>
      </c>
      <c r="H1015">
        <v>3812</v>
      </c>
      <c r="I1015">
        <v>3813</v>
      </c>
      <c r="J1015">
        <v>96000</v>
      </c>
    </row>
    <row r="1016" spans="4:10">
      <c r="D1016" t="s">
        <v>713</v>
      </c>
      <c r="E1016" t="s">
        <v>694</v>
      </c>
      <c r="F1016">
        <v>3813</v>
      </c>
      <c r="G1016">
        <v>3815</v>
      </c>
      <c r="H1016">
        <v>3806</v>
      </c>
      <c r="I1016">
        <v>3806</v>
      </c>
      <c r="J1016">
        <v>104400</v>
      </c>
    </row>
    <row r="1017" spans="4:10">
      <c r="D1017" t="s">
        <v>713</v>
      </c>
      <c r="E1017" t="s">
        <v>695</v>
      </c>
      <c r="F1017">
        <v>3806</v>
      </c>
      <c r="G1017">
        <v>3811</v>
      </c>
      <c r="H1017">
        <v>3791</v>
      </c>
      <c r="I1017">
        <v>3793</v>
      </c>
      <c r="J1017">
        <v>195100</v>
      </c>
    </row>
    <row r="1018" spans="4:10">
      <c r="D1018" t="s">
        <v>713</v>
      </c>
      <c r="E1018" t="s">
        <v>696</v>
      </c>
      <c r="F1018">
        <v>3793</v>
      </c>
      <c r="G1018">
        <v>3797</v>
      </c>
      <c r="H1018">
        <v>3784</v>
      </c>
      <c r="I1018">
        <v>3792</v>
      </c>
      <c r="J1018">
        <v>146800</v>
      </c>
    </row>
    <row r="1019" spans="4:10">
      <c r="D1019" t="s">
        <v>713</v>
      </c>
      <c r="E1019" t="s">
        <v>697</v>
      </c>
      <c r="F1019">
        <v>3792</v>
      </c>
      <c r="G1019">
        <v>3796</v>
      </c>
      <c r="H1019">
        <v>3785</v>
      </c>
      <c r="I1019">
        <v>3793</v>
      </c>
      <c r="J1019">
        <v>94700</v>
      </c>
    </row>
    <row r="1020" spans="4:10">
      <c r="D1020" t="s">
        <v>713</v>
      </c>
      <c r="E1020" t="s">
        <v>698</v>
      </c>
      <c r="F1020">
        <v>3792</v>
      </c>
      <c r="G1020">
        <v>3797</v>
      </c>
      <c r="H1020">
        <v>3786</v>
      </c>
      <c r="I1020">
        <v>3789</v>
      </c>
      <c r="J1020">
        <v>80900</v>
      </c>
    </row>
    <row r="1021" spans="4:10">
      <c r="D1021" t="s">
        <v>713</v>
      </c>
      <c r="E1021" t="s">
        <v>699</v>
      </c>
      <c r="F1021">
        <v>3789</v>
      </c>
      <c r="G1021">
        <v>3798</v>
      </c>
      <c r="H1021">
        <v>3782</v>
      </c>
      <c r="I1021">
        <v>3790</v>
      </c>
      <c r="J1021">
        <v>114400</v>
      </c>
    </row>
    <row r="1022" spans="4:10">
      <c r="D1022" t="s">
        <v>713</v>
      </c>
      <c r="E1022" t="s">
        <v>700</v>
      </c>
      <c r="F1022">
        <v>3790</v>
      </c>
      <c r="G1022">
        <v>3798</v>
      </c>
      <c r="H1022">
        <v>3786</v>
      </c>
      <c r="I1022">
        <v>3790</v>
      </c>
      <c r="J1022">
        <v>93100</v>
      </c>
    </row>
    <row r="1023" spans="4:10">
      <c r="D1023" t="s">
        <v>713</v>
      </c>
      <c r="E1023" t="s">
        <v>633</v>
      </c>
      <c r="F1023">
        <v>3791</v>
      </c>
      <c r="G1023">
        <v>3793</v>
      </c>
      <c r="H1023">
        <v>3783</v>
      </c>
      <c r="I1023">
        <v>3785</v>
      </c>
      <c r="J1023">
        <v>93400</v>
      </c>
    </row>
    <row r="1024" spans="4:10">
      <c r="D1024" t="s">
        <v>713</v>
      </c>
      <c r="E1024" t="s">
        <v>634</v>
      </c>
      <c r="F1024">
        <v>3785</v>
      </c>
      <c r="G1024">
        <v>3800</v>
      </c>
      <c r="H1024">
        <v>3785</v>
      </c>
      <c r="I1024">
        <v>3796</v>
      </c>
      <c r="J1024">
        <v>130800</v>
      </c>
    </row>
    <row r="1025" spans="4:10">
      <c r="D1025" t="s">
        <v>713</v>
      </c>
      <c r="E1025" t="s">
        <v>635</v>
      </c>
      <c r="F1025">
        <v>3795</v>
      </c>
      <c r="G1025">
        <v>3802</v>
      </c>
      <c r="H1025">
        <v>3793</v>
      </c>
      <c r="I1025">
        <v>3800</v>
      </c>
      <c r="J1025">
        <v>126200</v>
      </c>
    </row>
    <row r="1026" spans="4:10">
      <c r="D1026" t="s">
        <v>713</v>
      </c>
      <c r="E1026" t="s">
        <v>614</v>
      </c>
      <c r="F1026">
        <v>3801</v>
      </c>
      <c r="G1026">
        <v>3804</v>
      </c>
      <c r="H1026">
        <v>3788</v>
      </c>
      <c r="I1026">
        <v>3793</v>
      </c>
      <c r="J1026">
        <v>164200</v>
      </c>
    </row>
    <row r="1027" spans="4:10">
      <c r="D1027" t="s">
        <v>713</v>
      </c>
      <c r="E1027" t="s">
        <v>636</v>
      </c>
      <c r="F1027" t="s">
        <v>35</v>
      </c>
      <c r="G1027" t="s">
        <v>35</v>
      </c>
      <c r="H1027" t="s">
        <v>35</v>
      </c>
      <c r="I1027" t="s">
        <v>35</v>
      </c>
      <c r="J1027">
        <v>0</v>
      </c>
    </row>
    <row r="1028" spans="4:10">
      <c r="D1028" t="s">
        <v>713</v>
      </c>
      <c r="E1028" t="s">
        <v>637</v>
      </c>
      <c r="F1028">
        <v>3788</v>
      </c>
      <c r="G1028">
        <v>3788</v>
      </c>
      <c r="H1028">
        <v>3788</v>
      </c>
      <c r="I1028">
        <v>3788</v>
      </c>
      <c r="J1028">
        <v>667300</v>
      </c>
    </row>
    <row r="1029" spans="4:10">
      <c r="D1029" t="s">
        <v>714</v>
      </c>
      <c r="E1029" t="s">
        <v>639</v>
      </c>
      <c r="F1029" t="s">
        <v>35</v>
      </c>
      <c r="G1029" t="s">
        <v>35</v>
      </c>
      <c r="H1029" t="s">
        <v>35</v>
      </c>
      <c r="I1029" t="s">
        <v>35</v>
      </c>
      <c r="J1029">
        <v>0</v>
      </c>
    </row>
    <row r="1030" spans="4:10">
      <c r="D1030" t="s">
        <v>714</v>
      </c>
      <c r="E1030" t="s">
        <v>640</v>
      </c>
      <c r="F1030" t="s">
        <v>35</v>
      </c>
      <c r="G1030" t="s">
        <v>35</v>
      </c>
      <c r="H1030" t="s">
        <v>35</v>
      </c>
      <c r="I1030" t="s">
        <v>35</v>
      </c>
      <c r="J1030">
        <v>0</v>
      </c>
    </row>
    <row r="1031" spans="4:10">
      <c r="D1031" t="s">
        <v>714</v>
      </c>
      <c r="E1031" t="s">
        <v>641</v>
      </c>
      <c r="F1031">
        <v>3488</v>
      </c>
      <c r="G1031">
        <v>3517</v>
      </c>
      <c r="H1031">
        <v>3450</v>
      </c>
      <c r="I1031">
        <v>3451</v>
      </c>
      <c r="J1031">
        <v>1592700</v>
      </c>
    </row>
    <row r="1032" spans="4:10">
      <c r="D1032" t="s">
        <v>714</v>
      </c>
      <c r="E1032" t="s">
        <v>642</v>
      </c>
      <c r="F1032">
        <v>3452</v>
      </c>
      <c r="G1032">
        <v>3463</v>
      </c>
      <c r="H1032">
        <v>3425</v>
      </c>
      <c r="I1032">
        <v>3442</v>
      </c>
      <c r="J1032">
        <v>433700</v>
      </c>
    </row>
    <row r="1033" spans="4:10">
      <c r="D1033" t="s">
        <v>714</v>
      </c>
      <c r="E1033" t="s">
        <v>643</v>
      </c>
      <c r="F1033">
        <v>3443</v>
      </c>
      <c r="G1033">
        <v>3480</v>
      </c>
      <c r="H1033">
        <v>3422</v>
      </c>
      <c r="I1033">
        <v>3447</v>
      </c>
      <c r="J1033">
        <v>522800</v>
      </c>
    </row>
    <row r="1034" spans="4:10">
      <c r="D1034" t="s">
        <v>714</v>
      </c>
      <c r="E1034" t="s">
        <v>644</v>
      </c>
      <c r="F1034">
        <v>3446</v>
      </c>
      <c r="G1034">
        <v>3476</v>
      </c>
      <c r="H1034">
        <v>3432</v>
      </c>
      <c r="I1034">
        <v>3462</v>
      </c>
      <c r="J1034">
        <v>315700</v>
      </c>
    </row>
    <row r="1035" spans="4:10">
      <c r="D1035" t="s">
        <v>714</v>
      </c>
      <c r="E1035" t="s">
        <v>645</v>
      </c>
      <c r="F1035">
        <v>3461</v>
      </c>
      <c r="G1035">
        <v>3498</v>
      </c>
      <c r="H1035">
        <v>3452</v>
      </c>
      <c r="I1035">
        <v>3491</v>
      </c>
      <c r="J1035">
        <v>289300</v>
      </c>
    </row>
    <row r="1036" spans="4:10">
      <c r="D1036" t="s">
        <v>714</v>
      </c>
      <c r="E1036" t="s">
        <v>646</v>
      </c>
      <c r="F1036">
        <v>3492</v>
      </c>
      <c r="G1036">
        <v>3504</v>
      </c>
      <c r="H1036">
        <v>3472</v>
      </c>
      <c r="I1036">
        <v>3504</v>
      </c>
      <c r="J1036">
        <v>340500</v>
      </c>
    </row>
    <row r="1037" spans="4:10">
      <c r="D1037" t="s">
        <v>714</v>
      </c>
      <c r="E1037" t="s">
        <v>647</v>
      </c>
      <c r="F1037">
        <v>3505</v>
      </c>
      <c r="G1037">
        <v>3513</v>
      </c>
      <c r="H1037">
        <v>3477</v>
      </c>
      <c r="I1037">
        <v>3510</v>
      </c>
      <c r="J1037">
        <v>303400</v>
      </c>
    </row>
    <row r="1038" spans="4:10">
      <c r="D1038" t="s">
        <v>714</v>
      </c>
      <c r="E1038" t="s">
        <v>648</v>
      </c>
      <c r="F1038">
        <v>3509</v>
      </c>
      <c r="G1038">
        <v>3532</v>
      </c>
      <c r="H1038">
        <v>3471</v>
      </c>
      <c r="I1038">
        <v>3484</v>
      </c>
      <c r="J1038">
        <v>388600</v>
      </c>
    </row>
    <row r="1039" spans="4:10">
      <c r="D1039" t="s">
        <v>714</v>
      </c>
      <c r="E1039" t="s">
        <v>649</v>
      </c>
      <c r="F1039">
        <v>3484</v>
      </c>
      <c r="G1039">
        <v>3507</v>
      </c>
      <c r="H1039">
        <v>3476</v>
      </c>
      <c r="I1039">
        <v>3495</v>
      </c>
      <c r="J1039">
        <v>232100</v>
      </c>
    </row>
    <row r="1040" spans="4:10">
      <c r="D1040" t="s">
        <v>714</v>
      </c>
      <c r="E1040" t="s">
        <v>650</v>
      </c>
      <c r="F1040">
        <v>3495</v>
      </c>
      <c r="G1040">
        <v>3525</v>
      </c>
      <c r="H1040">
        <v>3495</v>
      </c>
      <c r="I1040">
        <v>3500</v>
      </c>
      <c r="J1040">
        <v>218700</v>
      </c>
    </row>
    <row r="1041" spans="4:10">
      <c r="D1041" t="s">
        <v>714</v>
      </c>
      <c r="E1041" t="s">
        <v>651</v>
      </c>
      <c r="F1041">
        <v>3500</v>
      </c>
      <c r="G1041">
        <v>3547</v>
      </c>
      <c r="H1041">
        <v>3492</v>
      </c>
      <c r="I1041">
        <v>3545</v>
      </c>
      <c r="J1041">
        <v>211500</v>
      </c>
    </row>
    <row r="1042" spans="4:10">
      <c r="D1042" t="s">
        <v>714</v>
      </c>
      <c r="E1042" t="s">
        <v>652</v>
      </c>
      <c r="F1042">
        <v>3544</v>
      </c>
      <c r="G1042">
        <v>3603</v>
      </c>
      <c r="H1042">
        <v>3539</v>
      </c>
      <c r="I1042">
        <v>3595</v>
      </c>
      <c r="J1042">
        <v>317900</v>
      </c>
    </row>
    <row r="1043" spans="4:10">
      <c r="D1043" t="s">
        <v>714</v>
      </c>
      <c r="E1043" t="s">
        <v>653</v>
      </c>
      <c r="F1043">
        <v>3595</v>
      </c>
      <c r="G1043">
        <v>3609</v>
      </c>
      <c r="H1043">
        <v>3570</v>
      </c>
      <c r="I1043">
        <v>3579</v>
      </c>
      <c r="J1043">
        <v>219000</v>
      </c>
    </row>
    <row r="1044" spans="4:10">
      <c r="D1044" t="s">
        <v>714</v>
      </c>
      <c r="E1044" t="s">
        <v>654</v>
      </c>
      <c r="F1044">
        <v>3578</v>
      </c>
      <c r="G1044">
        <v>3583</v>
      </c>
      <c r="H1044">
        <v>3551</v>
      </c>
      <c r="I1044">
        <v>3577</v>
      </c>
      <c r="J1044">
        <v>135800</v>
      </c>
    </row>
    <row r="1045" spans="4:10">
      <c r="D1045" t="s">
        <v>714</v>
      </c>
      <c r="E1045" t="s">
        <v>655</v>
      </c>
      <c r="F1045">
        <v>3578</v>
      </c>
      <c r="G1045">
        <v>3580</v>
      </c>
      <c r="H1045">
        <v>3552</v>
      </c>
      <c r="I1045">
        <v>3559</v>
      </c>
      <c r="J1045">
        <v>149400</v>
      </c>
    </row>
    <row r="1046" spans="4:10">
      <c r="D1046" t="s">
        <v>714</v>
      </c>
      <c r="E1046" t="s">
        <v>656</v>
      </c>
      <c r="F1046">
        <v>3558</v>
      </c>
      <c r="G1046">
        <v>3575</v>
      </c>
      <c r="H1046">
        <v>3552</v>
      </c>
      <c r="I1046">
        <v>3568</v>
      </c>
      <c r="J1046">
        <v>105200</v>
      </c>
    </row>
    <row r="1047" spans="4:10">
      <c r="D1047" t="s">
        <v>714</v>
      </c>
      <c r="E1047" t="s">
        <v>657</v>
      </c>
      <c r="F1047">
        <v>3570</v>
      </c>
      <c r="G1047">
        <v>3583</v>
      </c>
      <c r="H1047">
        <v>3553</v>
      </c>
      <c r="I1047">
        <v>3553</v>
      </c>
      <c r="J1047">
        <v>123000</v>
      </c>
    </row>
    <row r="1048" spans="4:10">
      <c r="D1048" t="s">
        <v>714</v>
      </c>
      <c r="E1048" t="s">
        <v>658</v>
      </c>
      <c r="F1048">
        <v>3553</v>
      </c>
      <c r="G1048">
        <v>3571</v>
      </c>
      <c r="H1048">
        <v>3547</v>
      </c>
      <c r="I1048">
        <v>3571</v>
      </c>
      <c r="J1048">
        <v>113500</v>
      </c>
    </row>
    <row r="1049" spans="4:10">
      <c r="D1049" t="s">
        <v>714</v>
      </c>
      <c r="E1049" t="s">
        <v>659</v>
      </c>
      <c r="F1049">
        <v>3570</v>
      </c>
      <c r="G1049">
        <v>3570</v>
      </c>
      <c r="H1049">
        <v>3546</v>
      </c>
      <c r="I1049">
        <v>3555</v>
      </c>
      <c r="J1049">
        <v>84500</v>
      </c>
    </row>
    <row r="1050" spans="4:10">
      <c r="D1050" t="s">
        <v>714</v>
      </c>
      <c r="E1050" t="s">
        <v>660</v>
      </c>
      <c r="F1050">
        <v>3554</v>
      </c>
      <c r="G1050">
        <v>3554</v>
      </c>
      <c r="H1050">
        <v>3523</v>
      </c>
      <c r="I1050">
        <v>3528</v>
      </c>
      <c r="J1050">
        <v>121900</v>
      </c>
    </row>
    <row r="1051" spans="4:10">
      <c r="D1051" t="s">
        <v>714</v>
      </c>
      <c r="E1051" t="s">
        <v>661</v>
      </c>
      <c r="F1051">
        <v>3530</v>
      </c>
      <c r="G1051">
        <v>3535</v>
      </c>
      <c r="H1051">
        <v>3520</v>
      </c>
      <c r="I1051">
        <v>3534</v>
      </c>
      <c r="J1051">
        <v>113700</v>
      </c>
    </row>
    <row r="1052" spans="4:10">
      <c r="D1052" t="s">
        <v>714</v>
      </c>
      <c r="E1052" t="s">
        <v>662</v>
      </c>
      <c r="F1052">
        <v>3533</v>
      </c>
      <c r="G1052">
        <v>3554</v>
      </c>
      <c r="H1052">
        <v>3533</v>
      </c>
      <c r="I1052">
        <v>3545</v>
      </c>
      <c r="J1052">
        <v>123400</v>
      </c>
    </row>
    <row r="1053" spans="4:10">
      <c r="D1053" t="s">
        <v>714</v>
      </c>
      <c r="E1053" t="s">
        <v>663</v>
      </c>
      <c r="F1053">
        <v>3545</v>
      </c>
      <c r="G1053">
        <v>3548</v>
      </c>
      <c r="H1053">
        <v>3535</v>
      </c>
      <c r="I1053">
        <v>3536</v>
      </c>
      <c r="J1053">
        <v>72700</v>
      </c>
    </row>
    <row r="1054" spans="4:10">
      <c r="D1054" t="s">
        <v>714</v>
      </c>
      <c r="E1054" t="s">
        <v>664</v>
      </c>
      <c r="F1054">
        <v>3538</v>
      </c>
      <c r="G1054">
        <v>3540</v>
      </c>
      <c r="H1054">
        <v>3516</v>
      </c>
      <c r="I1054">
        <v>3521</v>
      </c>
      <c r="J1054">
        <v>81200</v>
      </c>
    </row>
    <row r="1055" spans="4:10">
      <c r="D1055" t="s">
        <v>714</v>
      </c>
      <c r="E1055" t="s">
        <v>665</v>
      </c>
      <c r="F1055">
        <v>3522</v>
      </c>
      <c r="G1055">
        <v>3523</v>
      </c>
      <c r="H1055">
        <v>3508</v>
      </c>
      <c r="I1055">
        <v>3515</v>
      </c>
      <c r="J1055">
        <v>87300</v>
      </c>
    </row>
    <row r="1056" spans="4:10">
      <c r="D1056" t="s">
        <v>714</v>
      </c>
      <c r="E1056" t="s">
        <v>666</v>
      </c>
      <c r="F1056">
        <v>3515</v>
      </c>
      <c r="G1056">
        <v>3518</v>
      </c>
      <c r="H1056">
        <v>3506</v>
      </c>
      <c r="I1056">
        <v>3513</v>
      </c>
      <c r="J1056">
        <v>143400</v>
      </c>
    </row>
    <row r="1057" spans="4:10">
      <c r="D1057" t="s">
        <v>714</v>
      </c>
      <c r="E1057" t="s">
        <v>667</v>
      </c>
      <c r="F1057">
        <v>3514</v>
      </c>
      <c r="G1057">
        <v>3539</v>
      </c>
      <c r="H1057">
        <v>3511</v>
      </c>
      <c r="I1057">
        <v>3529</v>
      </c>
      <c r="J1057">
        <v>320100</v>
      </c>
    </row>
    <row r="1058" spans="4:10">
      <c r="D1058" t="s">
        <v>714</v>
      </c>
      <c r="E1058" t="s">
        <v>668</v>
      </c>
      <c r="F1058">
        <v>3528</v>
      </c>
      <c r="G1058">
        <v>3547</v>
      </c>
      <c r="H1058">
        <v>3527</v>
      </c>
      <c r="I1058">
        <v>3546</v>
      </c>
      <c r="J1058">
        <v>140500</v>
      </c>
    </row>
    <row r="1059" spans="4:10">
      <c r="D1059" t="s">
        <v>714</v>
      </c>
      <c r="E1059" t="s">
        <v>669</v>
      </c>
      <c r="F1059">
        <v>3546</v>
      </c>
      <c r="G1059">
        <v>3546</v>
      </c>
      <c r="H1059">
        <v>3546</v>
      </c>
      <c r="I1059">
        <v>3546</v>
      </c>
      <c r="J1059">
        <v>4100</v>
      </c>
    </row>
    <row r="1060" spans="4:10">
      <c r="D1060" t="s">
        <v>714</v>
      </c>
      <c r="E1060" t="s">
        <v>670</v>
      </c>
      <c r="F1060">
        <v>3555</v>
      </c>
      <c r="G1060">
        <v>3579</v>
      </c>
      <c r="H1060">
        <v>3526</v>
      </c>
      <c r="I1060">
        <v>3537</v>
      </c>
      <c r="J1060">
        <v>321700</v>
      </c>
    </row>
    <row r="1061" spans="4:10">
      <c r="D1061" t="s">
        <v>714</v>
      </c>
      <c r="E1061" t="s">
        <v>671</v>
      </c>
      <c r="F1061">
        <v>3538</v>
      </c>
      <c r="G1061">
        <v>3554</v>
      </c>
      <c r="H1061">
        <v>3527</v>
      </c>
      <c r="I1061">
        <v>3529</v>
      </c>
      <c r="J1061">
        <v>143700</v>
      </c>
    </row>
    <row r="1062" spans="4:10">
      <c r="D1062" t="s">
        <v>714</v>
      </c>
      <c r="E1062" t="s">
        <v>672</v>
      </c>
      <c r="F1062">
        <v>3529</v>
      </c>
      <c r="G1062">
        <v>3534</v>
      </c>
      <c r="H1062">
        <v>3513</v>
      </c>
      <c r="I1062">
        <v>3529</v>
      </c>
      <c r="J1062">
        <v>152900</v>
      </c>
    </row>
    <row r="1063" spans="4:10">
      <c r="D1063" t="s">
        <v>714</v>
      </c>
      <c r="E1063" t="s">
        <v>673</v>
      </c>
      <c r="F1063">
        <v>3528</v>
      </c>
      <c r="G1063">
        <v>3532</v>
      </c>
      <c r="H1063">
        <v>3515</v>
      </c>
      <c r="I1063">
        <v>3529</v>
      </c>
      <c r="J1063">
        <v>175600</v>
      </c>
    </row>
    <row r="1064" spans="4:10">
      <c r="D1064" t="s">
        <v>714</v>
      </c>
      <c r="E1064" t="s">
        <v>674</v>
      </c>
      <c r="F1064">
        <v>3530</v>
      </c>
      <c r="G1064">
        <v>3538</v>
      </c>
      <c r="H1064">
        <v>3526</v>
      </c>
      <c r="I1064">
        <v>3531</v>
      </c>
      <c r="J1064">
        <v>121600</v>
      </c>
    </row>
    <row r="1065" spans="4:10">
      <c r="D1065" t="s">
        <v>714</v>
      </c>
      <c r="E1065" t="s">
        <v>675</v>
      </c>
      <c r="F1065">
        <v>3532</v>
      </c>
      <c r="G1065">
        <v>3546</v>
      </c>
      <c r="H1065">
        <v>3530</v>
      </c>
      <c r="I1065">
        <v>3541</v>
      </c>
      <c r="J1065">
        <v>101900</v>
      </c>
    </row>
    <row r="1066" spans="4:10">
      <c r="D1066" t="s">
        <v>714</v>
      </c>
      <c r="E1066" t="s">
        <v>676</v>
      </c>
      <c r="F1066">
        <v>3541</v>
      </c>
      <c r="G1066">
        <v>3545</v>
      </c>
      <c r="H1066">
        <v>3535</v>
      </c>
      <c r="I1066">
        <v>3537</v>
      </c>
      <c r="J1066">
        <v>78600</v>
      </c>
    </row>
    <row r="1067" spans="4:10">
      <c r="D1067" t="s">
        <v>714</v>
      </c>
      <c r="E1067" t="s">
        <v>677</v>
      </c>
      <c r="F1067">
        <v>3536</v>
      </c>
      <c r="G1067">
        <v>3536</v>
      </c>
      <c r="H1067">
        <v>3521</v>
      </c>
      <c r="I1067">
        <v>3525</v>
      </c>
      <c r="J1067">
        <v>103700</v>
      </c>
    </row>
    <row r="1068" spans="4:10">
      <c r="D1068" t="s">
        <v>714</v>
      </c>
      <c r="E1068" t="s">
        <v>678</v>
      </c>
      <c r="F1068">
        <v>3526</v>
      </c>
      <c r="G1068">
        <v>3531</v>
      </c>
      <c r="H1068">
        <v>3518</v>
      </c>
      <c r="I1068">
        <v>3523</v>
      </c>
      <c r="J1068">
        <v>91000</v>
      </c>
    </row>
    <row r="1069" spans="4:10">
      <c r="D1069" t="s">
        <v>714</v>
      </c>
      <c r="E1069" t="s">
        <v>679</v>
      </c>
      <c r="F1069">
        <v>3523</v>
      </c>
      <c r="G1069">
        <v>3523</v>
      </c>
      <c r="H1069">
        <v>3515</v>
      </c>
      <c r="I1069">
        <v>3515</v>
      </c>
      <c r="J1069">
        <v>99100</v>
      </c>
    </row>
    <row r="1070" spans="4:10">
      <c r="D1070" t="s">
        <v>714</v>
      </c>
      <c r="E1070" t="s">
        <v>680</v>
      </c>
      <c r="F1070">
        <v>3515</v>
      </c>
      <c r="G1070">
        <v>3526</v>
      </c>
      <c r="H1070">
        <v>3509</v>
      </c>
      <c r="I1070">
        <v>3515</v>
      </c>
      <c r="J1070">
        <v>125500</v>
      </c>
    </row>
    <row r="1071" spans="4:10">
      <c r="D1071" t="s">
        <v>714</v>
      </c>
      <c r="E1071" t="s">
        <v>681</v>
      </c>
      <c r="F1071">
        <v>3515</v>
      </c>
      <c r="G1071">
        <v>3536</v>
      </c>
      <c r="H1071">
        <v>3514</v>
      </c>
      <c r="I1071">
        <v>3531</v>
      </c>
      <c r="J1071">
        <v>93400</v>
      </c>
    </row>
    <row r="1072" spans="4:10">
      <c r="D1072" t="s">
        <v>714</v>
      </c>
      <c r="E1072" t="s">
        <v>682</v>
      </c>
      <c r="F1072">
        <v>3531</v>
      </c>
      <c r="G1072">
        <v>3537</v>
      </c>
      <c r="H1072">
        <v>3510</v>
      </c>
      <c r="I1072">
        <v>3511</v>
      </c>
      <c r="J1072">
        <v>89800</v>
      </c>
    </row>
    <row r="1073" spans="4:10">
      <c r="D1073" t="s">
        <v>714</v>
      </c>
      <c r="E1073" t="s">
        <v>683</v>
      </c>
      <c r="F1073">
        <v>3511</v>
      </c>
      <c r="G1073">
        <v>3516</v>
      </c>
      <c r="H1073">
        <v>3506</v>
      </c>
      <c r="I1073">
        <v>3509</v>
      </c>
      <c r="J1073">
        <v>118500</v>
      </c>
    </row>
    <row r="1074" spans="4:10">
      <c r="D1074" t="s">
        <v>714</v>
      </c>
      <c r="E1074" t="s">
        <v>684</v>
      </c>
      <c r="F1074">
        <v>3510</v>
      </c>
      <c r="G1074">
        <v>3513</v>
      </c>
      <c r="H1074">
        <v>3495</v>
      </c>
      <c r="I1074">
        <v>3498</v>
      </c>
      <c r="J1074">
        <v>206300</v>
      </c>
    </row>
    <row r="1075" spans="4:10">
      <c r="D1075" t="s">
        <v>714</v>
      </c>
      <c r="E1075" t="s">
        <v>685</v>
      </c>
      <c r="F1075">
        <v>3498</v>
      </c>
      <c r="G1075">
        <v>3509</v>
      </c>
      <c r="H1075">
        <v>3497</v>
      </c>
      <c r="I1075">
        <v>3499</v>
      </c>
      <c r="J1075">
        <v>122100</v>
      </c>
    </row>
    <row r="1076" spans="4:10">
      <c r="D1076" t="s">
        <v>714</v>
      </c>
      <c r="E1076" t="s">
        <v>686</v>
      </c>
      <c r="F1076">
        <v>3499</v>
      </c>
      <c r="G1076">
        <v>3501</v>
      </c>
      <c r="H1076">
        <v>3493</v>
      </c>
      <c r="I1076">
        <v>3499</v>
      </c>
      <c r="J1076">
        <v>96200</v>
      </c>
    </row>
    <row r="1077" spans="4:10">
      <c r="D1077" t="s">
        <v>714</v>
      </c>
      <c r="E1077" t="s">
        <v>687</v>
      </c>
      <c r="F1077">
        <v>3499</v>
      </c>
      <c r="G1077">
        <v>3523</v>
      </c>
      <c r="H1077">
        <v>3492</v>
      </c>
      <c r="I1077">
        <v>3517</v>
      </c>
      <c r="J1077">
        <v>179400</v>
      </c>
    </row>
    <row r="1078" spans="4:10">
      <c r="D1078" t="s">
        <v>714</v>
      </c>
      <c r="E1078" t="s">
        <v>688</v>
      </c>
      <c r="F1078">
        <v>3517</v>
      </c>
      <c r="G1078">
        <v>3537</v>
      </c>
      <c r="H1078">
        <v>3514</v>
      </c>
      <c r="I1078">
        <v>3530</v>
      </c>
      <c r="J1078">
        <v>144600</v>
      </c>
    </row>
    <row r="1079" spans="4:10">
      <c r="D1079" t="s">
        <v>714</v>
      </c>
      <c r="E1079" t="s">
        <v>689</v>
      </c>
      <c r="F1079">
        <v>3531</v>
      </c>
      <c r="G1079">
        <v>3534</v>
      </c>
      <c r="H1079">
        <v>3517</v>
      </c>
      <c r="I1079">
        <v>3524</v>
      </c>
      <c r="J1079">
        <v>103100</v>
      </c>
    </row>
    <row r="1080" spans="4:10">
      <c r="D1080" t="s">
        <v>714</v>
      </c>
      <c r="E1080" t="s">
        <v>690</v>
      </c>
      <c r="F1080">
        <v>3525</v>
      </c>
      <c r="G1080">
        <v>3530</v>
      </c>
      <c r="H1080">
        <v>3507</v>
      </c>
      <c r="I1080">
        <v>3511</v>
      </c>
      <c r="J1080">
        <v>124000</v>
      </c>
    </row>
    <row r="1081" spans="4:10">
      <c r="D1081" t="s">
        <v>714</v>
      </c>
      <c r="E1081" t="s">
        <v>691</v>
      </c>
      <c r="F1081">
        <v>3510</v>
      </c>
      <c r="G1081">
        <v>3517</v>
      </c>
      <c r="H1081">
        <v>3498</v>
      </c>
      <c r="I1081">
        <v>3503</v>
      </c>
      <c r="J1081">
        <v>121600</v>
      </c>
    </row>
    <row r="1082" spans="4:10">
      <c r="D1082" t="s">
        <v>714</v>
      </c>
      <c r="E1082" t="s">
        <v>692</v>
      </c>
      <c r="F1082">
        <v>3504</v>
      </c>
      <c r="G1082">
        <v>3527</v>
      </c>
      <c r="H1082">
        <v>3503</v>
      </c>
      <c r="I1082">
        <v>3522</v>
      </c>
      <c r="J1082">
        <v>117400</v>
      </c>
    </row>
    <row r="1083" spans="4:10">
      <c r="D1083" t="s">
        <v>714</v>
      </c>
      <c r="E1083" t="s">
        <v>693</v>
      </c>
      <c r="F1083">
        <v>3522</v>
      </c>
      <c r="G1083">
        <v>3539</v>
      </c>
      <c r="H1083">
        <v>3520</v>
      </c>
      <c r="I1083">
        <v>3531</v>
      </c>
      <c r="J1083">
        <v>130900</v>
      </c>
    </row>
    <row r="1084" spans="4:10">
      <c r="D1084" t="s">
        <v>714</v>
      </c>
      <c r="E1084" t="s">
        <v>694</v>
      </c>
      <c r="F1084">
        <v>3532</v>
      </c>
      <c r="G1084">
        <v>3537</v>
      </c>
      <c r="H1084">
        <v>3519</v>
      </c>
      <c r="I1084">
        <v>3523</v>
      </c>
      <c r="J1084">
        <v>113900</v>
      </c>
    </row>
    <row r="1085" spans="4:10">
      <c r="D1085" t="s">
        <v>714</v>
      </c>
      <c r="E1085" t="s">
        <v>695</v>
      </c>
      <c r="F1085">
        <v>3523</v>
      </c>
      <c r="G1085">
        <v>3525</v>
      </c>
      <c r="H1085">
        <v>3513</v>
      </c>
      <c r="I1085">
        <v>3523</v>
      </c>
      <c r="J1085">
        <v>84800</v>
      </c>
    </row>
    <row r="1086" spans="4:10">
      <c r="D1086" t="s">
        <v>714</v>
      </c>
      <c r="E1086" t="s">
        <v>696</v>
      </c>
      <c r="F1086">
        <v>3522</v>
      </c>
      <c r="G1086">
        <v>3529</v>
      </c>
      <c r="H1086">
        <v>3516</v>
      </c>
      <c r="I1086">
        <v>3527</v>
      </c>
      <c r="J1086">
        <v>103500</v>
      </c>
    </row>
    <row r="1087" spans="4:10">
      <c r="D1087" t="s">
        <v>714</v>
      </c>
      <c r="E1087" t="s">
        <v>697</v>
      </c>
      <c r="F1087">
        <v>3526</v>
      </c>
      <c r="G1087">
        <v>3532</v>
      </c>
      <c r="H1087">
        <v>3515</v>
      </c>
      <c r="I1087">
        <v>3532</v>
      </c>
      <c r="J1087">
        <v>90700</v>
      </c>
    </row>
    <row r="1088" spans="4:10">
      <c r="D1088" t="s">
        <v>714</v>
      </c>
      <c r="E1088" t="s">
        <v>698</v>
      </c>
      <c r="F1088">
        <v>3530</v>
      </c>
      <c r="G1088">
        <v>3537</v>
      </c>
      <c r="H1088">
        <v>3526</v>
      </c>
      <c r="I1088">
        <v>3529</v>
      </c>
      <c r="J1088">
        <v>89000</v>
      </c>
    </row>
    <row r="1089" spans="4:10">
      <c r="D1089" t="s">
        <v>714</v>
      </c>
      <c r="E1089" t="s">
        <v>699</v>
      </c>
      <c r="F1089">
        <v>3529</v>
      </c>
      <c r="G1089">
        <v>3534</v>
      </c>
      <c r="H1089">
        <v>3521</v>
      </c>
      <c r="I1089">
        <v>3523</v>
      </c>
      <c r="J1089">
        <v>104600</v>
      </c>
    </row>
    <row r="1090" spans="4:10">
      <c r="D1090" t="s">
        <v>714</v>
      </c>
      <c r="E1090" t="s">
        <v>700</v>
      </c>
      <c r="F1090">
        <v>3523</v>
      </c>
      <c r="G1090">
        <v>3537</v>
      </c>
      <c r="H1090">
        <v>3518</v>
      </c>
      <c r="I1090">
        <v>3536</v>
      </c>
      <c r="J1090">
        <v>116100</v>
      </c>
    </row>
    <row r="1091" spans="4:10">
      <c r="D1091" t="s">
        <v>714</v>
      </c>
      <c r="E1091" t="s">
        <v>633</v>
      </c>
      <c r="F1091">
        <v>3536</v>
      </c>
      <c r="G1091">
        <v>3541</v>
      </c>
      <c r="H1091">
        <v>3529</v>
      </c>
      <c r="I1091">
        <v>3529</v>
      </c>
      <c r="J1091">
        <v>106300</v>
      </c>
    </row>
    <row r="1092" spans="4:10">
      <c r="D1092" t="s">
        <v>714</v>
      </c>
      <c r="E1092" t="s">
        <v>634</v>
      </c>
      <c r="F1092">
        <v>3529</v>
      </c>
      <c r="G1092">
        <v>3530</v>
      </c>
      <c r="H1092">
        <v>3517</v>
      </c>
      <c r="I1092">
        <v>3517</v>
      </c>
      <c r="J1092">
        <v>129900</v>
      </c>
    </row>
    <row r="1093" spans="4:10">
      <c r="D1093" t="s">
        <v>714</v>
      </c>
      <c r="E1093" t="s">
        <v>635</v>
      </c>
      <c r="F1093">
        <v>3517</v>
      </c>
      <c r="G1093">
        <v>3526</v>
      </c>
      <c r="H1093">
        <v>3512</v>
      </c>
      <c r="I1093">
        <v>3515</v>
      </c>
      <c r="J1093">
        <v>233200</v>
      </c>
    </row>
    <row r="1094" spans="4:10">
      <c r="D1094" t="s">
        <v>714</v>
      </c>
      <c r="E1094" t="s">
        <v>614</v>
      </c>
      <c r="F1094">
        <v>3515</v>
      </c>
      <c r="G1094">
        <v>3538</v>
      </c>
      <c r="H1094">
        <v>3515</v>
      </c>
      <c r="I1094">
        <v>3531</v>
      </c>
      <c r="J1094">
        <v>353500</v>
      </c>
    </row>
    <row r="1095" spans="4:10">
      <c r="D1095" t="s">
        <v>714</v>
      </c>
      <c r="E1095" t="s">
        <v>636</v>
      </c>
      <c r="F1095" t="s">
        <v>35</v>
      </c>
      <c r="G1095" t="s">
        <v>35</v>
      </c>
      <c r="H1095" t="s">
        <v>35</v>
      </c>
      <c r="I1095" t="s">
        <v>35</v>
      </c>
      <c r="J1095">
        <v>0</v>
      </c>
    </row>
    <row r="1096" spans="4:10">
      <c r="D1096" t="s">
        <v>714</v>
      </c>
      <c r="E1096" t="s">
        <v>637</v>
      </c>
      <c r="F1096">
        <v>3517</v>
      </c>
      <c r="G1096">
        <v>3517</v>
      </c>
      <c r="H1096">
        <v>3517</v>
      </c>
      <c r="I1096">
        <v>3517</v>
      </c>
      <c r="J1096">
        <v>1202900</v>
      </c>
    </row>
    <row r="1097" spans="4:10">
      <c r="D1097" t="s">
        <v>715</v>
      </c>
      <c r="E1097" t="s">
        <v>639</v>
      </c>
      <c r="F1097">
        <v>3481</v>
      </c>
      <c r="G1097">
        <v>3519</v>
      </c>
      <c r="H1097">
        <v>3434</v>
      </c>
      <c r="I1097">
        <v>3441</v>
      </c>
      <c r="J1097">
        <v>884800</v>
      </c>
    </row>
    <row r="1098" spans="4:10">
      <c r="D1098" t="s">
        <v>715</v>
      </c>
      <c r="E1098" t="s">
        <v>640</v>
      </c>
      <c r="F1098">
        <v>3441</v>
      </c>
      <c r="G1098">
        <v>3475</v>
      </c>
      <c r="H1098">
        <v>3395</v>
      </c>
      <c r="I1098">
        <v>3424</v>
      </c>
      <c r="J1098">
        <v>624800</v>
      </c>
    </row>
    <row r="1099" spans="4:10">
      <c r="D1099" t="s">
        <v>715</v>
      </c>
      <c r="E1099" t="s">
        <v>641</v>
      </c>
      <c r="F1099">
        <v>3423</v>
      </c>
      <c r="G1099">
        <v>3424</v>
      </c>
      <c r="H1099">
        <v>3370</v>
      </c>
      <c r="I1099">
        <v>3390</v>
      </c>
      <c r="J1099">
        <v>457700</v>
      </c>
    </row>
    <row r="1100" spans="4:10">
      <c r="D1100" t="s">
        <v>715</v>
      </c>
      <c r="E1100" t="s">
        <v>642</v>
      </c>
      <c r="F1100">
        <v>3390</v>
      </c>
      <c r="G1100">
        <v>3454</v>
      </c>
      <c r="H1100">
        <v>3379</v>
      </c>
      <c r="I1100">
        <v>3453</v>
      </c>
      <c r="J1100">
        <v>482700</v>
      </c>
    </row>
    <row r="1101" spans="4:10">
      <c r="D1101" t="s">
        <v>715</v>
      </c>
      <c r="E1101" t="s">
        <v>643</v>
      </c>
      <c r="F1101">
        <v>3452</v>
      </c>
      <c r="G1101">
        <v>3500</v>
      </c>
      <c r="H1101">
        <v>3441</v>
      </c>
      <c r="I1101">
        <v>3495</v>
      </c>
      <c r="J1101">
        <v>403100</v>
      </c>
    </row>
    <row r="1102" spans="4:10">
      <c r="D1102" t="s">
        <v>715</v>
      </c>
      <c r="E1102" t="s">
        <v>644</v>
      </c>
      <c r="F1102">
        <v>3496</v>
      </c>
      <c r="G1102">
        <v>3496</v>
      </c>
      <c r="H1102">
        <v>3459</v>
      </c>
      <c r="I1102">
        <v>3459</v>
      </c>
      <c r="J1102">
        <v>306800</v>
      </c>
    </row>
    <row r="1103" spans="4:10">
      <c r="D1103" t="s">
        <v>715</v>
      </c>
      <c r="E1103" t="s">
        <v>645</v>
      </c>
      <c r="F1103">
        <v>3460</v>
      </c>
      <c r="G1103">
        <v>3472</v>
      </c>
      <c r="H1103">
        <v>3435</v>
      </c>
      <c r="I1103">
        <v>3466</v>
      </c>
      <c r="J1103">
        <v>282800</v>
      </c>
    </row>
    <row r="1104" spans="4:10">
      <c r="D1104" t="s">
        <v>715</v>
      </c>
      <c r="E1104" t="s">
        <v>646</v>
      </c>
      <c r="F1104">
        <v>3465</v>
      </c>
      <c r="G1104">
        <v>3485</v>
      </c>
      <c r="H1104">
        <v>3446</v>
      </c>
      <c r="I1104">
        <v>3482</v>
      </c>
      <c r="J1104">
        <v>206700</v>
      </c>
    </row>
    <row r="1105" spans="4:10">
      <c r="D1105" t="s">
        <v>715</v>
      </c>
      <c r="E1105" t="s">
        <v>647</v>
      </c>
      <c r="F1105">
        <v>3481</v>
      </c>
      <c r="G1105">
        <v>3481</v>
      </c>
      <c r="H1105">
        <v>3445</v>
      </c>
      <c r="I1105">
        <v>3447</v>
      </c>
      <c r="J1105">
        <v>199700</v>
      </c>
    </row>
    <row r="1106" spans="4:10">
      <c r="D1106" t="s">
        <v>715</v>
      </c>
      <c r="E1106" t="s">
        <v>648</v>
      </c>
      <c r="F1106">
        <v>3447</v>
      </c>
      <c r="G1106">
        <v>3468</v>
      </c>
      <c r="H1106">
        <v>3440</v>
      </c>
      <c r="I1106">
        <v>3442</v>
      </c>
      <c r="J1106">
        <v>201000</v>
      </c>
    </row>
    <row r="1107" spans="4:10">
      <c r="D1107" t="s">
        <v>715</v>
      </c>
      <c r="E1107" t="s">
        <v>649</v>
      </c>
      <c r="F1107">
        <v>3442</v>
      </c>
      <c r="G1107">
        <v>3476</v>
      </c>
      <c r="H1107">
        <v>3441</v>
      </c>
      <c r="I1107">
        <v>3467</v>
      </c>
      <c r="J1107">
        <v>165500</v>
      </c>
    </row>
    <row r="1108" spans="4:10">
      <c r="D1108" t="s">
        <v>715</v>
      </c>
      <c r="E1108" t="s">
        <v>650</v>
      </c>
      <c r="F1108">
        <v>3468</v>
      </c>
      <c r="G1108">
        <v>3495</v>
      </c>
      <c r="H1108">
        <v>3462</v>
      </c>
      <c r="I1108">
        <v>3482</v>
      </c>
      <c r="J1108">
        <v>161400</v>
      </c>
    </row>
    <row r="1109" spans="4:10">
      <c r="D1109" t="s">
        <v>715</v>
      </c>
      <c r="E1109" t="s">
        <v>651</v>
      </c>
      <c r="F1109">
        <v>3483</v>
      </c>
      <c r="G1109">
        <v>3488</v>
      </c>
      <c r="H1109">
        <v>3469</v>
      </c>
      <c r="I1109">
        <v>3486</v>
      </c>
      <c r="J1109">
        <v>156500</v>
      </c>
    </row>
    <row r="1110" spans="4:10">
      <c r="D1110" t="s">
        <v>715</v>
      </c>
      <c r="E1110" t="s">
        <v>652</v>
      </c>
      <c r="F1110">
        <v>3486</v>
      </c>
      <c r="G1110">
        <v>3492</v>
      </c>
      <c r="H1110">
        <v>3466</v>
      </c>
      <c r="I1110">
        <v>3466</v>
      </c>
      <c r="J1110">
        <v>157300</v>
      </c>
    </row>
    <row r="1111" spans="4:10">
      <c r="D1111" t="s">
        <v>715</v>
      </c>
      <c r="E1111" t="s">
        <v>653</v>
      </c>
      <c r="F1111">
        <v>3466</v>
      </c>
      <c r="G1111">
        <v>3468</v>
      </c>
      <c r="H1111">
        <v>3426</v>
      </c>
      <c r="I1111">
        <v>3429</v>
      </c>
      <c r="J1111">
        <v>269700</v>
      </c>
    </row>
    <row r="1112" spans="4:10">
      <c r="D1112" t="s">
        <v>715</v>
      </c>
      <c r="E1112" t="s">
        <v>654</v>
      </c>
      <c r="F1112">
        <v>3428</v>
      </c>
      <c r="G1112">
        <v>3450</v>
      </c>
      <c r="H1112">
        <v>3416</v>
      </c>
      <c r="I1112">
        <v>3428</v>
      </c>
      <c r="J1112">
        <v>197900</v>
      </c>
    </row>
    <row r="1113" spans="4:10">
      <c r="D1113" t="s">
        <v>715</v>
      </c>
      <c r="E1113" t="s">
        <v>655</v>
      </c>
      <c r="F1113">
        <v>3427</v>
      </c>
      <c r="G1113">
        <v>3429</v>
      </c>
      <c r="H1113">
        <v>3387</v>
      </c>
      <c r="I1113">
        <v>3389</v>
      </c>
      <c r="J1113">
        <v>280800</v>
      </c>
    </row>
    <row r="1114" spans="4:10">
      <c r="D1114" t="s">
        <v>715</v>
      </c>
      <c r="E1114" t="s">
        <v>656</v>
      </c>
      <c r="F1114">
        <v>3389</v>
      </c>
      <c r="G1114">
        <v>3391</v>
      </c>
      <c r="H1114">
        <v>3337</v>
      </c>
      <c r="I1114">
        <v>3337</v>
      </c>
      <c r="J1114">
        <v>543400</v>
      </c>
    </row>
    <row r="1115" spans="4:10">
      <c r="D1115" t="s">
        <v>715</v>
      </c>
      <c r="E1115" t="s">
        <v>657</v>
      </c>
      <c r="F1115">
        <v>3337</v>
      </c>
      <c r="G1115">
        <v>3358</v>
      </c>
      <c r="H1115">
        <v>3333</v>
      </c>
      <c r="I1115">
        <v>3355</v>
      </c>
      <c r="J1115">
        <v>293900</v>
      </c>
    </row>
    <row r="1116" spans="4:10">
      <c r="D1116" t="s">
        <v>715</v>
      </c>
      <c r="E1116" t="s">
        <v>658</v>
      </c>
      <c r="F1116">
        <v>3354</v>
      </c>
      <c r="G1116">
        <v>3406</v>
      </c>
      <c r="H1116">
        <v>3350</v>
      </c>
      <c r="I1116">
        <v>3405</v>
      </c>
      <c r="J1116">
        <v>303600</v>
      </c>
    </row>
    <row r="1117" spans="4:10">
      <c r="D1117" t="s">
        <v>715</v>
      </c>
      <c r="E1117" t="s">
        <v>659</v>
      </c>
      <c r="F1117">
        <v>3404</v>
      </c>
      <c r="G1117">
        <v>3424</v>
      </c>
      <c r="H1117">
        <v>3397</v>
      </c>
      <c r="I1117">
        <v>3408</v>
      </c>
      <c r="J1117">
        <v>180800</v>
      </c>
    </row>
    <row r="1118" spans="4:10">
      <c r="D1118" t="s">
        <v>715</v>
      </c>
      <c r="E1118" t="s">
        <v>660</v>
      </c>
      <c r="F1118">
        <v>3407</v>
      </c>
      <c r="G1118">
        <v>3420</v>
      </c>
      <c r="H1118">
        <v>3386</v>
      </c>
      <c r="I1118">
        <v>3399</v>
      </c>
      <c r="J1118">
        <v>174700</v>
      </c>
    </row>
    <row r="1119" spans="4:10">
      <c r="D1119" t="s">
        <v>715</v>
      </c>
      <c r="E1119" t="s">
        <v>661</v>
      </c>
      <c r="F1119">
        <v>3398</v>
      </c>
      <c r="G1119">
        <v>3416</v>
      </c>
      <c r="H1119">
        <v>3387</v>
      </c>
      <c r="I1119">
        <v>3392</v>
      </c>
      <c r="J1119">
        <v>133000</v>
      </c>
    </row>
    <row r="1120" spans="4:10">
      <c r="D1120" t="s">
        <v>715</v>
      </c>
      <c r="E1120" t="s">
        <v>662</v>
      </c>
      <c r="F1120">
        <v>3391</v>
      </c>
      <c r="G1120">
        <v>3394</v>
      </c>
      <c r="H1120">
        <v>3370</v>
      </c>
      <c r="I1120">
        <v>3386</v>
      </c>
      <c r="J1120">
        <v>197800</v>
      </c>
    </row>
    <row r="1121" spans="4:10">
      <c r="D1121" t="s">
        <v>715</v>
      </c>
      <c r="E1121" t="s">
        <v>663</v>
      </c>
      <c r="F1121">
        <v>3386</v>
      </c>
      <c r="G1121">
        <v>3390</v>
      </c>
      <c r="H1121">
        <v>3374</v>
      </c>
      <c r="I1121">
        <v>3381</v>
      </c>
      <c r="J1121">
        <v>134400</v>
      </c>
    </row>
    <row r="1122" spans="4:10">
      <c r="D1122" t="s">
        <v>715</v>
      </c>
      <c r="E1122" t="s">
        <v>664</v>
      </c>
      <c r="F1122">
        <v>3380</v>
      </c>
      <c r="G1122">
        <v>3408</v>
      </c>
      <c r="H1122">
        <v>3378</v>
      </c>
      <c r="I1122">
        <v>3397</v>
      </c>
      <c r="J1122">
        <v>122100</v>
      </c>
    </row>
    <row r="1123" spans="4:10">
      <c r="D1123" t="s">
        <v>715</v>
      </c>
      <c r="E1123" t="s">
        <v>665</v>
      </c>
      <c r="F1123">
        <v>3398</v>
      </c>
      <c r="G1123">
        <v>3411</v>
      </c>
      <c r="H1123">
        <v>3395</v>
      </c>
      <c r="I1123">
        <v>3404</v>
      </c>
      <c r="J1123">
        <v>115800</v>
      </c>
    </row>
    <row r="1124" spans="4:10">
      <c r="D1124" t="s">
        <v>715</v>
      </c>
      <c r="E1124" t="s">
        <v>666</v>
      </c>
      <c r="F1124">
        <v>3403</v>
      </c>
      <c r="G1124">
        <v>3411</v>
      </c>
      <c r="H1124">
        <v>3388</v>
      </c>
      <c r="I1124">
        <v>3408</v>
      </c>
      <c r="J1124">
        <v>114600</v>
      </c>
    </row>
    <row r="1125" spans="4:10">
      <c r="D1125" t="s">
        <v>715</v>
      </c>
      <c r="E1125" t="s">
        <v>667</v>
      </c>
      <c r="F1125">
        <v>3408</v>
      </c>
      <c r="G1125">
        <v>3408</v>
      </c>
      <c r="H1125">
        <v>3378</v>
      </c>
      <c r="I1125">
        <v>3391</v>
      </c>
      <c r="J1125">
        <v>97800</v>
      </c>
    </row>
    <row r="1126" spans="4:10">
      <c r="D1126" t="s">
        <v>715</v>
      </c>
      <c r="E1126" t="s">
        <v>668</v>
      </c>
      <c r="F1126">
        <v>3391</v>
      </c>
      <c r="G1126">
        <v>3408</v>
      </c>
      <c r="H1126">
        <v>3391</v>
      </c>
      <c r="I1126">
        <v>3404</v>
      </c>
      <c r="J1126">
        <v>82000</v>
      </c>
    </row>
    <row r="1127" spans="4:10">
      <c r="D1127" t="s">
        <v>715</v>
      </c>
      <c r="E1127" t="s">
        <v>669</v>
      </c>
      <c r="F1127">
        <v>3405</v>
      </c>
      <c r="G1127">
        <v>3405</v>
      </c>
      <c r="H1127">
        <v>3405</v>
      </c>
      <c r="I1127">
        <v>3405</v>
      </c>
      <c r="J1127">
        <v>4300</v>
      </c>
    </row>
    <row r="1128" spans="4:10">
      <c r="D1128" t="s">
        <v>715</v>
      </c>
      <c r="E1128" t="s">
        <v>670</v>
      </c>
      <c r="F1128">
        <v>3404</v>
      </c>
      <c r="G1128">
        <v>3418</v>
      </c>
      <c r="H1128">
        <v>3401</v>
      </c>
      <c r="I1128">
        <v>3408</v>
      </c>
      <c r="J1128">
        <v>267100</v>
      </c>
    </row>
    <row r="1129" spans="4:10">
      <c r="D1129" t="s">
        <v>715</v>
      </c>
      <c r="E1129" t="s">
        <v>671</v>
      </c>
      <c r="F1129">
        <v>3407</v>
      </c>
      <c r="G1129">
        <v>3430</v>
      </c>
      <c r="H1129">
        <v>3404</v>
      </c>
      <c r="I1129">
        <v>3408</v>
      </c>
      <c r="J1129">
        <v>186000</v>
      </c>
    </row>
    <row r="1130" spans="4:10">
      <c r="D1130" t="s">
        <v>715</v>
      </c>
      <c r="E1130" t="s">
        <v>672</v>
      </c>
      <c r="F1130">
        <v>3408</v>
      </c>
      <c r="G1130">
        <v>3426</v>
      </c>
      <c r="H1130">
        <v>3405</v>
      </c>
      <c r="I1130">
        <v>3423</v>
      </c>
      <c r="J1130">
        <v>117000</v>
      </c>
    </row>
    <row r="1131" spans="4:10">
      <c r="D1131" t="s">
        <v>715</v>
      </c>
      <c r="E1131" t="s">
        <v>673</v>
      </c>
      <c r="F1131">
        <v>3422</v>
      </c>
      <c r="G1131">
        <v>3430</v>
      </c>
      <c r="H1131">
        <v>3413</v>
      </c>
      <c r="I1131">
        <v>3428</v>
      </c>
      <c r="J1131">
        <v>117200</v>
      </c>
    </row>
    <row r="1132" spans="4:10">
      <c r="D1132" t="s">
        <v>715</v>
      </c>
      <c r="E1132" t="s">
        <v>674</v>
      </c>
      <c r="F1132">
        <v>3429</v>
      </c>
      <c r="G1132">
        <v>3440</v>
      </c>
      <c r="H1132">
        <v>3424</v>
      </c>
      <c r="I1132">
        <v>3431</v>
      </c>
      <c r="J1132">
        <v>122900</v>
      </c>
    </row>
    <row r="1133" spans="4:10">
      <c r="D1133" t="s">
        <v>715</v>
      </c>
      <c r="E1133" t="s">
        <v>675</v>
      </c>
      <c r="F1133">
        <v>3431</v>
      </c>
      <c r="G1133">
        <v>3449</v>
      </c>
      <c r="H1133">
        <v>3431</v>
      </c>
      <c r="I1133">
        <v>3435</v>
      </c>
      <c r="J1133">
        <v>156700</v>
      </c>
    </row>
    <row r="1134" spans="4:10">
      <c r="D1134" t="s">
        <v>715</v>
      </c>
      <c r="E1134" t="s">
        <v>676</v>
      </c>
      <c r="F1134">
        <v>3436</v>
      </c>
      <c r="G1134">
        <v>3447</v>
      </c>
      <c r="H1134">
        <v>3428</v>
      </c>
      <c r="I1134">
        <v>3447</v>
      </c>
      <c r="J1134">
        <v>120900</v>
      </c>
    </row>
    <row r="1135" spans="4:10">
      <c r="D1135" t="s">
        <v>715</v>
      </c>
      <c r="E1135" t="s">
        <v>677</v>
      </c>
      <c r="F1135">
        <v>3447</v>
      </c>
      <c r="G1135">
        <v>3468</v>
      </c>
      <c r="H1135">
        <v>3445</v>
      </c>
      <c r="I1135">
        <v>3467</v>
      </c>
      <c r="J1135">
        <v>193700</v>
      </c>
    </row>
    <row r="1136" spans="4:10">
      <c r="D1136" t="s">
        <v>715</v>
      </c>
      <c r="E1136" t="s">
        <v>678</v>
      </c>
      <c r="F1136">
        <v>3466</v>
      </c>
      <c r="G1136">
        <v>3472</v>
      </c>
      <c r="H1136">
        <v>3462</v>
      </c>
      <c r="I1136">
        <v>3464</v>
      </c>
      <c r="J1136">
        <v>107800</v>
      </c>
    </row>
    <row r="1137" spans="4:10">
      <c r="D1137" t="s">
        <v>715</v>
      </c>
      <c r="E1137" t="s">
        <v>679</v>
      </c>
      <c r="F1137">
        <v>3463</v>
      </c>
      <c r="G1137">
        <v>3472</v>
      </c>
      <c r="H1137">
        <v>3453</v>
      </c>
      <c r="I1137">
        <v>3470</v>
      </c>
      <c r="J1137">
        <v>131500</v>
      </c>
    </row>
    <row r="1138" spans="4:10">
      <c r="D1138" t="s">
        <v>715</v>
      </c>
      <c r="E1138" t="s">
        <v>680</v>
      </c>
      <c r="F1138">
        <v>3469</v>
      </c>
      <c r="G1138">
        <v>3472</v>
      </c>
      <c r="H1138">
        <v>3451</v>
      </c>
      <c r="I1138">
        <v>3453</v>
      </c>
      <c r="J1138">
        <v>117500</v>
      </c>
    </row>
    <row r="1139" spans="4:10">
      <c r="D1139" t="s">
        <v>715</v>
      </c>
      <c r="E1139" t="s">
        <v>681</v>
      </c>
      <c r="F1139">
        <v>3453</v>
      </c>
      <c r="G1139">
        <v>3471</v>
      </c>
      <c r="H1139">
        <v>3451</v>
      </c>
      <c r="I1139">
        <v>3466</v>
      </c>
      <c r="J1139">
        <v>99200</v>
      </c>
    </row>
    <row r="1140" spans="4:10">
      <c r="D1140" t="s">
        <v>715</v>
      </c>
      <c r="E1140" t="s">
        <v>682</v>
      </c>
      <c r="F1140">
        <v>3468</v>
      </c>
      <c r="G1140">
        <v>3472</v>
      </c>
      <c r="H1140">
        <v>3454</v>
      </c>
      <c r="I1140">
        <v>3459</v>
      </c>
      <c r="J1140">
        <v>95300</v>
      </c>
    </row>
    <row r="1141" spans="4:10">
      <c r="D1141" t="s">
        <v>715</v>
      </c>
      <c r="E1141" t="s">
        <v>683</v>
      </c>
      <c r="F1141">
        <v>3460</v>
      </c>
      <c r="G1141">
        <v>3462</v>
      </c>
      <c r="H1141">
        <v>3451</v>
      </c>
      <c r="I1141">
        <v>3455</v>
      </c>
      <c r="J1141">
        <v>53500</v>
      </c>
    </row>
    <row r="1142" spans="4:10">
      <c r="D1142" t="s">
        <v>715</v>
      </c>
      <c r="E1142" t="s">
        <v>684</v>
      </c>
      <c r="F1142">
        <v>3456</v>
      </c>
      <c r="G1142">
        <v>3467</v>
      </c>
      <c r="H1142">
        <v>3453</v>
      </c>
      <c r="I1142">
        <v>3467</v>
      </c>
      <c r="J1142">
        <v>59300</v>
      </c>
    </row>
    <row r="1143" spans="4:10">
      <c r="D1143" t="s">
        <v>715</v>
      </c>
      <c r="E1143" t="s">
        <v>685</v>
      </c>
      <c r="F1143">
        <v>3468</v>
      </c>
      <c r="G1143">
        <v>3475</v>
      </c>
      <c r="H1143">
        <v>3466</v>
      </c>
      <c r="I1143">
        <v>3471</v>
      </c>
      <c r="J1143">
        <v>85300</v>
      </c>
    </row>
    <row r="1144" spans="4:10">
      <c r="D1144" t="s">
        <v>715</v>
      </c>
      <c r="E1144" t="s">
        <v>686</v>
      </c>
      <c r="F1144">
        <v>3472</v>
      </c>
      <c r="G1144">
        <v>3473</v>
      </c>
      <c r="H1144">
        <v>3467</v>
      </c>
      <c r="I1144">
        <v>3467</v>
      </c>
      <c r="J1144">
        <v>64100</v>
      </c>
    </row>
    <row r="1145" spans="4:10">
      <c r="D1145" t="s">
        <v>715</v>
      </c>
      <c r="E1145" t="s">
        <v>687</v>
      </c>
      <c r="F1145">
        <v>3466</v>
      </c>
      <c r="G1145">
        <v>3472</v>
      </c>
      <c r="H1145">
        <v>3461</v>
      </c>
      <c r="I1145">
        <v>3471</v>
      </c>
      <c r="J1145">
        <v>81500</v>
      </c>
    </row>
    <row r="1146" spans="4:10">
      <c r="D1146" t="s">
        <v>715</v>
      </c>
      <c r="E1146" t="s">
        <v>688</v>
      </c>
      <c r="F1146">
        <v>3470</v>
      </c>
      <c r="G1146">
        <v>3474</v>
      </c>
      <c r="H1146">
        <v>3458</v>
      </c>
      <c r="I1146">
        <v>3460</v>
      </c>
      <c r="J1146">
        <v>74600</v>
      </c>
    </row>
    <row r="1147" spans="4:10">
      <c r="D1147" t="s">
        <v>715</v>
      </c>
      <c r="E1147" t="s">
        <v>689</v>
      </c>
      <c r="F1147">
        <v>3460</v>
      </c>
      <c r="G1147">
        <v>3460</v>
      </c>
      <c r="H1147">
        <v>3443</v>
      </c>
      <c r="I1147">
        <v>3446</v>
      </c>
      <c r="J1147">
        <v>137000</v>
      </c>
    </row>
    <row r="1148" spans="4:10">
      <c r="D1148" t="s">
        <v>715</v>
      </c>
      <c r="E1148" t="s">
        <v>690</v>
      </c>
      <c r="F1148">
        <v>3446</v>
      </c>
      <c r="G1148">
        <v>3447</v>
      </c>
      <c r="H1148">
        <v>3434</v>
      </c>
      <c r="I1148">
        <v>3436</v>
      </c>
      <c r="J1148">
        <v>106000</v>
      </c>
    </row>
    <row r="1149" spans="4:10">
      <c r="D1149" t="s">
        <v>715</v>
      </c>
      <c r="E1149" t="s">
        <v>691</v>
      </c>
      <c r="F1149">
        <v>3436</v>
      </c>
      <c r="G1149">
        <v>3446</v>
      </c>
      <c r="H1149">
        <v>3430</v>
      </c>
      <c r="I1149">
        <v>3442</v>
      </c>
      <c r="J1149">
        <v>132200</v>
      </c>
    </row>
    <row r="1150" spans="4:10">
      <c r="D1150" t="s">
        <v>715</v>
      </c>
      <c r="E1150" t="s">
        <v>692</v>
      </c>
      <c r="F1150">
        <v>3443</v>
      </c>
      <c r="G1150">
        <v>3454</v>
      </c>
      <c r="H1150">
        <v>3439</v>
      </c>
      <c r="I1150">
        <v>3451</v>
      </c>
      <c r="J1150">
        <v>70500</v>
      </c>
    </row>
    <row r="1151" spans="4:10">
      <c r="D1151" t="s">
        <v>715</v>
      </c>
      <c r="E1151" t="s">
        <v>693</v>
      </c>
      <c r="F1151">
        <v>3452</v>
      </c>
      <c r="G1151">
        <v>3462</v>
      </c>
      <c r="H1151">
        <v>3450</v>
      </c>
      <c r="I1151">
        <v>3454</v>
      </c>
      <c r="J1151">
        <v>82000</v>
      </c>
    </row>
    <row r="1152" spans="4:10">
      <c r="D1152" t="s">
        <v>715</v>
      </c>
      <c r="E1152" t="s">
        <v>694</v>
      </c>
      <c r="F1152">
        <v>3454</v>
      </c>
      <c r="G1152">
        <v>3468</v>
      </c>
      <c r="H1152">
        <v>3452</v>
      </c>
      <c r="I1152">
        <v>3467</v>
      </c>
      <c r="J1152">
        <v>89800</v>
      </c>
    </row>
    <row r="1153" spans="4:10">
      <c r="D1153" t="s">
        <v>715</v>
      </c>
      <c r="E1153" t="s">
        <v>695</v>
      </c>
      <c r="F1153">
        <v>3468</v>
      </c>
      <c r="G1153">
        <v>3470</v>
      </c>
      <c r="H1153">
        <v>3458</v>
      </c>
      <c r="I1153">
        <v>3463</v>
      </c>
      <c r="J1153">
        <v>90100</v>
      </c>
    </row>
    <row r="1154" spans="4:10">
      <c r="D1154" t="s">
        <v>715</v>
      </c>
      <c r="E1154" t="s">
        <v>696</v>
      </c>
      <c r="F1154">
        <v>3462</v>
      </c>
      <c r="G1154">
        <v>3481</v>
      </c>
      <c r="H1154">
        <v>3461</v>
      </c>
      <c r="I1154">
        <v>3477</v>
      </c>
      <c r="J1154">
        <v>106100</v>
      </c>
    </row>
    <row r="1155" spans="4:10">
      <c r="D1155" t="s">
        <v>715</v>
      </c>
      <c r="E1155" t="s">
        <v>697</v>
      </c>
      <c r="F1155">
        <v>3476</v>
      </c>
      <c r="G1155">
        <v>3476</v>
      </c>
      <c r="H1155">
        <v>3460</v>
      </c>
      <c r="I1155">
        <v>3466</v>
      </c>
      <c r="J1155">
        <v>81500</v>
      </c>
    </row>
    <row r="1156" spans="4:10">
      <c r="D1156" t="s">
        <v>715</v>
      </c>
      <c r="E1156" t="s">
        <v>698</v>
      </c>
      <c r="F1156">
        <v>3467</v>
      </c>
      <c r="G1156">
        <v>3467</v>
      </c>
      <c r="H1156">
        <v>3455</v>
      </c>
      <c r="I1156">
        <v>3456</v>
      </c>
      <c r="J1156">
        <v>78300</v>
      </c>
    </row>
    <row r="1157" spans="4:10">
      <c r="D1157" t="s">
        <v>715</v>
      </c>
      <c r="E1157" t="s">
        <v>699</v>
      </c>
      <c r="F1157">
        <v>3456</v>
      </c>
      <c r="G1157">
        <v>3465</v>
      </c>
      <c r="H1157">
        <v>3455</v>
      </c>
      <c r="I1157">
        <v>3463</v>
      </c>
      <c r="J1157">
        <v>60900</v>
      </c>
    </row>
    <row r="1158" spans="4:10">
      <c r="D1158" t="s">
        <v>715</v>
      </c>
      <c r="E1158" t="s">
        <v>700</v>
      </c>
      <c r="F1158">
        <v>3462</v>
      </c>
      <c r="G1158">
        <v>3469</v>
      </c>
      <c r="H1158">
        <v>3460</v>
      </c>
      <c r="I1158">
        <v>3464</v>
      </c>
      <c r="J1158">
        <v>81300</v>
      </c>
    </row>
    <row r="1159" spans="4:10">
      <c r="D1159" t="s">
        <v>715</v>
      </c>
      <c r="E1159" t="s">
        <v>633</v>
      </c>
      <c r="F1159">
        <v>3464</v>
      </c>
      <c r="G1159">
        <v>3478</v>
      </c>
      <c r="H1159">
        <v>3463</v>
      </c>
      <c r="I1159">
        <v>3475</v>
      </c>
      <c r="J1159">
        <v>88500</v>
      </c>
    </row>
    <row r="1160" spans="4:10">
      <c r="D1160" t="s">
        <v>715</v>
      </c>
      <c r="E1160" t="s">
        <v>634</v>
      </c>
      <c r="F1160">
        <v>3476</v>
      </c>
      <c r="G1160">
        <v>3476</v>
      </c>
      <c r="H1160">
        <v>3462</v>
      </c>
      <c r="I1160">
        <v>3466</v>
      </c>
      <c r="J1160">
        <v>85200</v>
      </c>
    </row>
    <row r="1161" spans="4:10">
      <c r="D1161" t="s">
        <v>715</v>
      </c>
      <c r="E1161" t="s">
        <v>635</v>
      </c>
      <c r="F1161">
        <v>3466</v>
      </c>
      <c r="G1161">
        <v>3467</v>
      </c>
      <c r="H1161">
        <v>3454</v>
      </c>
      <c r="I1161">
        <v>3457</v>
      </c>
      <c r="J1161">
        <v>113300</v>
      </c>
    </row>
    <row r="1162" spans="4:10">
      <c r="D1162" t="s">
        <v>715</v>
      </c>
      <c r="E1162" t="s">
        <v>614</v>
      </c>
      <c r="F1162">
        <v>3458</v>
      </c>
      <c r="G1162">
        <v>3463</v>
      </c>
      <c r="H1162">
        <v>3443</v>
      </c>
      <c r="I1162">
        <v>3447</v>
      </c>
      <c r="J1162">
        <v>251500</v>
      </c>
    </row>
    <row r="1163" spans="4:10">
      <c r="D1163" t="s">
        <v>715</v>
      </c>
      <c r="E1163" t="s">
        <v>636</v>
      </c>
      <c r="F1163" t="s">
        <v>35</v>
      </c>
      <c r="G1163" t="s">
        <v>35</v>
      </c>
      <c r="H1163" t="s">
        <v>35</v>
      </c>
      <c r="I1163" t="s">
        <v>35</v>
      </c>
      <c r="J1163">
        <v>0</v>
      </c>
    </row>
    <row r="1164" spans="4:10">
      <c r="D1164" t="s">
        <v>715</v>
      </c>
      <c r="E1164" t="s">
        <v>637</v>
      </c>
      <c r="F1164">
        <v>3456</v>
      </c>
      <c r="G1164">
        <v>3456</v>
      </c>
      <c r="H1164">
        <v>3456</v>
      </c>
      <c r="I1164">
        <v>3456</v>
      </c>
      <c r="J1164">
        <v>658200</v>
      </c>
    </row>
    <row r="1165" spans="4:10">
      <c r="D1165" t="s">
        <v>716</v>
      </c>
      <c r="E1165" t="s">
        <v>639</v>
      </c>
      <c r="F1165">
        <v>3316</v>
      </c>
      <c r="G1165">
        <v>3359</v>
      </c>
      <c r="H1165">
        <v>3309</v>
      </c>
      <c r="I1165">
        <v>3321</v>
      </c>
      <c r="J1165">
        <v>653300</v>
      </c>
    </row>
    <row r="1166" spans="4:10">
      <c r="D1166" t="s">
        <v>716</v>
      </c>
      <c r="E1166" t="s">
        <v>640</v>
      </c>
      <c r="F1166">
        <v>3321</v>
      </c>
      <c r="G1166">
        <v>3371</v>
      </c>
      <c r="H1166">
        <v>3312</v>
      </c>
      <c r="I1166">
        <v>3353</v>
      </c>
      <c r="J1166">
        <v>504400</v>
      </c>
    </row>
    <row r="1167" spans="4:10">
      <c r="D1167" t="s">
        <v>716</v>
      </c>
      <c r="E1167" t="s">
        <v>641</v>
      </c>
      <c r="F1167">
        <v>3356</v>
      </c>
      <c r="G1167">
        <v>3374</v>
      </c>
      <c r="H1167">
        <v>3334</v>
      </c>
      <c r="I1167">
        <v>3351</v>
      </c>
      <c r="J1167">
        <v>286800</v>
      </c>
    </row>
    <row r="1168" spans="4:10">
      <c r="D1168" t="s">
        <v>716</v>
      </c>
      <c r="E1168" t="s">
        <v>642</v>
      </c>
      <c r="F1168">
        <v>3352</v>
      </c>
      <c r="G1168">
        <v>3355</v>
      </c>
      <c r="H1168">
        <v>3315</v>
      </c>
      <c r="I1168">
        <v>3325</v>
      </c>
      <c r="J1168">
        <v>332000</v>
      </c>
    </row>
    <row r="1169" spans="4:10">
      <c r="D1169" t="s">
        <v>716</v>
      </c>
      <c r="E1169" t="s">
        <v>643</v>
      </c>
      <c r="F1169">
        <v>3327</v>
      </c>
      <c r="G1169">
        <v>3336</v>
      </c>
      <c r="H1169">
        <v>3318</v>
      </c>
      <c r="I1169">
        <v>3323</v>
      </c>
      <c r="J1169">
        <v>191100</v>
      </c>
    </row>
    <row r="1170" spans="4:10">
      <c r="D1170" t="s">
        <v>716</v>
      </c>
      <c r="E1170" t="s">
        <v>644</v>
      </c>
      <c r="F1170">
        <v>3322</v>
      </c>
      <c r="G1170">
        <v>3322</v>
      </c>
      <c r="H1170">
        <v>3294</v>
      </c>
      <c r="I1170">
        <v>3297</v>
      </c>
      <c r="J1170">
        <v>334400</v>
      </c>
    </row>
    <row r="1171" spans="4:10">
      <c r="D1171" t="s">
        <v>716</v>
      </c>
      <c r="E1171" t="s">
        <v>645</v>
      </c>
      <c r="F1171">
        <v>3297</v>
      </c>
      <c r="G1171">
        <v>3314</v>
      </c>
      <c r="H1171">
        <v>3283</v>
      </c>
      <c r="I1171">
        <v>3306</v>
      </c>
      <c r="J1171">
        <v>234400</v>
      </c>
    </row>
    <row r="1172" spans="4:10">
      <c r="D1172" t="s">
        <v>716</v>
      </c>
      <c r="E1172" t="s">
        <v>646</v>
      </c>
      <c r="F1172">
        <v>3306</v>
      </c>
      <c r="G1172">
        <v>3316</v>
      </c>
      <c r="H1172">
        <v>3296</v>
      </c>
      <c r="I1172">
        <v>3305</v>
      </c>
      <c r="J1172">
        <v>208300</v>
      </c>
    </row>
    <row r="1173" spans="4:10">
      <c r="D1173" t="s">
        <v>716</v>
      </c>
      <c r="E1173" t="s">
        <v>647</v>
      </c>
      <c r="F1173">
        <v>3305</v>
      </c>
      <c r="G1173">
        <v>3331</v>
      </c>
      <c r="H1173">
        <v>3293</v>
      </c>
      <c r="I1173">
        <v>3322</v>
      </c>
      <c r="J1173">
        <v>295900</v>
      </c>
    </row>
    <row r="1174" spans="4:10">
      <c r="D1174" t="s">
        <v>716</v>
      </c>
      <c r="E1174" t="s">
        <v>648</v>
      </c>
      <c r="F1174">
        <v>3323</v>
      </c>
      <c r="G1174">
        <v>3330</v>
      </c>
      <c r="H1174">
        <v>3314</v>
      </c>
      <c r="I1174">
        <v>3319</v>
      </c>
      <c r="J1174">
        <v>162900</v>
      </c>
    </row>
    <row r="1175" spans="4:10">
      <c r="D1175" t="s">
        <v>716</v>
      </c>
      <c r="E1175" t="s">
        <v>649</v>
      </c>
      <c r="F1175">
        <v>3318</v>
      </c>
      <c r="G1175">
        <v>3326</v>
      </c>
      <c r="H1175">
        <v>3302</v>
      </c>
      <c r="I1175">
        <v>3307</v>
      </c>
      <c r="J1175">
        <v>159200</v>
      </c>
    </row>
    <row r="1176" spans="4:10">
      <c r="D1176" t="s">
        <v>716</v>
      </c>
      <c r="E1176" t="s">
        <v>650</v>
      </c>
      <c r="F1176">
        <v>3308</v>
      </c>
      <c r="G1176">
        <v>3312</v>
      </c>
      <c r="H1176">
        <v>3286</v>
      </c>
      <c r="I1176">
        <v>3289</v>
      </c>
      <c r="J1176">
        <v>171300</v>
      </c>
    </row>
    <row r="1177" spans="4:10">
      <c r="D1177" t="s">
        <v>716</v>
      </c>
      <c r="E1177" t="s">
        <v>651</v>
      </c>
      <c r="F1177">
        <v>3289</v>
      </c>
      <c r="G1177">
        <v>3298</v>
      </c>
      <c r="H1177">
        <v>3269</v>
      </c>
      <c r="I1177">
        <v>3270</v>
      </c>
      <c r="J1177">
        <v>251900</v>
      </c>
    </row>
    <row r="1178" spans="4:10">
      <c r="D1178" t="s">
        <v>716</v>
      </c>
      <c r="E1178" t="s">
        <v>652</v>
      </c>
      <c r="F1178">
        <v>3271</v>
      </c>
      <c r="G1178">
        <v>3278</v>
      </c>
      <c r="H1178">
        <v>3256</v>
      </c>
      <c r="I1178">
        <v>3272</v>
      </c>
      <c r="J1178">
        <v>205200</v>
      </c>
    </row>
    <row r="1179" spans="4:10">
      <c r="D1179" t="s">
        <v>716</v>
      </c>
      <c r="E1179" t="s">
        <v>653</v>
      </c>
      <c r="F1179">
        <v>3271</v>
      </c>
      <c r="G1179">
        <v>3293</v>
      </c>
      <c r="H1179">
        <v>3268</v>
      </c>
      <c r="I1179">
        <v>3287</v>
      </c>
      <c r="J1179">
        <v>161500</v>
      </c>
    </row>
    <row r="1180" spans="4:10">
      <c r="D1180" t="s">
        <v>716</v>
      </c>
      <c r="E1180" t="s">
        <v>654</v>
      </c>
      <c r="F1180">
        <v>3286</v>
      </c>
      <c r="G1180">
        <v>3308</v>
      </c>
      <c r="H1180">
        <v>3278</v>
      </c>
      <c r="I1180">
        <v>3301</v>
      </c>
      <c r="J1180">
        <v>234600</v>
      </c>
    </row>
    <row r="1181" spans="4:10">
      <c r="D1181" t="s">
        <v>716</v>
      </c>
      <c r="E1181" t="s">
        <v>655</v>
      </c>
      <c r="F1181">
        <v>3301</v>
      </c>
      <c r="G1181">
        <v>3305</v>
      </c>
      <c r="H1181">
        <v>3277</v>
      </c>
      <c r="I1181">
        <v>3300</v>
      </c>
      <c r="J1181">
        <v>138500</v>
      </c>
    </row>
    <row r="1182" spans="4:10">
      <c r="D1182" t="s">
        <v>716</v>
      </c>
      <c r="E1182" t="s">
        <v>656</v>
      </c>
      <c r="F1182">
        <v>3299</v>
      </c>
      <c r="G1182">
        <v>3304</v>
      </c>
      <c r="H1182">
        <v>3285</v>
      </c>
      <c r="I1182">
        <v>3291</v>
      </c>
      <c r="J1182">
        <v>104200</v>
      </c>
    </row>
    <row r="1183" spans="4:10">
      <c r="D1183" t="s">
        <v>716</v>
      </c>
      <c r="E1183" t="s">
        <v>657</v>
      </c>
      <c r="F1183">
        <v>3292</v>
      </c>
      <c r="G1183">
        <v>3329</v>
      </c>
      <c r="H1183">
        <v>3287</v>
      </c>
      <c r="I1183">
        <v>3311</v>
      </c>
      <c r="J1183">
        <v>223500</v>
      </c>
    </row>
    <row r="1184" spans="4:10">
      <c r="D1184" t="s">
        <v>716</v>
      </c>
      <c r="E1184" t="s">
        <v>658</v>
      </c>
      <c r="F1184">
        <v>3312</v>
      </c>
      <c r="G1184">
        <v>3316</v>
      </c>
      <c r="H1184">
        <v>3302</v>
      </c>
      <c r="I1184">
        <v>3313</v>
      </c>
      <c r="J1184">
        <v>163000</v>
      </c>
    </row>
    <row r="1185" spans="4:10">
      <c r="D1185" t="s">
        <v>716</v>
      </c>
      <c r="E1185" t="s">
        <v>659</v>
      </c>
      <c r="F1185">
        <v>3313</v>
      </c>
      <c r="G1185">
        <v>3325</v>
      </c>
      <c r="H1185">
        <v>3310</v>
      </c>
      <c r="I1185">
        <v>3318</v>
      </c>
      <c r="J1185">
        <v>110500</v>
      </c>
    </row>
    <row r="1186" spans="4:10">
      <c r="D1186" t="s">
        <v>716</v>
      </c>
      <c r="E1186" t="s">
        <v>660</v>
      </c>
      <c r="F1186">
        <v>3317</v>
      </c>
      <c r="G1186">
        <v>3330</v>
      </c>
      <c r="H1186">
        <v>3312</v>
      </c>
      <c r="I1186">
        <v>3329</v>
      </c>
      <c r="J1186">
        <v>121200</v>
      </c>
    </row>
    <row r="1187" spans="4:10">
      <c r="D1187" t="s">
        <v>716</v>
      </c>
      <c r="E1187" t="s">
        <v>661</v>
      </c>
      <c r="F1187">
        <v>3329</v>
      </c>
      <c r="G1187">
        <v>3332</v>
      </c>
      <c r="H1187">
        <v>3306</v>
      </c>
      <c r="I1187">
        <v>3320</v>
      </c>
      <c r="J1187">
        <v>130400</v>
      </c>
    </row>
    <row r="1188" spans="4:10">
      <c r="D1188" t="s">
        <v>716</v>
      </c>
      <c r="E1188" t="s">
        <v>662</v>
      </c>
      <c r="F1188">
        <v>3320</v>
      </c>
      <c r="G1188">
        <v>3322</v>
      </c>
      <c r="H1188">
        <v>3307</v>
      </c>
      <c r="I1188">
        <v>3320</v>
      </c>
      <c r="J1188">
        <v>125800</v>
      </c>
    </row>
    <row r="1189" spans="4:10">
      <c r="D1189" t="s">
        <v>716</v>
      </c>
      <c r="E1189" t="s">
        <v>663</v>
      </c>
      <c r="F1189">
        <v>3320</v>
      </c>
      <c r="G1189">
        <v>3338</v>
      </c>
      <c r="H1189">
        <v>3317</v>
      </c>
      <c r="I1189">
        <v>3326</v>
      </c>
      <c r="J1189">
        <v>142200</v>
      </c>
    </row>
    <row r="1190" spans="4:10">
      <c r="D1190" t="s">
        <v>716</v>
      </c>
      <c r="E1190" t="s">
        <v>664</v>
      </c>
      <c r="F1190">
        <v>3326</v>
      </c>
      <c r="G1190">
        <v>3340</v>
      </c>
      <c r="H1190">
        <v>3320</v>
      </c>
      <c r="I1190">
        <v>3331</v>
      </c>
      <c r="J1190">
        <v>111200</v>
      </c>
    </row>
    <row r="1191" spans="4:10">
      <c r="D1191" t="s">
        <v>716</v>
      </c>
      <c r="E1191" t="s">
        <v>665</v>
      </c>
      <c r="F1191">
        <v>3332</v>
      </c>
      <c r="G1191">
        <v>3336</v>
      </c>
      <c r="H1191">
        <v>3325</v>
      </c>
      <c r="I1191">
        <v>3335</v>
      </c>
      <c r="J1191">
        <v>67200</v>
      </c>
    </row>
    <row r="1192" spans="4:10">
      <c r="D1192" t="s">
        <v>716</v>
      </c>
      <c r="E1192" t="s">
        <v>666</v>
      </c>
      <c r="F1192">
        <v>3337</v>
      </c>
      <c r="G1192">
        <v>3340</v>
      </c>
      <c r="H1192">
        <v>3332</v>
      </c>
      <c r="I1192">
        <v>3333</v>
      </c>
      <c r="J1192">
        <v>65000</v>
      </c>
    </row>
    <row r="1193" spans="4:10">
      <c r="D1193" t="s">
        <v>716</v>
      </c>
      <c r="E1193" t="s">
        <v>667</v>
      </c>
      <c r="F1193">
        <v>3334</v>
      </c>
      <c r="G1193">
        <v>3341</v>
      </c>
      <c r="H1193">
        <v>3325</v>
      </c>
      <c r="I1193">
        <v>3325</v>
      </c>
      <c r="J1193">
        <v>88100</v>
      </c>
    </row>
    <row r="1194" spans="4:10">
      <c r="D1194" t="s">
        <v>716</v>
      </c>
      <c r="E1194" t="s">
        <v>668</v>
      </c>
      <c r="F1194">
        <v>3324</v>
      </c>
      <c r="G1194">
        <v>3337</v>
      </c>
      <c r="H1194">
        <v>3324</v>
      </c>
      <c r="I1194">
        <v>3333</v>
      </c>
      <c r="J1194">
        <v>64100</v>
      </c>
    </row>
    <row r="1195" spans="4:10">
      <c r="D1195" t="s">
        <v>716</v>
      </c>
      <c r="E1195" t="s">
        <v>669</v>
      </c>
      <c r="F1195">
        <v>3332</v>
      </c>
      <c r="G1195">
        <v>3332</v>
      </c>
      <c r="H1195">
        <v>3332</v>
      </c>
      <c r="I1195">
        <v>3332</v>
      </c>
      <c r="J1195">
        <v>13200</v>
      </c>
    </row>
    <row r="1196" spans="4:10">
      <c r="D1196" t="s">
        <v>716</v>
      </c>
      <c r="E1196" t="s">
        <v>670</v>
      </c>
      <c r="F1196">
        <v>3340</v>
      </c>
      <c r="G1196">
        <v>3395</v>
      </c>
      <c r="H1196">
        <v>3339</v>
      </c>
      <c r="I1196">
        <v>3382</v>
      </c>
      <c r="J1196">
        <v>366100</v>
      </c>
    </row>
    <row r="1197" spans="4:10">
      <c r="D1197" t="s">
        <v>716</v>
      </c>
      <c r="E1197" t="s">
        <v>671</v>
      </c>
      <c r="F1197">
        <v>3382</v>
      </c>
      <c r="G1197">
        <v>3392</v>
      </c>
      <c r="H1197">
        <v>3368</v>
      </c>
      <c r="I1197">
        <v>3387</v>
      </c>
      <c r="J1197">
        <v>161200</v>
      </c>
    </row>
    <row r="1198" spans="4:10">
      <c r="D1198" t="s">
        <v>716</v>
      </c>
      <c r="E1198" t="s">
        <v>672</v>
      </c>
      <c r="F1198">
        <v>3387</v>
      </c>
      <c r="G1198">
        <v>3388</v>
      </c>
      <c r="H1198">
        <v>3374</v>
      </c>
      <c r="I1198">
        <v>3382</v>
      </c>
      <c r="J1198">
        <v>143900</v>
      </c>
    </row>
    <row r="1199" spans="4:10">
      <c r="D1199" t="s">
        <v>716</v>
      </c>
      <c r="E1199" t="s">
        <v>673</v>
      </c>
      <c r="F1199">
        <v>3381</v>
      </c>
      <c r="G1199">
        <v>3390</v>
      </c>
      <c r="H1199">
        <v>3378</v>
      </c>
      <c r="I1199">
        <v>3386</v>
      </c>
      <c r="J1199">
        <v>105000</v>
      </c>
    </row>
    <row r="1200" spans="4:10">
      <c r="D1200" t="s">
        <v>716</v>
      </c>
      <c r="E1200" t="s">
        <v>674</v>
      </c>
      <c r="F1200">
        <v>3385</v>
      </c>
      <c r="G1200">
        <v>3386</v>
      </c>
      <c r="H1200">
        <v>3365</v>
      </c>
      <c r="I1200">
        <v>3365</v>
      </c>
      <c r="J1200">
        <v>121200</v>
      </c>
    </row>
    <row r="1201" spans="1:10">
      <c r="D1201" t="s">
        <v>716</v>
      </c>
      <c r="E1201" t="s">
        <v>675</v>
      </c>
      <c r="F1201">
        <v>3365</v>
      </c>
      <c r="G1201">
        <v>3379</v>
      </c>
      <c r="H1201">
        <v>3357</v>
      </c>
      <c r="I1201">
        <v>3375</v>
      </c>
      <c r="J1201">
        <v>134200</v>
      </c>
    </row>
    <row r="1202" spans="1:10">
      <c r="D1202" t="s">
        <v>716</v>
      </c>
      <c r="E1202" t="s">
        <v>676</v>
      </c>
      <c r="F1202">
        <v>3375</v>
      </c>
      <c r="G1202">
        <v>3385</v>
      </c>
      <c r="H1202">
        <v>3372</v>
      </c>
      <c r="I1202">
        <v>3375</v>
      </c>
      <c r="J1202">
        <v>90300</v>
      </c>
    </row>
    <row r="1203" spans="1:10">
      <c r="A1203" s="1"/>
      <c r="B1203" s="1"/>
      <c r="C1203" s="1"/>
      <c r="D1203" s="1" t="s">
        <v>716</v>
      </c>
      <c r="E1203" s="1" t="s">
        <v>677</v>
      </c>
      <c r="F1203" s="1">
        <v>3375</v>
      </c>
      <c r="G1203" s="1">
        <v>3386</v>
      </c>
      <c r="H1203" s="1">
        <v>3373</v>
      </c>
      <c r="I1203" s="1">
        <v>3384</v>
      </c>
      <c r="J1203" s="1">
        <v>77100</v>
      </c>
    </row>
    <row r="1204" spans="1:10">
      <c r="D1204" t="s">
        <v>716</v>
      </c>
      <c r="E1204" t="s">
        <v>678</v>
      </c>
      <c r="F1204">
        <v>3385</v>
      </c>
      <c r="G1204">
        <v>3385</v>
      </c>
      <c r="H1204">
        <v>3375</v>
      </c>
      <c r="I1204">
        <v>3378</v>
      </c>
      <c r="J1204">
        <v>66000</v>
      </c>
    </row>
    <row r="1205" spans="1:10">
      <c r="D1205" t="s">
        <v>716</v>
      </c>
      <c r="E1205" t="s">
        <v>679</v>
      </c>
      <c r="F1205">
        <v>3376</v>
      </c>
      <c r="G1205">
        <v>3382</v>
      </c>
      <c r="H1205">
        <v>3372</v>
      </c>
      <c r="I1205">
        <v>3375</v>
      </c>
      <c r="J1205">
        <v>65000</v>
      </c>
    </row>
    <row r="1206" spans="1:10">
      <c r="D1206" t="s">
        <v>716</v>
      </c>
      <c r="E1206" t="s">
        <v>680</v>
      </c>
      <c r="F1206">
        <v>3374</v>
      </c>
      <c r="G1206">
        <v>3377</v>
      </c>
      <c r="H1206">
        <v>3370</v>
      </c>
      <c r="I1206">
        <v>3374</v>
      </c>
      <c r="J1206">
        <v>59600</v>
      </c>
    </row>
    <row r="1207" spans="1:10">
      <c r="D1207" t="s">
        <v>716</v>
      </c>
      <c r="E1207" t="s">
        <v>681</v>
      </c>
      <c r="F1207">
        <v>3375</v>
      </c>
      <c r="G1207">
        <v>3376</v>
      </c>
      <c r="H1207">
        <v>3367</v>
      </c>
      <c r="I1207">
        <v>3370</v>
      </c>
      <c r="J1207">
        <v>71200</v>
      </c>
    </row>
    <row r="1208" spans="1:10">
      <c r="D1208" t="s">
        <v>716</v>
      </c>
      <c r="E1208" t="s">
        <v>682</v>
      </c>
      <c r="F1208">
        <v>3370</v>
      </c>
      <c r="G1208">
        <v>3377</v>
      </c>
      <c r="H1208">
        <v>3367</v>
      </c>
      <c r="I1208">
        <v>3376</v>
      </c>
      <c r="J1208">
        <v>76000</v>
      </c>
    </row>
    <row r="1209" spans="1:10">
      <c r="D1209" t="s">
        <v>716</v>
      </c>
      <c r="E1209" t="s">
        <v>683</v>
      </c>
      <c r="F1209">
        <v>3376</v>
      </c>
      <c r="G1209">
        <v>3376</v>
      </c>
      <c r="H1209">
        <v>3371</v>
      </c>
      <c r="I1209">
        <v>3372</v>
      </c>
      <c r="J1209">
        <v>41400</v>
      </c>
    </row>
    <row r="1210" spans="1:10">
      <c r="D1210" t="s">
        <v>716</v>
      </c>
      <c r="E1210" t="s">
        <v>684</v>
      </c>
      <c r="F1210">
        <v>3373</v>
      </c>
      <c r="G1210">
        <v>3399</v>
      </c>
      <c r="H1210">
        <v>3373</v>
      </c>
      <c r="I1210">
        <v>3382</v>
      </c>
      <c r="J1210">
        <v>145500</v>
      </c>
    </row>
    <row r="1211" spans="1:10">
      <c r="D1211" t="s">
        <v>716</v>
      </c>
      <c r="E1211" t="s">
        <v>685</v>
      </c>
      <c r="F1211">
        <v>3381</v>
      </c>
      <c r="G1211">
        <v>3387</v>
      </c>
      <c r="H1211">
        <v>3377</v>
      </c>
      <c r="I1211">
        <v>3387</v>
      </c>
      <c r="J1211">
        <v>68000</v>
      </c>
    </row>
    <row r="1212" spans="1:10">
      <c r="D1212" t="s">
        <v>716</v>
      </c>
      <c r="E1212" t="s">
        <v>686</v>
      </c>
      <c r="F1212">
        <v>3388</v>
      </c>
      <c r="G1212">
        <v>3396</v>
      </c>
      <c r="H1212">
        <v>3383</v>
      </c>
      <c r="I1212">
        <v>3392</v>
      </c>
      <c r="J1212">
        <v>103300</v>
      </c>
    </row>
    <row r="1213" spans="1:10">
      <c r="D1213" t="s">
        <v>716</v>
      </c>
      <c r="E1213" t="s">
        <v>687</v>
      </c>
      <c r="F1213">
        <v>3392</v>
      </c>
      <c r="G1213">
        <v>3393</v>
      </c>
      <c r="H1213">
        <v>3383</v>
      </c>
      <c r="I1213">
        <v>3385</v>
      </c>
      <c r="J1213">
        <v>77100</v>
      </c>
    </row>
    <row r="1214" spans="1:10">
      <c r="D1214" t="s">
        <v>716</v>
      </c>
      <c r="E1214" t="s">
        <v>688</v>
      </c>
      <c r="F1214">
        <v>3384</v>
      </c>
      <c r="G1214">
        <v>3389</v>
      </c>
      <c r="H1214">
        <v>3381</v>
      </c>
      <c r="I1214">
        <v>3385</v>
      </c>
      <c r="J1214">
        <v>71700</v>
      </c>
    </row>
    <row r="1215" spans="1:10">
      <c r="D1215" t="s">
        <v>716</v>
      </c>
      <c r="E1215" t="s">
        <v>689</v>
      </c>
      <c r="F1215">
        <v>3384</v>
      </c>
      <c r="G1215">
        <v>3387</v>
      </c>
      <c r="H1215">
        <v>3373</v>
      </c>
      <c r="I1215">
        <v>3373</v>
      </c>
      <c r="J1215">
        <v>57000</v>
      </c>
    </row>
    <row r="1216" spans="1:10">
      <c r="D1216" t="s">
        <v>716</v>
      </c>
      <c r="E1216" t="s">
        <v>690</v>
      </c>
      <c r="F1216">
        <v>3374</v>
      </c>
      <c r="G1216">
        <v>3387</v>
      </c>
      <c r="H1216">
        <v>3373</v>
      </c>
      <c r="I1216">
        <v>3386</v>
      </c>
      <c r="J1216">
        <v>65800</v>
      </c>
    </row>
    <row r="1217" spans="4:10">
      <c r="D1217" t="s">
        <v>716</v>
      </c>
      <c r="E1217" t="s">
        <v>691</v>
      </c>
      <c r="F1217">
        <v>3387</v>
      </c>
      <c r="G1217">
        <v>3392</v>
      </c>
      <c r="H1217">
        <v>3375</v>
      </c>
      <c r="I1217">
        <v>3390</v>
      </c>
      <c r="J1217">
        <v>73900</v>
      </c>
    </row>
    <row r="1218" spans="4:10">
      <c r="D1218" t="s">
        <v>716</v>
      </c>
      <c r="E1218" t="s">
        <v>692</v>
      </c>
      <c r="F1218">
        <v>3389</v>
      </c>
      <c r="G1218">
        <v>3390</v>
      </c>
      <c r="H1218">
        <v>3384</v>
      </c>
      <c r="I1218">
        <v>3384</v>
      </c>
      <c r="J1218">
        <v>53100</v>
      </c>
    </row>
    <row r="1219" spans="4:10">
      <c r="D1219" t="s">
        <v>716</v>
      </c>
      <c r="E1219" t="s">
        <v>693</v>
      </c>
      <c r="F1219">
        <v>3384</v>
      </c>
      <c r="G1219">
        <v>3401</v>
      </c>
      <c r="H1219">
        <v>3383</v>
      </c>
      <c r="I1219">
        <v>3391</v>
      </c>
      <c r="J1219">
        <v>134000</v>
      </c>
    </row>
    <row r="1220" spans="4:10">
      <c r="D1220" t="s">
        <v>716</v>
      </c>
      <c r="E1220" t="s">
        <v>694</v>
      </c>
      <c r="F1220">
        <v>3391</v>
      </c>
      <c r="G1220">
        <v>3398</v>
      </c>
      <c r="H1220">
        <v>3388</v>
      </c>
      <c r="I1220">
        <v>3396</v>
      </c>
      <c r="J1220">
        <v>64900</v>
      </c>
    </row>
    <row r="1221" spans="4:10">
      <c r="D1221" t="s">
        <v>716</v>
      </c>
      <c r="E1221" t="s">
        <v>695</v>
      </c>
      <c r="F1221">
        <v>3396</v>
      </c>
      <c r="G1221">
        <v>3397</v>
      </c>
      <c r="H1221">
        <v>3391</v>
      </c>
      <c r="I1221">
        <v>3392</v>
      </c>
      <c r="J1221">
        <v>57900</v>
      </c>
    </row>
    <row r="1222" spans="4:10">
      <c r="D1222" t="s">
        <v>716</v>
      </c>
      <c r="E1222" t="s">
        <v>696</v>
      </c>
      <c r="F1222">
        <v>3392</v>
      </c>
      <c r="G1222">
        <v>3392</v>
      </c>
      <c r="H1222">
        <v>3378</v>
      </c>
      <c r="I1222">
        <v>3379</v>
      </c>
      <c r="J1222">
        <v>82800</v>
      </c>
    </row>
    <row r="1223" spans="4:10">
      <c r="D1223" t="s">
        <v>716</v>
      </c>
      <c r="E1223" t="s">
        <v>697</v>
      </c>
      <c r="F1223">
        <v>3379</v>
      </c>
      <c r="G1223">
        <v>3385</v>
      </c>
      <c r="H1223">
        <v>3375</v>
      </c>
      <c r="I1223">
        <v>3375</v>
      </c>
      <c r="J1223">
        <v>62200</v>
      </c>
    </row>
    <row r="1224" spans="4:10">
      <c r="D1224" t="s">
        <v>716</v>
      </c>
      <c r="E1224" t="s">
        <v>698</v>
      </c>
      <c r="F1224">
        <v>3376</v>
      </c>
      <c r="G1224">
        <v>3386</v>
      </c>
      <c r="H1224">
        <v>3376</v>
      </c>
      <c r="I1224">
        <v>3386</v>
      </c>
      <c r="J1224">
        <v>65100</v>
      </c>
    </row>
    <row r="1225" spans="4:10">
      <c r="D1225" t="s">
        <v>716</v>
      </c>
      <c r="E1225" t="s">
        <v>699</v>
      </c>
      <c r="F1225">
        <v>3386</v>
      </c>
      <c r="G1225">
        <v>3394</v>
      </c>
      <c r="H1225">
        <v>3383</v>
      </c>
      <c r="I1225">
        <v>3392</v>
      </c>
      <c r="J1225">
        <v>60700</v>
      </c>
    </row>
    <row r="1226" spans="4:10">
      <c r="D1226" t="s">
        <v>716</v>
      </c>
      <c r="E1226" t="s">
        <v>700</v>
      </c>
      <c r="F1226">
        <v>3392</v>
      </c>
      <c r="G1226">
        <v>3404</v>
      </c>
      <c r="H1226">
        <v>3391</v>
      </c>
      <c r="I1226">
        <v>3394</v>
      </c>
      <c r="J1226">
        <v>124800</v>
      </c>
    </row>
    <row r="1227" spans="4:10">
      <c r="D1227" t="s">
        <v>716</v>
      </c>
      <c r="E1227" t="s">
        <v>633</v>
      </c>
      <c r="F1227">
        <v>3393</v>
      </c>
      <c r="G1227">
        <v>3400</v>
      </c>
      <c r="H1227">
        <v>3390</v>
      </c>
      <c r="I1227">
        <v>3390</v>
      </c>
      <c r="J1227">
        <v>89300</v>
      </c>
    </row>
    <row r="1228" spans="4:10">
      <c r="D1228" t="s">
        <v>716</v>
      </c>
      <c r="E1228" t="s">
        <v>634</v>
      </c>
      <c r="F1228">
        <v>3390</v>
      </c>
      <c r="G1228">
        <v>3395</v>
      </c>
      <c r="H1228">
        <v>3385</v>
      </c>
      <c r="I1228">
        <v>3389</v>
      </c>
      <c r="J1228">
        <v>72500</v>
      </c>
    </row>
    <row r="1229" spans="4:10">
      <c r="D1229" t="s">
        <v>716</v>
      </c>
      <c r="E1229" t="s">
        <v>635</v>
      </c>
      <c r="F1229">
        <v>3390</v>
      </c>
      <c r="G1229">
        <v>3410</v>
      </c>
      <c r="H1229">
        <v>3390</v>
      </c>
      <c r="I1229">
        <v>3401</v>
      </c>
      <c r="J1229">
        <v>138600</v>
      </c>
    </row>
    <row r="1230" spans="4:10">
      <c r="D1230" t="s">
        <v>716</v>
      </c>
      <c r="E1230" t="s">
        <v>614</v>
      </c>
      <c r="F1230">
        <v>3401</v>
      </c>
      <c r="G1230">
        <v>3404</v>
      </c>
      <c r="H1230">
        <v>3387</v>
      </c>
      <c r="I1230">
        <v>3392</v>
      </c>
      <c r="J1230">
        <v>175300</v>
      </c>
    </row>
    <row r="1231" spans="4:10">
      <c r="D1231" t="s">
        <v>716</v>
      </c>
      <c r="E1231" t="s">
        <v>636</v>
      </c>
      <c r="F1231" t="s">
        <v>35</v>
      </c>
      <c r="G1231" t="s">
        <v>35</v>
      </c>
      <c r="H1231" t="s">
        <v>35</v>
      </c>
      <c r="I1231" t="s">
        <v>35</v>
      </c>
      <c r="J1231">
        <v>0</v>
      </c>
    </row>
    <row r="1232" spans="4:10">
      <c r="D1232" t="s">
        <v>716</v>
      </c>
      <c r="E1232" t="s">
        <v>637</v>
      </c>
      <c r="F1232">
        <v>3384</v>
      </c>
      <c r="G1232">
        <v>3384</v>
      </c>
      <c r="H1232">
        <v>3384</v>
      </c>
      <c r="I1232">
        <v>3384</v>
      </c>
      <c r="J1232">
        <v>1045600</v>
      </c>
    </row>
    <row r="1233" spans="4:10">
      <c r="D1233" t="s">
        <v>717</v>
      </c>
      <c r="E1233" t="s">
        <v>639</v>
      </c>
      <c r="F1233">
        <v>3380</v>
      </c>
      <c r="G1233">
        <v>3464</v>
      </c>
      <c r="H1233">
        <v>3349</v>
      </c>
      <c r="I1233">
        <v>3456</v>
      </c>
      <c r="J1233">
        <v>663500</v>
      </c>
    </row>
    <row r="1234" spans="4:10">
      <c r="D1234" t="s">
        <v>717</v>
      </c>
      <c r="E1234" t="s">
        <v>640</v>
      </c>
      <c r="F1234">
        <v>3454</v>
      </c>
      <c r="G1234">
        <v>3484</v>
      </c>
      <c r="H1234">
        <v>3428</v>
      </c>
      <c r="I1234">
        <v>3450</v>
      </c>
      <c r="J1234">
        <v>317500</v>
      </c>
    </row>
    <row r="1235" spans="4:10">
      <c r="D1235" t="s">
        <v>717</v>
      </c>
      <c r="E1235" t="s">
        <v>641</v>
      </c>
      <c r="F1235">
        <v>3451</v>
      </c>
      <c r="G1235">
        <v>3454</v>
      </c>
      <c r="H1235">
        <v>3426</v>
      </c>
      <c r="I1235">
        <v>3440</v>
      </c>
      <c r="J1235">
        <v>236900</v>
      </c>
    </row>
    <row r="1236" spans="4:10">
      <c r="D1236" t="s">
        <v>717</v>
      </c>
      <c r="E1236" t="s">
        <v>642</v>
      </c>
      <c r="F1236">
        <v>3441</v>
      </c>
      <c r="G1236">
        <v>3447</v>
      </c>
      <c r="H1236">
        <v>3411</v>
      </c>
      <c r="I1236">
        <v>3419</v>
      </c>
      <c r="J1236">
        <v>209100</v>
      </c>
    </row>
    <row r="1237" spans="4:10">
      <c r="D1237" t="s">
        <v>717</v>
      </c>
      <c r="E1237" t="s">
        <v>643</v>
      </c>
      <c r="F1237">
        <v>3418</v>
      </c>
      <c r="G1237">
        <v>3422</v>
      </c>
      <c r="H1237">
        <v>3397</v>
      </c>
      <c r="I1237">
        <v>3416</v>
      </c>
      <c r="J1237">
        <v>240500</v>
      </c>
    </row>
    <row r="1238" spans="4:10">
      <c r="D1238" t="s">
        <v>717</v>
      </c>
      <c r="E1238" t="s">
        <v>644</v>
      </c>
      <c r="F1238">
        <v>3414</v>
      </c>
      <c r="G1238">
        <v>3421</v>
      </c>
      <c r="H1238">
        <v>3387</v>
      </c>
      <c r="I1238">
        <v>3418</v>
      </c>
      <c r="J1238">
        <v>204600</v>
      </c>
    </row>
    <row r="1239" spans="4:10">
      <c r="D1239" t="s">
        <v>717</v>
      </c>
      <c r="E1239" t="s">
        <v>645</v>
      </c>
      <c r="F1239">
        <v>3418</v>
      </c>
      <c r="G1239">
        <v>3466</v>
      </c>
      <c r="H1239">
        <v>3400</v>
      </c>
      <c r="I1239">
        <v>3459</v>
      </c>
      <c r="J1239">
        <v>230900</v>
      </c>
    </row>
    <row r="1240" spans="4:10">
      <c r="D1240" t="s">
        <v>717</v>
      </c>
      <c r="E1240" t="s">
        <v>646</v>
      </c>
      <c r="F1240">
        <v>3460</v>
      </c>
      <c r="G1240">
        <v>3487</v>
      </c>
      <c r="H1240">
        <v>3448</v>
      </c>
      <c r="I1240">
        <v>3456</v>
      </c>
      <c r="J1240">
        <v>262400</v>
      </c>
    </row>
    <row r="1241" spans="4:10">
      <c r="D1241" t="s">
        <v>717</v>
      </c>
      <c r="E1241" t="s">
        <v>647</v>
      </c>
      <c r="F1241">
        <v>3455</v>
      </c>
      <c r="G1241">
        <v>3472</v>
      </c>
      <c r="H1241">
        <v>3443</v>
      </c>
      <c r="I1241">
        <v>3445</v>
      </c>
      <c r="J1241">
        <v>181400</v>
      </c>
    </row>
    <row r="1242" spans="4:10">
      <c r="D1242" t="s">
        <v>717</v>
      </c>
      <c r="E1242" t="s">
        <v>648</v>
      </c>
      <c r="F1242">
        <v>3443</v>
      </c>
      <c r="G1242">
        <v>3465</v>
      </c>
      <c r="H1242">
        <v>3442</v>
      </c>
      <c r="I1242">
        <v>3457</v>
      </c>
      <c r="J1242">
        <v>130000</v>
      </c>
    </row>
    <row r="1243" spans="4:10">
      <c r="D1243" t="s">
        <v>717</v>
      </c>
      <c r="E1243" t="s">
        <v>649</v>
      </c>
      <c r="F1243">
        <v>3457</v>
      </c>
      <c r="G1243">
        <v>3479</v>
      </c>
      <c r="H1243">
        <v>3453</v>
      </c>
      <c r="I1243">
        <v>3472</v>
      </c>
      <c r="J1243">
        <v>124300</v>
      </c>
    </row>
    <row r="1244" spans="4:10">
      <c r="D1244" t="s">
        <v>717</v>
      </c>
      <c r="E1244" t="s">
        <v>650</v>
      </c>
      <c r="F1244">
        <v>3473</v>
      </c>
      <c r="G1244">
        <v>3488</v>
      </c>
      <c r="H1244">
        <v>3468</v>
      </c>
      <c r="I1244">
        <v>3480</v>
      </c>
      <c r="J1244">
        <v>149100</v>
      </c>
    </row>
    <row r="1245" spans="4:10">
      <c r="D1245" t="s">
        <v>717</v>
      </c>
      <c r="E1245" t="s">
        <v>651</v>
      </c>
      <c r="F1245">
        <v>3481</v>
      </c>
      <c r="G1245">
        <v>3498</v>
      </c>
      <c r="H1245">
        <v>3462</v>
      </c>
      <c r="I1245">
        <v>3464</v>
      </c>
      <c r="J1245">
        <v>233500</v>
      </c>
    </row>
    <row r="1246" spans="4:10">
      <c r="D1246" t="s">
        <v>717</v>
      </c>
      <c r="E1246" t="s">
        <v>652</v>
      </c>
      <c r="F1246">
        <v>3466</v>
      </c>
      <c r="G1246">
        <v>3497</v>
      </c>
      <c r="H1246">
        <v>3465</v>
      </c>
      <c r="I1246">
        <v>3496</v>
      </c>
      <c r="J1246">
        <v>150300</v>
      </c>
    </row>
    <row r="1247" spans="4:10">
      <c r="D1247" t="s">
        <v>717</v>
      </c>
      <c r="E1247" t="s">
        <v>653</v>
      </c>
      <c r="F1247">
        <v>3495</v>
      </c>
      <c r="G1247">
        <v>3534</v>
      </c>
      <c r="H1247">
        <v>3495</v>
      </c>
      <c r="I1247">
        <v>3530</v>
      </c>
      <c r="J1247">
        <v>296500</v>
      </c>
    </row>
    <row r="1248" spans="4:10">
      <c r="D1248" t="s">
        <v>717</v>
      </c>
      <c r="E1248" t="s">
        <v>654</v>
      </c>
      <c r="F1248">
        <v>3531</v>
      </c>
      <c r="G1248">
        <v>3552</v>
      </c>
      <c r="H1248">
        <v>3519</v>
      </c>
      <c r="I1248">
        <v>3525</v>
      </c>
      <c r="J1248">
        <v>292000</v>
      </c>
    </row>
    <row r="1249" spans="4:10">
      <c r="D1249" t="s">
        <v>717</v>
      </c>
      <c r="E1249" t="s">
        <v>655</v>
      </c>
      <c r="F1249">
        <v>3525</v>
      </c>
      <c r="G1249">
        <v>3538</v>
      </c>
      <c r="H1249">
        <v>3509</v>
      </c>
      <c r="I1249">
        <v>3512</v>
      </c>
      <c r="J1249">
        <v>164100</v>
      </c>
    </row>
    <row r="1250" spans="4:10">
      <c r="D1250" t="s">
        <v>717</v>
      </c>
      <c r="E1250" t="s">
        <v>656</v>
      </c>
      <c r="F1250">
        <v>3513</v>
      </c>
      <c r="G1250">
        <v>3525</v>
      </c>
      <c r="H1250">
        <v>3511</v>
      </c>
      <c r="I1250">
        <v>3516</v>
      </c>
      <c r="J1250">
        <v>92800</v>
      </c>
    </row>
    <row r="1251" spans="4:10">
      <c r="D1251" t="s">
        <v>717</v>
      </c>
      <c r="E1251" t="s">
        <v>657</v>
      </c>
      <c r="F1251">
        <v>3517</v>
      </c>
      <c r="G1251">
        <v>3526</v>
      </c>
      <c r="H1251">
        <v>3502</v>
      </c>
      <c r="I1251">
        <v>3517</v>
      </c>
      <c r="J1251">
        <v>147400</v>
      </c>
    </row>
    <row r="1252" spans="4:10">
      <c r="D1252" t="s">
        <v>717</v>
      </c>
      <c r="E1252" t="s">
        <v>658</v>
      </c>
      <c r="F1252">
        <v>3517</v>
      </c>
      <c r="G1252">
        <v>3533</v>
      </c>
      <c r="H1252">
        <v>3508</v>
      </c>
      <c r="I1252">
        <v>3533</v>
      </c>
      <c r="J1252">
        <v>135900</v>
      </c>
    </row>
    <row r="1253" spans="4:10">
      <c r="D1253" t="s">
        <v>717</v>
      </c>
      <c r="E1253" t="s">
        <v>659</v>
      </c>
      <c r="F1253">
        <v>3532</v>
      </c>
      <c r="G1253">
        <v>3575</v>
      </c>
      <c r="H1253">
        <v>3526</v>
      </c>
      <c r="I1253">
        <v>3547</v>
      </c>
      <c r="J1253">
        <v>430400</v>
      </c>
    </row>
    <row r="1254" spans="4:10">
      <c r="D1254" t="s">
        <v>717</v>
      </c>
      <c r="E1254" t="s">
        <v>660</v>
      </c>
      <c r="F1254">
        <v>3548</v>
      </c>
      <c r="G1254">
        <v>3555</v>
      </c>
      <c r="H1254">
        <v>3539</v>
      </c>
      <c r="I1254">
        <v>3552</v>
      </c>
      <c r="J1254">
        <v>115600</v>
      </c>
    </row>
    <row r="1255" spans="4:10">
      <c r="D1255" t="s">
        <v>717</v>
      </c>
      <c r="E1255" t="s">
        <v>661</v>
      </c>
      <c r="F1255">
        <v>3551</v>
      </c>
      <c r="G1255">
        <v>3585</v>
      </c>
      <c r="H1255">
        <v>3544</v>
      </c>
      <c r="I1255">
        <v>3558</v>
      </c>
      <c r="J1255">
        <v>182900</v>
      </c>
    </row>
    <row r="1256" spans="4:10">
      <c r="D1256" t="s">
        <v>717</v>
      </c>
      <c r="E1256" t="s">
        <v>662</v>
      </c>
      <c r="F1256">
        <v>3559</v>
      </c>
      <c r="G1256">
        <v>3559</v>
      </c>
      <c r="H1256">
        <v>3506</v>
      </c>
      <c r="I1256">
        <v>3514</v>
      </c>
      <c r="J1256">
        <v>169700</v>
      </c>
    </row>
    <row r="1257" spans="4:10">
      <c r="D1257" t="s">
        <v>717</v>
      </c>
      <c r="E1257" t="s">
        <v>663</v>
      </c>
      <c r="F1257">
        <v>3512</v>
      </c>
      <c r="G1257">
        <v>3522</v>
      </c>
      <c r="H1257">
        <v>3485</v>
      </c>
      <c r="I1257">
        <v>3500</v>
      </c>
      <c r="J1257">
        <v>175600</v>
      </c>
    </row>
    <row r="1258" spans="4:10">
      <c r="D1258" t="s">
        <v>717</v>
      </c>
      <c r="E1258" t="s">
        <v>664</v>
      </c>
      <c r="F1258">
        <v>3500</v>
      </c>
      <c r="G1258">
        <v>3516</v>
      </c>
      <c r="H1258">
        <v>3491</v>
      </c>
      <c r="I1258">
        <v>3513</v>
      </c>
      <c r="J1258">
        <v>100000</v>
      </c>
    </row>
    <row r="1259" spans="4:10">
      <c r="D1259" t="s">
        <v>717</v>
      </c>
      <c r="E1259" t="s">
        <v>665</v>
      </c>
      <c r="F1259">
        <v>3513</v>
      </c>
      <c r="G1259">
        <v>3533</v>
      </c>
      <c r="H1259">
        <v>3506</v>
      </c>
      <c r="I1259">
        <v>3524</v>
      </c>
      <c r="J1259">
        <v>118700</v>
      </c>
    </row>
    <row r="1260" spans="4:10">
      <c r="D1260" t="s">
        <v>717</v>
      </c>
      <c r="E1260" t="s">
        <v>666</v>
      </c>
      <c r="F1260">
        <v>3523</v>
      </c>
      <c r="G1260">
        <v>3529</v>
      </c>
      <c r="H1260">
        <v>3506</v>
      </c>
      <c r="I1260">
        <v>3510</v>
      </c>
      <c r="J1260">
        <v>85700</v>
      </c>
    </row>
    <row r="1261" spans="4:10">
      <c r="D1261" t="s">
        <v>717</v>
      </c>
      <c r="E1261" t="s">
        <v>667</v>
      </c>
      <c r="F1261">
        <v>3510</v>
      </c>
      <c r="G1261">
        <v>3522</v>
      </c>
      <c r="H1261">
        <v>3508</v>
      </c>
      <c r="I1261">
        <v>3513</v>
      </c>
      <c r="J1261">
        <v>67200</v>
      </c>
    </row>
    <row r="1262" spans="4:10">
      <c r="D1262" t="s">
        <v>717</v>
      </c>
      <c r="E1262" t="s">
        <v>668</v>
      </c>
      <c r="F1262">
        <v>3515</v>
      </c>
      <c r="G1262">
        <v>3538</v>
      </c>
      <c r="H1262">
        <v>3514</v>
      </c>
      <c r="I1262">
        <v>3531</v>
      </c>
      <c r="J1262">
        <v>78900</v>
      </c>
    </row>
    <row r="1263" spans="4:10">
      <c r="D1263" t="s">
        <v>717</v>
      </c>
      <c r="E1263" t="s">
        <v>669</v>
      </c>
      <c r="F1263">
        <v>3534</v>
      </c>
      <c r="G1263">
        <v>3534</v>
      </c>
      <c r="H1263">
        <v>3534</v>
      </c>
      <c r="I1263">
        <v>3534</v>
      </c>
      <c r="J1263">
        <v>3600</v>
      </c>
    </row>
    <row r="1264" spans="4:10">
      <c r="D1264" t="s">
        <v>717</v>
      </c>
      <c r="E1264" t="s">
        <v>670</v>
      </c>
      <c r="F1264">
        <v>3499</v>
      </c>
      <c r="G1264">
        <v>3544</v>
      </c>
      <c r="H1264">
        <v>3492</v>
      </c>
      <c r="I1264">
        <v>3508</v>
      </c>
      <c r="J1264">
        <v>347200</v>
      </c>
    </row>
    <row r="1265" spans="4:10">
      <c r="D1265" t="s">
        <v>717</v>
      </c>
      <c r="E1265" t="s">
        <v>671</v>
      </c>
      <c r="F1265">
        <v>3507</v>
      </c>
      <c r="G1265">
        <v>3510</v>
      </c>
      <c r="H1265">
        <v>3467</v>
      </c>
      <c r="I1265">
        <v>3470</v>
      </c>
      <c r="J1265">
        <v>220700</v>
      </c>
    </row>
    <row r="1266" spans="4:10">
      <c r="D1266" t="s">
        <v>717</v>
      </c>
      <c r="E1266" t="s">
        <v>672</v>
      </c>
      <c r="F1266">
        <v>3471</v>
      </c>
      <c r="G1266">
        <v>3495</v>
      </c>
      <c r="H1266">
        <v>3469</v>
      </c>
      <c r="I1266">
        <v>3474</v>
      </c>
      <c r="J1266">
        <v>160000</v>
      </c>
    </row>
    <row r="1267" spans="4:10">
      <c r="D1267" t="s">
        <v>717</v>
      </c>
      <c r="E1267" t="s">
        <v>673</v>
      </c>
      <c r="F1267">
        <v>3473</v>
      </c>
      <c r="G1267">
        <v>3482</v>
      </c>
      <c r="H1267">
        <v>3458</v>
      </c>
      <c r="I1267">
        <v>3468</v>
      </c>
      <c r="J1267">
        <v>144700</v>
      </c>
    </row>
    <row r="1268" spans="4:10">
      <c r="D1268" t="s">
        <v>717</v>
      </c>
      <c r="E1268" t="s">
        <v>674</v>
      </c>
      <c r="F1268">
        <v>3469</v>
      </c>
      <c r="G1268">
        <v>3474</v>
      </c>
      <c r="H1268">
        <v>3459</v>
      </c>
      <c r="I1268">
        <v>3461</v>
      </c>
      <c r="J1268">
        <v>131700</v>
      </c>
    </row>
    <row r="1269" spans="4:10">
      <c r="D1269" t="s">
        <v>717</v>
      </c>
      <c r="E1269" t="s">
        <v>675</v>
      </c>
      <c r="F1269">
        <v>3461</v>
      </c>
      <c r="G1269">
        <v>3467</v>
      </c>
      <c r="H1269">
        <v>3457</v>
      </c>
      <c r="I1269">
        <v>3465</v>
      </c>
      <c r="J1269">
        <v>127500</v>
      </c>
    </row>
    <row r="1270" spans="4:10">
      <c r="D1270" t="s">
        <v>717</v>
      </c>
      <c r="E1270" t="s">
        <v>676</v>
      </c>
      <c r="F1270">
        <v>3465</v>
      </c>
      <c r="G1270">
        <v>3485</v>
      </c>
      <c r="H1270">
        <v>3464</v>
      </c>
      <c r="I1270">
        <v>3482</v>
      </c>
      <c r="J1270">
        <v>150100</v>
      </c>
    </row>
    <row r="1271" spans="4:10">
      <c r="D1271" t="s">
        <v>717</v>
      </c>
      <c r="E1271" t="s">
        <v>677</v>
      </c>
      <c r="F1271">
        <v>3482</v>
      </c>
      <c r="G1271">
        <v>3494</v>
      </c>
      <c r="H1271">
        <v>3475</v>
      </c>
      <c r="I1271">
        <v>3485</v>
      </c>
      <c r="J1271">
        <v>215800</v>
      </c>
    </row>
    <row r="1272" spans="4:10">
      <c r="D1272" t="s">
        <v>717</v>
      </c>
      <c r="E1272" t="s">
        <v>678</v>
      </c>
      <c r="F1272">
        <v>3483</v>
      </c>
      <c r="G1272">
        <v>3491</v>
      </c>
      <c r="H1272">
        <v>3476</v>
      </c>
      <c r="I1272">
        <v>3486</v>
      </c>
      <c r="J1272">
        <v>115000</v>
      </c>
    </row>
    <row r="1273" spans="4:10">
      <c r="D1273" t="s">
        <v>717</v>
      </c>
      <c r="E1273" t="s">
        <v>679</v>
      </c>
      <c r="F1273">
        <v>3486</v>
      </c>
      <c r="G1273">
        <v>3486</v>
      </c>
      <c r="H1273">
        <v>3461</v>
      </c>
      <c r="I1273">
        <v>3469</v>
      </c>
      <c r="J1273">
        <v>130000</v>
      </c>
    </row>
    <row r="1274" spans="4:10">
      <c r="D1274" t="s">
        <v>717</v>
      </c>
      <c r="E1274" t="s">
        <v>680</v>
      </c>
      <c r="F1274">
        <v>3469</v>
      </c>
      <c r="G1274">
        <v>3480</v>
      </c>
      <c r="H1274">
        <v>3461</v>
      </c>
      <c r="I1274">
        <v>3462</v>
      </c>
      <c r="J1274">
        <v>84900</v>
      </c>
    </row>
    <row r="1275" spans="4:10">
      <c r="D1275" t="s">
        <v>717</v>
      </c>
      <c r="E1275" t="s">
        <v>681</v>
      </c>
      <c r="F1275">
        <v>3462</v>
      </c>
      <c r="G1275">
        <v>3480</v>
      </c>
      <c r="H1275">
        <v>3457</v>
      </c>
      <c r="I1275">
        <v>3473</v>
      </c>
      <c r="J1275">
        <v>116400</v>
      </c>
    </row>
    <row r="1276" spans="4:10">
      <c r="D1276" t="s">
        <v>717</v>
      </c>
      <c r="E1276" t="s">
        <v>682</v>
      </c>
      <c r="F1276">
        <v>3472</v>
      </c>
      <c r="G1276">
        <v>3479</v>
      </c>
      <c r="H1276">
        <v>3468</v>
      </c>
      <c r="I1276">
        <v>3477</v>
      </c>
      <c r="J1276">
        <v>76600</v>
      </c>
    </row>
    <row r="1277" spans="4:10">
      <c r="D1277" t="s">
        <v>717</v>
      </c>
      <c r="E1277" t="s">
        <v>683</v>
      </c>
      <c r="F1277">
        <v>3478</v>
      </c>
      <c r="G1277">
        <v>3478</v>
      </c>
      <c r="H1277">
        <v>3466</v>
      </c>
      <c r="I1277">
        <v>3469</v>
      </c>
      <c r="J1277">
        <v>69400</v>
      </c>
    </row>
    <row r="1278" spans="4:10">
      <c r="D1278" t="s">
        <v>717</v>
      </c>
      <c r="E1278" t="s">
        <v>684</v>
      </c>
      <c r="F1278">
        <v>3469</v>
      </c>
      <c r="G1278">
        <v>3472</v>
      </c>
      <c r="H1278">
        <v>3463</v>
      </c>
      <c r="I1278">
        <v>3471</v>
      </c>
      <c r="J1278">
        <v>59800</v>
      </c>
    </row>
    <row r="1279" spans="4:10">
      <c r="D1279" t="s">
        <v>717</v>
      </c>
      <c r="E1279" t="s">
        <v>685</v>
      </c>
      <c r="F1279">
        <v>3471</v>
      </c>
      <c r="G1279">
        <v>3482</v>
      </c>
      <c r="H1279">
        <v>3471</v>
      </c>
      <c r="I1279">
        <v>3476</v>
      </c>
      <c r="J1279">
        <v>77700</v>
      </c>
    </row>
    <row r="1280" spans="4:10">
      <c r="D1280" t="s">
        <v>717</v>
      </c>
      <c r="E1280" t="s">
        <v>686</v>
      </c>
      <c r="F1280">
        <v>3476</v>
      </c>
      <c r="G1280">
        <v>3489</v>
      </c>
      <c r="H1280">
        <v>3467</v>
      </c>
      <c r="I1280">
        <v>3467</v>
      </c>
      <c r="J1280">
        <v>102800</v>
      </c>
    </row>
    <row r="1281" spans="4:10">
      <c r="D1281" t="s">
        <v>717</v>
      </c>
      <c r="E1281" t="s">
        <v>687</v>
      </c>
      <c r="F1281">
        <v>3466</v>
      </c>
      <c r="G1281">
        <v>3473</v>
      </c>
      <c r="H1281">
        <v>3459</v>
      </c>
      <c r="I1281">
        <v>3467</v>
      </c>
      <c r="J1281">
        <v>77300</v>
      </c>
    </row>
    <row r="1282" spans="4:10">
      <c r="D1282" t="s">
        <v>717</v>
      </c>
      <c r="E1282" t="s">
        <v>688</v>
      </c>
      <c r="F1282">
        <v>3468</v>
      </c>
      <c r="G1282">
        <v>3474</v>
      </c>
      <c r="H1282">
        <v>3462</v>
      </c>
      <c r="I1282">
        <v>3466</v>
      </c>
      <c r="J1282">
        <v>71700</v>
      </c>
    </row>
    <row r="1283" spans="4:10">
      <c r="D1283" t="s">
        <v>717</v>
      </c>
      <c r="E1283" t="s">
        <v>689</v>
      </c>
      <c r="F1283">
        <v>3465</v>
      </c>
      <c r="G1283">
        <v>3476</v>
      </c>
      <c r="H1283">
        <v>3465</v>
      </c>
      <c r="I1283">
        <v>3470</v>
      </c>
      <c r="J1283">
        <v>61200</v>
      </c>
    </row>
    <row r="1284" spans="4:10">
      <c r="D1284" t="s">
        <v>717</v>
      </c>
      <c r="E1284" t="s">
        <v>690</v>
      </c>
      <c r="F1284">
        <v>3470</v>
      </c>
      <c r="G1284">
        <v>3470</v>
      </c>
      <c r="H1284">
        <v>3462</v>
      </c>
      <c r="I1284">
        <v>3463</v>
      </c>
      <c r="J1284">
        <v>62000</v>
      </c>
    </row>
    <row r="1285" spans="4:10">
      <c r="D1285" t="s">
        <v>717</v>
      </c>
      <c r="E1285" t="s">
        <v>691</v>
      </c>
      <c r="F1285">
        <v>3463</v>
      </c>
      <c r="G1285">
        <v>3463</v>
      </c>
      <c r="H1285">
        <v>3452</v>
      </c>
      <c r="I1285">
        <v>3457</v>
      </c>
      <c r="J1285">
        <v>104500</v>
      </c>
    </row>
    <row r="1286" spans="4:10">
      <c r="D1286" t="s">
        <v>717</v>
      </c>
      <c r="E1286" t="s">
        <v>692</v>
      </c>
      <c r="F1286">
        <v>3456</v>
      </c>
      <c r="G1286">
        <v>3461</v>
      </c>
      <c r="H1286">
        <v>3453</v>
      </c>
      <c r="I1286">
        <v>3456</v>
      </c>
      <c r="J1286">
        <v>72200</v>
      </c>
    </row>
    <row r="1287" spans="4:10">
      <c r="D1287" t="s">
        <v>717</v>
      </c>
      <c r="E1287" t="s">
        <v>693</v>
      </c>
      <c r="F1287">
        <v>3455</v>
      </c>
      <c r="G1287">
        <v>3457</v>
      </c>
      <c r="H1287">
        <v>3446</v>
      </c>
      <c r="I1287">
        <v>3449</v>
      </c>
      <c r="J1287">
        <v>101000</v>
      </c>
    </row>
    <row r="1288" spans="4:10">
      <c r="D1288" t="s">
        <v>717</v>
      </c>
      <c r="E1288" t="s">
        <v>694</v>
      </c>
      <c r="F1288">
        <v>3449</v>
      </c>
      <c r="G1288">
        <v>3452</v>
      </c>
      <c r="H1288">
        <v>3443</v>
      </c>
      <c r="I1288">
        <v>3447</v>
      </c>
      <c r="J1288">
        <v>93200</v>
      </c>
    </row>
    <row r="1289" spans="4:10">
      <c r="D1289" t="s">
        <v>717</v>
      </c>
      <c r="E1289" t="s">
        <v>695</v>
      </c>
      <c r="F1289">
        <v>3447</v>
      </c>
      <c r="G1289">
        <v>3467</v>
      </c>
      <c r="H1289">
        <v>3444</v>
      </c>
      <c r="I1289">
        <v>3462</v>
      </c>
      <c r="J1289">
        <v>97800</v>
      </c>
    </row>
    <row r="1290" spans="4:10">
      <c r="D1290" t="s">
        <v>717</v>
      </c>
      <c r="E1290" t="s">
        <v>696</v>
      </c>
      <c r="F1290">
        <v>3463</v>
      </c>
      <c r="G1290">
        <v>3472</v>
      </c>
      <c r="H1290">
        <v>3456</v>
      </c>
      <c r="I1290">
        <v>3457</v>
      </c>
      <c r="J1290">
        <v>109500</v>
      </c>
    </row>
    <row r="1291" spans="4:10">
      <c r="D1291" t="s">
        <v>717</v>
      </c>
      <c r="E1291" t="s">
        <v>697</v>
      </c>
      <c r="F1291">
        <v>3457</v>
      </c>
      <c r="G1291">
        <v>3467</v>
      </c>
      <c r="H1291">
        <v>3455</v>
      </c>
      <c r="I1291">
        <v>3467</v>
      </c>
      <c r="J1291">
        <v>79700</v>
      </c>
    </row>
    <row r="1292" spans="4:10">
      <c r="D1292" t="s">
        <v>717</v>
      </c>
      <c r="E1292" t="s">
        <v>698</v>
      </c>
      <c r="F1292">
        <v>3467</v>
      </c>
      <c r="G1292">
        <v>3486</v>
      </c>
      <c r="H1292">
        <v>3465</v>
      </c>
      <c r="I1292">
        <v>3477</v>
      </c>
      <c r="J1292">
        <v>108900</v>
      </c>
    </row>
    <row r="1293" spans="4:10">
      <c r="D1293" t="s">
        <v>717</v>
      </c>
      <c r="E1293" t="s">
        <v>699</v>
      </c>
      <c r="F1293">
        <v>3478</v>
      </c>
      <c r="G1293">
        <v>3479</v>
      </c>
      <c r="H1293">
        <v>3471</v>
      </c>
      <c r="I1293">
        <v>3477</v>
      </c>
      <c r="J1293">
        <v>80400</v>
      </c>
    </row>
    <row r="1294" spans="4:10">
      <c r="D1294" t="s">
        <v>717</v>
      </c>
      <c r="E1294" t="s">
        <v>700</v>
      </c>
      <c r="F1294">
        <v>3476</v>
      </c>
      <c r="G1294">
        <v>3480</v>
      </c>
      <c r="H1294">
        <v>3471</v>
      </c>
      <c r="I1294">
        <v>3474</v>
      </c>
      <c r="J1294">
        <v>100100</v>
      </c>
    </row>
    <row r="1295" spans="4:10">
      <c r="D1295" t="s">
        <v>717</v>
      </c>
      <c r="E1295" t="s">
        <v>633</v>
      </c>
      <c r="F1295">
        <v>3473</v>
      </c>
      <c r="G1295">
        <v>3476</v>
      </c>
      <c r="H1295">
        <v>3468</v>
      </c>
      <c r="I1295">
        <v>3474</v>
      </c>
      <c r="J1295">
        <v>83500</v>
      </c>
    </row>
    <row r="1296" spans="4:10">
      <c r="D1296" t="s">
        <v>717</v>
      </c>
      <c r="E1296" t="s">
        <v>634</v>
      </c>
      <c r="F1296">
        <v>3475</v>
      </c>
      <c r="G1296">
        <v>3483</v>
      </c>
      <c r="H1296">
        <v>3472</v>
      </c>
      <c r="I1296">
        <v>3475</v>
      </c>
      <c r="J1296">
        <v>104400</v>
      </c>
    </row>
    <row r="1297" spans="4:10">
      <c r="D1297" t="s">
        <v>717</v>
      </c>
      <c r="E1297" t="s">
        <v>635</v>
      </c>
      <c r="F1297">
        <v>3476</v>
      </c>
      <c r="G1297">
        <v>3485</v>
      </c>
      <c r="H1297">
        <v>3475</v>
      </c>
      <c r="I1297">
        <v>3475</v>
      </c>
      <c r="J1297">
        <v>107500</v>
      </c>
    </row>
    <row r="1298" spans="4:10">
      <c r="D1298" t="s">
        <v>717</v>
      </c>
      <c r="E1298" t="s">
        <v>614</v>
      </c>
      <c r="F1298">
        <v>3475</v>
      </c>
      <c r="G1298">
        <v>3475</v>
      </c>
      <c r="H1298">
        <v>3449</v>
      </c>
      <c r="I1298">
        <v>3455</v>
      </c>
      <c r="J1298">
        <v>181500</v>
      </c>
    </row>
    <row r="1299" spans="4:10">
      <c r="D1299" t="s">
        <v>717</v>
      </c>
      <c r="E1299" t="s">
        <v>636</v>
      </c>
      <c r="F1299" t="s">
        <v>35</v>
      </c>
      <c r="G1299" t="s">
        <v>35</v>
      </c>
      <c r="H1299" t="s">
        <v>35</v>
      </c>
      <c r="I1299" t="s">
        <v>35</v>
      </c>
      <c r="J1299">
        <v>0</v>
      </c>
    </row>
    <row r="1300" spans="4:10">
      <c r="D1300" t="s">
        <v>717</v>
      </c>
      <c r="E1300" t="s">
        <v>637</v>
      </c>
      <c r="F1300">
        <v>3450</v>
      </c>
      <c r="G1300">
        <v>3450</v>
      </c>
      <c r="H1300">
        <v>3450</v>
      </c>
      <c r="I1300">
        <v>3450</v>
      </c>
      <c r="J1300">
        <v>936500</v>
      </c>
    </row>
    <row r="1301" spans="4:10">
      <c r="D1301" t="s">
        <v>718</v>
      </c>
      <c r="E1301" t="s">
        <v>639</v>
      </c>
      <c r="F1301">
        <v>3412</v>
      </c>
      <c r="G1301">
        <v>3419</v>
      </c>
      <c r="H1301">
        <v>3352</v>
      </c>
      <c r="I1301">
        <v>3359</v>
      </c>
      <c r="J1301">
        <v>769400</v>
      </c>
    </row>
    <row r="1302" spans="4:10">
      <c r="D1302" t="s">
        <v>718</v>
      </c>
      <c r="E1302" t="s">
        <v>640</v>
      </c>
      <c r="F1302">
        <v>3358</v>
      </c>
      <c r="G1302">
        <v>3369</v>
      </c>
      <c r="H1302">
        <v>3327</v>
      </c>
      <c r="I1302">
        <v>3349</v>
      </c>
      <c r="J1302">
        <v>446200</v>
      </c>
    </row>
    <row r="1303" spans="4:10">
      <c r="D1303" t="s">
        <v>718</v>
      </c>
      <c r="E1303" t="s">
        <v>641</v>
      </c>
      <c r="F1303">
        <v>3350</v>
      </c>
      <c r="G1303">
        <v>3362</v>
      </c>
      <c r="H1303">
        <v>3334</v>
      </c>
      <c r="I1303">
        <v>3346</v>
      </c>
      <c r="J1303">
        <v>246600</v>
      </c>
    </row>
    <row r="1304" spans="4:10">
      <c r="D1304" t="s">
        <v>718</v>
      </c>
      <c r="E1304" t="s">
        <v>642</v>
      </c>
      <c r="F1304">
        <v>3344</v>
      </c>
      <c r="G1304">
        <v>3385</v>
      </c>
      <c r="H1304">
        <v>3327</v>
      </c>
      <c r="I1304">
        <v>3385</v>
      </c>
      <c r="J1304">
        <v>281900</v>
      </c>
    </row>
    <row r="1305" spans="4:10">
      <c r="D1305" t="s">
        <v>718</v>
      </c>
      <c r="E1305" t="s">
        <v>643</v>
      </c>
      <c r="F1305">
        <v>3383</v>
      </c>
      <c r="G1305">
        <v>3411</v>
      </c>
      <c r="H1305">
        <v>3368</v>
      </c>
      <c r="I1305">
        <v>3402</v>
      </c>
      <c r="J1305">
        <v>245000</v>
      </c>
    </row>
    <row r="1306" spans="4:10">
      <c r="D1306" t="s">
        <v>718</v>
      </c>
      <c r="E1306" t="s">
        <v>644</v>
      </c>
      <c r="F1306">
        <v>3402</v>
      </c>
      <c r="G1306">
        <v>3429</v>
      </c>
      <c r="H1306">
        <v>3388</v>
      </c>
      <c r="I1306">
        <v>3395</v>
      </c>
      <c r="J1306">
        <v>458400</v>
      </c>
    </row>
    <row r="1307" spans="4:10">
      <c r="D1307" t="s">
        <v>718</v>
      </c>
      <c r="E1307" t="s">
        <v>645</v>
      </c>
      <c r="F1307">
        <v>3394</v>
      </c>
      <c r="G1307">
        <v>3427</v>
      </c>
      <c r="H1307">
        <v>3389</v>
      </c>
      <c r="I1307">
        <v>3425</v>
      </c>
      <c r="J1307">
        <v>195600</v>
      </c>
    </row>
    <row r="1308" spans="4:10">
      <c r="D1308" t="s">
        <v>718</v>
      </c>
      <c r="E1308" t="s">
        <v>646</v>
      </c>
      <c r="F1308">
        <v>3425</v>
      </c>
      <c r="G1308">
        <v>3450</v>
      </c>
      <c r="H1308">
        <v>3404</v>
      </c>
      <c r="I1308">
        <v>3416</v>
      </c>
      <c r="J1308">
        <v>283000</v>
      </c>
    </row>
    <row r="1309" spans="4:10">
      <c r="D1309" t="s">
        <v>718</v>
      </c>
      <c r="E1309" t="s">
        <v>647</v>
      </c>
      <c r="F1309">
        <v>3415</v>
      </c>
      <c r="G1309">
        <v>3415</v>
      </c>
      <c r="H1309">
        <v>3383</v>
      </c>
      <c r="I1309">
        <v>3397</v>
      </c>
      <c r="J1309">
        <v>200200</v>
      </c>
    </row>
    <row r="1310" spans="4:10">
      <c r="D1310" t="s">
        <v>718</v>
      </c>
      <c r="E1310" t="s">
        <v>648</v>
      </c>
      <c r="F1310">
        <v>3399</v>
      </c>
      <c r="G1310">
        <v>3434</v>
      </c>
      <c r="H1310">
        <v>3397</v>
      </c>
      <c r="I1310">
        <v>3430</v>
      </c>
      <c r="J1310">
        <v>236900</v>
      </c>
    </row>
    <row r="1311" spans="4:10">
      <c r="D1311" t="s">
        <v>718</v>
      </c>
      <c r="E1311" t="s">
        <v>649</v>
      </c>
      <c r="F1311">
        <v>3428</v>
      </c>
      <c r="G1311">
        <v>3474</v>
      </c>
      <c r="H1311">
        <v>3423</v>
      </c>
      <c r="I1311">
        <v>3456</v>
      </c>
      <c r="J1311">
        <v>360800</v>
      </c>
    </row>
    <row r="1312" spans="4:10">
      <c r="D1312" t="s">
        <v>718</v>
      </c>
      <c r="E1312" t="s">
        <v>650</v>
      </c>
      <c r="F1312">
        <v>3455</v>
      </c>
      <c r="G1312">
        <v>3476</v>
      </c>
      <c r="H1312">
        <v>3452</v>
      </c>
      <c r="I1312">
        <v>3464</v>
      </c>
      <c r="J1312">
        <v>237900</v>
      </c>
    </row>
    <row r="1313" spans="4:10">
      <c r="D1313" t="s">
        <v>718</v>
      </c>
      <c r="E1313" t="s">
        <v>651</v>
      </c>
      <c r="F1313">
        <v>3465</v>
      </c>
      <c r="G1313">
        <v>3465</v>
      </c>
      <c r="H1313">
        <v>3407</v>
      </c>
      <c r="I1313">
        <v>3428</v>
      </c>
      <c r="J1313">
        <v>316200</v>
      </c>
    </row>
    <row r="1314" spans="4:10">
      <c r="D1314" t="s">
        <v>718</v>
      </c>
      <c r="E1314" t="s">
        <v>652</v>
      </c>
      <c r="F1314">
        <v>3427</v>
      </c>
      <c r="G1314">
        <v>3430</v>
      </c>
      <c r="H1314">
        <v>3398</v>
      </c>
      <c r="I1314">
        <v>3410</v>
      </c>
      <c r="J1314">
        <v>164300</v>
      </c>
    </row>
    <row r="1315" spans="4:10">
      <c r="D1315" t="s">
        <v>718</v>
      </c>
      <c r="E1315" t="s">
        <v>653</v>
      </c>
      <c r="F1315">
        <v>3411</v>
      </c>
      <c r="G1315">
        <v>3412</v>
      </c>
      <c r="H1315">
        <v>3397</v>
      </c>
      <c r="I1315">
        <v>3406</v>
      </c>
      <c r="J1315">
        <v>127300</v>
      </c>
    </row>
    <row r="1316" spans="4:10">
      <c r="D1316" t="s">
        <v>718</v>
      </c>
      <c r="E1316" t="s">
        <v>654</v>
      </c>
      <c r="F1316">
        <v>3407</v>
      </c>
      <c r="G1316">
        <v>3424</v>
      </c>
      <c r="H1316">
        <v>3391</v>
      </c>
      <c r="I1316">
        <v>3410</v>
      </c>
      <c r="J1316">
        <v>192400</v>
      </c>
    </row>
    <row r="1317" spans="4:10">
      <c r="D1317" t="s">
        <v>718</v>
      </c>
      <c r="E1317" t="s">
        <v>655</v>
      </c>
      <c r="F1317">
        <v>3409</v>
      </c>
      <c r="G1317">
        <v>3417</v>
      </c>
      <c r="H1317">
        <v>3383</v>
      </c>
      <c r="I1317">
        <v>3385</v>
      </c>
      <c r="J1317">
        <v>179300</v>
      </c>
    </row>
    <row r="1318" spans="4:10">
      <c r="D1318" t="s">
        <v>718</v>
      </c>
      <c r="E1318" t="s">
        <v>656</v>
      </c>
      <c r="F1318">
        <v>3384</v>
      </c>
      <c r="G1318">
        <v>3393</v>
      </c>
      <c r="H1318">
        <v>3369</v>
      </c>
      <c r="I1318">
        <v>3379</v>
      </c>
      <c r="J1318">
        <v>165900</v>
      </c>
    </row>
    <row r="1319" spans="4:10">
      <c r="D1319" t="s">
        <v>718</v>
      </c>
      <c r="E1319" t="s">
        <v>657</v>
      </c>
      <c r="F1319">
        <v>3376</v>
      </c>
      <c r="G1319">
        <v>3388</v>
      </c>
      <c r="H1319">
        <v>3371</v>
      </c>
      <c r="I1319">
        <v>3377</v>
      </c>
      <c r="J1319">
        <v>227000</v>
      </c>
    </row>
    <row r="1320" spans="4:10">
      <c r="D1320" t="s">
        <v>718</v>
      </c>
      <c r="E1320" t="s">
        <v>658</v>
      </c>
      <c r="F1320">
        <v>3376</v>
      </c>
      <c r="G1320">
        <v>3400</v>
      </c>
      <c r="H1320">
        <v>3374</v>
      </c>
      <c r="I1320">
        <v>3392</v>
      </c>
      <c r="J1320">
        <v>208300</v>
      </c>
    </row>
    <row r="1321" spans="4:10">
      <c r="D1321" t="s">
        <v>718</v>
      </c>
      <c r="E1321" t="s">
        <v>659</v>
      </c>
      <c r="F1321">
        <v>3391</v>
      </c>
      <c r="G1321">
        <v>3393</v>
      </c>
      <c r="H1321">
        <v>3374</v>
      </c>
      <c r="I1321">
        <v>3385</v>
      </c>
      <c r="J1321">
        <v>206800</v>
      </c>
    </row>
    <row r="1322" spans="4:10">
      <c r="D1322" t="s">
        <v>718</v>
      </c>
      <c r="E1322" t="s">
        <v>660</v>
      </c>
      <c r="F1322">
        <v>3385</v>
      </c>
      <c r="G1322">
        <v>3393</v>
      </c>
      <c r="H1322">
        <v>3381</v>
      </c>
      <c r="I1322">
        <v>3385</v>
      </c>
      <c r="J1322">
        <v>110800</v>
      </c>
    </row>
    <row r="1323" spans="4:10">
      <c r="D1323" t="s">
        <v>718</v>
      </c>
      <c r="E1323" t="s">
        <v>661</v>
      </c>
      <c r="F1323">
        <v>3385</v>
      </c>
      <c r="G1323">
        <v>3394</v>
      </c>
      <c r="H1323">
        <v>3380</v>
      </c>
      <c r="I1323">
        <v>3393</v>
      </c>
      <c r="J1323">
        <v>101500</v>
      </c>
    </row>
    <row r="1324" spans="4:10">
      <c r="D1324" t="s">
        <v>718</v>
      </c>
      <c r="E1324" t="s">
        <v>662</v>
      </c>
      <c r="F1324">
        <v>3393</v>
      </c>
      <c r="G1324">
        <v>3394</v>
      </c>
      <c r="H1324">
        <v>3386</v>
      </c>
      <c r="I1324">
        <v>3391</v>
      </c>
      <c r="J1324">
        <v>72500</v>
      </c>
    </row>
    <row r="1325" spans="4:10">
      <c r="D1325" t="s">
        <v>718</v>
      </c>
      <c r="E1325" t="s">
        <v>663</v>
      </c>
      <c r="F1325">
        <v>3391</v>
      </c>
      <c r="G1325">
        <v>3421</v>
      </c>
      <c r="H1325">
        <v>3387</v>
      </c>
      <c r="I1325">
        <v>3416</v>
      </c>
      <c r="J1325">
        <v>208300</v>
      </c>
    </row>
    <row r="1326" spans="4:10">
      <c r="D1326" t="s">
        <v>718</v>
      </c>
      <c r="E1326" t="s">
        <v>664</v>
      </c>
      <c r="F1326">
        <v>3416</v>
      </c>
      <c r="G1326">
        <v>3419</v>
      </c>
      <c r="H1326">
        <v>3404</v>
      </c>
      <c r="I1326">
        <v>3405</v>
      </c>
      <c r="J1326">
        <v>75000</v>
      </c>
    </row>
    <row r="1327" spans="4:10">
      <c r="D1327" t="s">
        <v>718</v>
      </c>
      <c r="E1327" t="s">
        <v>665</v>
      </c>
      <c r="F1327">
        <v>3406</v>
      </c>
      <c r="G1327">
        <v>3419</v>
      </c>
      <c r="H1327">
        <v>3405</v>
      </c>
      <c r="I1327">
        <v>3417</v>
      </c>
      <c r="J1327">
        <v>73400</v>
      </c>
    </row>
    <row r="1328" spans="4:10">
      <c r="D1328" t="s">
        <v>718</v>
      </c>
      <c r="E1328" t="s">
        <v>666</v>
      </c>
      <c r="F1328">
        <v>3417</v>
      </c>
      <c r="G1328">
        <v>3449</v>
      </c>
      <c r="H1328">
        <v>3417</v>
      </c>
      <c r="I1328">
        <v>3442</v>
      </c>
      <c r="J1328">
        <v>181600</v>
      </c>
    </row>
    <row r="1329" spans="4:10">
      <c r="D1329" t="s">
        <v>718</v>
      </c>
      <c r="E1329" t="s">
        <v>667</v>
      </c>
      <c r="F1329">
        <v>3442</v>
      </c>
      <c r="G1329">
        <v>3490</v>
      </c>
      <c r="H1329">
        <v>3435</v>
      </c>
      <c r="I1329">
        <v>3489</v>
      </c>
      <c r="J1329">
        <v>250500</v>
      </c>
    </row>
    <row r="1330" spans="4:10">
      <c r="D1330" t="s">
        <v>718</v>
      </c>
      <c r="E1330" t="s">
        <v>668</v>
      </c>
      <c r="F1330">
        <v>3488</v>
      </c>
      <c r="G1330">
        <v>3491</v>
      </c>
      <c r="H1330">
        <v>3454</v>
      </c>
      <c r="I1330">
        <v>3466</v>
      </c>
      <c r="J1330">
        <v>163800</v>
      </c>
    </row>
    <row r="1331" spans="4:10">
      <c r="D1331" t="s">
        <v>718</v>
      </c>
      <c r="E1331" t="s">
        <v>669</v>
      </c>
      <c r="F1331">
        <v>3463</v>
      </c>
      <c r="G1331">
        <v>3463</v>
      </c>
      <c r="H1331">
        <v>3463</v>
      </c>
      <c r="I1331">
        <v>3463</v>
      </c>
      <c r="J1331">
        <v>7800</v>
      </c>
    </row>
    <row r="1332" spans="4:10">
      <c r="D1332" t="s">
        <v>718</v>
      </c>
      <c r="E1332" t="s">
        <v>670</v>
      </c>
      <c r="F1332">
        <v>3488</v>
      </c>
      <c r="G1332">
        <v>3492</v>
      </c>
      <c r="H1332">
        <v>3464</v>
      </c>
      <c r="I1332">
        <v>3474</v>
      </c>
      <c r="J1332">
        <v>276800</v>
      </c>
    </row>
    <row r="1333" spans="4:10">
      <c r="D1333" t="s">
        <v>718</v>
      </c>
      <c r="E1333" t="s">
        <v>671</v>
      </c>
      <c r="F1333">
        <v>3473</v>
      </c>
      <c r="G1333">
        <v>3478</v>
      </c>
      <c r="H1333">
        <v>3450</v>
      </c>
      <c r="I1333">
        <v>3458</v>
      </c>
      <c r="J1333">
        <v>153400</v>
      </c>
    </row>
    <row r="1334" spans="4:10">
      <c r="D1334" t="s">
        <v>718</v>
      </c>
      <c r="E1334" t="s">
        <v>672</v>
      </c>
      <c r="F1334">
        <v>3457</v>
      </c>
      <c r="G1334">
        <v>3464</v>
      </c>
      <c r="H1334">
        <v>3442</v>
      </c>
      <c r="I1334">
        <v>3460</v>
      </c>
      <c r="J1334">
        <v>132700</v>
      </c>
    </row>
    <row r="1335" spans="4:10">
      <c r="D1335" t="s">
        <v>718</v>
      </c>
      <c r="E1335" t="s">
        <v>673</v>
      </c>
      <c r="F1335">
        <v>3460</v>
      </c>
      <c r="G1335">
        <v>3466</v>
      </c>
      <c r="H1335">
        <v>3444</v>
      </c>
      <c r="I1335">
        <v>3445</v>
      </c>
      <c r="J1335">
        <v>118800</v>
      </c>
    </row>
    <row r="1336" spans="4:10">
      <c r="D1336" t="s">
        <v>718</v>
      </c>
      <c r="E1336" t="s">
        <v>674</v>
      </c>
      <c r="F1336">
        <v>3445</v>
      </c>
      <c r="G1336">
        <v>3472</v>
      </c>
      <c r="H1336">
        <v>3443</v>
      </c>
      <c r="I1336">
        <v>3472</v>
      </c>
      <c r="J1336">
        <v>110800</v>
      </c>
    </row>
    <row r="1337" spans="4:10">
      <c r="D1337" t="s">
        <v>718</v>
      </c>
      <c r="E1337" t="s">
        <v>675</v>
      </c>
      <c r="F1337">
        <v>3472</v>
      </c>
      <c r="G1337">
        <v>3488</v>
      </c>
      <c r="H1337">
        <v>3471</v>
      </c>
      <c r="I1337">
        <v>3487</v>
      </c>
      <c r="J1337">
        <v>141600</v>
      </c>
    </row>
    <row r="1338" spans="4:10">
      <c r="D1338" t="s">
        <v>718</v>
      </c>
      <c r="E1338" t="s">
        <v>676</v>
      </c>
      <c r="F1338">
        <v>3488</v>
      </c>
      <c r="G1338">
        <v>3499</v>
      </c>
      <c r="H1338">
        <v>3479</v>
      </c>
      <c r="I1338">
        <v>3497</v>
      </c>
      <c r="J1338">
        <v>190300</v>
      </c>
    </row>
    <row r="1339" spans="4:10">
      <c r="D1339" t="s">
        <v>718</v>
      </c>
      <c r="E1339" t="s">
        <v>677</v>
      </c>
      <c r="F1339">
        <v>3497</v>
      </c>
      <c r="G1339">
        <v>3500</v>
      </c>
      <c r="H1339">
        <v>3485</v>
      </c>
      <c r="I1339">
        <v>3491</v>
      </c>
      <c r="J1339">
        <v>104800</v>
      </c>
    </row>
    <row r="1340" spans="4:10">
      <c r="D1340" t="s">
        <v>718</v>
      </c>
      <c r="E1340" t="s">
        <v>678</v>
      </c>
      <c r="F1340">
        <v>3491</v>
      </c>
      <c r="G1340">
        <v>3504</v>
      </c>
      <c r="H1340">
        <v>3486</v>
      </c>
      <c r="I1340">
        <v>3501</v>
      </c>
      <c r="J1340">
        <v>117400</v>
      </c>
    </row>
    <row r="1341" spans="4:10">
      <c r="D1341" t="s">
        <v>718</v>
      </c>
      <c r="E1341" t="s">
        <v>679</v>
      </c>
      <c r="F1341">
        <v>3501</v>
      </c>
      <c r="G1341">
        <v>3501</v>
      </c>
      <c r="H1341">
        <v>3487</v>
      </c>
      <c r="I1341">
        <v>3491</v>
      </c>
      <c r="J1341">
        <v>83900</v>
      </c>
    </row>
    <row r="1342" spans="4:10">
      <c r="D1342" t="s">
        <v>718</v>
      </c>
      <c r="E1342" t="s">
        <v>680</v>
      </c>
      <c r="F1342">
        <v>3491</v>
      </c>
      <c r="G1342">
        <v>3503</v>
      </c>
      <c r="H1342">
        <v>3484</v>
      </c>
      <c r="I1342">
        <v>3496</v>
      </c>
      <c r="J1342">
        <v>132300</v>
      </c>
    </row>
    <row r="1343" spans="4:10">
      <c r="D1343" t="s">
        <v>718</v>
      </c>
      <c r="E1343" t="s">
        <v>681</v>
      </c>
      <c r="F1343">
        <v>3497</v>
      </c>
      <c r="G1343">
        <v>3500</v>
      </c>
      <c r="H1343">
        <v>3489</v>
      </c>
      <c r="I1343">
        <v>3497</v>
      </c>
      <c r="J1343">
        <v>62700</v>
      </c>
    </row>
    <row r="1344" spans="4:10">
      <c r="D1344" t="s">
        <v>718</v>
      </c>
      <c r="E1344" t="s">
        <v>682</v>
      </c>
      <c r="F1344">
        <v>3497</v>
      </c>
      <c r="G1344">
        <v>3512</v>
      </c>
      <c r="H1344">
        <v>3494</v>
      </c>
      <c r="I1344">
        <v>3495</v>
      </c>
      <c r="J1344">
        <v>121600</v>
      </c>
    </row>
    <row r="1345" spans="4:10">
      <c r="D1345" t="s">
        <v>718</v>
      </c>
      <c r="E1345" t="s">
        <v>683</v>
      </c>
      <c r="F1345">
        <v>3494</v>
      </c>
      <c r="G1345">
        <v>3499</v>
      </c>
      <c r="H1345">
        <v>3486</v>
      </c>
      <c r="I1345">
        <v>3499</v>
      </c>
      <c r="J1345">
        <v>101100</v>
      </c>
    </row>
    <row r="1346" spans="4:10">
      <c r="D1346" t="s">
        <v>718</v>
      </c>
      <c r="E1346" t="s">
        <v>684</v>
      </c>
      <c r="F1346">
        <v>3499</v>
      </c>
      <c r="G1346">
        <v>3506</v>
      </c>
      <c r="H1346">
        <v>3495</v>
      </c>
      <c r="I1346">
        <v>3505</v>
      </c>
      <c r="J1346">
        <v>60800</v>
      </c>
    </row>
    <row r="1347" spans="4:10">
      <c r="D1347" t="s">
        <v>718</v>
      </c>
      <c r="E1347" t="s">
        <v>685</v>
      </c>
      <c r="F1347">
        <v>3505</v>
      </c>
      <c r="G1347">
        <v>3509</v>
      </c>
      <c r="H1347">
        <v>3492</v>
      </c>
      <c r="I1347">
        <v>3499</v>
      </c>
      <c r="J1347">
        <v>88200</v>
      </c>
    </row>
    <row r="1348" spans="4:10">
      <c r="D1348" t="s">
        <v>718</v>
      </c>
      <c r="E1348" t="s">
        <v>686</v>
      </c>
      <c r="F1348">
        <v>3499</v>
      </c>
      <c r="G1348">
        <v>3500</v>
      </c>
      <c r="H1348">
        <v>3491</v>
      </c>
      <c r="I1348">
        <v>3497</v>
      </c>
      <c r="J1348">
        <v>69400</v>
      </c>
    </row>
    <row r="1349" spans="4:10">
      <c r="D1349" t="s">
        <v>718</v>
      </c>
      <c r="E1349" t="s">
        <v>687</v>
      </c>
      <c r="F1349">
        <v>3498</v>
      </c>
      <c r="G1349">
        <v>3503</v>
      </c>
      <c r="H1349">
        <v>3492</v>
      </c>
      <c r="I1349">
        <v>3499</v>
      </c>
      <c r="J1349">
        <v>70500</v>
      </c>
    </row>
    <row r="1350" spans="4:10">
      <c r="D1350" t="s">
        <v>718</v>
      </c>
      <c r="E1350" t="s">
        <v>688</v>
      </c>
      <c r="F1350">
        <v>3500</v>
      </c>
      <c r="G1350">
        <v>3512</v>
      </c>
      <c r="H1350">
        <v>3496</v>
      </c>
      <c r="I1350">
        <v>3506</v>
      </c>
      <c r="J1350">
        <v>96800</v>
      </c>
    </row>
    <row r="1351" spans="4:10">
      <c r="D1351" t="s">
        <v>718</v>
      </c>
      <c r="E1351" t="s">
        <v>689</v>
      </c>
      <c r="F1351">
        <v>3506</v>
      </c>
      <c r="G1351">
        <v>3506</v>
      </c>
      <c r="H1351">
        <v>3495</v>
      </c>
      <c r="I1351">
        <v>3499</v>
      </c>
      <c r="J1351">
        <v>69000</v>
      </c>
    </row>
    <row r="1352" spans="4:10">
      <c r="D1352" t="s">
        <v>718</v>
      </c>
      <c r="E1352" t="s">
        <v>690</v>
      </c>
      <c r="F1352">
        <v>3499</v>
      </c>
      <c r="G1352">
        <v>3501</v>
      </c>
      <c r="H1352">
        <v>3494</v>
      </c>
      <c r="I1352">
        <v>3496</v>
      </c>
      <c r="J1352">
        <v>46200</v>
      </c>
    </row>
    <row r="1353" spans="4:10">
      <c r="D1353" t="s">
        <v>718</v>
      </c>
      <c r="E1353" t="s">
        <v>691</v>
      </c>
      <c r="F1353">
        <v>3496</v>
      </c>
      <c r="G1353">
        <v>3527</v>
      </c>
      <c r="H1353">
        <v>3496</v>
      </c>
      <c r="I1353">
        <v>3514</v>
      </c>
      <c r="J1353">
        <v>145800</v>
      </c>
    </row>
    <row r="1354" spans="4:10">
      <c r="D1354" t="s">
        <v>718</v>
      </c>
      <c r="E1354" t="s">
        <v>692</v>
      </c>
      <c r="F1354">
        <v>3513</v>
      </c>
      <c r="G1354">
        <v>3530</v>
      </c>
      <c r="H1354">
        <v>3513</v>
      </c>
      <c r="I1354">
        <v>3522</v>
      </c>
      <c r="J1354">
        <v>101200</v>
      </c>
    </row>
    <row r="1355" spans="4:10">
      <c r="D1355" t="s">
        <v>718</v>
      </c>
      <c r="E1355" t="s">
        <v>693</v>
      </c>
      <c r="F1355">
        <v>3522</v>
      </c>
      <c r="G1355">
        <v>3527</v>
      </c>
      <c r="H1355">
        <v>3519</v>
      </c>
      <c r="I1355">
        <v>3520</v>
      </c>
      <c r="J1355">
        <v>91800</v>
      </c>
    </row>
    <row r="1356" spans="4:10">
      <c r="D1356" t="s">
        <v>718</v>
      </c>
      <c r="E1356" t="s">
        <v>694</v>
      </c>
      <c r="F1356">
        <v>3521</v>
      </c>
      <c r="G1356">
        <v>3523</v>
      </c>
      <c r="H1356">
        <v>3511</v>
      </c>
      <c r="I1356">
        <v>3522</v>
      </c>
      <c r="J1356">
        <v>91500</v>
      </c>
    </row>
    <row r="1357" spans="4:10">
      <c r="D1357" t="s">
        <v>718</v>
      </c>
      <c r="E1357" t="s">
        <v>695</v>
      </c>
      <c r="F1357">
        <v>3522</v>
      </c>
      <c r="G1357">
        <v>3533</v>
      </c>
      <c r="H1357">
        <v>3521</v>
      </c>
      <c r="I1357">
        <v>3527</v>
      </c>
      <c r="J1357">
        <v>114800</v>
      </c>
    </row>
    <row r="1358" spans="4:10">
      <c r="D1358" t="s">
        <v>718</v>
      </c>
      <c r="E1358" t="s">
        <v>696</v>
      </c>
      <c r="F1358">
        <v>3527</v>
      </c>
      <c r="G1358">
        <v>3531</v>
      </c>
      <c r="H1358">
        <v>3516</v>
      </c>
      <c r="I1358">
        <v>3518</v>
      </c>
      <c r="J1358">
        <v>92600</v>
      </c>
    </row>
    <row r="1359" spans="4:10">
      <c r="D1359" t="s">
        <v>718</v>
      </c>
      <c r="E1359" t="s">
        <v>697</v>
      </c>
      <c r="F1359">
        <v>3518</v>
      </c>
      <c r="G1359">
        <v>3528</v>
      </c>
      <c r="H1359">
        <v>3514</v>
      </c>
      <c r="I1359">
        <v>3517</v>
      </c>
      <c r="J1359">
        <v>72700</v>
      </c>
    </row>
    <row r="1360" spans="4:10">
      <c r="D1360" t="s">
        <v>718</v>
      </c>
      <c r="E1360" t="s">
        <v>698</v>
      </c>
      <c r="F1360">
        <v>3516</v>
      </c>
      <c r="G1360">
        <v>3524</v>
      </c>
      <c r="H1360">
        <v>3515</v>
      </c>
      <c r="I1360">
        <v>3519</v>
      </c>
      <c r="J1360">
        <v>91100</v>
      </c>
    </row>
    <row r="1361" spans="4:10">
      <c r="D1361" t="s">
        <v>718</v>
      </c>
      <c r="E1361" t="s">
        <v>699</v>
      </c>
      <c r="F1361">
        <v>3520</v>
      </c>
      <c r="G1361">
        <v>3522</v>
      </c>
      <c r="H1361">
        <v>3517</v>
      </c>
      <c r="I1361">
        <v>3518</v>
      </c>
      <c r="J1361">
        <v>47300</v>
      </c>
    </row>
    <row r="1362" spans="4:10">
      <c r="D1362" t="s">
        <v>718</v>
      </c>
      <c r="E1362" t="s">
        <v>700</v>
      </c>
      <c r="F1362">
        <v>3518</v>
      </c>
      <c r="G1362">
        <v>3526</v>
      </c>
      <c r="H1362">
        <v>3518</v>
      </c>
      <c r="I1362">
        <v>3526</v>
      </c>
      <c r="J1362">
        <v>91100</v>
      </c>
    </row>
    <row r="1363" spans="4:10">
      <c r="D1363" t="s">
        <v>718</v>
      </c>
      <c r="E1363" t="s">
        <v>633</v>
      </c>
      <c r="F1363">
        <v>3525</v>
      </c>
      <c r="G1363">
        <v>3526</v>
      </c>
      <c r="H1363">
        <v>3514</v>
      </c>
      <c r="I1363">
        <v>3515</v>
      </c>
      <c r="J1363">
        <v>88800</v>
      </c>
    </row>
    <row r="1364" spans="4:10">
      <c r="D1364" t="s">
        <v>718</v>
      </c>
      <c r="E1364" t="s">
        <v>634</v>
      </c>
      <c r="F1364">
        <v>3514</v>
      </c>
      <c r="G1364">
        <v>3521</v>
      </c>
      <c r="H1364">
        <v>3512</v>
      </c>
      <c r="I1364">
        <v>3516</v>
      </c>
      <c r="J1364">
        <v>96800</v>
      </c>
    </row>
    <row r="1365" spans="4:10">
      <c r="D1365" t="s">
        <v>718</v>
      </c>
      <c r="E1365" t="s">
        <v>635</v>
      </c>
      <c r="F1365">
        <v>3516</v>
      </c>
      <c r="G1365">
        <v>3525</v>
      </c>
      <c r="H1365">
        <v>3515</v>
      </c>
      <c r="I1365">
        <v>3522</v>
      </c>
      <c r="J1365">
        <v>79000</v>
      </c>
    </row>
    <row r="1366" spans="4:10">
      <c r="D1366" t="s">
        <v>718</v>
      </c>
      <c r="E1366" t="s">
        <v>614</v>
      </c>
      <c r="F1366">
        <v>3523</v>
      </c>
      <c r="G1366">
        <v>3538</v>
      </c>
      <c r="H1366">
        <v>3519</v>
      </c>
      <c r="I1366">
        <v>3528</v>
      </c>
      <c r="J1366">
        <v>136300</v>
      </c>
    </row>
    <row r="1367" spans="4:10">
      <c r="D1367" t="s">
        <v>718</v>
      </c>
      <c r="E1367" t="s">
        <v>636</v>
      </c>
      <c r="F1367" t="s">
        <v>35</v>
      </c>
      <c r="G1367" t="s">
        <v>35</v>
      </c>
      <c r="H1367" t="s">
        <v>35</v>
      </c>
      <c r="I1367" t="s">
        <v>35</v>
      </c>
      <c r="J1367">
        <v>0</v>
      </c>
    </row>
    <row r="1368" spans="4:10">
      <c r="D1368" t="s">
        <v>718</v>
      </c>
      <c r="E1368" t="s">
        <v>637</v>
      </c>
      <c r="F1368">
        <v>3543</v>
      </c>
      <c r="G1368">
        <v>3543</v>
      </c>
      <c r="H1368">
        <v>3543</v>
      </c>
      <c r="I1368">
        <v>3543</v>
      </c>
      <c r="J1368">
        <v>820600</v>
      </c>
    </row>
    <row r="1369" spans="4:10">
      <c r="D1369" t="s">
        <v>719</v>
      </c>
      <c r="E1369" t="s">
        <v>639</v>
      </c>
      <c r="F1369">
        <v>3473</v>
      </c>
      <c r="G1369">
        <v>3500</v>
      </c>
      <c r="H1369">
        <v>3418</v>
      </c>
      <c r="I1369">
        <v>3456</v>
      </c>
      <c r="J1369">
        <v>681700</v>
      </c>
    </row>
    <row r="1370" spans="4:10">
      <c r="D1370" t="s">
        <v>719</v>
      </c>
      <c r="E1370" t="s">
        <v>640</v>
      </c>
      <c r="F1370">
        <v>3457</v>
      </c>
      <c r="G1370">
        <v>3464</v>
      </c>
      <c r="H1370">
        <v>3418</v>
      </c>
      <c r="I1370">
        <v>3457</v>
      </c>
      <c r="J1370">
        <v>341300</v>
      </c>
    </row>
    <row r="1371" spans="4:10">
      <c r="D1371" t="s">
        <v>719</v>
      </c>
      <c r="E1371" t="s">
        <v>641</v>
      </c>
      <c r="F1371">
        <v>3457</v>
      </c>
      <c r="G1371">
        <v>3461</v>
      </c>
      <c r="H1371">
        <v>3393</v>
      </c>
      <c r="I1371">
        <v>3393</v>
      </c>
      <c r="J1371">
        <v>476900</v>
      </c>
    </row>
    <row r="1372" spans="4:10">
      <c r="D1372" t="s">
        <v>719</v>
      </c>
      <c r="E1372" t="s">
        <v>642</v>
      </c>
      <c r="F1372">
        <v>3392</v>
      </c>
      <c r="G1372">
        <v>3452</v>
      </c>
      <c r="H1372">
        <v>3392</v>
      </c>
      <c r="I1372">
        <v>3438</v>
      </c>
      <c r="J1372">
        <v>331100</v>
      </c>
    </row>
    <row r="1373" spans="4:10">
      <c r="D1373" t="s">
        <v>719</v>
      </c>
      <c r="E1373" t="s">
        <v>643</v>
      </c>
      <c r="F1373">
        <v>3436</v>
      </c>
      <c r="G1373">
        <v>3453</v>
      </c>
      <c r="H1373">
        <v>3429</v>
      </c>
      <c r="I1373">
        <v>3433</v>
      </c>
      <c r="J1373">
        <v>188000</v>
      </c>
    </row>
    <row r="1374" spans="4:10">
      <c r="D1374" t="s">
        <v>719</v>
      </c>
      <c r="E1374" t="s">
        <v>644</v>
      </c>
      <c r="F1374">
        <v>3432</v>
      </c>
      <c r="G1374">
        <v>3432</v>
      </c>
      <c r="H1374">
        <v>3399</v>
      </c>
      <c r="I1374">
        <v>3416</v>
      </c>
      <c r="J1374">
        <v>222600</v>
      </c>
    </row>
    <row r="1375" spans="4:10">
      <c r="D1375" t="s">
        <v>719</v>
      </c>
      <c r="E1375" t="s">
        <v>645</v>
      </c>
      <c r="F1375">
        <v>3416</v>
      </c>
      <c r="G1375">
        <v>3425</v>
      </c>
      <c r="H1375">
        <v>3397</v>
      </c>
      <c r="I1375">
        <v>3404</v>
      </c>
      <c r="J1375">
        <v>199600</v>
      </c>
    </row>
    <row r="1376" spans="4:10">
      <c r="D1376" t="s">
        <v>719</v>
      </c>
      <c r="E1376" t="s">
        <v>646</v>
      </c>
      <c r="F1376">
        <v>3405</v>
      </c>
      <c r="G1376">
        <v>3412</v>
      </c>
      <c r="H1376">
        <v>3365</v>
      </c>
      <c r="I1376">
        <v>3370</v>
      </c>
      <c r="J1376">
        <v>326800</v>
      </c>
    </row>
    <row r="1377" spans="4:10">
      <c r="D1377" t="s">
        <v>719</v>
      </c>
      <c r="E1377" t="s">
        <v>647</v>
      </c>
      <c r="F1377">
        <v>3370</v>
      </c>
      <c r="G1377">
        <v>3375</v>
      </c>
      <c r="H1377">
        <v>3348</v>
      </c>
      <c r="I1377">
        <v>3354</v>
      </c>
      <c r="J1377">
        <v>441800</v>
      </c>
    </row>
    <row r="1378" spans="4:10">
      <c r="D1378" t="s">
        <v>719</v>
      </c>
      <c r="E1378" t="s">
        <v>648</v>
      </c>
      <c r="F1378">
        <v>3354</v>
      </c>
      <c r="G1378">
        <v>3369</v>
      </c>
      <c r="H1378">
        <v>3346</v>
      </c>
      <c r="I1378">
        <v>3357</v>
      </c>
      <c r="J1378">
        <v>210400</v>
      </c>
    </row>
    <row r="1379" spans="4:10">
      <c r="D1379" t="s">
        <v>719</v>
      </c>
      <c r="E1379" t="s">
        <v>649</v>
      </c>
      <c r="F1379">
        <v>3357</v>
      </c>
      <c r="G1379">
        <v>3363</v>
      </c>
      <c r="H1379">
        <v>3326</v>
      </c>
      <c r="I1379">
        <v>3334</v>
      </c>
      <c r="J1379">
        <v>266300</v>
      </c>
    </row>
    <row r="1380" spans="4:10">
      <c r="D1380" t="s">
        <v>719</v>
      </c>
      <c r="E1380" t="s">
        <v>650</v>
      </c>
      <c r="F1380">
        <v>3334</v>
      </c>
      <c r="G1380">
        <v>3341</v>
      </c>
      <c r="H1380">
        <v>3328</v>
      </c>
      <c r="I1380">
        <v>3331</v>
      </c>
      <c r="J1380">
        <v>153000</v>
      </c>
    </row>
    <row r="1381" spans="4:10">
      <c r="D1381" t="s">
        <v>719</v>
      </c>
      <c r="E1381" t="s">
        <v>651</v>
      </c>
      <c r="F1381">
        <v>3329</v>
      </c>
      <c r="G1381">
        <v>3360</v>
      </c>
      <c r="H1381">
        <v>3328</v>
      </c>
      <c r="I1381">
        <v>3358</v>
      </c>
      <c r="J1381">
        <v>192100</v>
      </c>
    </row>
    <row r="1382" spans="4:10">
      <c r="D1382" t="s">
        <v>719</v>
      </c>
      <c r="E1382" t="s">
        <v>652</v>
      </c>
      <c r="F1382">
        <v>3358</v>
      </c>
      <c r="G1382">
        <v>3368</v>
      </c>
      <c r="H1382">
        <v>3350</v>
      </c>
      <c r="I1382">
        <v>3362</v>
      </c>
      <c r="J1382">
        <v>132400</v>
      </c>
    </row>
    <row r="1383" spans="4:10">
      <c r="D1383" t="s">
        <v>719</v>
      </c>
      <c r="E1383" t="s">
        <v>653</v>
      </c>
      <c r="F1383">
        <v>3362</v>
      </c>
      <c r="G1383">
        <v>3378</v>
      </c>
      <c r="H1383">
        <v>3361</v>
      </c>
      <c r="I1383">
        <v>3370</v>
      </c>
      <c r="J1383">
        <v>150000</v>
      </c>
    </row>
    <row r="1384" spans="4:10">
      <c r="D1384" t="s">
        <v>719</v>
      </c>
      <c r="E1384" t="s">
        <v>654</v>
      </c>
      <c r="F1384">
        <v>3370</v>
      </c>
      <c r="G1384">
        <v>3374</v>
      </c>
      <c r="H1384">
        <v>3358</v>
      </c>
      <c r="I1384">
        <v>3362</v>
      </c>
      <c r="J1384">
        <v>110600</v>
      </c>
    </row>
    <row r="1385" spans="4:10">
      <c r="D1385" t="s">
        <v>719</v>
      </c>
      <c r="E1385" t="s">
        <v>655</v>
      </c>
      <c r="F1385">
        <v>3361</v>
      </c>
      <c r="G1385">
        <v>3377</v>
      </c>
      <c r="H1385">
        <v>3358</v>
      </c>
      <c r="I1385">
        <v>3360</v>
      </c>
      <c r="J1385">
        <v>130700</v>
      </c>
    </row>
    <row r="1386" spans="4:10">
      <c r="D1386" t="s">
        <v>719</v>
      </c>
      <c r="E1386" t="s">
        <v>656</v>
      </c>
      <c r="F1386">
        <v>3360</v>
      </c>
      <c r="G1386">
        <v>3378</v>
      </c>
      <c r="H1386">
        <v>3358</v>
      </c>
      <c r="I1386">
        <v>3374</v>
      </c>
      <c r="J1386">
        <v>110900</v>
      </c>
    </row>
    <row r="1387" spans="4:10">
      <c r="D1387" t="s">
        <v>719</v>
      </c>
      <c r="E1387" t="s">
        <v>657</v>
      </c>
      <c r="F1387">
        <v>3373</v>
      </c>
      <c r="G1387">
        <v>3397</v>
      </c>
      <c r="H1387">
        <v>3368</v>
      </c>
      <c r="I1387">
        <v>3393</v>
      </c>
      <c r="J1387">
        <v>154300</v>
      </c>
    </row>
    <row r="1388" spans="4:10">
      <c r="D1388" t="s">
        <v>719</v>
      </c>
      <c r="E1388" t="s">
        <v>658</v>
      </c>
      <c r="F1388">
        <v>3393</v>
      </c>
      <c r="G1388">
        <v>3420</v>
      </c>
      <c r="H1388">
        <v>3389</v>
      </c>
      <c r="I1388">
        <v>3419</v>
      </c>
      <c r="J1388">
        <v>233300</v>
      </c>
    </row>
    <row r="1389" spans="4:10">
      <c r="D1389" t="s">
        <v>719</v>
      </c>
      <c r="E1389" t="s">
        <v>659</v>
      </c>
      <c r="F1389">
        <v>3418</v>
      </c>
      <c r="G1389">
        <v>3442</v>
      </c>
      <c r="H1389">
        <v>3405</v>
      </c>
      <c r="I1389">
        <v>3419</v>
      </c>
      <c r="J1389">
        <v>313700</v>
      </c>
    </row>
    <row r="1390" spans="4:10">
      <c r="D1390" t="s">
        <v>719</v>
      </c>
      <c r="E1390" t="s">
        <v>660</v>
      </c>
      <c r="F1390">
        <v>3420</v>
      </c>
      <c r="G1390">
        <v>3423</v>
      </c>
      <c r="H1390">
        <v>3414</v>
      </c>
      <c r="I1390">
        <v>3417</v>
      </c>
      <c r="J1390">
        <v>123900</v>
      </c>
    </row>
    <row r="1391" spans="4:10">
      <c r="D1391" t="s">
        <v>719</v>
      </c>
      <c r="E1391" t="s">
        <v>661</v>
      </c>
      <c r="F1391">
        <v>3416</v>
      </c>
      <c r="G1391">
        <v>3441</v>
      </c>
      <c r="H1391">
        <v>3416</v>
      </c>
      <c r="I1391">
        <v>3437</v>
      </c>
      <c r="J1391">
        <v>137200</v>
      </c>
    </row>
    <row r="1392" spans="4:10">
      <c r="D1392" t="s">
        <v>719</v>
      </c>
      <c r="E1392" t="s">
        <v>662</v>
      </c>
      <c r="F1392">
        <v>3438</v>
      </c>
      <c r="G1392">
        <v>3438</v>
      </c>
      <c r="H1392">
        <v>3412</v>
      </c>
      <c r="I1392">
        <v>3425</v>
      </c>
      <c r="J1392">
        <v>109600</v>
      </c>
    </row>
    <row r="1393" spans="4:10">
      <c r="D1393" t="s">
        <v>719</v>
      </c>
      <c r="E1393" t="s">
        <v>663</v>
      </c>
      <c r="F1393">
        <v>3424</v>
      </c>
      <c r="G1393">
        <v>3427</v>
      </c>
      <c r="H1393">
        <v>3410</v>
      </c>
      <c r="I1393">
        <v>3422</v>
      </c>
      <c r="J1393">
        <v>97500</v>
      </c>
    </row>
    <row r="1394" spans="4:10">
      <c r="D1394" t="s">
        <v>719</v>
      </c>
      <c r="E1394" t="s">
        <v>664</v>
      </c>
      <c r="F1394">
        <v>3421</v>
      </c>
      <c r="G1394">
        <v>3424</v>
      </c>
      <c r="H1394">
        <v>3372</v>
      </c>
      <c r="I1394">
        <v>3389</v>
      </c>
      <c r="J1394">
        <v>225900</v>
      </c>
    </row>
    <row r="1395" spans="4:10">
      <c r="D1395" t="s">
        <v>719</v>
      </c>
      <c r="E1395" t="s">
        <v>665</v>
      </c>
      <c r="F1395">
        <v>3389</v>
      </c>
      <c r="G1395">
        <v>3397</v>
      </c>
      <c r="H1395">
        <v>3378</v>
      </c>
      <c r="I1395">
        <v>3387</v>
      </c>
      <c r="J1395">
        <v>143800</v>
      </c>
    </row>
    <row r="1396" spans="4:10">
      <c r="D1396" t="s">
        <v>719</v>
      </c>
      <c r="E1396" t="s">
        <v>666</v>
      </c>
      <c r="F1396">
        <v>3386</v>
      </c>
      <c r="G1396">
        <v>3402</v>
      </c>
      <c r="H1396">
        <v>3385</v>
      </c>
      <c r="I1396">
        <v>3399</v>
      </c>
      <c r="J1396">
        <v>158100</v>
      </c>
    </row>
    <row r="1397" spans="4:10">
      <c r="D1397" t="s">
        <v>719</v>
      </c>
      <c r="E1397" t="s">
        <v>667</v>
      </c>
      <c r="F1397">
        <v>3399</v>
      </c>
      <c r="G1397">
        <v>3408</v>
      </c>
      <c r="H1397">
        <v>3391</v>
      </c>
      <c r="I1397">
        <v>3400</v>
      </c>
      <c r="J1397">
        <v>135900</v>
      </c>
    </row>
    <row r="1398" spans="4:10">
      <c r="D1398" t="s">
        <v>719</v>
      </c>
      <c r="E1398" t="s">
        <v>668</v>
      </c>
      <c r="F1398">
        <v>3401</v>
      </c>
      <c r="G1398">
        <v>3411</v>
      </c>
      <c r="H1398">
        <v>3401</v>
      </c>
      <c r="I1398">
        <v>3409</v>
      </c>
      <c r="J1398">
        <v>91700</v>
      </c>
    </row>
    <row r="1399" spans="4:10">
      <c r="D1399" t="s">
        <v>719</v>
      </c>
      <c r="E1399" t="s">
        <v>669</v>
      </c>
      <c r="F1399">
        <v>3411</v>
      </c>
      <c r="G1399">
        <v>3411</v>
      </c>
      <c r="H1399">
        <v>3411</v>
      </c>
      <c r="I1399">
        <v>3411</v>
      </c>
      <c r="J1399">
        <v>5100</v>
      </c>
    </row>
    <row r="1400" spans="4:10">
      <c r="D1400" t="s">
        <v>719</v>
      </c>
      <c r="E1400" t="s">
        <v>670</v>
      </c>
      <c r="F1400">
        <v>3430</v>
      </c>
      <c r="G1400">
        <v>3436</v>
      </c>
      <c r="H1400">
        <v>3421</v>
      </c>
      <c r="I1400">
        <v>3430</v>
      </c>
      <c r="J1400">
        <v>350500</v>
      </c>
    </row>
    <row r="1401" spans="4:10">
      <c r="D1401" t="s">
        <v>719</v>
      </c>
      <c r="E1401" t="s">
        <v>671</v>
      </c>
      <c r="F1401">
        <v>3429</v>
      </c>
      <c r="G1401">
        <v>3441</v>
      </c>
      <c r="H1401">
        <v>3427</v>
      </c>
      <c r="I1401">
        <v>3440</v>
      </c>
      <c r="J1401">
        <v>138200</v>
      </c>
    </row>
    <row r="1402" spans="4:10">
      <c r="D1402" t="s">
        <v>719</v>
      </c>
      <c r="E1402" t="s">
        <v>672</v>
      </c>
      <c r="F1402">
        <v>3440</v>
      </c>
      <c r="G1402">
        <v>3448</v>
      </c>
      <c r="H1402">
        <v>3436</v>
      </c>
      <c r="I1402">
        <v>3439</v>
      </c>
      <c r="J1402">
        <v>135600</v>
      </c>
    </row>
    <row r="1403" spans="4:10">
      <c r="D1403" t="s">
        <v>719</v>
      </c>
      <c r="E1403" t="s">
        <v>673</v>
      </c>
      <c r="F1403">
        <v>3439</v>
      </c>
      <c r="G1403">
        <v>3449</v>
      </c>
      <c r="H1403">
        <v>3436</v>
      </c>
      <c r="I1403">
        <v>3448</v>
      </c>
      <c r="J1403">
        <v>144000</v>
      </c>
    </row>
    <row r="1404" spans="4:10">
      <c r="D1404" t="s">
        <v>719</v>
      </c>
      <c r="E1404" t="s">
        <v>674</v>
      </c>
      <c r="F1404">
        <v>3448</v>
      </c>
      <c r="G1404">
        <v>3468</v>
      </c>
      <c r="H1404">
        <v>3447</v>
      </c>
      <c r="I1404">
        <v>3457</v>
      </c>
      <c r="J1404">
        <v>228300</v>
      </c>
    </row>
    <row r="1405" spans="4:10">
      <c r="D1405" t="s">
        <v>719</v>
      </c>
      <c r="E1405" t="s">
        <v>675</v>
      </c>
      <c r="F1405">
        <v>3456</v>
      </c>
      <c r="G1405">
        <v>3463</v>
      </c>
      <c r="H1405">
        <v>3436</v>
      </c>
      <c r="I1405">
        <v>3439</v>
      </c>
      <c r="J1405">
        <v>195200</v>
      </c>
    </row>
    <row r="1406" spans="4:10">
      <c r="D1406" t="s">
        <v>719</v>
      </c>
      <c r="E1406" t="s">
        <v>676</v>
      </c>
      <c r="F1406">
        <v>3438</v>
      </c>
      <c r="G1406">
        <v>3444</v>
      </c>
      <c r="H1406">
        <v>3426</v>
      </c>
      <c r="I1406">
        <v>3444</v>
      </c>
      <c r="J1406">
        <v>145000</v>
      </c>
    </row>
    <row r="1407" spans="4:10">
      <c r="D1407" t="s">
        <v>719</v>
      </c>
      <c r="E1407" t="s">
        <v>677</v>
      </c>
      <c r="F1407">
        <v>3443</v>
      </c>
      <c r="G1407">
        <v>3445</v>
      </c>
      <c r="H1407">
        <v>3432</v>
      </c>
      <c r="I1407">
        <v>3434</v>
      </c>
      <c r="J1407">
        <v>101000</v>
      </c>
    </row>
    <row r="1408" spans="4:10">
      <c r="D1408" t="s">
        <v>719</v>
      </c>
      <c r="E1408" t="s">
        <v>678</v>
      </c>
      <c r="F1408">
        <v>3433</v>
      </c>
      <c r="G1408">
        <v>3437</v>
      </c>
      <c r="H1408">
        <v>3420</v>
      </c>
      <c r="I1408">
        <v>3423</v>
      </c>
      <c r="J1408">
        <v>113600</v>
      </c>
    </row>
    <row r="1409" spans="4:10">
      <c r="D1409" t="s">
        <v>719</v>
      </c>
      <c r="E1409" t="s">
        <v>679</v>
      </c>
      <c r="F1409">
        <v>3424</v>
      </c>
      <c r="G1409">
        <v>3450</v>
      </c>
      <c r="H1409">
        <v>3422</v>
      </c>
      <c r="I1409">
        <v>3449</v>
      </c>
      <c r="J1409">
        <v>102200</v>
      </c>
    </row>
    <row r="1410" spans="4:10">
      <c r="D1410" t="s">
        <v>719</v>
      </c>
      <c r="E1410" t="s">
        <v>680</v>
      </c>
      <c r="F1410">
        <v>3450</v>
      </c>
      <c r="G1410">
        <v>3451</v>
      </c>
      <c r="H1410">
        <v>3425</v>
      </c>
      <c r="I1410">
        <v>3429</v>
      </c>
      <c r="J1410">
        <v>101100</v>
      </c>
    </row>
    <row r="1411" spans="4:10">
      <c r="D1411" t="s">
        <v>719</v>
      </c>
      <c r="E1411" t="s">
        <v>681</v>
      </c>
      <c r="F1411">
        <v>3429</v>
      </c>
      <c r="G1411">
        <v>3431</v>
      </c>
      <c r="H1411">
        <v>3423</v>
      </c>
      <c r="I1411">
        <v>3430</v>
      </c>
      <c r="J1411">
        <v>76900</v>
      </c>
    </row>
    <row r="1412" spans="4:10">
      <c r="D1412" t="s">
        <v>719</v>
      </c>
      <c r="E1412" t="s">
        <v>682</v>
      </c>
      <c r="F1412">
        <v>3430</v>
      </c>
      <c r="G1412">
        <v>3440</v>
      </c>
      <c r="H1412">
        <v>3429</v>
      </c>
      <c r="I1412">
        <v>3431</v>
      </c>
      <c r="J1412">
        <v>75700</v>
      </c>
    </row>
    <row r="1413" spans="4:10">
      <c r="D1413" t="s">
        <v>719</v>
      </c>
      <c r="E1413" t="s">
        <v>683</v>
      </c>
      <c r="F1413">
        <v>3431</v>
      </c>
      <c r="G1413">
        <v>3431</v>
      </c>
      <c r="H1413">
        <v>3413</v>
      </c>
      <c r="I1413">
        <v>3418</v>
      </c>
      <c r="J1413">
        <v>88500</v>
      </c>
    </row>
    <row r="1414" spans="4:10">
      <c r="D1414" t="s">
        <v>719</v>
      </c>
      <c r="E1414" t="s">
        <v>684</v>
      </c>
      <c r="F1414">
        <v>3418</v>
      </c>
      <c r="G1414">
        <v>3424</v>
      </c>
      <c r="H1414">
        <v>3417</v>
      </c>
      <c r="I1414">
        <v>3417</v>
      </c>
      <c r="J1414">
        <v>59000</v>
      </c>
    </row>
    <row r="1415" spans="4:10">
      <c r="D1415" t="s">
        <v>719</v>
      </c>
      <c r="E1415" t="s">
        <v>685</v>
      </c>
      <c r="F1415">
        <v>3417</v>
      </c>
      <c r="G1415">
        <v>3418</v>
      </c>
      <c r="H1415">
        <v>3409</v>
      </c>
      <c r="I1415">
        <v>3418</v>
      </c>
      <c r="J1415">
        <v>77300</v>
      </c>
    </row>
    <row r="1416" spans="4:10">
      <c r="D1416" t="s">
        <v>719</v>
      </c>
      <c r="E1416" t="s">
        <v>686</v>
      </c>
      <c r="F1416">
        <v>3417</v>
      </c>
      <c r="G1416">
        <v>3428</v>
      </c>
      <c r="H1416">
        <v>3417</v>
      </c>
      <c r="I1416">
        <v>3426</v>
      </c>
      <c r="J1416">
        <v>87300</v>
      </c>
    </row>
    <row r="1417" spans="4:10">
      <c r="D1417" t="s">
        <v>719</v>
      </c>
      <c r="E1417" t="s">
        <v>687</v>
      </c>
      <c r="F1417">
        <v>3425</v>
      </c>
      <c r="G1417">
        <v>3426</v>
      </c>
      <c r="H1417">
        <v>3417</v>
      </c>
      <c r="I1417">
        <v>3419</v>
      </c>
      <c r="J1417">
        <v>48700</v>
      </c>
    </row>
    <row r="1418" spans="4:10">
      <c r="D1418" t="s">
        <v>719</v>
      </c>
      <c r="E1418" t="s">
        <v>688</v>
      </c>
      <c r="F1418">
        <v>3419</v>
      </c>
      <c r="G1418">
        <v>3432</v>
      </c>
      <c r="H1418">
        <v>3417</v>
      </c>
      <c r="I1418">
        <v>3427</v>
      </c>
      <c r="J1418">
        <v>80700</v>
      </c>
    </row>
    <row r="1419" spans="4:10">
      <c r="D1419" t="s">
        <v>719</v>
      </c>
      <c r="E1419" t="s">
        <v>689</v>
      </c>
      <c r="F1419">
        <v>3425</v>
      </c>
      <c r="G1419">
        <v>3431</v>
      </c>
      <c r="H1419">
        <v>3417</v>
      </c>
      <c r="I1419">
        <v>3429</v>
      </c>
      <c r="J1419">
        <v>90500</v>
      </c>
    </row>
    <row r="1420" spans="4:10">
      <c r="D1420" t="s">
        <v>719</v>
      </c>
      <c r="E1420" t="s">
        <v>690</v>
      </c>
      <c r="F1420">
        <v>3430</v>
      </c>
      <c r="G1420">
        <v>3431</v>
      </c>
      <c r="H1420">
        <v>3422</v>
      </c>
      <c r="I1420">
        <v>3424</v>
      </c>
      <c r="J1420">
        <v>42600</v>
      </c>
    </row>
    <row r="1421" spans="4:10">
      <c r="D1421" t="s">
        <v>719</v>
      </c>
      <c r="E1421" t="s">
        <v>691</v>
      </c>
      <c r="F1421">
        <v>3424</v>
      </c>
      <c r="G1421">
        <v>3426</v>
      </c>
      <c r="H1421">
        <v>3420</v>
      </c>
      <c r="I1421">
        <v>3421</v>
      </c>
      <c r="J1421">
        <v>47200</v>
      </c>
    </row>
    <row r="1422" spans="4:10">
      <c r="D1422" t="s">
        <v>719</v>
      </c>
      <c r="E1422" t="s">
        <v>692</v>
      </c>
      <c r="F1422">
        <v>3421</v>
      </c>
      <c r="G1422">
        <v>3429</v>
      </c>
      <c r="H1422">
        <v>3419</v>
      </c>
      <c r="I1422">
        <v>3428</v>
      </c>
      <c r="J1422">
        <v>43900</v>
      </c>
    </row>
    <row r="1423" spans="4:10">
      <c r="D1423" t="s">
        <v>719</v>
      </c>
      <c r="E1423" t="s">
        <v>693</v>
      </c>
      <c r="F1423">
        <v>3428</v>
      </c>
      <c r="G1423">
        <v>3428</v>
      </c>
      <c r="H1423">
        <v>3415</v>
      </c>
      <c r="I1423">
        <v>3418</v>
      </c>
      <c r="J1423">
        <v>64200</v>
      </c>
    </row>
    <row r="1424" spans="4:10">
      <c r="D1424" t="s">
        <v>719</v>
      </c>
      <c r="E1424" t="s">
        <v>694</v>
      </c>
      <c r="F1424">
        <v>3419</v>
      </c>
      <c r="G1424">
        <v>3422</v>
      </c>
      <c r="H1424">
        <v>3418</v>
      </c>
      <c r="I1424">
        <v>3419</v>
      </c>
      <c r="J1424">
        <v>31600</v>
      </c>
    </row>
    <row r="1425" spans="4:10">
      <c r="D1425" t="s">
        <v>719</v>
      </c>
      <c r="E1425" t="s">
        <v>695</v>
      </c>
      <c r="F1425">
        <v>3418</v>
      </c>
      <c r="G1425">
        <v>3419</v>
      </c>
      <c r="H1425">
        <v>3405</v>
      </c>
      <c r="I1425">
        <v>3409</v>
      </c>
      <c r="J1425">
        <v>86000</v>
      </c>
    </row>
    <row r="1426" spans="4:10">
      <c r="D1426" t="s">
        <v>719</v>
      </c>
      <c r="E1426" t="s">
        <v>696</v>
      </c>
      <c r="F1426">
        <v>3410</v>
      </c>
      <c r="G1426">
        <v>3413</v>
      </c>
      <c r="H1426">
        <v>3407</v>
      </c>
      <c r="I1426">
        <v>3409</v>
      </c>
      <c r="J1426">
        <v>48600</v>
      </c>
    </row>
    <row r="1427" spans="4:10">
      <c r="D1427" t="s">
        <v>719</v>
      </c>
      <c r="E1427" t="s">
        <v>697</v>
      </c>
      <c r="F1427">
        <v>3408</v>
      </c>
      <c r="G1427">
        <v>3411</v>
      </c>
      <c r="H1427">
        <v>3401</v>
      </c>
      <c r="I1427">
        <v>3409</v>
      </c>
      <c r="J1427">
        <v>88600</v>
      </c>
    </row>
    <row r="1428" spans="4:10">
      <c r="D1428" t="s">
        <v>719</v>
      </c>
      <c r="E1428" t="s">
        <v>698</v>
      </c>
      <c r="F1428">
        <v>3411</v>
      </c>
      <c r="G1428">
        <v>3419</v>
      </c>
      <c r="H1428">
        <v>3410</v>
      </c>
      <c r="I1428">
        <v>3412</v>
      </c>
      <c r="J1428">
        <v>51300</v>
      </c>
    </row>
    <row r="1429" spans="4:10">
      <c r="D1429" t="s">
        <v>719</v>
      </c>
      <c r="E1429" t="s">
        <v>699</v>
      </c>
      <c r="F1429">
        <v>3412</v>
      </c>
      <c r="G1429">
        <v>3415</v>
      </c>
      <c r="H1429">
        <v>3411</v>
      </c>
      <c r="I1429">
        <v>3412</v>
      </c>
      <c r="J1429">
        <v>64100</v>
      </c>
    </row>
    <row r="1430" spans="4:10">
      <c r="D1430" t="s">
        <v>719</v>
      </c>
      <c r="E1430" t="s">
        <v>700</v>
      </c>
      <c r="F1430">
        <v>3414</v>
      </c>
      <c r="G1430">
        <v>3416</v>
      </c>
      <c r="H1430">
        <v>3405</v>
      </c>
      <c r="I1430">
        <v>3406</v>
      </c>
      <c r="J1430">
        <v>60200</v>
      </c>
    </row>
    <row r="1431" spans="4:10">
      <c r="D1431" t="s">
        <v>719</v>
      </c>
      <c r="E1431" t="s">
        <v>633</v>
      </c>
      <c r="F1431">
        <v>3405</v>
      </c>
      <c r="G1431">
        <v>3408</v>
      </c>
      <c r="H1431">
        <v>3393</v>
      </c>
      <c r="I1431">
        <v>3395</v>
      </c>
      <c r="J1431">
        <v>135200</v>
      </c>
    </row>
    <row r="1432" spans="4:10">
      <c r="D1432" t="s">
        <v>719</v>
      </c>
      <c r="E1432" t="s">
        <v>634</v>
      </c>
      <c r="F1432">
        <v>3396</v>
      </c>
      <c r="G1432">
        <v>3404</v>
      </c>
      <c r="H1432">
        <v>3394</v>
      </c>
      <c r="I1432">
        <v>3401</v>
      </c>
      <c r="J1432">
        <v>100000</v>
      </c>
    </row>
    <row r="1433" spans="4:10">
      <c r="D1433" t="s">
        <v>719</v>
      </c>
      <c r="E1433" t="s">
        <v>635</v>
      </c>
      <c r="F1433">
        <v>3401</v>
      </c>
      <c r="G1433">
        <v>3417</v>
      </c>
      <c r="H1433">
        <v>3400</v>
      </c>
      <c r="I1433">
        <v>3409</v>
      </c>
      <c r="J1433">
        <v>148000</v>
      </c>
    </row>
    <row r="1434" spans="4:10">
      <c r="D1434" t="s">
        <v>719</v>
      </c>
      <c r="E1434" t="s">
        <v>614</v>
      </c>
      <c r="F1434">
        <v>3409</v>
      </c>
      <c r="G1434">
        <v>3415</v>
      </c>
      <c r="H1434">
        <v>3400</v>
      </c>
      <c r="I1434">
        <v>3403</v>
      </c>
      <c r="J1434">
        <v>132000</v>
      </c>
    </row>
    <row r="1435" spans="4:10">
      <c r="D1435" t="s">
        <v>719</v>
      </c>
      <c r="E1435" t="s">
        <v>636</v>
      </c>
      <c r="F1435" t="s">
        <v>35</v>
      </c>
      <c r="G1435" t="s">
        <v>35</v>
      </c>
      <c r="H1435" t="s">
        <v>35</v>
      </c>
      <c r="I1435" t="s">
        <v>35</v>
      </c>
      <c r="J1435">
        <v>0</v>
      </c>
    </row>
    <row r="1436" spans="4:10">
      <c r="D1436" t="s">
        <v>719</v>
      </c>
      <c r="E1436" t="s">
        <v>637</v>
      </c>
      <c r="F1436">
        <v>3405</v>
      </c>
      <c r="G1436">
        <v>3405</v>
      </c>
      <c r="H1436">
        <v>3405</v>
      </c>
      <c r="I1436">
        <v>3405</v>
      </c>
      <c r="J1436">
        <v>677300</v>
      </c>
    </row>
    <row r="1437" spans="4:10">
      <c r="D1437" t="s">
        <v>613</v>
      </c>
      <c r="E1437" t="s">
        <v>639</v>
      </c>
      <c r="F1437">
        <v>3545</v>
      </c>
      <c r="G1437">
        <v>3614</v>
      </c>
      <c r="H1437">
        <v>3535</v>
      </c>
      <c r="I1437">
        <v>3597</v>
      </c>
      <c r="J1437">
        <v>963400</v>
      </c>
    </row>
    <row r="1438" spans="4:10">
      <c r="D1438" t="s">
        <v>613</v>
      </c>
      <c r="E1438" t="s">
        <v>640</v>
      </c>
      <c r="F1438">
        <v>3597</v>
      </c>
      <c r="G1438">
        <v>3633</v>
      </c>
      <c r="H1438">
        <v>3573</v>
      </c>
      <c r="I1438">
        <v>3589</v>
      </c>
      <c r="J1438">
        <v>771300</v>
      </c>
    </row>
    <row r="1439" spans="4:10">
      <c r="D1439" t="s">
        <v>613</v>
      </c>
      <c r="E1439" t="s">
        <v>641</v>
      </c>
      <c r="F1439">
        <v>3590</v>
      </c>
      <c r="G1439">
        <v>3593</v>
      </c>
      <c r="H1439">
        <v>3517</v>
      </c>
      <c r="I1439">
        <v>3539</v>
      </c>
      <c r="J1439">
        <v>571500</v>
      </c>
    </row>
    <row r="1440" spans="4:10">
      <c r="D1440" t="s">
        <v>613</v>
      </c>
      <c r="E1440" t="s">
        <v>642</v>
      </c>
      <c r="F1440">
        <v>3540</v>
      </c>
      <c r="G1440">
        <v>3573</v>
      </c>
      <c r="H1440">
        <v>3510</v>
      </c>
      <c r="I1440">
        <v>3511</v>
      </c>
      <c r="J1440">
        <v>541300</v>
      </c>
    </row>
    <row r="1441" spans="4:10">
      <c r="D1441" t="s">
        <v>613</v>
      </c>
      <c r="E1441" t="s">
        <v>643</v>
      </c>
      <c r="F1441">
        <v>3510</v>
      </c>
      <c r="G1441">
        <v>3554</v>
      </c>
      <c r="H1441">
        <v>3509</v>
      </c>
      <c r="I1441">
        <v>3535</v>
      </c>
      <c r="J1441">
        <v>356500</v>
      </c>
    </row>
    <row r="1442" spans="4:10">
      <c r="D1442" t="s">
        <v>613</v>
      </c>
      <c r="E1442" t="s">
        <v>644</v>
      </c>
      <c r="F1442">
        <v>3536</v>
      </c>
      <c r="G1442">
        <v>3536</v>
      </c>
      <c r="H1442">
        <v>3491</v>
      </c>
      <c r="I1442">
        <v>3494</v>
      </c>
      <c r="J1442">
        <v>298800</v>
      </c>
    </row>
    <row r="1443" spans="4:10">
      <c r="D1443" t="s">
        <v>613</v>
      </c>
      <c r="E1443" t="s">
        <v>645</v>
      </c>
      <c r="F1443">
        <v>3493</v>
      </c>
      <c r="G1443">
        <v>3500</v>
      </c>
      <c r="H1443">
        <v>3461</v>
      </c>
      <c r="I1443">
        <v>3474</v>
      </c>
      <c r="J1443">
        <v>330100</v>
      </c>
    </row>
    <row r="1444" spans="4:10">
      <c r="D1444" t="s">
        <v>613</v>
      </c>
      <c r="E1444" t="s">
        <v>646</v>
      </c>
      <c r="F1444">
        <v>3475</v>
      </c>
      <c r="G1444">
        <v>3475</v>
      </c>
      <c r="H1444">
        <v>3421</v>
      </c>
      <c r="I1444">
        <v>3431</v>
      </c>
      <c r="J1444">
        <v>322700</v>
      </c>
    </row>
    <row r="1445" spans="4:10">
      <c r="D1445" t="s">
        <v>613</v>
      </c>
      <c r="E1445" t="s">
        <v>647</v>
      </c>
      <c r="F1445">
        <v>3432</v>
      </c>
      <c r="G1445">
        <v>3444</v>
      </c>
      <c r="H1445">
        <v>3414</v>
      </c>
      <c r="I1445">
        <v>3424</v>
      </c>
      <c r="J1445">
        <v>374300</v>
      </c>
    </row>
    <row r="1446" spans="4:10">
      <c r="D1446" t="s">
        <v>613</v>
      </c>
      <c r="E1446" t="s">
        <v>648</v>
      </c>
      <c r="F1446">
        <v>3425</v>
      </c>
      <c r="G1446">
        <v>3425</v>
      </c>
      <c r="H1446">
        <v>3391</v>
      </c>
      <c r="I1446">
        <v>3393</v>
      </c>
      <c r="J1446">
        <v>291000</v>
      </c>
    </row>
    <row r="1447" spans="4:10">
      <c r="D1447" t="s">
        <v>613</v>
      </c>
      <c r="E1447" t="s">
        <v>649</v>
      </c>
      <c r="F1447">
        <v>3392</v>
      </c>
      <c r="G1447">
        <v>3397</v>
      </c>
      <c r="H1447">
        <v>3363</v>
      </c>
      <c r="I1447">
        <v>3369</v>
      </c>
      <c r="J1447">
        <v>287700</v>
      </c>
    </row>
    <row r="1448" spans="4:10">
      <c r="D1448" t="s">
        <v>613</v>
      </c>
      <c r="E1448" t="s">
        <v>650</v>
      </c>
      <c r="F1448">
        <v>3369</v>
      </c>
      <c r="G1448">
        <v>3402</v>
      </c>
      <c r="H1448">
        <v>3368</v>
      </c>
      <c r="I1448">
        <v>3390</v>
      </c>
      <c r="J1448">
        <v>233700</v>
      </c>
    </row>
    <row r="1449" spans="4:10">
      <c r="D1449" t="s">
        <v>613</v>
      </c>
      <c r="E1449" t="s">
        <v>651</v>
      </c>
      <c r="F1449">
        <v>3390</v>
      </c>
      <c r="G1449">
        <v>3420</v>
      </c>
      <c r="H1449">
        <v>3380</v>
      </c>
      <c r="I1449">
        <v>3418</v>
      </c>
      <c r="J1449">
        <v>220900</v>
      </c>
    </row>
    <row r="1450" spans="4:10">
      <c r="D1450" t="s">
        <v>613</v>
      </c>
      <c r="E1450" t="s">
        <v>652</v>
      </c>
      <c r="F1450">
        <v>3419</v>
      </c>
      <c r="G1450">
        <v>3440</v>
      </c>
      <c r="H1450">
        <v>3401</v>
      </c>
      <c r="I1450">
        <v>3413</v>
      </c>
      <c r="J1450">
        <v>230600</v>
      </c>
    </row>
    <row r="1451" spans="4:10">
      <c r="D1451" t="s">
        <v>613</v>
      </c>
      <c r="E1451" t="s">
        <v>653</v>
      </c>
      <c r="F1451">
        <v>3412</v>
      </c>
      <c r="G1451">
        <v>3416</v>
      </c>
      <c r="H1451">
        <v>3382</v>
      </c>
      <c r="I1451">
        <v>3389</v>
      </c>
      <c r="J1451">
        <v>198300</v>
      </c>
    </row>
    <row r="1452" spans="4:10">
      <c r="D1452" t="s">
        <v>613</v>
      </c>
      <c r="E1452" t="s">
        <v>654</v>
      </c>
      <c r="F1452">
        <v>3388</v>
      </c>
      <c r="G1452">
        <v>3422</v>
      </c>
      <c r="H1452">
        <v>3388</v>
      </c>
      <c r="I1452">
        <v>3417</v>
      </c>
      <c r="J1452">
        <v>163500</v>
      </c>
    </row>
    <row r="1453" spans="4:10">
      <c r="D1453" t="s">
        <v>613</v>
      </c>
      <c r="E1453" t="s">
        <v>655</v>
      </c>
      <c r="F1453">
        <v>3417</v>
      </c>
      <c r="G1453">
        <v>3424</v>
      </c>
      <c r="H1453">
        <v>3407</v>
      </c>
      <c r="I1453">
        <v>3424</v>
      </c>
      <c r="J1453">
        <v>180000</v>
      </c>
    </row>
    <row r="1454" spans="4:10">
      <c r="D1454" t="s">
        <v>613</v>
      </c>
      <c r="E1454" t="s">
        <v>656</v>
      </c>
      <c r="F1454">
        <v>3424</v>
      </c>
      <c r="G1454">
        <v>3452</v>
      </c>
      <c r="H1454">
        <v>3423</v>
      </c>
      <c r="I1454">
        <v>3442</v>
      </c>
      <c r="J1454">
        <v>232900</v>
      </c>
    </row>
    <row r="1455" spans="4:10">
      <c r="D1455" t="s">
        <v>613</v>
      </c>
      <c r="E1455" t="s">
        <v>657</v>
      </c>
      <c r="F1455">
        <v>3442</v>
      </c>
      <c r="G1455">
        <v>3453</v>
      </c>
      <c r="H1455">
        <v>3430</v>
      </c>
      <c r="I1455">
        <v>3447</v>
      </c>
      <c r="J1455">
        <v>221200</v>
      </c>
    </row>
    <row r="1456" spans="4:10">
      <c r="D1456" t="s">
        <v>613</v>
      </c>
      <c r="E1456" t="s">
        <v>658</v>
      </c>
      <c r="F1456">
        <v>3448</v>
      </c>
      <c r="G1456">
        <v>3468</v>
      </c>
      <c r="H1456">
        <v>3448</v>
      </c>
      <c r="I1456">
        <v>3453</v>
      </c>
      <c r="J1456">
        <v>211500</v>
      </c>
    </row>
    <row r="1457" spans="4:10">
      <c r="D1457" t="s">
        <v>613</v>
      </c>
      <c r="E1457" t="s">
        <v>659</v>
      </c>
      <c r="F1457">
        <v>3452</v>
      </c>
      <c r="G1457">
        <v>3460</v>
      </c>
      <c r="H1457">
        <v>3432</v>
      </c>
      <c r="I1457">
        <v>3432</v>
      </c>
      <c r="J1457">
        <v>190000</v>
      </c>
    </row>
    <row r="1458" spans="4:10">
      <c r="D1458" t="s">
        <v>613</v>
      </c>
      <c r="E1458" t="s">
        <v>660</v>
      </c>
      <c r="F1458">
        <v>3433</v>
      </c>
      <c r="G1458">
        <v>3449</v>
      </c>
      <c r="H1458">
        <v>3431</v>
      </c>
      <c r="I1458">
        <v>3449</v>
      </c>
      <c r="J1458">
        <v>128000</v>
      </c>
    </row>
    <row r="1459" spans="4:10">
      <c r="D1459" t="s">
        <v>613</v>
      </c>
      <c r="E1459" t="s">
        <v>661</v>
      </c>
      <c r="F1459">
        <v>3449</v>
      </c>
      <c r="G1459">
        <v>3475</v>
      </c>
      <c r="H1459">
        <v>3447</v>
      </c>
      <c r="I1459">
        <v>3475</v>
      </c>
      <c r="J1459">
        <v>142000</v>
      </c>
    </row>
    <row r="1460" spans="4:10">
      <c r="D1460" t="s">
        <v>613</v>
      </c>
      <c r="E1460" t="s">
        <v>662</v>
      </c>
      <c r="F1460">
        <v>3474</v>
      </c>
      <c r="G1460">
        <v>3474</v>
      </c>
      <c r="H1460">
        <v>3452</v>
      </c>
      <c r="I1460">
        <v>3452</v>
      </c>
      <c r="J1460">
        <v>166700</v>
      </c>
    </row>
    <row r="1461" spans="4:10">
      <c r="D1461" t="s">
        <v>613</v>
      </c>
      <c r="E1461" t="s">
        <v>663</v>
      </c>
      <c r="F1461">
        <v>3453</v>
      </c>
      <c r="G1461">
        <v>3463</v>
      </c>
      <c r="H1461">
        <v>3449</v>
      </c>
      <c r="I1461">
        <v>3456</v>
      </c>
      <c r="J1461">
        <v>125500</v>
      </c>
    </row>
    <row r="1462" spans="4:10">
      <c r="D1462" t="s">
        <v>613</v>
      </c>
      <c r="E1462" t="s">
        <v>664</v>
      </c>
      <c r="F1462">
        <v>3457</v>
      </c>
      <c r="G1462">
        <v>3460</v>
      </c>
      <c r="H1462">
        <v>3436</v>
      </c>
      <c r="I1462">
        <v>3449</v>
      </c>
      <c r="J1462">
        <v>138900</v>
      </c>
    </row>
    <row r="1463" spans="4:10">
      <c r="D1463" t="s">
        <v>613</v>
      </c>
      <c r="E1463" t="s">
        <v>665</v>
      </c>
      <c r="F1463">
        <v>3448</v>
      </c>
      <c r="G1463">
        <v>3466</v>
      </c>
      <c r="H1463">
        <v>3444</v>
      </c>
      <c r="I1463">
        <v>3462</v>
      </c>
      <c r="J1463">
        <v>98900</v>
      </c>
    </row>
    <row r="1464" spans="4:10">
      <c r="D1464" t="s">
        <v>613</v>
      </c>
      <c r="E1464" t="s">
        <v>666</v>
      </c>
      <c r="F1464">
        <v>3461</v>
      </c>
      <c r="G1464">
        <v>3473</v>
      </c>
      <c r="H1464">
        <v>3457</v>
      </c>
      <c r="I1464">
        <v>3465</v>
      </c>
      <c r="J1464">
        <v>133600</v>
      </c>
    </row>
    <row r="1465" spans="4:10">
      <c r="D1465" t="s">
        <v>613</v>
      </c>
      <c r="E1465" t="s">
        <v>667</v>
      </c>
      <c r="F1465">
        <v>3465</v>
      </c>
      <c r="G1465">
        <v>3471</v>
      </c>
      <c r="H1465">
        <v>3456</v>
      </c>
      <c r="I1465">
        <v>3463</v>
      </c>
      <c r="J1465">
        <v>112300</v>
      </c>
    </row>
    <row r="1466" spans="4:10">
      <c r="D1466" t="s">
        <v>613</v>
      </c>
      <c r="E1466" t="s">
        <v>668</v>
      </c>
      <c r="F1466">
        <v>3463</v>
      </c>
      <c r="G1466">
        <v>3465</v>
      </c>
      <c r="H1466">
        <v>3449</v>
      </c>
      <c r="I1466">
        <v>3451</v>
      </c>
      <c r="J1466">
        <v>89900</v>
      </c>
    </row>
    <row r="1467" spans="4:10">
      <c r="D1467" t="s">
        <v>613</v>
      </c>
      <c r="E1467" t="s">
        <v>669</v>
      </c>
      <c r="F1467">
        <v>3450</v>
      </c>
      <c r="G1467">
        <v>3450</v>
      </c>
      <c r="H1467">
        <v>3450</v>
      </c>
      <c r="I1467">
        <v>3450</v>
      </c>
      <c r="J1467">
        <v>4100</v>
      </c>
    </row>
    <row r="1468" spans="4:10">
      <c r="D1468" t="s">
        <v>613</v>
      </c>
      <c r="E1468" t="s">
        <v>670</v>
      </c>
      <c r="F1468">
        <v>3461</v>
      </c>
      <c r="G1468">
        <v>3474</v>
      </c>
      <c r="H1468">
        <v>3435</v>
      </c>
      <c r="I1468">
        <v>3446</v>
      </c>
      <c r="J1468">
        <v>202400</v>
      </c>
    </row>
    <row r="1469" spans="4:10">
      <c r="D1469" t="s">
        <v>613</v>
      </c>
      <c r="E1469" t="s">
        <v>671</v>
      </c>
      <c r="F1469">
        <v>3446</v>
      </c>
      <c r="G1469">
        <v>3448</v>
      </c>
      <c r="H1469">
        <v>3435</v>
      </c>
      <c r="I1469">
        <v>3437</v>
      </c>
      <c r="J1469">
        <v>115400</v>
      </c>
    </row>
    <row r="1470" spans="4:10">
      <c r="D1470" t="s">
        <v>613</v>
      </c>
      <c r="E1470" t="s">
        <v>672</v>
      </c>
      <c r="F1470">
        <v>3437</v>
      </c>
      <c r="G1470">
        <v>3447</v>
      </c>
      <c r="H1470">
        <v>3433</v>
      </c>
      <c r="I1470">
        <v>3446</v>
      </c>
      <c r="J1470">
        <v>104300</v>
      </c>
    </row>
    <row r="1471" spans="4:10">
      <c r="D1471" t="s">
        <v>613</v>
      </c>
      <c r="E1471" t="s">
        <v>673</v>
      </c>
      <c r="F1471">
        <v>3446</v>
      </c>
      <c r="G1471">
        <v>3457</v>
      </c>
      <c r="H1471">
        <v>3445</v>
      </c>
      <c r="I1471">
        <v>3450</v>
      </c>
      <c r="J1471">
        <v>92700</v>
      </c>
    </row>
    <row r="1472" spans="4:10">
      <c r="D1472" t="s">
        <v>613</v>
      </c>
      <c r="E1472" t="s">
        <v>674</v>
      </c>
      <c r="F1472">
        <v>3450</v>
      </c>
      <c r="G1472">
        <v>3457</v>
      </c>
      <c r="H1472">
        <v>3441</v>
      </c>
      <c r="I1472">
        <v>3443</v>
      </c>
      <c r="J1472">
        <v>94200</v>
      </c>
    </row>
    <row r="1473" spans="4:10">
      <c r="D1473" t="s">
        <v>613</v>
      </c>
      <c r="E1473" t="s">
        <v>675</v>
      </c>
      <c r="F1473">
        <v>3442</v>
      </c>
      <c r="G1473">
        <v>3453</v>
      </c>
      <c r="H1473">
        <v>3441</v>
      </c>
      <c r="I1473">
        <v>3448</v>
      </c>
      <c r="J1473">
        <v>87700</v>
      </c>
    </row>
    <row r="1474" spans="4:10">
      <c r="D1474" t="s">
        <v>613</v>
      </c>
      <c r="E1474" t="s">
        <v>676</v>
      </c>
      <c r="F1474">
        <v>3447</v>
      </c>
      <c r="G1474">
        <v>3476</v>
      </c>
      <c r="H1474">
        <v>3447</v>
      </c>
      <c r="I1474">
        <v>3468</v>
      </c>
      <c r="J1474">
        <v>176700</v>
      </c>
    </row>
    <row r="1475" spans="4:10">
      <c r="D1475" t="s">
        <v>613</v>
      </c>
      <c r="E1475" t="s">
        <v>677</v>
      </c>
      <c r="F1475">
        <v>3468</v>
      </c>
      <c r="G1475">
        <v>3469</v>
      </c>
      <c r="H1475">
        <v>3455</v>
      </c>
      <c r="I1475">
        <v>3455</v>
      </c>
      <c r="J1475">
        <v>106000</v>
      </c>
    </row>
    <row r="1476" spans="4:10">
      <c r="D1476" t="s">
        <v>613</v>
      </c>
      <c r="E1476" t="s">
        <v>678</v>
      </c>
      <c r="F1476">
        <v>3456</v>
      </c>
      <c r="G1476">
        <v>3472</v>
      </c>
      <c r="H1476">
        <v>3453</v>
      </c>
      <c r="I1476">
        <v>3471</v>
      </c>
      <c r="J1476">
        <v>78800</v>
      </c>
    </row>
    <row r="1477" spans="4:10">
      <c r="D1477" t="s">
        <v>613</v>
      </c>
      <c r="E1477" t="s">
        <v>679</v>
      </c>
      <c r="F1477">
        <v>3471</v>
      </c>
      <c r="G1477">
        <v>3487</v>
      </c>
      <c r="H1477">
        <v>3470</v>
      </c>
      <c r="I1477">
        <v>3487</v>
      </c>
      <c r="J1477">
        <v>115700</v>
      </c>
    </row>
    <row r="1478" spans="4:10">
      <c r="D1478" t="s">
        <v>613</v>
      </c>
      <c r="E1478" t="s">
        <v>680</v>
      </c>
      <c r="F1478">
        <v>3487</v>
      </c>
      <c r="G1478">
        <v>3494</v>
      </c>
      <c r="H1478">
        <v>3476</v>
      </c>
      <c r="I1478">
        <v>3482</v>
      </c>
      <c r="J1478">
        <v>139400</v>
      </c>
    </row>
    <row r="1479" spans="4:10">
      <c r="D1479" t="s">
        <v>613</v>
      </c>
      <c r="E1479" t="s">
        <v>681</v>
      </c>
      <c r="F1479">
        <v>3482</v>
      </c>
      <c r="G1479">
        <v>3490</v>
      </c>
      <c r="H1479">
        <v>3480</v>
      </c>
      <c r="I1479">
        <v>3485</v>
      </c>
      <c r="J1479">
        <v>91400</v>
      </c>
    </row>
    <row r="1480" spans="4:10">
      <c r="D1480" t="s">
        <v>613</v>
      </c>
      <c r="E1480" t="s">
        <v>682</v>
      </c>
      <c r="F1480">
        <v>3484</v>
      </c>
      <c r="G1480">
        <v>3489</v>
      </c>
      <c r="H1480">
        <v>3470</v>
      </c>
      <c r="I1480">
        <v>3471</v>
      </c>
      <c r="J1480">
        <v>98400</v>
      </c>
    </row>
    <row r="1481" spans="4:10">
      <c r="D1481" t="s">
        <v>613</v>
      </c>
      <c r="E1481" t="s">
        <v>683</v>
      </c>
      <c r="F1481">
        <v>3471</v>
      </c>
      <c r="G1481">
        <v>3479</v>
      </c>
      <c r="H1481">
        <v>3465</v>
      </c>
      <c r="I1481">
        <v>3466</v>
      </c>
      <c r="J1481">
        <v>87600</v>
      </c>
    </row>
    <row r="1482" spans="4:10">
      <c r="D1482" t="s">
        <v>613</v>
      </c>
      <c r="E1482" t="s">
        <v>684</v>
      </c>
      <c r="F1482">
        <v>3466</v>
      </c>
      <c r="G1482">
        <v>3472</v>
      </c>
      <c r="H1482">
        <v>3464</v>
      </c>
      <c r="I1482">
        <v>3469</v>
      </c>
      <c r="J1482">
        <v>63200</v>
      </c>
    </row>
    <row r="1483" spans="4:10">
      <c r="D1483" t="s">
        <v>613</v>
      </c>
      <c r="E1483" t="s">
        <v>685</v>
      </c>
      <c r="F1483">
        <v>3468</v>
      </c>
      <c r="G1483">
        <v>3478</v>
      </c>
      <c r="H1483">
        <v>3467</v>
      </c>
      <c r="I1483">
        <v>3471</v>
      </c>
      <c r="J1483">
        <v>64000</v>
      </c>
    </row>
    <row r="1484" spans="4:10">
      <c r="D1484" t="s">
        <v>613</v>
      </c>
      <c r="E1484" t="s">
        <v>686</v>
      </c>
      <c r="F1484">
        <v>3471</v>
      </c>
      <c r="G1484">
        <v>3474</v>
      </c>
      <c r="H1484">
        <v>3466</v>
      </c>
      <c r="I1484">
        <v>3470</v>
      </c>
      <c r="J1484">
        <v>69900</v>
      </c>
    </row>
    <row r="1485" spans="4:10">
      <c r="D1485" t="s">
        <v>613</v>
      </c>
      <c r="E1485" t="s">
        <v>687</v>
      </c>
      <c r="F1485">
        <v>3470</v>
      </c>
      <c r="G1485">
        <v>3477</v>
      </c>
      <c r="H1485">
        <v>3470</v>
      </c>
      <c r="I1485">
        <v>3474</v>
      </c>
      <c r="J1485">
        <v>50000</v>
      </c>
    </row>
    <row r="1486" spans="4:10">
      <c r="D1486" t="s">
        <v>613</v>
      </c>
      <c r="E1486" t="s">
        <v>688</v>
      </c>
      <c r="F1486">
        <v>3474</v>
      </c>
      <c r="G1486">
        <v>3475</v>
      </c>
      <c r="H1486">
        <v>3463</v>
      </c>
      <c r="I1486">
        <v>3470</v>
      </c>
      <c r="J1486">
        <v>67900</v>
      </c>
    </row>
    <row r="1487" spans="4:10">
      <c r="D1487" t="s">
        <v>613</v>
      </c>
      <c r="E1487" t="s">
        <v>689</v>
      </c>
      <c r="F1487">
        <v>3470</v>
      </c>
      <c r="G1487">
        <v>3472</v>
      </c>
      <c r="H1487">
        <v>3466</v>
      </c>
      <c r="I1487">
        <v>3467</v>
      </c>
      <c r="J1487">
        <v>54500</v>
      </c>
    </row>
    <row r="1488" spans="4:10">
      <c r="D1488" t="s">
        <v>613</v>
      </c>
      <c r="E1488" t="s">
        <v>690</v>
      </c>
      <c r="F1488">
        <v>3467</v>
      </c>
      <c r="G1488">
        <v>3470</v>
      </c>
      <c r="H1488">
        <v>3460</v>
      </c>
      <c r="I1488">
        <v>3468</v>
      </c>
      <c r="J1488">
        <v>60700</v>
      </c>
    </row>
    <row r="1489" spans="1:10">
      <c r="D1489" t="s">
        <v>613</v>
      </c>
      <c r="E1489" t="s">
        <v>691</v>
      </c>
      <c r="F1489">
        <v>3468</v>
      </c>
      <c r="G1489">
        <v>3468</v>
      </c>
      <c r="H1489">
        <v>3453</v>
      </c>
      <c r="I1489">
        <v>3455</v>
      </c>
      <c r="J1489">
        <v>66800</v>
      </c>
    </row>
    <row r="1490" spans="1:10">
      <c r="D1490" t="s">
        <v>613</v>
      </c>
      <c r="E1490" t="s">
        <v>692</v>
      </c>
      <c r="F1490">
        <v>3454</v>
      </c>
      <c r="G1490">
        <v>3463</v>
      </c>
      <c r="H1490">
        <v>3450</v>
      </c>
      <c r="I1490">
        <v>3458</v>
      </c>
      <c r="J1490">
        <v>75100</v>
      </c>
    </row>
    <row r="1491" spans="1:10">
      <c r="D1491" t="s">
        <v>613</v>
      </c>
      <c r="E1491" t="s">
        <v>693</v>
      </c>
      <c r="F1491">
        <v>3459</v>
      </c>
      <c r="G1491">
        <v>3461</v>
      </c>
      <c r="H1491">
        <v>3448</v>
      </c>
      <c r="I1491">
        <v>3451</v>
      </c>
      <c r="J1491">
        <v>91700</v>
      </c>
    </row>
    <row r="1492" spans="1:10">
      <c r="D1492" t="s">
        <v>613</v>
      </c>
      <c r="E1492" t="s">
        <v>694</v>
      </c>
      <c r="F1492">
        <v>3450</v>
      </c>
      <c r="G1492">
        <v>3450</v>
      </c>
      <c r="H1492">
        <v>3442</v>
      </c>
      <c r="I1492">
        <v>3442</v>
      </c>
      <c r="J1492">
        <v>80700</v>
      </c>
    </row>
    <row r="1493" spans="1:10">
      <c r="D1493" t="s">
        <v>613</v>
      </c>
      <c r="E1493" t="s">
        <v>695</v>
      </c>
      <c r="F1493">
        <v>3441</v>
      </c>
      <c r="G1493">
        <v>3449</v>
      </c>
      <c r="H1493">
        <v>3436</v>
      </c>
      <c r="I1493">
        <v>3448</v>
      </c>
      <c r="J1493">
        <v>92000</v>
      </c>
    </row>
    <row r="1494" spans="1:10">
      <c r="D1494" t="s">
        <v>613</v>
      </c>
      <c r="E1494" t="s">
        <v>696</v>
      </c>
      <c r="F1494">
        <v>3448</v>
      </c>
      <c r="G1494">
        <v>3450</v>
      </c>
      <c r="H1494">
        <v>3431</v>
      </c>
      <c r="I1494">
        <v>3434</v>
      </c>
      <c r="J1494">
        <v>103400</v>
      </c>
    </row>
    <row r="1495" spans="1:10">
      <c r="D1495" t="s">
        <v>613</v>
      </c>
      <c r="E1495" t="s">
        <v>697</v>
      </c>
      <c r="F1495">
        <v>3434</v>
      </c>
      <c r="G1495">
        <v>3450</v>
      </c>
      <c r="H1495">
        <v>3432</v>
      </c>
      <c r="I1495">
        <v>3441</v>
      </c>
      <c r="J1495">
        <v>88600</v>
      </c>
    </row>
    <row r="1496" spans="1:10">
      <c r="D1496" t="s">
        <v>613</v>
      </c>
      <c r="E1496" t="s">
        <v>698</v>
      </c>
      <c r="F1496">
        <v>3440</v>
      </c>
      <c r="G1496">
        <v>3445</v>
      </c>
      <c r="H1496">
        <v>3436</v>
      </c>
      <c r="I1496">
        <v>3437</v>
      </c>
      <c r="J1496">
        <v>62000</v>
      </c>
    </row>
    <row r="1497" spans="1:10">
      <c r="D1497" t="s">
        <v>613</v>
      </c>
      <c r="E1497" t="s">
        <v>699</v>
      </c>
      <c r="F1497">
        <v>3436</v>
      </c>
      <c r="G1497">
        <v>3441</v>
      </c>
      <c r="H1497">
        <v>3434</v>
      </c>
      <c r="I1497">
        <v>3441</v>
      </c>
      <c r="J1497">
        <v>61800</v>
      </c>
    </row>
    <row r="1498" spans="1:10">
      <c r="D1498" t="s">
        <v>613</v>
      </c>
      <c r="E1498" t="s">
        <v>700</v>
      </c>
      <c r="F1498">
        <v>3440</v>
      </c>
      <c r="G1498">
        <v>3441</v>
      </c>
      <c r="H1498">
        <v>3425</v>
      </c>
      <c r="I1498">
        <v>3425</v>
      </c>
      <c r="J1498">
        <v>101600</v>
      </c>
    </row>
    <row r="1499" spans="1:10">
      <c r="D1499" t="s">
        <v>613</v>
      </c>
      <c r="E1499" t="s">
        <v>633</v>
      </c>
      <c r="F1499">
        <v>3425</v>
      </c>
      <c r="G1499">
        <v>3427</v>
      </c>
      <c r="H1499">
        <v>3416</v>
      </c>
      <c r="I1499">
        <v>3425</v>
      </c>
      <c r="J1499">
        <v>102100</v>
      </c>
    </row>
    <row r="1500" spans="1:10">
      <c r="D1500" t="s">
        <v>613</v>
      </c>
      <c r="E1500" t="s">
        <v>634</v>
      </c>
      <c r="F1500">
        <v>3424</v>
      </c>
      <c r="G1500">
        <v>3429</v>
      </c>
      <c r="H1500">
        <v>3422</v>
      </c>
      <c r="I1500">
        <v>3428</v>
      </c>
      <c r="J1500">
        <v>79400</v>
      </c>
    </row>
    <row r="1501" spans="1:10">
      <c r="D1501" t="s">
        <v>613</v>
      </c>
      <c r="E1501" t="s">
        <v>635</v>
      </c>
      <c r="F1501">
        <v>3428</v>
      </c>
      <c r="G1501">
        <v>3437</v>
      </c>
      <c r="H1501">
        <v>3426</v>
      </c>
      <c r="I1501">
        <v>3436</v>
      </c>
      <c r="J1501">
        <v>91900</v>
      </c>
    </row>
    <row r="1502" spans="1:10">
      <c r="D1502" t="s">
        <v>573</v>
      </c>
      <c r="E1502" t="s">
        <v>570</v>
      </c>
      <c r="F1502">
        <v>3436</v>
      </c>
      <c r="G1502">
        <v>3443</v>
      </c>
      <c r="H1502">
        <v>3423</v>
      </c>
      <c r="I1502">
        <v>3425</v>
      </c>
      <c r="J1502">
        <v>161100</v>
      </c>
    </row>
    <row r="1503" spans="1:10">
      <c r="A1503" s="1" t="s">
        <v>78</v>
      </c>
      <c r="B1503" s="1" t="s">
        <v>78</v>
      </c>
      <c r="C1503" s="1" t="s">
        <v>78</v>
      </c>
      <c r="D1503" s="1" t="s">
        <v>78</v>
      </c>
      <c r="E1503" s="1" t="s">
        <v>78</v>
      </c>
      <c r="F1503" s="1" t="s">
        <v>78</v>
      </c>
      <c r="G1503" s="1" t="s">
        <v>78</v>
      </c>
      <c r="H1503" s="1" t="s">
        <v>78</v>
      </c>
      <c r="I1503" s="1" t="s">
        <v>78</v>
      </c>
      <c r="J1503" s="1" t="s">
        <v>78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CBCB5-A7B7-4E6A-9F1D-2E7CA2DF9A0A}">
  <dimension ref="A1:J1503"/>
  <sheetViews>
    <sheetView workbookViewId="0">
      <selection activeCell="A2" sqref="A2:XFD2"/>
    </sheetView>
  </sheetViews>
  <sheetFormatPr defaultRowHeight="18.75"/>
  <cols>
    <col min="4" max="4" width="12.25" customWidth="1"/>
  </cols>
  <sheetData>
    <row r="1" spans="1:10">
      <c r="A1" t="s">
        <v>630</v>
      </c>
    </row>
    <row r="2" spans="1:10">
      <c r="A2" t="s">
        <v>11</v>
      </c>
      <c r="B2" t="s">
        <v>13</v>
      </c>
      <c r="C2" t="s">
        <v>531</v>
      </c>
      <c r="D2" t="s">
        <v>532</v>
      </c>
      <c r="E2" t="s">
        <v>533</v>
      </c>
      <c r="F2" t="s">
        <v>519</v>
      </c>
      <c r="G2" t="s">
        <v>520</v>
      </c>
      <c r="H2" t="s">
        <v>521</v>
      </c>
      <c r="I2" t="s">
        <v>534</v>
      </c>
      <c r="J2" t="s">
        <v>522</v>
      </c>
    </row>
    <row r="3" spans="1:10">
      <c r="A3" t="s">
        <v>624</v>
      </c>
      <c r="B3" t="s">
        <v>535</v>
      </c>
      <c r="C3" t="s">
        <v>536</v>
      </c>
      <c r="D3" t="s">
        <v>625</v>
      </c>
      <c r="E3" t="s">
        <v>567</v>
      </c>
      <c r="F3">
        <v>1534</v>
      </c>
      <c r="G3">
        <v>1541</v>
      </c>
      <c r="H3">
        <v>1532</v>
      </c>
      <c r="I3">
        <v>1541</v>
      </c>
      <c r="J3">
        <v>22300</v>
      </c>
    </row>
    <row r="4" spans="1:10">
      <c r="D4" t="s">
        <v>625</v>
      </c>
      <c r="E4" t="s">
        <v>568</v>
      </c>
      <c r="F4">
        <v>1542</v>
      </c>
      <c r="G4">
        <v>1549</v>
      </c>
      <c r="H4">
        <v>1542</v>
      </c>
      <c r="I4">
        <v>1549</v>
      </c>
      <c r="J4">
        <v>14600</v>
      </c>
    </row>
    <row r="5" spans="1:10">
      <c r="D5" t="s">
        <v>625</v>
      </c>
      <c r="E5" t="s">
        <v>569</v>
      </c>
      <c r="F5">
        <v>1548</v>
      </c>
      <c r="G5">
        <v>1549</v>
      </c>
      <c r="H5">
        <v>1541</v>
      </c>
      <c r="I5">
        <v>1541</v>
      </c>
      <c r="J5">
        <v>24400</v>
      </c>
    </row>
    <row r="6" spans="1:10">
      <c r="D6" t="s">
        <v>625</v>
      </c>
      <c r="E6" t="s">
        <v>570</v>
      </c>
      <c r="F6">
        <v>1542</v>
      </c>
      <c r="G6">
        <v>1548</v>
      </c>
      <c r="H6">
        <v>1541</v>
      </c>
      <c r="I6">
        <v>1545</v>
      </c>
      <c r="J6">
        <v>18000</v>
      </c>
    </row>
    <row r="7" spans="1:10">
      <c r="D7" t="s">
        <v>625</v>
      </c>
      <c r="E7" t="s">
        <v>571</v>
      </c>
      <c r="F7" t="s">
        <v>35</v>
      </c>
      <c r="G7" t="s">
        <v>35</v>
      </c>
      <c r="H7" t="s">
        <v>35</v>
      </c>
      <c r="I7" t="s">
        <v>35</v>
      </c>
      <c r="J7">
        <v>0</v>
      </c>
    </row>
    <row r="8" spans="1:10">
      <c r="D8" t="s">
        <v>625</v>
      </c>
      <c r="E8" t="s">
        <v>572</v>
      </c>
      <c r="F8">
        <v>1550</v>
      </c>
      <c r="G8">
        <v>1550</v>
      </c>
      <c r="H8">
        <v>1550</v>
      </c>
      <c r="I8">
        <v>1550</v>
      </c>
      <c r="J8">
        <v>63700</v>
      </c>
    </row>
    <row r="9" spans="1:10">
      <c r="D9" t="s">
        <v>626</v>
      </c>
      <c r="E9" t="s">
        <v>574</v>
      </c>
      <c r="F9">
        <v>1479</v>
      </c>
      <c r="G9">
        <v>1497</v>
      </c>
      <c r="H9">
        <v>1463</v>
      </c>
      <c r="I9">
        <v>1468</v>
      </c>
      <c r="J9">
        <v>290400</v>
      </c>
    </row>
    <row r="10" spans="1:10">
      <c r="D10" t="s">
        <v>626</v>
      </c>
      <c r="E10" t="s">
        <v>575</v>
      </c>
      <c r="F10">
        <v>1464</v>
      </c>
      <c r="G10">
        <v>1473</v>
      </c>
      <c r="H10">
        <v>1450</v>
      </c>
      <c r="I10">
        <v>1456</v>
      </c>
      <c r="J10">
        <v>115200</v>
      </c>
    </row>
    <row r="11" spans="1:10">
      <c r="D11" t="s">
        <v>626</v>
      </c>
      <c r="E11" t="s">
        <v>576</v>
      </c>
      <c r="F11">
        <v>1457</v>
      </c>
      <c r="G11">
        <v>1459</v>
      </c>
      <c r="H11">
        <v>1447</v>
      </c>
      <c r="I11">
        <v>1453</v>
      </c>
      <c r="J11">
        <v>85700</v>
      </c>
    </row>
    <row r="12" spans="1:10">
      <c r="D12" t="s">
        <v>626</v>
      </c>
      <c r="E12" t="s">
        <v>577</v>
      </c>
      <c r="F12">
        <v>1453</v>
      </c>
      <c r="G12">
        <v>1453</v>
      </c>
      <c r="H12">
        <v>1441</v>
      </c>
      <c r="I12">
        <v>1444</v>
      </c>
      <c r="J12">
        <v>67800</v>
      </c>
    </row>
    <row r="13" spans="1:10">
      <c r="D13" t="s">
        <v>626</v>
      </c>
      <c r="E13" t="s">
        <v>578</v>
      </c>
      <c r="F13">
        <v>1443</v>
      </c>
      <c r="G13">
        <v>1448</v>
      </c>
      <c r="H13">
        <v>1435</v>
      </c>
      <c r="I13">
        <v>1438</v>
      </c>
      <c r="J13">
        <v>62400</v>
      </c>
    </row>
    <row r="14" spans="1:10">
      <c r="D14" t="s">
        <v>626</v>
      </c>
      <c r="E14" t="s">
        <v>579</v>
      </c>
      <c r="F14">
        <v>1440</v>
      </c>
      <c r="G14">
        <v>1441</v>
      </c>
      <c r="H14">
        <v>1427</v>
      </c>
      <c r="I14">
        <v>1431</v>
      </c>
      <c r="J14">
        <v>78400</v>
      </c>
    </row>
    <row r="15" spans="1:10">
      <c r="D15" t="s">
        <v>626</v>
      </c>
      <c r="E15" t="s">
        <v>580</v>
      </c>
      <c r="F15">
        <v>1433</v>
      </c>
      <c r="G15">
        <v>1435</v>
      </c>
      <c r="H15">
        <v>1417</v>
      </c>
      <c r="I15">
        <v>1433</v>
      </c>
      <c r="J15">
        <v>73400</v>
      </c>
    </row>
    <row r="16" spans="1:10">
      <c r="D16" t="s">
        <v>626</v>
      </c>
      <c r="E16" t="s">
        <v>581</v>
      </c>
      <c r="F16">
        <v>1433</v>
      </c>
      <c r="G16">
        <v>1440</v>
      </c>
      <c r="H16">
        <v>1427</v>
      </c>
      <c r="I16">
        <v>1428</v>
      </c>
      <c r="J16">
        <v>36900</v>
      </c>
    </row>
    <row r="17" spans="4:10">
      <c r="D17" t="s">
        <v>626</v>
      </c>
      <c r="E17" t="s">
        <v>582</v>
      </c>
      <c r="F17">
        <v>1429</v>
      </c>
      <c r="G17">
        <v>1435</v>
      </c>
      <c r="H17">
        <v>1428</v>
      </c>
      <c r="I17">
        <v>1433</v>
      </c>
      <c r="J17">
        <v>35300</v>
      </c>
    </row>
    <row r="18" spans="4:10">
      <c r="D18" t="s">
        <v>626</v>
      </c>
      <c r="E18" t="s">
        <v>583</v>
      </c>
      <c r="F18">
        <v>1433</v>
      </c>
      <c r="G18">
        <v>1434</v>
      </c>
      <c r="H18">
        <v>1418</v>
      </c>
      <c r="I18">
        <v>1418</v>
      </c>
      <c r="J18">
        <v>42400</v>
      </c>
    </row>
    <row r="19" spans="4:10">
      <c r="D19" t="s">
        <v>626</v>
      </c>
      <c r="E19" t="s">
        <v>584</v>
      </c>
      <c r="F19">
        <v>1418</v>
      </c>
      <c r="G19">
        <v>1419</v>
      </c>
      <c r="H19">
        <v>1410</v>
      </c>
      <c r="I19">
        <v>1416</v>
      </c>
      <c r="J19">
        <v>44900</v>
      </c>
    </row>
    <row r="20" spans="4:10">
      <c r="D20" t="s">
        <v>626</v>
      </c>
      <c r="E20" t="s">
        <v>585</v>
      </c>
      <c r="F20">
        <v>1415</v>
      </c>
      <c r="G20">
        <v>1422</v>
      </c>
      <c r="H20">
        <v>1413</v>
      </c>
      <c r="I20">
        <v>1419</v>
      </c>
      <c r="J20">
        <v>33300</v>
      </c>
    </row>
    <row r="21" spans="4:10">
      <c r="D21" t="s">
        <v>626</v>
      </c>
      <c r="E21" t="s">
        <v>586</v>
      </c>
      <c r="F21">
        <v>1419</v>
      </c>
      <c r="G21">
        <v>1429</v>
      </c>
      <c r="H21">
        <v>1415</v>
      </c>
      <c r="I21">
        <v>1423</v>
      </c>
      <c r="J21">
        <v>55100</v>
      </c>
    </row>
    <row r="22" spans="4:10">
      <c r="D22" t="s">
        <v>626</v>
      </c>
      <c r="E22" t="s">
        <v>587</v>
      </c>
      <c r="F22">
        <v>1422</v>
      </c>
      <c r="G22">
        <v>1426</v>
      </c>
      <c r="H22">
        <v>1412</v>
      </c>
      <c r="I22">
        <v>1416</v>
      </c>
      <c r="J22">
        <v>35900</v>
      </c>
    </row>
    <row r="23" spans="4:10">
      <c r="D23" t="s">
        <v>626</v>
      </c>
      <c r="E23" t="s">
        <v>588</v>
      </c>
      <c r="F23">
        <v>1417</v>
      </c>
      <c r="G23">
        <v>1424</v>
      </c>
      <c r="H23">
        <v>1416</v>
      </c>
      <c r="I23">
        <v>1422</v>
      </c>
      <c r="J23">
        <v>17700</v>
      </c>
    </row>
    <row r="24" spans="4:10">
      <c r="D24" t="s">
        <v>626</v>
      </c>
      <c r="E24" t="s">
        <v>589</v>
      </c>
      <c r="F24">
        <v>1422</v>
      </c>
      <c r="G24">
        <v>1422</v>
      </c>
      <c r="H24">
        <v>1415</v>
      </c>
      <c r="I24">
        <v>1422</v>
      </c>
      <c r="J24">
        <v>19400</v>
      </c>
    </row>
    <row r="25" spans="4:10">
      <c r="D25" t="s">
        <v>626</v>
      </c>
      <c r="E25" t="s">
        <v>590</v>
      </c>
      <c r="F25">
        <v>1421</v>
      </c>
      <c r="G25">
        <v>1429</v>
      </c>
      <c r="H25">
        <v>1420</v>
      </c>
      <c r="I25">
        <v>1423</v>
      </c>
      <c r="J25">
        <v>26300</v>
      </c>
    </row>
    <row r="26" spans="4:10">
      <c r="D26" t="s">
        <v>626</v>
      </c>
      <c r="E26" t="s">
        <v>591</v>
      </c>
      <c r="F26">
        <v>1425</v>
      </c>
      <c r="G26">
        <v>1425</v>
      </c>
      <c r="H26">
        <v>1417</v>
      </c>
      <c r="I26">
        <v>1421</v>
      </c>
      <c r="J26">
        <v>14000</v>
      </c>
    </row>
    <row r="27" spans="4:10">
      <c r="D27" t="s">
        <v>626</v>
      </c>
      <c r="E27" t="s">
        <v>592</v>
      </c>
      <c r="F27">
        <v>1420</v>
      </c>
      <c r="G27">
        <v>1425</v>
      </c>
      <c r="H27">
        <v>1419</v>
      </c>
      <c r="I27">
        <v>1425</v>
      </c>
      <c r="J27">
        <v>18400</v>
      </c>
    </row>
    <row r="28" spans="4:10">
      <c r="D28" t="s">
        <v>626</v>
      </c>
      <c r="E28" t="s">
        <v>593</v>
      </c>
      <c r="F28">
        <v>1425</v>
      </c>
      <c r="G28">
        <v>1426</v>
      </c>
      <c r="H28">
        <v>1421</v>
      </c>
      <c r="I28">
        <v>1421</v>
      </c>
      <c r="J28">
        <v>9700</v>
      </c>
    </row>
    <row r="29" spans="4:10">
      <c r="D29" t="s">
        <v>626</v>
      </c>
      <c r="E29" t="s">
        <v>594</v>
      </c>
      <c r="F29">
        <v>1422</v>
      </c>
      <c r="G29">
        <v>1424</v>
      </c>
      <c r="H29">
        <v>1420</v>
      </c>
      <c r="I29">
        <v>1423</v>
      </c>
      <c r="J29">
        <v>10000</v>
      </c>
    </row>
    <row r="30" spans="4:10">
      <c r="D30" t="s">
        <v>626</v>
      </c>
      <c r="E30" t="s">
        <v>595</v>
      </c>
      <c r="F30">
        <v>1423</v>
      </c>
      <c r="G30">
        <v>1431</v>
      </c>
      <c r="H30">
        <v>1419</v>
      </c>
      <c r="I30">
        <v>1429</v>
      </c>
      <c r="J30">
        <v>24000</v>
      </c>
    </row>
    <row r="31" spans="4:10">
      <c r="D31" t="s">
        <v>626</v>
      </c>
      <c r="E31" t="s">
        <v>596</v>
      </c>
      <c r="F31">
        <v>1428</v>
      </c>
      <c r="G31">
        <v>1432</v>
      </c>
      <c r="H31">
        <v>1421</v>
      </c>
      <c r="I31">
        <v>1422</v>
      </c>
      <c r="J31">
        <v>26900</v>
      </c>
    </row>
    <row r="32" spans="4:10">
      <c r="D32" t="s">
        <v>626</v>
      </c>
      <c r="E32" t="s">
        <v>597</v>
      </c>
      <c r="F32">
        <v>1422</v>
      </c>
      <c r="G32">
        <v>1423</v>
      </c>
      <c r="H32">
        <v>1417</v>
      </c>
      <c r="I32">
        <v>1417</v>
      </c>
      <c r="J32">
        <v>11000</v>
      </c>
    </row>
    <row r="33" spans="4:10">
      <c r="D33" t="s">
        <v>626</v>
      </c>
      <c r="E33" t="s">
        <v>598</v>
      </c>
      <c r="F33">
        <v>1417</v>
      </c>
      <c r="G33">
        <v>1417</v>
      </c>
      <c r="H33">
        <v>1408</v>
      </c>
      <c r="I33">
        <v>1409</v>
      </c>
      <c r="J33">
        <v>48600</v>
      </c>
    </row>
    <row r="34" spans="4:10">
      <c r="D34" t="s">
        <v>626</v>
      </c>
      <c r="E34" t="s">
        <v>599</v>
      </c>
      <c r="F34">
        <v>1409</v>
      </c>
      <c r="G34">
        <v>1409</v>
      </c>
      <c r="H34">
        <v>1405</v>
      </c>
      <c r="I34">
        <v>1408</v>
      </c>
      <c r="J34">
        <v>20200</v>
      </c>
    </row>
    <row r="35" spans="4:10">
      <c r="D35" t="s">
        <v>626</v>
      </c>
      <c r="E35" t="s">
        <v>600</v>
      </c>
      <c r="F35">
        <v>1408</v>
      </c>
      <c r="G35">
        <v>1410</v>
      </c>
      <c r="H35">
        <v>1402</v>
      </c>
      <c r="I35">
        <v>1403</v>
      </c>
      <c r="J35">
        <v>15900</v>
      </c>
    </row>
    <row r="36" spans="4:10">
      <c r="D36" t="s">
        <v>626</v>
      </c>
      <c r="E36" t="s">
        <v>601</v>
      </c>
      <c r="F36">
        <v>1402</v>
      </c>
      <c r="G36">
        <v>1403</v>
      </c>
      <c r="H36">
        <v>1396</v>
      </c>
      <c r="I36">
        <v>1401</v>
      </c>
      <c r="J36">
        <v>64200</v>
      </c>
    </row>
    <row r="37" spans="4:10">
      <c r="D37" t="s">
        <v>626</v>
      </c>
      <c r="E37" t="s">
        <v>602</v>
      </c>
      <c r="F37">
        <v>1401</v>
      </c>
      <c r="G37">
        <v>1402</v>
      </c>
      <c r="H37">
        <v>1395</v>
      </c>
      <c r="I37">
        <v>1396</v>
      </c>
      <c r="J37">
        <v>18900</v>
      </c>
    </row>
    <row r="38" spans="4:10">
      <c r="D38" t="s">
        <v>626</v>
      </c>
      <c r="E38" t="s">
        <v>603</v>
      </c>
      <c r="F38">
        <v>1396</v>
      </c>
      <c r="G38">
        <v>1398</v>
      </c>
      <c r="H38">
        <v>1390</v>
      </c>
      <c r="I38">
        <v>1396</v>
      </c>
      <c r="J38">
        <v>30100</v>
      </c>
    </row>
    <row r="39" spans="4:10">
      <c r="D39" t="s">
        <v>626</v>
      </c>
      <c r="E39" t="s">
        <v>604</v>
      </c>
      <c r="F39">
        <v>1394</v>
      </c>
      <c r="G39">
        <v>1394</v>
      </c>
      <c r="H39">
        <v>1394</v>
      </c>
      <c r="I39">
        <v>1394</v>
      </c>
      <c r="J39">
        <v>1000</v>
      </c>
    </row>
    <row r="40" spans="4:10">
      <c r="D40" t="s">
        <v>626</v>
      </c>
      <c r="E40" t="s">
        <v>605</v>
      </c>
      <c r="F40">
        <v>1386</v>
      </c>
      <c r="G40">
        <v>1394</v>
      </c>
      <c r="H40">
        <v>1382</v>
      </c>
      <c r="I40">
        <v>1391</v>
      </c>
      <c r="J40">
        <v>106300</v>
      </c>
    </row>
    <row r="41" spans="4:10">
      <c r="D41" t="s">
        <v>626</v>
      </c>
      <c r="E41" t="s">
        <v>606</v>
      </c>
      <c r="F41">
        <v>1393</v>
      </c>
      <c r="G41">
        <v>1410</v>
      </c>
      <c r="H41">
        <v>1390</v>
      </c>
      <c r="I41">
        <v>1404</v>
      </c>
      <c r="J41">
        <v>50900</v>
      </c>
    </row>
    <row r="42" spans="4:10">
      <c r="D42" t="s">
        <v>626</v>
      </c>
      <c r="E42" t="s">
        <v>538</v>
      </c>
      <c r="F42">
        <v>1406</v>
      </c>
      <c r="G42">
        <v>1410</v>
      </c>
      <c r="H42">
        <v>1398</v>
      </c>
      <c r="I42">
        <v>1408</v>
      </c>
      <c r="J42">
        <v>31000</v>
      </c>
    </row>
    <row r="43" spans="4:10">
      <c r="D43" t="s">
        <v>626</v>
      </c>
      <c r="E43" t="s">
        <v>539</v>
      </c>
      <c r="F43">
        <v>1409</v>
      </c>
      <c r="G43">
        <v>1418</v>
      </c>
      <c r="H43">
        <v>1406</v>
      </c>
      <c r="I43">
        <v>1418</v>
      </c>
      <c r="J43">
        <v>25400</v>
      </c>
    </row>
    <row r="44" spans="4:10">
      <c r="D44" t="s">
        <v>626</v>
      </c>
      <c r="E44" t="s">
        <v>540</v>
      </c>
      <c r="F44">
        <v>1418</v>
      </c>
      <c r="G44">
        <v>1419</v>
      </c>
      <c r="H44">
        <v>1411</v>
      </c>
      <c r="I44">
        <v>1417</v>
      </c>
      <c r="J44">
        <v>19800</v>
      </c>
    </row>
    <row r="45" spans="4:10">
      <c r="D45" t="s">
        <v>626</v>
      </c>
      <c r="E45" t="s">
        <v>541</v>
      </c>
      <c r="F45">
        <v>1416</v>
      </c>
      <c r="G45">
        <v>1419</v>
      </c>
      <c r="H45">
        <v>1410</v>
      </c>
      <c r="I45">
        <v>1415</v>
      </c>
      <c r="J45">
        <v>26900</v>
      </c>
    </row>
    <row r="46" spans="4:10">
      <c r="D46" t="s">
        <v>626</v>
      </c>
      <c r="E46" t="s">
        <v>542</v>
      </c>
      <c r="F46">
        <v>1414</v>
      </c>
      <c r="G46">
        <v>1414</v>
      </c>
      <c r="H46">
        <v>1407</v>
      </c>
      <c r="I46">
        <v>1410</v>
      </c>
      <c r="J46">
        <v>13900</v>
      </c>
    </row>
    <row r="47" spans="4:10">
      <c r="D47" t="s">
        <v>626</v>
      </c>
      <c r="E47" t="s">
        <v>543</v>
      </c>
      <c r="F47">
        <v>1411</v>
      </c>
      <c r="G47">
        <v>1412</v>
      </c>
      <c r="H47">
        <v>1402</v>
      </c>
      <c r="I47">
        <v>1404</v>
      </c>
      <c r="J47">
        <v>18600</v>
      </c>
    </row>
    <row r="48" spans="4:10">
      <c r="D48" t="s">
        <v>626</v>
      </c>
      <c r="E48" t="s">
        <v>544</v>
      </c>
      <c r="F48">
        <v>1404</v>
      </c>
      <c r="G48">
        <v>1406</v>
      </c>
      <c r="H48">
        <v>1402</v>
      </c>
      <c r="I48">
        <v>1404</v>
      </c>
      <c r="J48">
        <v>6300</v>
      </c>
    </row>
    <row r="49" spans="4:10">
      <c r="D49" t="s">
        <v>626</v>
      </c>
      <c r="E49" t="s">
        <v>545</v>
      </c>
      <c r="F49">
        <v>1404</v>
      </c>
      <c r="G49">
        <v>1414</v>
      </c>
      <c r="H49">
        <v>1400</v>
      </c>
      <c r="I49">
        <v>1413</v>
      </c>
      <c r="J49">
        <v>20400</v>
      </c>
    </row>
    <row r="50" spans="4:10">
      <c r="D50" t="s">
        <v>626</v>
      </c>
      <c r="E50" t="s">
        <v>546</v>
      </c>
      <c r="F50">
        <v>1412</v>
      </c>
      <c r="G50">
        <v>1413</v>
      </c>
      <c r="H50">
        <v>1408</v>
      </c>
      <c r="I50">
        <v>1411</v>
      </c>
      <c r="J50">
        <v>6600</v>
      </c>
    </row>
    <row r="51" spans="4:10">
      <c r="D51" t="s">
        <v>626</v>
      </c>
      <c r="E51" t="s">
        <v>547</v>
      </c>
      <c r="F51">
        <v>1412</v>
      </c>
      <c r="G51">
        <v>1415</v>
      </c>
      <c r="H51">
        <v>1411</v>
      </c>
      <c r="I51">
        <v>1412</v>
      </c>
      <c r="J51">
        <v>11800</v>
      </c>
    </row>
    <row r="52" spans="4:10">
      <c r="D52" t="s">
        <v>626</v>
      </c>
      <c r="E52" t="s">
        <v>548</v>
      </c>
      <c r="F52">
        <v>1411</v>
      </c>
      <c r="G52">
        <v>1411</v>
      </c>
      <c r="H52">
        <v>1402</v>
      </c>
      <c r="I52">
        <v>1405</v>
      </c>
      <c r="J52">
        <v>14900</v>
      </c>
    </row>
    <row r="53" spans="4:10">
      <c r="D53" t="s">
        <v>626</v>
      </c>
      <c r="E53" t="s">
        <v>549</v>
      </c>
      <c r="F53">
        <v>1406</v>
      </c>
      <c r="G53">
        <v>1407</v>
      </c>
      <c r="H53">
        <v>1403</v>
      </c>
      <c r="I53">
        <v>1406</v>
      </c>
      <c r="J53">
        <v>12000</v>
      </c>
    </row>
    <row r="54" spans="4:10">
      <c r="D54" t="s">
        <v>626</v>
      </c>
      <c r="E54" t="s">
        <v>550</v>
      </c>
      <c r="F54">
        <v>1406</v>
      </c>
      <c r="G54">
        <v>1406</v>
      </c>
      <c r="H54">
        <v>1402</v>
      </c>
      <c r="I54">
        <v>1404</v>
      </c>
      <c r="J54">
        <v>8100</v>
      </c>
    </row>
    <row r="55" spans="4:10">
      <c r="D55" t="s">
        <v>626</v>
      </c>
      <c r="E55" t="s">
        <v>551</v>
      </c>
      <c r="F55">
        <v>1405</v>
      </c>
      <c r="G55">
        <v>1412</v>
      </c>
      <c r="H55">
        <v>1404</v>
      </c>
      <c r="I55">
        <v>1411</v>
      </c>
      <c r="J55">
        <v>21100</v>
      </c>
    </row>
    <row r="56" spans="4:10">
      <c r="D56" t="s">
        <v>626</v>
      </c>
      <c r="E56" t="s">
        <v>552</v>
      </c>
      <c r="F56">
        <v>1412</v>
      </c>
      <c r="G56">
        <v>1412</v>
      </c>
      <c r="H56">
        <v>1407</v>
      </c>
      <c r="I56">
        <v>1408</v>
      </c>
      <c r="J56">
        <v>9500</v>
      </c>
    </row>
    <row r="57" spans="4:10">
      <c r="D57" t="s">
        <v>626</v>
      </c>
      <c r="E57" t="s">
        <v>553</v>
      </c>
      <c r="F57">
        <v>1408</v>
      </c>
      <c r="G57">
        <v>1410</v>
      </c>
      <c r="H57">
        <v>1403</v>
      </c>
      <c r="I57">
        <v>1405</v>
      </c>
      <c r="J57">
        <v>13900</v>
      </c>
    </row>
    <row r="58" spans="4:10">
      <c r="D58" t="s">
        <v>626</v>
      </c>
      <c r="E58" t="s">
        <v>554</v>
      </c>
      <c r="F58">
        <v>1404</v>
      </c>
      <c r="G58">
        <v>1406</v>
      </c>
      <c r="H58">
        <v>1402</v>
      </c>
      <c r="I58">
        <v>1402</v>
      </c>
      <c r="J58">
        <v>17900</v>
      </c>
    </row>
    <row r="59" spans="4:10">
      <c r="D59" t="s">
        <v>626</v>
      </c>
      <c r="E59" t="s">
        <v>555</v>
      </c>
      <c r="F59">
        <v>1402</v>
      </c>
      <c r="G59">
        <v>1402</v>
      </c>
      <c r="H59">
        <v>1399</v>
      </c>
      <c r="I59">
        <v>1402</v>
      </c>
      <c r="J59">
        <v>17000</v>
      </c>
    </row>
    <row r="60" spans="4:10">
      <c r="D60" t="s">
        <v>626</v>
      </c>
      <c r="E60" t="s">
        <v>556</v>
      </c>
      <c r="F60">
        <v>1402</v>
      </c>
      <c r="G60">
        <v>1404</v>
      </c>
      <c r="H60">
        <v>1399</v>
      </c>
      <c r="I60">
        <v>1400</v>
      </c>
      <c r="J60">
        <v>8200</v>
      </c>
    </row>
    <row r="61" spans="4:10">
      <c r="D61" t="s">
        <v>626</v>
      </c>
      <c r="E61" t="s">
        <v>557</v>
      </c>
      <c r="F61">
        <v>1400</v>
      </c>
      <c r="G61">
        <v>1402</v>
      </c>
      <c r="H61">
        <v>1398</v>
      </c>
      <c r="I61">
        <v>1400</v>
      </c>
      <c r="J61">
        <v>8500</v>
      </c>
    </row>
    <row r="62" spans="4:10">
      <c r="D62" t="s">
        <v>626</v>
      </c>
      <c r="E62" t="s">
        <v>558</v>
      </c>
      <c r="F62">
        <v>1399</v>
      </c>
      <c r="G62">
        <v>1404</v>
      </c>
      <c r="H62">
        <v>1399</v>
      </c>
      <c r="I62">
        <v>1399</v>
      </c>
      <c r="J62">
        <v>9600</v>
      </c>
    </row>
    <row r="63" spans="4:10">
      <c r="D63" t="s">
        <v>626</v>
      </c>
      <c r="E63" t="s">
        <v>559</v>
      </c>
      <c r="F63">
        <v>1400</v>
      </c>
      <c r="G63">
        <v>1402</v>
      </c>
      <c r="H63">
        <v>1395</v>
      </c>
      <c r="I63">
        <v>1395</v>
      </c>
      <c r="J63">
        <v>36700</v>
      </c>
    </row>
    <row r="64" spans="4:10">
      <c r="D64" t="s">
        <v>626</v>
      </c>
      <c r="E64" t="s">
        <v>560</v>
      </c>
      <c r="F64">
        <v>1395</v>
      </c>
      <c r="G64">
        <v>1398</v>
      </c>
      <c r="H64">
        <v>1394</v>
      </c>
      <c r="I64">
        <v>1394</v>
      </c>
      <c r="J64">
        <v>14100</v>
      </c>
    </row>
    <row r="65" spans="4:10">
      <c r="D65" t="s">
        <v>626</v>
      </c>
      <c r="E65" t="s">
        <v>561</v>
      </c>
      <c r="F65">
        <v>1394</v>
      </c>
      <c r="G65">
        <v>1396</v>
      </c>
      <c r="H65">
        <v>1390</v>
      </c>
      <c r="I65">
        <v>1392</v>
      </c>
      <c r="J65">
        <v>17800</v>
      </c>
    </row>
    <row r="66" spans="4:10">
      <c r="D66" t="s">
        <v>626</v>
      </c>
      <c r="E66" t="s">
        <v>562</v>
      </c>
      <c r="F66">
        <v>1392</v>
      </c>
      <c r="G66">
        <v>1393</v>
      </c>
      <c r="H66">
        <v>1387</v>
      </c>
      <c r="I66">
        <v>1387</v>
      </c>
      <c r="J66">
        <v>18600</v>
      </c>
    </row>
    <row r="67" spans="4:10">
      <c r="D67" t="s">
        <v>626</v>
      </c>
      <c r="E67" t="s">
        <v>563</v>
      </c>
      <c r="F67">
        <v>1389</v>
      </c>
      <c r="G67">
        <v>1391</v>
      </c>
      <c r="H67">
        <v>1385</v>
      </c>
      <c r="I67">
        <v>1390</v>
      </c>
      <c r="J67">
        <v>21900</v>
      </c>
    </row>
    <row r="68" spans="4:10">
      <c r="D68" t="s">
        <v>626</v>
      </c>
      <c r="E68" t="s">
        <v>564</v>
      </c>
      <c r="F68">
        <v>1389</v>
      </c>
      <c r="G68">
        <v>1394</v>
      </c>
      <c r="H68">
        <v>1388</v>
      </c>
      <c r="I68">
        <v>1391</v>
      </c>
      <c r="J68">
        <v>19000</v>
      </c>
    </row>
    <row r="69" spans="4:10">
      <c r="D69" t="s">
        <v>626</v>
      </c>
      <c r="E69" t="s">
        <v>565</v>
      </c>
      <c r="F69">
        <v>1390</v>
      </c>
      <c r="G69">
        <v>1393</v>
      </c>
      <c r="H69">
        <v>1386</v>
      </c>
      <c r="I69">
        <v>1389</v>
      </c>
      <c r="J69">
        <v>21700</v>
      </c>
    </row>
    <row r="70" spans="4:10">
      <c r="D70" t="s">
        <v>626</v>
      </c>
      <c r="E70" t="s">
        <v>566</v>
      </c>
      <c r="F70">
        <v>1389</v>
      </c>
      <c r="G70">
        <v>1393</v>
      </c>
      <c r="H70">
        <v>1388</v>
      </c>
      <c r="I70">
        <v>1389</v>
      </c>
      <c r="J70">
        <v>29600</v>
      </c>
    </row>
    <row r="71" spans="4:10">
      <c r="D71" t="s">
        <v>626</v>
      </c>
      <c r="E71" t="s">
        <v>567</v>
      </c>
      <c r="F71">
        <v>1389</v>
      </c>
      <c r="G71">
        <v>1392</v>
      </c>
      <c r="H71">
        <v>1384</v>
      </c>
      <c r="I71">
        <v>1386</v>
      </c>
      <c r="J71">
        <v>33600</v>
      </c>
    </row>
    <row r="72" spans="4:10">
      <c r="D72" t="s">
        <v>626</v>
      </c>
      <c r="E72" t="s">
        <v>568</v>
      </c>
      <c r="F72">
        <v>1387</v>
      </c>
      <c r="G72">
        <v>1391</v>
      </c>
      <c r="H72">
        <v>1382</v>
      </c>
      <c r="I72">
        <v>1390</v>
      </c>
      <c r="J72">
        <v>35800</v>
      </c>
    </row>
    <row r="73" spans="4:10">
      <c r="D73" t="s">
        <v>626</v>
      </c>
      <c r="E73" t="s">
        <v>569</v>
      </c>
      <c r="F73">
        <v>1390</v>
      </c>
      <c r="G73">
        <v>1394</v>
      </c>
      <c r="H73">
        <v>1387</v>
      </c>
      <c r="I73">
        <v>1391</v>
      </c>
      <c r="J73">
        <v>21500</v>
      </c>
    </row>
    <row r="74" spans="4:10">
      <c r="D74" t="s">
        <v>626</v>
      </c>
      <c r="E74" t="s">
        <v>570</v>
      </c>
      <c r="F74">
        <v>1391</v>
      </c>
      <c r="G74">
        <v>1394</v>
      </c>
      <c r="H74">
        <v>1383</v>
      </c>
      <c r="I74">
        <v>1390</v>
      </c>
      <c r="J74">
        <v>40800</v>
      </c>
    </row>
    <row r="75" spans="4:10">
      <c r="D75" t="s">
        <v>626</v>
      </c>
      <c r="E75" t="s">
        <v>571</v>
      </c>
      <c r="F75" t="s">
        <v>35</v>
      </c>
      <c r="G75" t="s">
        <v>35</v>
      </c>
      <c r="H75" t="s">
        <v>35</v>
      </c>
      <c r="I75" t="s">
        <v>35</v>
      </c>
      <c r="J75">
        <v>0</v>
      </c>
    </row>
    <row r="76" spans="4:10">
      <c r="D76" t="s">
        <v>626</v>
      </c>
      <c r="E76" t="s">
        <v>572</v>
      </c>
      <c r="F76">
        <v>1391</v>
      </c>
      <c r="G76">
        <v>1391</v>
      </c>
      <c r="H76">
        <v>1391</v>
      </c>
      <c r="I76">
        <v>1391</v>
      </c>
      <c r="J76">
        <v>70800</v>
      </c>
    </row>
    <row r="77" spans="4:10">
      <c r="D77" t="s">
        <v>627</v>
      </c>
      <c r="E77" t="s">
        <v>574</v>
      </c>
      <c r="F77">
        <v>1361</v>
      </c>
      <c r="G77">
        <v>1398</v>
      </c>
      <c r="H77">
        <v>1341</v>
      </c>
      <c r="I77">
        <v>1397</v>
      </c>
      <c r="J77">
        <v>349700</v>
      </c>
    </row>
    <row r="78" spans="4:10">
      <c r="D78" t="s">
        <v>627</v>
      </c>
      <c r="E78" t="s">
        <v>575</v>
      </c>
      <c r="F78">
        <v>1395</v>
      </c>
      <c r="G78">
        <v>1406</v>
      </c>
      <c r="H78">
        <v>1380</v>
      </c>
      <c r="I78">
        <v>1406</v>
      </c>
      <c r="J78">
        <v>98400</v>
      </c>
    </row>
    <row r="79" spans="4:10">
      <c r="D79" t="s">
        <v>627</v>
      </c>
      <c r="E79" t="s">
        <v>576</v>
      </c>
      <c r="F79">
        <v>1403</v>
      </c>
      <c r="G79">
        <v>1406</v>
      </c>
      <c r="H79">
        <v>1376</v>
      </c>
      <c r="I79">
        <v>1376</v>
      </c>
      <c r="J79">
        <v>63800</v>
      </c>
    </row>
    <row r="80" spans="4:10">
      <c r="D80" t="s">
        <v>627</v>
      </c>
      <c r="E80" t="s">
        <v>577</v>
      </c>
      <c r="F80">
        <v>1376</v>
      </c>
      <c r="G80">
        <v>1389</v>
      </c>
      <c r="H80">
        <v>1368</v>
      </c>
      <c r="I80">
        <v>1379</v>
      </c>
      <c r="J80">
        <v>61300</v>
      </c>
    </row>
    <row r="81" spans="4:10">
      <c r="D81" t="s">
        <v>627</v>
      </c>
      <c r="E81" t="s">
        <v>578</v>
      </c>
      <c r="F81">
        <v>1379</v>
      </c>
      <c r="G81">
        <v>1387</v>
      </c>
      <c r="H81">
        <v>1364</v>
      </c>
      <c r="I81">
        <v>1366</v>
      </c>
      <c r="J81">
        <v>64100</v>
      </c>
    </row>
    <row r="82" spans="4:10">
      <c r="D82" t="s">
        <v>627</v>
      </c>
      <c r="E82" t="s">
        <v>579</v>
      </c>
      <c r="F82">
        <v>1365</v>
      </c>
      <c r="G82">
        <v>1370</v>
      </c>
      <c r="H82">
        <v>1347</v>
      </c>
      <c r="I82">
        <v>1358</v>
      </c>
      <c r="J82">
        <v>65700</v>
      </c>
    </row>
    <row r="83" spans="4:10">
      <c r="D83" t="s">
        <v>627</v>
      </c>
      <c r="E83" t="s">
        <v>580</v>
      </c>
      <c r="F83">
        <v>1356</v>
      </c>
      <c r="G83">
        <v>1363</v>
      </c>
      <c r="H83">
        <v>1344</v>
      </c>
      <c r="I83">
        <v>1352</v>
      </c>
      <c r="J83">
        <v>43900</v>
      </c>
    </row>
    <row r="84" spans="4:10">
      <c r="D84" t="s">
        <v>627</v>
      </c>
      <c r="E84" t="s">
        <v>581</v>
      </c>
      <c r="F84">
        <v>1352</v>
      </c>
      <c r="G84">
        <v>1369</v>
      </c>
      <c r="H84">
        <v>1349</v>
      </c>
      <c r="I84">
        <v>1363</v>
      </c>
      <c r="J84">
        <v>33500</v>
      </c>
    </row>
    <row r="85" spans="4:10">
      <c r="D85" t="s">
        <v>627</v>
      </c>
      <c r="E85" t="s">
        <v>582</v>
      </c>
      <c r="F85">
        <v>1365</v>
      </c>
      <c r="G85">
        <v>1367</v>
      </c>
      <c r="H85">
        <v>1352</v>
      </c>
      <c r="I85">
        <v>1353</v>
      </c>
      <c r="J85">
        <v>23800</v>
      </c>
    </row>
    <row r="86" spans="4:10">
      <c r="D86" t="s">
        <v>627</v>
      </c>
      <c r="E86" t="s">
        <v>583</v>
      </c>
      <c r="F86">
        <v>1353</v>
      </c>
      <c r="G86">
        <v>1356</v>
      </c>
      <c r="H86">
        <v>1345</v>
      </c>
      <c r="I86">
        <v>1353</v>
      </c>
      <c r="J86">
        <v>25500</v>
      </c>
    </row>
    <row r="87" spans="4:10">
      <c r="D87" t="s">
        <v>627</v>
      </c>
      <c r="E87" t="s">
        <v>584</v>
      </c>
      <c r="F87">
        <v>1351</v>
      </c>
      <c r="G87">
        <v>1356</v>
      </c>
      <c r="H87">
        <v>1342</v>
      </c>
      <c r="I87">
        <v>1345</v>
      </c>
      <c r="J87">
        <v>26000</v>
      </c>
    </row>
    <row r="88" spans="4:10">
      <c r="D88" t="s">
        <v>627</v>
      </c>
      <c r="E88" t="s">
        <v>585</v>
      </c>
      <c r="F88">
        <v>1345</v>
      </c>
      <c r="G88">
        <v>1345</v>
      </c>
      <c r="H88">
        <v>1324</v>
      </c>
      <c r="I88">
        <v>1328</v>
      </c>
      <c r="J88">
        <v>68200</v>
      </c>
    </row>
    <row r="89" spans="4:10">
      <c r="D89" t="s">
        <v>627</v>
      </c>
      <c r="E89" t="s">
        <v>586</v>
      </c>
      <c r="F89">
        <v>1328</v>
      </c>
      <c r="G89">
        <v>1331</v>
      </c>
      <c r="H89">
        <v>1316</v>
      </c>
      <c r="I89">
        <v>1321</v>
      </c>
      <c r="J89">
        <v>77600</v>
      </c>
    </row>
    <row r="90" spans="4:10">
      <c r="D90" t="s">
        <v>627</v>
      </c>
      <c r="E90" t="s">
        <v>587</v>
      </c>
      <c r="F90">
        <v>1322</v>
      </c>
      <c r="G90">
        <v>1335</v>
      </c>
      <c r="H90">
        <v>1315</v>
      </c>
      <c r="I90">
        <v>1316</v>
      </c>
      <c r="J90">
        <v>56000</v>
      </c>
    </row>
    <row r="91" spans="4:10">
      <c r="D91" t="s">
        <v>627</v>
      </c>
      <c r="E91" t="s">
        <v>588</v>
      </c>
      <c r="F91">
        <v>1317</v>
      </c>
      <c r="G91">
        <v>1320</v>
      </c>
      <c r="H91">
        <v>1305</v>
      </c>
      <c r="I91">
        <v>1307</v>
      </c>
      <c r="J91">
        <v>62800</v>
      </c>
    </row>
    <row r="92" spans="4:10">
      <c r="D92" t="s">
        <v>627</v>
      </c>
      <c r="E92" t="s">
        <v>589</v>
      </c>
      <c r="F92">
        <v>1308</v>
      </c>
      <c r="G92">
        <v>1308</v>
      </c>
      <c r="H92">
        <v>1291</v>
      </c>
      <c r="I92">
        <v>1297</v>
      </c>
      <c r="J92">
        <v>88300</v>
      </c>
    </row>
    <row r="93" spans="4:10">
      <c r="D93" t="s">
        <v>627</v>
      </c>
      <c r="E93" t="s">
        <v>590</v>
      </c>
      <c r="F93">
        <v>1296</v>
      </c>
      <c r="G93">
        <v>1312</v>
      </c>
      <c r="H93">
        <v>1292</v>
      </c>
      <c r="I93">
        <v>1311</v>
      </c>
      <c r="J93">
        <v>80800</v>
      </c>
    </row>
    <row r="94" spans="4:10">
      <c r="D94" t="s">
        <v>627</v>
      </c>
      <c r="E94" t="s">
        <v>591</v>
      </c>
      <c r="F94">
        <v>1312</v>
      </c>
      <c r="G94">
        <v>1314</v>
      </c>
      <c r="H94">
        <v>1298</v>
      </c>
      <c r="I94">
        <v>1311</v>
      </c>
      <c r="J94">
        <v>45800</v>
      </c>
    </row>
    <row r="95" spans="4:10">
      <c r="D95" t="s">
        <v>627</v>
      </c>
      <c r="E95" t="s">
        <v>592</v>
      </c>
      <c r="F95">
        <v>1312</v>
      </c>
      <c r="G95">
        <v>1314</v>
      </c>
      <c r="H95">
        <v>1305</v>
      </c>
      <c r="I95">
        <v>1313</v>
      </c>
      <c r="J95">
        <v>32100</v>
      </c>
    </row>
    <row r="96" spans="4:10">
      <c r="D96" t="s">
        <v>627</v>
      </c>
      <c r="E96" t="s">
        <v>593</v>
      </c>
      <c r="F96">
        <v>1314</v>
      </c>
      <c r="G96">
        <v>1315</v>
      </c>
      <c r="H96">
        <v>1306</v>
      </c>
      <c r="I96">
        <v>1306</v>
      </c>
      <c r="J96">
        <v>23400</v>
      </c>
    </row>
    <row r="97" spans="4:10">
      <c r="D97" t="s">
        <v>627</v>
      </c>
      <c r="E97" t="s">
        <v>594</v>
      </c>
      <c r="F97">
        <v>1306</v>
      </c>
      <c r="G97">
        <v>1306</v>
      </c>
      <c r="H97">
        <v>1293</v>
      </c>
      <c r="I97">
        <v>1297</v>
      </c>
      <c r="J97">
        <v>45500</v>
      </c>
    </row>
    <row r="98" spans="4:10">
      <c r="D98" t="s">
        <v>627</v>
      </c>
      <c r="E98" t="s">
        <v>595</v>
      </c>
      <c r="F98">
        <v>1294</v>
      </c>
      <c r="G98">
        <v>1299</v>
      </c>
      <c r="H98">
        <v>1279</v>
      </c>
      <c r="I98">
        <v>1282</v>
      </c>
      <c r="J98">
        <v>52700</v>
      </c>
    </row>
    <row r="99" spans="4:10">
      <c r="D99" t="s">
        <v>627</v>
      </c>
      <c r="E99" t="s">
        <v>596</v>
      </c>
      <c r="F99">
        <v>1282</v>
      </c>
      <c r="G99">
        <v>1284</v>
      </c>
      <c r="H99">
        <v>1267</v>
      </c>
      <c r="I99">
        <v>1270</v>
      </c>
      <c r="J99">
        <v>73700</v>
      </c>
    </row>
    <row r="100" spans="4:10">
      <c r="D100" t="s">
        <v>627</v>
      </c>
      <c r="E100" t="s">
        <v>597</v>
      </c>
      <c r="F100">
        <v>1268</v>
      </c>
      <c r="G100">
        <v>1271</v>
      </c>
      <c r="H100">
        <v>1251</v>
      </c>
      <c r="I100">
        <v>1260</v>
      </c>
      <c r="J100">
        <v>144200</v>
      </c>
    </row>
    <row r="101" spans="4:10">
      <c r="D101" t="s">
        <v>627</v>
      </c>
      <c r="E101" t="s">
        <v>598</v>
      </c>
      <c r="F101">
        <v>1259</v>
      </c>
      <c r="G101">
        <v>1270</v>
      </c>
      <c r="H101">
        <v>1253</v>
      </c>
      <c r="I101">
        <v>1263</v>
      </c>
      <c r="J101">
        <v>69100</v>
      </c>
    </row>
    <row r="102" spans="4:10">
      <c r="D102" t="s">
        <v>627</v>
      </c>
      <c r="E102" t="s">
        <v>599</v>
      </c>
      <c r="F102">
        <v>1262</v>
      </c>
      <c r="G102">
        <v>1267</v>
      </c>
      <c r="H102">
        <v>1258</v>
      </c>
      <c r="I102">
        <v>1263</v>
      </c>
      <c r="J102">
        <v>45400</v>
      </c>
    </row>
    <row r="103" spans="4:10">
      <c r="D103" t="s">
        <v>627</v>
      </c>
      <c r="E103" t="s">
        <v>600</v>
      </c>
      <c r="F103">
        <v>1263</v>
      </c>
      <c r="G103">
        <v>1266</v>
      </c>
      <c r="H103">
        <v>1256</v>
      </c>
      <c r="I103">
        <v>1261</v>
      </c>
      <c r="J103">
        <v>55600</v>
      </c>
    </row>
    <row r="104" spans="4:10">
      <c r="D104" t="s">
        <v>627</v>
      </c>
      <c r="E104" t="s">
        <v>601</v>
      </c>
      <c r="F104">
        <v>1261</v>
      </c>
      <c r="G104">
        <v>1264</v>
      </c>
      <c r="H104">
        <v>1254</v>
      </c>
      <c r="I104">
        <v>1257</v>
      </c>
      <c r="J104">
        <v>53500</v>
      </c>
    </row>
    <row r="105" spans="4:10">
      <c r="D105" t="s">
        <v>627</v>
      </c>
      <c r="E105" t="s">
        <v>602</v>
      </c>
      <c r="F105">
        <v>1256</v>
      </c>
      <c r="G105">
        <v>1267</v>
      </c>
      <c r="H105">
        <v>1254</v>
      </c>
      <c r="I105">
        <v>1264</v>
      </c>
      <c r="J105">
        <v>48200</v>
      </c>
    </row>
    <row r="106" spans="4:10">
      <c r="D106" t="s">
        <v>627</v>
      </c>
      <c r="E106" t="s">
        <v>603</v>
      </c>
      <c r="F106">
        <v>1264</v>
      </c>
      <c r="G106">
        <v>1280</v>
      </c>
      <c r="H106">
        <v>1264</v>
      </c>
      <c r="I106">
        <v>1276</v>
      </c>
      <c r="J106">
        <v>43400</v>
      </c>
    </row>
    <row r="107" spans="4:10">
      <c r="D107" t="s">
        <v>627</v>
      </c>
      <c r="E107" t="s">
        <v>604</v>
      </c>
      <c r="F107">
        <v>1275</v>
      </c>
      <c r="G107">
        <v>1275</v>
      </c>
      <c r="H107">
        <v>1275</v>
      </c>
      <c r="I107">
        <v>1275</v>
      </c>
      <c r="J107">
        <v>2200</v>
      </c>
    </row>
    <row r="108" spans="4:10">
      <c r="D108" t="s">
        <v>627</v>
      </c>
      <c r="E108" t="s">
        <v>605</v>
      </c>
      <c r="F108">
        <v>1251</v>
      </c>
      <c r="G108">
        <v>1257</v>
      </c>
      <c r="H108">
        <v>1242</v>
      </c>
      <c r="I108">
        <v>1253</v>
      </c>
      <c r="J108">
        <v>130100</v>
      </c>
    </row>
    <row r="109" spans="4:10">
      <c r="D109" t="s">
        <v>627</v>
      </c>
      <c r="E109" t="s">
        <v>606</v>
      </c>
      <c r="F109">
        <v>1254</v>
      </c>
      <c r="G109">
        <v>1259</v>
      </c>
      <c r="H109">
        <v>1242</v>
      </c>
      <c r="I109">
        <v>1245</v>
      </c>
      <c r="J109">
        <v>60300</v>
      </c>
    </row>
    <row r="110" spans="4:10">
      <c r="D110" t="s">
        <v>627</v>
      </c>
      <c r="E110" t="s">
        <v>538</v>
      </c>
      <c r="F110">
        <v>1244</v>
      </c>
      <c r="G110">
        <v>1244</v>
      </c>
      <c r="H110">
        <v>1233</v>
      </c>
      <c r="I110">
        <v>1239</v>
      </c>
      <c r="J110">
        <v>66800</v>
      </c>
    </row>
    <row r="111" spans="4:10">
      <c r="D111" t="s">
        <v>627</v>
      </c>
      <c r="E111" t="s">
        <v>539</v>
      </c>
      <c r="F111">
        <v>1240</v>
      </c>
      <c r="G111">
        <v>1242</v>
      </c>
      <c r="H111">
        <v>1230</v>
      </c>
      <c r="I111">
        <v>1231</v>
      </c>
      <c r="J111">
        <v>68100</v>
      </c>
    </row>
    <row r="112" spans="4:10">
      <c r="D112" t="s">
        <v>627</v>
      </c>
      <c r="E112" t="s">
        <v>540</v>
      </c>
      <c r="F112">
        <v>1231</v>
      </c>
      <c r="G112">
        <v>1234</v>
      </c>
      <c r="H112">
        <v>1219</v>
      </c>
      <c r="I112">
        <v>1224</v>
      </c>
      <c r="J112">
        <v>111400</v>
      </c>
    </row>
    <row r="113" spans="4:10">
      <c r="D113" t="s">
        <v>627</v>
      </c>
      <c r="E113" t="s">
        <v>541</v>
      </c>
      <c r="F113">
        <v>1225</v>
      </c>
      <c r="G113">
        <v>1229</v>
      </c>
      <c r="H113">
        <v>1223</v>
      </c>
      <c r="I113">
        <v>1226</v>
      </c>
      <c r="J113">
        <v>59700</v>
      </c>
    </row>
    <row r="114" spans="4:10">
      <c r="D114" t="s">
        <v>627</v>
      </c>
      <c r="E114" t="s">
        <v>542</v>
      </c>
      <c r="F114">
        <v>1226</v>
      </c>
      <c r="G114">
        <v>1226</v>
      </c>
      <c r="H114">
        <v>1217</v>
      </c>
      <c r="I114">
        <v>1220</v>
      </c>
      <c r="J114">
        <v>53900</v>
      </c>
    </row>
    <row r="115" spans="4:10">
      <c r="D115" t="s">
        <v>627</v>
      </c>
      <c r="E115" t="s">
        <v>543</v>
      </c>
      <c r="F115">
        <v>1219</v>
      </c>
      <c r="G115">
        <v>1222</v>
      </c>
      <c r="H115">
        <v>1210</v>
      </c>
      <c r="I115">
        <v>1222</v>
      </c>
      <c r="J115">
        <v>92100</v>
      </c>
    </row>
    <row r="116" spans="4:10">
      <c r="D116" t="s">
        <v>627</v>
      </c>
      <c r="E116" t="s">
        <v>544</v>
      </c>
      <c r="F116">
        <v>1221</v>
      </c>
      <c r="G116">
        <v>1224</v>
      </c>
      <c r="H116">
        <v>1213</v>
      </c>
      <c r="I116">
        <v>1218</v>
      </c>
      <c r="J116">
        <v>51900</v>
      </c>
    </row>
    <row r="117" spans="4:10">
      <c r="D117" t="s">
        <v>627</v>
      </c>
      <c r="E117" t="s">
        <v>545</v>
      </c>
      <c r="F117">
        <v>1218</v>
      </c>
      <c r="G117">
        <v>1223</v>
      </c>
      <c r="H117">
        <v>1215</v>
      </c>
      <c r="I117">
        <v>1222</v>
      </c>
      <c r="J117">
        <v>54700</v>
      </c>
    </row>
    <row r="118" spans="4:10">
      <c r="D118" t="s">
        <v>627</v>
      </c>
      <c r="E118" t="s">
        <v>546</v>
      </c>
      <c r="F118">
        <v>1224</v>
      </c>
      <c r="G118">
        <v>1234</v>
      </c>
      <c r="H118">
        <v>1222</v>
      </c>
      <c r="I118">
        <v>1229</v>
      </c>
      <c r="J118">
        <v>70900</v>
      </c>
    </row>
    <row r="119" spans="4:10">
      <c r="D119" t="s">
        <v>627</v>
      </c>
      <c r="E119" t="s">
        <v>547</v>
      </c>
      <c r="F119">
        <v>1229</v>
      </c>
      <c r="G119">
        <v>1231</v>
      </c>
      <c r="H119">
        <v>1221</v>
      </c>
      <c r="I119">
        <v>1222</v>
      </c>
      <c r="J119">
        <v>42500</v>
      </c>
    </row>
    <row r="120" spans="4:10">
      <c r="D120" t="s">
        <v>627</v>
      </c>
      <c r="E120" t="s">
        <v>548</v>
      </c>
      <c r="F120">
        <v>1221</v>
      </c>
      <c r="G120">
        <v>1223</v>
      </c>
      <c r="H120">
        <v>1215</v>
      </c>
      <c r="I120">
        <v>1216</v>
      </c>
      <c r="J120">
        <v>34600</v>
      </c>
    </row>
    <row r="121" spans="4:10">
      <c r="D121" t="s">
        <v>627</v>
      </c>
      <c r="E121" t="s">
        <v>549</v>
      </c>
      <c r="F121">
        <v>1218</v>
      </c>
      <c r="G121">
        <v>1224</v>
      </c>
      <c r="H121">
        <v>1215</v>
      </c>
      <c r="I121">
        <v>1215</v>
      </c>
      <c r="J121">
        <v>41300</v>
      </c>
    </row>
    <row r="122" spans="4:10">
      <c r="D122" t="s">
        <v>627</v>
      </c>
      <c r="E122" t="s">
        <v>550</v>
      </c>
      <c r="F122">
        <v>1215</v>
      </c>
      <c r="G122">
        <v>1216</v>
      </c>
      <c r="H122">
        <v>1208</v>
      </c>
      <c r="I122">
        <v>1216</v>
      </c>
      <c r="J122">
        <v>43300</v>
      </c>
    </row>
    <row r="123" spans="4:10">
      <c r="D123" t="s">
        <v>627</v>
      </c>
      <c r="E123" t="s">
        <v>551</v>
      </c>
      <c r="F123">
        <v>1217</v>
      </c>
      <c r="G123">
        <v>1225</v>
      </c>
      <c r="H123">
        <v>1214</v>
      </c>
      <c r="I123">
        <v>1225</v>
      </c>
      <c r="J123">
        <v>37500</v>
      </c>
    </row>
    <row r="124" spans="4:10">
      <c r="D124" t="s">
        <v>627</v>
      </c>
      <c r="E124" t="s">
        <v>552</v>
      </c>
      <c r="F124">
        <v>1226</v>
      </c>
      <c r="G124">
        <v>1240</v>
      </c>
      <c r="H124">
        <v>1226</v>
      </c>
      <c r="I124">
        <v>1235</v>
      </c>
      <c r="J124">
        <v>41900</v>
      </c>
    </row>
    <row r="125" spans="4:10">
      <c r="D125" t="s">
        <v>627</v>
      </c>
      <c r="E125" t="s">
        <v>553</v>
      </c>
      <c r="F125">
        <v>1236</v>
      </c>
      <c r="G125">
        <v>1253</v>
      </c>
      <c r="H125">
        <v>1236</v>
      </c>
      <c r="I125">
        <v>1252</v>
      </c>
      <c r="J125">
        <v>55400</v>
      </c>
    </row>
    <row r="126" spans="4:10">
      <c r="D126" t="s">
        <v>627</v>
      </c>
      <c r="E126" t="s">
        <v>554</v>
      </c>
      <c r="F126">
        <v>1252</v>
      </c>
      <c r="G126">
        <v>1253</v>
      </c>
      <c r="H126">
        <v>1236</v>
      </c>
      <c r="I126">
        <v>1238</v>
      </c>
      <c r="J126">
        <v>59100</v>
      </c>
    </row>
    <row r="127" spans="4:10">
      <c r="D127" t="s">
        <v>627</v>
      </c>
      <c r="E127" t="s">
        <v>555</v>
      </c>
      <c r="F127">
        <v>1239</v>
      </c>
      <c r="G127">
        <v>1248</v>
      </c>
      <c r="H127">
        <v>1233</v>
      </c>
      <c r="I127">
        <v>1247</v>
      </c>
      <c r="J127">
        <v>20400</v>
      </c>
    </row>
    <row r="128" spans="4:10">
      <c r="D128" t="s">
        <v>627</v>
      </c>
      <c r="E128" t="s">
        <v>556</v>
      </c>
      <c r="F128">
        <v>1248</v>
      </c>
      <c r="G128">
        <v>1249</v>
      </c>
      <c r="H128">
        <v>1242</v>
      </c>
      <c r="I128">
        <v>1245</v>
      </c>
      <c r="J128">
        <v>16000</v>
      </c>
    </row>
    <row r="129" spans="4:10">
      <c r="D129" t="s">
        <v>627</v>
      </c>
      <c r="E129" t="s">
        <v>557</v>
      </c>
      <c r="F129">
        <v>1245</v>
      </c>
      <c r="G129">
        <v>1246</v>
      </c>
      <c r="H129">
        <v>1230</v>
      </c>
      <c r="I129">
        <v>1233</v>
      </c>
      <c r="J129">
        <v>26600</v>
      </c>
    </row>
    <row r="130" spans="4:10">
      <c r="D130" t="s">
        <v>627</v>
      </c>
      <c r="E130" t="s">
        <v>558</v>
      </c>
      <c r="F130">
        <v>1231</v>
      </c>
      <c r="G130">
        <v>1237</v>
      </c>
      <c r="H130">
        <v>1228</v>
      </c>
      <c r="I130">
        <v>1232</v>
      </c>
      <c r="J130">
        <v>22400</v>
      </c>
    </row>
    <row r="131" spans="4:10">
      <c r="D131" t="s">
        <v>627</v>
      </c>
      <c r="E131" t="s">
        <v>559</v>
      </c>
      <c r="F131">
        <v>1233</v>
      </c>
      <c r="G131">
        <v>1242</v>
      </c>
      <c r="H131">
        <v>1233</v>
      </c>
      <c r="I131">
        <v>1237</v>
      </c>
      <c r="J131">
        <v>19400</v>
      </c>
    </row>
    <row r="132" spans="4:10">
      <c r="D132" t="s">
        <v>627</v>
      </c>
      <c r="E132" t="s">
        <v>560</v>
      </c>
      <c r="F132">
        <v>1236</v>
      </c>
      <c r="G132">
        <v>1244</v>
      </c>
      <c r="H132">
        <v>1235</v>
      </c>
      <c r="I132">
        <v>1244</v>
      </c>
      <c r="J132">
        <v>14700</v>
      </c>
    </row>
    <row r="133" spans="4:10">
      <c r="D133" t="s">
        <v>627</v>
      </c>
      <c r="E133" t="s">
        <v>561</v>
      </c>
      <c r="F133">
        <v>1242</v>
      </c>
      <c r="G133">
        <v>1245</v>
      </c>
      <c r="H133">
        <v>1240</v>
      </c>
      <c r="I133">
        <v>1244</v>
      </c>
      <c r="J133">
        <v>14600</v>
      </c>
    </row>
    <row r="134" spans="4:10">
      <c r="D134" t="s">
        <v>627</v>
      </c>
      <c r="E134" t="s">
        <v>562</v>
      </c>
      <c r="F134">
        <v>1242</v>
      </c>
      <c r="G134">
        <v>1242</v>
      </c>
      <c r="H134">
        <v>1237</v>
      </c>
      <c r="I134">
        <v>1240</v>
      </c>
      <c r="J134">
        <v>11900</v>
      </c>
    </row>
    <row r="135" spans="4:10">
      <c r="D135" t="s">
        <v>627</v>
      </c>
      <c r="E135" t="s">
        <v>563</v>
      </c>
      <c r="F135">
        <v>1240</v>
      </c>
      <c r="G135">
        <v>1247</v>
      </c>
      <c r="H135">
        <v>1238</v>
      </c>
      <c r="I135">
        <v>1240</v>
      </c>
      <c r="J135">
        <v>15300</v>
      </c>
    </row>
    <row r="136" spans="4:10">
      <c r="D136" t="s">
        <v>627</v>
      </c>
      <c r="E136" t="s">
        <v>564</v>
      </c>
      <c r="F136">
        <v>1239</v>
      </c>
      <c r="G136">
        <v>1243</v>
      </c>
      <c r="H136">
        <v>1236</v>
      </c>
      <c r="I136">
        <v>1243</v>
      </c>
      <c r="J136">
        <v>23400</v>
      </c>
    </row>
    <row r="137" spans="4:10">
      <c r="D137" t="s">
        <v>627</v>
      </c>
      <c r="E137" t="s">
        <v>565</v>
      </c>
      <c r="F137">
        <v>1244</v>
      </c>
      <c r="G137">
        <v>1244</v>
      </c>
      <c r="H137">
        <v>1226</v>
      </c>
      <c r="I137">
        <v>1236</v>
      </c>
      <c r="J137">
        <v>51500</v>
      </c>
    </row>
    <row r="138" spans="4:10">
      <c r="D138" t="s">
        <v>627</v>
      </c>
      <c r="E138" t="s">
        <v>566</v>
      </c>
      <c r="F138">
        <v>1235</v>
      </c>
      <c r="G138">
        <v>1238</v>
      </c>
      <c r="H138">
        <v>1233</v>
      </c>
      <c r="I138">
        <v>1233</v>
      </c>
      <c r="J138">
        <v>17100</v>
      </c>
    </row>
    <row r="139" spans="4:10">
      <c r="D139" t="s">
        <v>627</v>
      </c>
      <c r="E139" t="s">
        <v>567</v>
      </c>
      <c r="F139">
        <v>1235</v>
      </c>
      <c r="G139">
        <v>1235</v>
      </c>
      <c r="H139">
        <v>1227</v>
      </c>
      <c r="I139">
        <v>1229</v>
      </c>
      <c r="J139">
        <v>12500</v>
      </c>
    </row>
    <row r="140" spans="4:10">
      <c r="D140" t="s">
        <v>627</v>
      </c>
      <c r="E140" t="s">
        <v>568</v>
      </c>
      <c r="F140">
        <v>1229</v>
      </c>
      <c r="G140">
        <v>1236</v>
      </c>
      <c r="H140">
        <v>1225</v>
      </c>
      <c r="I140">
        <v>1234</v>
      </c>
      <c r="J140">
        <v>31600</v>
      </c>
    </row>
    <row r="141" spans="4:10">
      <c r="D141" t="s">
        <v>627</v>
      </c>
      <c r="E141" t="s">
        <v>569</v>
      </c>
      <c r="F141">
        <v>1232</v>
      </c>
      <c r="G141">
        <v>1236</v>
      </c>
      <c r="H141">
        <v>1229</v>
      </c>
      <c r="I141">
        <v>1234</v>
      </c>
      <c r="J141">
        <v>27500</v>
      </c>
    </row>
    <row r="142" spans="4:10">
      <c r="D142" t="s">
        <v>627</v>
      </c>
      <c r="E142" t="s">
        <v>570</v>
      </c>
      <c r="F142">
        <v>1234</v>
      </c>
      <c r="G142">
        <v>1243</v>
      </c>
      <c r="H142">
        <v>1233</v>
      </c>
      <c r="I142">
        <v>1240</v>
      </c>
      <c r="J142">
        <v>39600</v>
      </c>
    </row>
    <row r="143" spans="4:10">
      <c r="D143" t="s">
        <v>627</v>
      </c>
      <c r="E143" t="s">
        <v>571</v>
      </c>
      <c r="F143" t="s">
        <v>35</v>
      </c>
      <c r="G143" t="s">
        <v>35</v>
      </c>
      <c r="H143" t="s">
        <v>35</v>
      </c>
      <c r="I143" t="s">
        <v>35</v>
      </c>
      <c r="J143">
        <v>0</v>
      </c>
    </row>
    <row r="144" spans="4:10">
      <c r="D144" t="s">
        <v>627</v>
      </c>
      <c r="E144" t="s">
        <v>572</v>
      </c>
      <c r="F144">
        <v>1243</v>
      </c>
      <c r="G144">
        <v>1243</v>
      </c>
      <c r="H144">
        <v>1243</v>
      </c>
      <c r="I144">
        <v>1243</v>
      </c>
      <c r="J144">
        <v>83000</v>
      </c>
    </row>
    <row r="145" spans="4:10">
      <c r="D145" t="s">
        <v>628</v>
      </c>
      <c r="E145" t="s">
        <v>574</v>
      </c>
      <c r="F145">
        <v>1270</v>
      </c>
      <c r="G145">
        <v>1288</v>
      </c>
      <c r="H145">
        <v>1247</v>
      </c>
      <c r="I145">
        <v>1251</v>
      </c>
      <c r="J145">
        <v>292100</v>
      </c>
    </row>
    <row r="146" spans="4:10">
      <c r="D146" t="s">
        <v>628</v>
      </c>
      <c r="E146" t="s">
        <v>575</v>
      </c>
      <c r="F146">
        <v>1250</v>
      </c>
      <c r="G146">
        <v>1287</v>
      </c>
      <c r="H146">
        <v>1246</v>
      </c>
      <c r="I146">
        <v>1279</v>
      </c>
      <c r="J146">
        <v>92400</v>
      </c>
    </row>
    <row r="147" spans="4:10">
      <c r="D147" t="s">
        <v>628</v>
      </c>
      <c r="E147" t="s">
        <v>576</v>
      </c>
      <c r="F147">
        <v>1280</v>
      </c>
      <c r="G147">
        <v>1299</v>
      </c>
      <c r="H147">
        <v>1273</v>
      </c>
      <c r="I147">
        <v>1287</v>
      </c>
      <c r="J147">
        <v>98700</v>
      </c>
    </row>
    <row r="148" spans="4:10">
      <c r="D148" t="s">
        <v>628</v>
      </c>
      <c r="E148" t="s">
        <v>577</v>
      </c>
      <c r="F148">
        <v>1288</v>
      </c>
      <c r="G148">
        <v>1307</v>
      </c>
      <c r="H148">
        <v>1278</v>
      </c>
      <c r="I148">
        <v>1304</v>
      </c>
      <c r="J148">
        <v>91300</v>
      </c>
    </row>
    <row r="149" spans="4:10">
      <c r="D149" t="s">
        <v>628</v>
      </c>
      <c r="E149" t="s">
        <v>578</v>
      </c>
      <c r="F149">
        <v>1305</v>
      </c>
      <c r="G149">
        <v>1327</v>
      </c>
      <c r="H149">
        <v>1291</v>
      </c>
      <c r="I149">
        <v>1306</v>
      </c>
      <c r="J149">
        <v>120500</v>
      </c>
    </row>
    <row r="150" spans="4:10">
      <c r="D150" t="s">
        <v>628</v>
      </c>
      <c r="E150" t="s">
        <v>579</v>
      </c>
      <c r="F150">
        <v>1307</v>
      </c>
      <c r="G150">
        <v>1337</v>
      </c>
      <c r="H150">
        <v>1307</v>
      </c>
      <c r="I150">
        <v>1330</v>
      </c>
      <c r="J150">
        <v>128600</v>
      </c>
    </row>
    <row r="151" spans="4:10">
      <c r="D151" t="s">
        <v>628</v>
      </c>
      <c r="E151" t="s">
        <v>580</v>
      </c>
      <c r="F151">
        <v>1329</v>
      </c>
      <c r="G151">
        <v>1337</v>
      </c>
      <c r="H151">
        <v>1316</v>
      </c>
      <c r="I151">
        <v>1328</v>
      </c>
      <c r="J151">
        <v>80300</v>
      </c>
    </row>
    <row r="152" spans="4:10">
      <c r="D152" t="s">
        <v>628</v>
      </c>
      <c r="E152" t="s">
        <v>581</v>
      </c>
      <c r="F152">
        <v>1327</v>
      </c>
      <c r="G152">
        <v>1327</v>
      </c>
      <c r="H152">
        <v>1308</v>
      </c>
      <c r="I152">
        <v>1315</v>
      </c>
      <c r="J152">
        <v>69300</v>
      </c>
    </row>
    <row r="153" spans="4:10">
      <c r="D153" t="s">
        <v>628</v>
      </c>
      <c r="E153" t="s">
        <v>582</v>
      </c>
      <c r="F153">
        <v>1315</v>
      </c>
      <c r="G153">
        <v>1316</v>
      </c>
      <c r="H153">
        <v>1296</v>
      </c>
      <c r="I153">
        <v>1305</v>
      </c>
      <c r="J153">
        <v>63300</v>
      </c>
    </row>
    <row r="154" spans="4:10">
      <c r="D154" t="s">
        <v>628</v>
      </c>
      <c r="E154" t="s">
        <v>583</v>
      </c>
      <c r="F154">
        <v>1307</v>
      </c>
      <c r="G154">
        <v>1324</v>
      </c>
      <c r="H154">
        <v>1301</v>
      </c>
      <c r="I154">
        <v>1319</v>
      </c>
      <c r="J154">
        <v>54800</v>
      </c>
    </row>
    <row r="155" spans="4:10">
      <c r="D155" t="s">
        <v>628</v>
      </c>
      <c r="E155" t="s">
        <v>584</v>
      </c>
      <c r="F155">
        <v>1321</v>
      </c>
      <c r="G155">
        <v>1340</v>
      </c>
      <c r="H155">
        <v>1319</v>
      </c>
      <c r="I155">
        <v>1339</v>
      </c>
      <c r="J155">
        <v>54300</v>
      </c>
    </row>
    <row r="156" spans="4:10">
      <c r="D156" t="s">
        <v>628</v>
      </c>
      <c r="E156" t="s">
        <v>585</v>
      </c>
      <c r="F156">
        <v>1337</v>
      </c>
      <c r="G156">
        <v>1349</v>
      </c>
      <c r="H156">
        <v>1332</v>
      </c>
      <c r="I156">
        <v>1339</v>
      </c>
      <c r="J156">
        <v>94800</v>
      </c>
    </row>
    <row r="157" spans="4:10">
      <c r="D157" t="s">
        <v>628</v>
      </c>
      <c r="E157" t="s">
        <v>586</v>
      </c>
      <c r="F157">
        <v>1337</v>
      </c>
      <c r="G157">
        <v>1360</v>
      </c>
      <c r="H157">
        <v>1330</v>
      </c>
      <c r="I157">
        <v>1359</v>
      </c>
      <c r="J157">
        <v>125200</v>
      </c>
    </row>
    <row r="158" spans="4:10">
      <c r="D158" t="s">
        <v>628</v>
      </c>
      <c r="E158" t="s">
        <v>587</v>
      </c>
      <c r="F158">
        <v>1358</v>
      </c>
      <c r="G158">
        <v>1367</v>
      </c>
      <c r="H158">
        <v>1352</v>
      </c>
      <c r="I158">
        <v>1356</v>
      </c>
      <c r="J158">
        <v>89600</v>
      </c>
    </row>
    <row r="159" spans="4:10">
      <c r="D159" t="s">
        <v>628</v>
      </c>
      <c r="E159" t="s">
        <v>588</v>
      </c>
      <c r="F159">
        <v>1354</v>
      </c>
      <c r="G159">
        <v>1357</v>
      </c>
      <c r="H159">
        <v>1346</v>
      </c>
      <c r="I159">
        <v>1354</v>
      </c>
      <c r="J159">
        <v>42100</v>
      </c>
    </row>
    <row r="160" spans="4:10">
      <c r="D160" t="s">
        <v>628</v>
      </c>
      <c r="E160" t="s">
        <v>589</v>
      </c>
      <c r="F160">
        <v>1354</v>
      </c>
      <c r="G160">
        <v>1356</v>
      </c>
      <c r="H160">
        <v>1338</v>
      </c>
      <c r="I160">
        <v>1347</v>
      </c>
      <c r="J160">
        <v>62200</v>
      </c>
    </row>
    <row r="161" spans="4:10">
      <c r="D161" t="s">
        <v>628</v>
      </c>
      <c r="E161" t="s">
        <v>590</v>
      </c>
      <c r="F161">
        <v>1348</v>
      </c>
      <c r="G161">
        <v>1350</v>
      </c>
      <c r="H161">
        <v>1338</v>
      </c>
      <c r="I161">
        <v>1347</v>
      </c>
      <c r="J161">
        <v>37900</v>
      </c>
    </row>
    <row r="162" spans="4:10">
      <c r="D162" t="s">
        <v>628</v>
      </c>
      <c r="E162" t="s">
        <v>591</v>
      </c>
      <c r="F162">
        <v>1348</v>
      </c>
      <c r="G162">
        <v>1357</v>
      </c>
      <c r="H162">
        <v>1346</v>
      </c>
      <c r="I162">
        <v>1354</v>
      </c>
      <c r="J162">
        <v>47800</v>
      </c>
    </row>
    <row r="163" spans="4:10">
      <c r="D163" t="s">
        <v>628</v>
      </c>
      <c r="E163" t="s">
        <v>592</v>
      </c>
      <c r="F163">
        <v>1354</v>
      </c>
      <c r="G163">
        <v>1362</v>
      </c>
      <c r="H163">
        <v>1352</v>
      </c>
      <c r="I163">
        <v>1362</v>
      </c>
      <c r="J163">
        <v>49200</v>
      </c>
    </row>
    <row r="164" spans="4:10">
      <c r="D164" t="s">
        <v>628</v>
      </c>
      <c r="E164" t="s">
        <v>593</v>
      </c>
      <c r="F164">
        <v>1362</v>
      </c>
      <c r="G164">
        <v>1373</v>
      </c>
      <c r="H164">
        <v>1355</v>
      </c>
      <c r="I164">
        <v>1360</v>
      </c>
      <c r="J164">
        <v>102300</v>
      </c>
    </row>
    <row r="165" spans="4:10">
      <c r="D165" t="s">
        <v>628</v>
      </c>
      <c r="E165" t="s">
        <v>594</v>
      </c>
      <c r="F165">
        <v>1359</v>
      </c>
      <c r="G165">
        <v>1364</v>
      </c>
      <c r="H165">
        <v>1355</v>
      </c>
      <c r="I165">
        <v>1356</v>
      </c>
      <c r="J165">
        <v>39000</v>
      </c>
    </row>
    <row r="166" spans="4:10">
      <c r="D166" t="s">
        <v>628</v>
      </c>
      <c r="E166" t="s">
        <v>595</v>
      </c>
      <c r="F166">
        <v>1355</v>
      </c>
      <c r="G166">
        <v>1361</v>
      </c>
      <c r="H166">
        <v>1347</v>
      </c>
      <c r="I166">
        <v>1358</v>
      </c>
      <c r="J166">
        <v>34000</v>
      </c>
    </row>
    <row r="167" spans="4:10">
      <c r="D167" t="s">
        <v>628</v>
      </c>
      <c r="E167" t="s">
        <v>596</v>
      </c>
      <c r="F167">
        <v>1358</v>
      </c>
      <c r="G167">
        <v>1358</v>
      </c>
      <c r="H167">
        <v>1349</v>
      </c>
      <c r="I167">
        <v>1352</v>
      </c>
      <c r="J167">
        <v>24700</v>
      </c>
    </row>
    <row r="168" spans="4:10">
      <c r="D168" t="s">
        <v>628</v>
      </c>
      <c r="E168" t="s">
        <v>597</v>
      </c>
      <c r="F168">
        <v>1351</v>
      </c>
      <c r="G168">
        <v>1357</v>
      </c>
      <c r="H168">
        <v>1348</v>
      </c>
      <c r="I168">
        <v>1353</v>
      </c>
      <c r="J168">
        <v>33500</v>
      </c>
    </row>
    <row r="169" spans="4:10">
      <c r="D169" t="s">
        <v>628</v>
      </c>
      <c r="E169" t="s">
        <v>598</v>
      </c>
      <c r="F169">
        <v>1353</v>
      </c>
      <c r="G169">
        <v>1357</v>
      </c>
      <c r="H169">
        <v>1337</v>
      </c>
      <c r="I169">
        <v>1344</v>
      </c>
      <c r="J169">
        <v>53800</v>
      </c>
    </row>
    <row r="170" spans="4:10">
      <c r="D170" t="s">
        <v>628</v>
      </c>
      <c r="E170" t="s">
        <v>599</v>
      </c>
      <c r="F170">
        <v>1344</v>
      </c>
      <c r="G170">
        <v>1345</v>
      </c>
      <c r="H170">
        <v>1332</v>
      </c>
      <c r="I170">
        <v>1333</v>
      </c>
      <c r="J170">
        <v>45800</v>
      </c>
    </row>
    <row r="171" spans="4:10">
      <c r="D171" t="s">
        <v>628</v>
      </c>
      <c r="E171" t="s">
        <v>600</v>
      </c>
      <c r="F171">
        <v>1333</v>
      </c>
      <c r="G171">
        <v>1344</v>
      </c>
      <c r="H171">
        <v>1332</v>
      </c>
      <c r="I171">
        <v>1341</v>
      </c>
      <c r="J171">
        <v>48600</v>
      </c>
    </row>
    <row r="172" spans="4:10">
      <c r="D172" t="s">
        <v>628</v>
      </c>
      <c r="E172" t="s">
        <v>601</v>
      </c>
      <c r="F172">
        <v>1342</v>
      </c>
      <c r="G172">
        <v>1347</v>
      </c>
      <c r="H172">
        <v>1334</v>
      </c>
      <c r="I172">
        <v>1335</v>
      </c>
      <c r="J172">
        <v>27700</v>
      </c>
    </row>
    <row r="173" spans="4:10">
      <c r="D173" t="s">
        <v>628</v>
      </c>
      <c r="E173" t="s">
        <v>602</v>
      </c>
      <c r="F173">
        <v>1334</v>
      </c>
      <c r="G173">
        <v>1344</v>
      </c>
      <c r="H173">
        <v>1334</v>
      </c>
      <c r="I173">
        <v>1338</v>
      </c>
      <c r="J173">
        <v>21100</v>
      </c>
    </row>
    <row r="174" spans="4:10">
      <c r="D174" t="s">
        <v>628</v>
      </c>
      <c r="E174" t="s">
        <v>603</v>
      </c>
      <c r="F174">
        <v>1339</v>
      </c>
      <c r="G174">
        <v>1342</v>
      </c>
      <c r="H174">
        <v>1335</v>
      </c>
      <c r="I174">
        <v>1341</v>
      </c>
      <c r="J174">
        <v>21700</v>
      </c>
    </row>
    <row r="175" spans="4:10">
      <c r="D175" t="s">
        <v>628</v>
      </c>
      <c r="E175" t="s">
        <v>604</v>
      </c>
      <c r="F175">
        <v>1337</v>
      </c>
      <c r="G175">
        <v>1337</v>
      </c>
      <c r="H175">
        <v>1337</v>
      </c>
      <c r="I175">
        <v>1337</v>
      </c>
      <c r="J175">
        <v>5800</v>
      </c>
    </row>
    <row r="176" spans="4:10">
      <c r="D176" t="s">
        <v>628</v>
      </c>
      <c r="E176" t="s">
        <v>605</v>
      </c>
      <c r="F176">
        <v>1302</v>
      </c>
      <c r="G176">
        <v>1315</v>
      </c>
      <c r="H176">
        <v>1282</v>
      </c>
      <c r="I176">
        <v>1315</v>
      </c>
      <c r="J176">
        <v>145700</v>
      </c>
    </row>
    <row r="177" spans="4:10">
      <c r="D177" t="s">
        <v>628</v>
      </c>
      <c r="E177" t="s">
        <v>606</v>
      </c>
      <c r="F177">
        <v>1315</v>
      </c>
      <c r="G177">
        <v>1318</v>
      </c>
      <c r="H177">
        <v>1301</v>
      </c>
      <c r="I177">
        <v>1306</v>
      </c>
      <c r="J177">
        <v>50700</v>
      </c>
    </row>
    <row r="178" spans="4:10">
      <c r="D178" t="s">
        <v>628</v>
      </c>
      <c r="E178" t="s">
        <v>538</v>
      </c>
      <c r="F178">
        <v>1304</v>
      </c>
      <c r="G178">
        <v>1320</v>
      </c>
      <c r="H178">
        <v>1304</v>
      </c>
      <c r="I178">
        <v>1315</v>
      </c>
      <c r="J178">
        <v>28700</v>
      </c>
    </row>
    <row r="179" spans="4:10">
      <c r="D179" t="s">
        <v>628</v>
      </c>
      <c r="E179" t="s">
        <v>539</v>
      </c>
      <c r="F179">
        <v>1315</v>
      </c>
      <c r="G179">
        <v>1317</v>
      </c>
      <c r="H179">
        <v>1306</v>
      </c>
      <c r="I179">
        <v>1313</v>
      </c>
      <c r="J179">
        <v>22100</v>
      </c>
    </row>
    <row r="180" spans="4:10">
      <c r="D180" t="s">
        <v>628</v>
      </c>
      <c r="E180" t="s">
        <v>540</v>
      </c>
      <c r="F180">
        <v>1313</v>
      </c>
      <c r="G180">
        <v>1314</v>
      </c>
      <c r="H180">
        <v>1304</v>
      </c>
      <c r="I180">
        <v>1306</v>
      </c>
      <c r="J180">
        <v>33400</v>
      </c>
    </row>
    <row r="181" spans="4:10">
      <c r="D181" t="s">
        <v>628</v>
      </c>
      <c r="E181" t="s">
        <v>541</v>
      </c>
      <c r="F181">
        <v>1306</v>
      </c>
      <c r="G181">
        <v>1310</v>
      </c>
      <c r="H181">
        <v>1299</v>
      </c>
      <c r="I181">
        <v>1303</v>
      </c>
      <c r="J181">
        <v>40700</v>
      </c>
    </row>
    <row r="182" spans="4:10">
      <c r="D182" t="s">
        <v>628</v>
      </c>
      <c r="E182" t="s">
        <v>542</v>
      </c>
      <c r="F182">
        <v>1303</v>
      </c>
      <c r="G182">
        <v>1308</v>
      </c>
      <c r="H182">
        <v>1298</v>
      </c>
      <c r="I182">
        <v>1305</v>
      </c>
      <c r="J182">
        <v>19000</v>
      </c>
    </row>
    <row r="183" spans="4:10">
      <c r="D183" t="s">
        <v>628</v>
      </c>
      <c r="E183" t="s">
        <v>543</v>
      </c>
      <c r="F183">
        <v>1304</v>
      </c>
      <c r="G183">
        <v>1306</v>
      </c>
      <c r="H183">
        <v>1299</v>
      </c>
      <c r="I183">
        <v>1303</v>
      </c>
      <c r="J183">
        <v>24400</v>
      </c>
    </row>
    <row r="184" spans="4:10">
      <c r="D184" t="s">
        <v>628</v>
      </c>
      <c r="E184" t="s">
        <v>544</v>
      </c>
      <c r="F184">
        <v>1301</v>
      </c>
      <c r="G184">
        <v>1306</v>
      </c>
      <c r="H184">
        <v>1299</v>
      </c>
      <c r="I184">
        <v>1305</v>
      </c>
      <c r="J184">
        <v>13100</v>
      </c>
    </row>
    <row r="185" spans="4:10">
      <c r="D185" t="s">
        <v>628</v>
      </c>
      <c r="E185" t="s">
        <v>545</v>
      </c>
      <c r="F185">
        <v>1303</v>
      </c>
      <c r="G185">
        <v>1305</v>
      </c>
      <c r="H185">
        <v>1299</v>
      </c>
      <c r="I185">
        <v>1300</v>
      </c>
      <c r="J185">
        <v>16800</v>
      </c>
    </row>
    <row r="186" spans="4:10">
      <c r="D186" t="s">
        <v>628</v>
      </c>
      <c r="E186" t="s">
        <v>546</v>
      </c>
      <c r="F186">
        <v>1302</v>
      </c>
      <c r="G186">
        <v>1309</v>
      </c>
      <c r="H186">
        <v>1296</v>
      </c>
      <c r="I186">
        <v>1302</v>
      </c>
      <c r="J186">
        <v>18100</v>
      </c>
    </row>
    <row r="187" spans="4:10">
      <c r="D187" t="s">
        <v>628</v>
      </c>
      <c r="E187" t="s">
        <v>547</v>
      </c>
      <c r="F187">
        <v>1304</v>
      </c>
      <c r="G187">
        <v>1311</v>
      </c>
      <c r="H187">
        <v>1301</v>
      </c>
      <c r="I187">
        <v>1310</v>
      </c>
      <c r="J187">
        <v>25800</v>
      </c>
    </row>
    <row r="188" spans="4:10">
      <c r="D188" t="s">
        <v>628</v>
      </c>
      <c r="E188" t="s">
        <v>548</v>
      </c>
      <c r="F188">
        <v>1312</v>
      </c>
      <c r="G188">
        <v>1315</v>
      </c>
      <c r="H188">
        <v>1308</v>
      </c>
      <c r="I188">
        <v>1310</v>
      </c>
      <c r="J188">
        <v>32800</v>
      </c>
    </row>
    <row r="189" spans="4:10">
      <c r="D189" t="s">
        <v>628</v>
      </c>
      <c r="E189" t="s">
        <v>549</v>
      </c>
      <c r="F189">
        <v>1309</v>
      </c>
      <c r="G189">
        <v>1318</v>
      </c>
      <c r="H189">
        <v>1305</v>
      </c>
      <c r="I189">
        <v>1309</v>
      </c>
      <c r="J189">
        <v>19000</v>
      </c>
    </row>
    <row r="190" spans="4:10">
      <c r="D190" t="s">
        <v>628</v>
      </c>
      <c r="E190" t="s">
        <v>550</v>
      </c>
      <c r="F190">
        <v>1307</v>
      </c>
      <c r="G190">
        <v>1307</v>
      </c>
      <c r="H190">
        <v>1301</v>
      </c>
      <c r="I190">
        <v>1302</v>
      </c>
      <c r="J190">
        <v>10200</v>
      </c>
    </row>
    <row r="191" spans="4:10">
      <c r="D191" t="s">
        <v>628</v>
      </c>
      <c r="E191" t="s">
        <v>551</v>
      </c>
      <c r="F191">
        <v>1301</v>
      </c>
      <c r="G191">
        <v>1308</v>
      </c>
      <c r="H191">
        <v>1301</v>
      </c>
      <c r="I191">
        <v>1304</v>
      </c>
      <c r="J191">
        <v>12600</v>
      </c>
    </row>
    <row r="192" spans="4:10">
      <c r="D192" t="s">
        <v>628</v>
      </c>
      <c r="E192" t="s">
        <v>552</v>
      </c>
      <c r="F192">
        <v>1304</v>
      </c>
      <c r="G192">
        <v>1304</v>
      </c>
      <c r="H192">
        <v>1294</v>
      </c>
      <c r="I192">
        <v>1297</v>
      </c>
      <c r="J192">
        <v>25900</v>
      </c>
    </row>
    <row r="193" spans="4:10">
      <c r="D193" t="s">
        <v>628</v>
      </c>
      <c r="E193" t="s">
        <v>553</v>
      </c>
      <c r="F193">
        <v>1297</v>
      </c>
      <c r="G193">
        <v>1302</v>
      </c>
      <c r="H193">
        <v>1295</v>
      </c>
      <c r="I193">
        <v>1302</v>
      </c>
      <c r="J193">
        <v>14900</v>
      </c>
    </row>
    <row r="194" spans="4:10">
      <c r="D194" t="s">
        <v>628</v>
      </c>
      <c r="E194" t="s">
        <v>554</v>
      </c>
      <c r="F194">
        <v>1300</v>
      </c>
      <c r="G194">
        <v>1303</v>
      </c>
      <c r="H194">
        <v>1296</v>
      </c>
      <c r="I194">
        <v>1298</v>
      </c>
      <c r="J194">
        <v>22200</v>
      </c>
    </row>
    <row r="195" spans="4:10">
      <c r="D195" t="s">
        <v>628</v>
      </c>
      <c r="E195" t="s">
        <v>555</v>
      </c>
      <c r="F195">
        <v>1297</v>
      </c>
      <c r="G195">
        <v>1299</v>
      </c>
      <c r="H195">
        <v>1293</v>
      </c>
      <c r="I195">
        <v>1297</v>
      </c>
      <c r="J195">
        <v>14200</v>
      </c>
    </row>
    <row r="196" spans="4:10">
      <c r="D196" t="s">
        <v>628</v>
      </c>
      <c r="E196" t="s">
        <v>556</v>
      </c>
      <c r="F196">
        <v>1296</v>
      </c>
      <c r="G196">
        <v>1299</v>
      </c>
      <c r="H196">
        <v>1292</v>
      </c>
      <c r="I196">
        <v>1296</v>
      </c>
      <c r="J196">
        <v>20800</v>
      </c>
    </row>
    <row r="197" spans="4:10">
      <c r="D197" t="s">
        <v>628</v>
      </c>
      <c r="E197" t="s">
        <v>557</v>
      </c>
      <c r="F197">
        <v>1296</v>
      </c>
      <c r="G197">
        <v>1302</v>
      </c>
      <c r="H197">
        <v>1295</v>
      </c>
      <c r="I197">
        <v>1302</v>
      </c>
      <c r="J197">
        <v>23700</v>
      </c>
    </row>
    <row r="198" spans="4:10">
      <c r="D198" t="s">
        <v>628</v>
      </c>
      <c r="E198" t="s">
        <v>558</v>
      </c>
      <c r="F198">
        <v>1303</v>
      </c>
      <c r="G198">
        <v>1304</v>
      </c>
      <c r="H198">
        <v>1295</v>
      </c>
      <c r="I198">
        <v>1302</v>
      </c>
      <c r="J198">
        <v>8000</v>
      </c>
    </row>
    <row r="199" spans="4:10">
      <c r="D199" t="s">
        <v>628</v>
      </c>
      <c r="E199" t="s">
        <v>559</v>
      </c>
      <c r="F199">
        <v>1302</v>
      </c>
      <c r="G199">
        <v>1303</v>
      </c>
      <c r="H199">
        <v>1298</v>
      </c>
      <c r="I199">
        <v>1301</v>
      </c>
      <c r="J199">
        <v>8000</v>
      </c>
    </row>
    <row r="200" spans="4:10">
      <c r="D200" t="s">
        <v>628</v>
      </c>
      <c r="E200" t="s">
        <v>560</v>
      </c>
      <c r="F200">
        <v>1301</v>
      </c>
      <c r="G200">
        <v>1307</v>
      </c>
      <c r="H200">
        <v>1301</v>
      </c>
      <c r="I200">
        <v>1305</v>
      </c>
      <c r="J200">
        <v>12600</v>
      </c>
    </row>
    <row r="201" spans="4:10">
      <c r="D201" t="s">
        <v>628</v>
      </c>
      <c r="E201" t="s">
        <v>561</v>
      </c>
      <c r="F201">
        <v>1306</v>
      </c>
      <c r="G201">
        <v>1308</v>
      </c>
      <c r="H201">
        <v>1302</v>
      </c>
      <c r="I201">
        <v>1304</v>
      </c>
      <c r="J201">
        <v>6500</v>
      </c>
    </row>
    <row r="202" spans="4:10">
      <c r="D202" t="s">
        <v>628</v>
      </c>
      <c r="E202" t="s">
        <v>562</v>
      </c>
      <c r="F202">
        <v>1304</v>
      </c>
      <c r="G202">
        <v>1314</v>
      </c>
      <c r="H202">
        <v>1303</v>
      </c>
      <c r="I202">
        <v>1314</v>
      </c>
      <c r="J202">
        <v>16600</v>
      </c>
    </row>
    <row r="203" spans="4:10">
      <c r="D203" t="s">
        <v>628</v>
      </c>
      <c r="E203" t="s">
        <v>563</v>
      </c>
      <c r="F203">
        <v>1313</v>
      </c>
      <c r="G203">
        <v>1315</v>
      </c>
      <c r="H203">
        <v>1307</v>
      </c>
      <c r="I203">
        <v>1309</v>
      </c>
      <c r="J203">
        <v>14100</v>
      </c>
    </row>
    <row r="204" spans="4:10">
      <c r="D204" t="s">
        <v>628</v>
      </c>
      <c r="E204" t="s">
        <v>564</v>
      </c>
      <c r="F204">
        <v>1308</v>
      </c>
      <c r="G204">
        <v>1308</v>
      </c>
      <c r="H204">
        <v>1303</v>
      </c>
      <c r="I204">
        <v>1305</v>
      </c>
      <c r="J204">
        <v>12200</v>
      </c>
    </row>
    <row r="205" spans="4:10">
      <c r="D205" t="s">
        <v>628</v>
      </c>
      <c r="E205" t="s">
        <v>565</v>
      </c>
      <c r="F205">
        <v>1303</v>
      </c>
      <c r="G205">
        <v>1307</v>
      </c>
      <c r="H205">
        <v>1300</v>
      </c>
      <c r="I205">
        <v>1307</v>
      </c>
      <c r="J205">
        <v>20000</v>
      </c>
    </row>
    <row r="206" spans="4:10">
      <c r="D206" t="s">
        <v>628</v>
      </c>
      <c r="E206" t="s">
        <v>566</v>
      </c>
      <c r="F206">
        <v>1306</v>
      </c>
      <c r="G206">
        <v>1309</v>
      </c>
      <c r="H206">
        <v>1303</v>
      </c>
      <c r="I206">
        <v>1304</v>
      </c>
      <c r="J206">
        <v>32900</v>
      </c>
    </row>
    <row r="207" spans="4:10">
      <c r="D207" t="s">
        <v>628</v>
      </c>
      <c r="E207" t="s">
        <v>567</v>
      </c>
      <c r="F207">
        <v>1305</v>
      </c>
      <c r="G207">
        <v>1310</v>
      </c>
      <c r="H207">
        <v>1305</v>
      </c>
      <c r="I207">
        <v>1307</v>
      </c>
      <c r="J207">
        <v>13000</v>
      </c>
    </row>
    <row r="208" spans="4:10">
      <c r="D208" t="s">
        <v>628</v>
      </c>
      <c r="E208" t="s">
        <v>568</v>
      </c>
      <c r="F208">
        <v>1308</v>
      </c>
      <c r="G208">
        <v>1312</v>
      </c>
      <c r="H208">
        <v>1306</v>
      </c>
      <c r="I208">
        <v>1309</v>
      </c>
      <c r="J208">
        <v>26200</v>
      </c>
    </row>
    <row r="209" spans="4:10">
      <c r="D209" t="s">
        <v>628</v>
      </c>
      <c r="E209" t="s">
        <v>569</v>
      </c>
      <c r="F209">
        <v>1308</v>
      </c>
      <c r="G209">
        <v>1308</v>
      </c>
      <c r="H209">
        <v>1301</v>
      </c>
      <c r="I209">
        <v>1302</v>
      </c>
      <c r="J209">
        <v>15600</v>
      </c>
    </row>
    <row r="210" spans="4:10">
      <c r="D210" t="s">
        <v>628</v>
      </c>
      <c r="E210" t="s">
        <v>570</v>
      </c>
      <c r="F210">
        <v>1302</v>
      </c>
      <c r="G210">
        <v>1303</v>
      </c>
      <c r="H210">
        <v>1295</v>
      </c>
      <c r="I210">
        <v>1298</v>
      </c>
      <c r="J210">
        <v>33900</v>
      </c>
    </row>
    <row r="211" spans="4:10">
      <c r="D211" t="s">
        <v>628</v>
      </c>
      <c r="E211" t="s">
        <v>571</v>
      </c>
      <c r="F211" t="s">
        <v>35</v>
      </c>
      <c r="G211" t="s">
        <v>35</v>
      </c>
      <c r="H211" t="s">
        <v>35</v>
      </c>
      <c r="I211" t="s">
        <v>35</v>
      </c>
      <c r="J211">
        <v>0</v>
      </c>
    </row>
    <row r="212" spans="4:10">
      <c r="D212" t="s">
        <v>628</v>
      </c>
      <c r="E212" t="s">
        <v>572</v>
      </c>
      <c r="F212">
        <v>1301</v>
      </c>
      <c r="G212">
        <v>1301</v>
      </c>
      <c r="H212">
        <v>1301</v>
      </c>
      <c r="I212">
        <v>1301</v>
      </c>
      <c r="J212">
        <v>54800</v>
      </c>
    </row>
    <row r="213" spans="4:10">
      <c r="D213" t="s">
        <v>629</v>
      </c>
      <c r="E213" t="s">
        <v>574</v>
      </c>
      <c r="F213" t="s">
        <v>35</v>
      </c>
      <c r="G213" t="s">
        <v>35</v>
      </c>
      <c r="H213" t="s">
        <v>35</v>
      </c>
      <c r="I213" t="s">
        <v>35</v>
      </c>
      <c r="J213">
        <v>0</v>
      </c>
    </row>
    <row r="214" spans="4:10">
      <c r="D214" t="s">
        <v>629</v>
      </c>
      <c r="E214" t="s">
        <v>575</v>
      </c>
      <c r="F214" t="s">
        <v>35</v>
      </c>
      <c r="G214" t="s">
        <v>35</v>
      </c>
      <c r="H214" t="s">
        <v>35</v>
      </c>
      <c r="I214" t="s">
        <v>35</v>
      </c>
      <c r="J214">
        <v>0</v>
      </c>
    </row>
    <row r="215" spans="4:10">
      <c r="D215" t="s">
        <v>629</v>
      </c>
      <c r="E215" t="s">
        <v>576</v>
      </c>
      <c r="F215" t="s">
        <v>35</v>
      </c>
      <c r="G215" t="s">
        <v>35</v>
      </c>
      <c r="H215" t="s">
        <v>35</v>
      </c>
      <c r="I215" t="s">
        <v>35</v>
      </c>
      <c r="J215">
        <v>0</v>
      </c>
    </row>
    <row r="216" spans="4:10">
      <c r="D216" t="s">
        <v>629</v>
      </c>
      <c r="E216" t="s">
        <v>577</v>
      </c>
      <c r="F216" t="s">
        <v>35</v>
      </c>
      <c r="G216" t="s">
        <v>35</v>
      </c>
      <c r="H216" t="s">
        <v>35</v>
      </c>
      <c r="I216" t="s">
        <v>35</v>
      </c>
      <c r="J216">
        <v>0</v>
      </c>
    </row>
    <row r="217" spans="4:10">
      <c r="D217" t="s">
        <v>629</v>
      </c>
      <c r="E217" t="s">
        <v>578</v>
      </c>
      <c r="F217" t="s">
        <v>35</v>
      </c>
      <c r="G217" t="s">
        <v>35</v>
      </c>
      <c r="H217" t="s">
        <v>35</v>
      </c>
      <c r="I217" t="s">
        <v>35</v>
      </c>
      <c r="J217">
        <v>0</v>
      </c>
    </row>
    <row r="218" spans="4:10">
      <c r="D218" t="s">
        <v>629</v>
      </c>
      <c r="E218" t="s">
        <v>579</v>
      </c>
      <c r="F218">
        <v>1601</v>
      </c>
      <c r="G218">
        <v>1601</v>
      </c>
      <c r="H218">
        <v>1501</v>
      </c>
      <c r="I218">
        <v>1507</v>
      </c>
      <c r="J218">
        <v>606700</v>
      </c>
    </row>
    <row r="219" spans="4:10">
      <c r="D219" t="s">
        <v>629</v>
      </c>
      <c r="E219" t="s">
        <v>580</v>
      </c>
      <c r="F219">
        <v>1507</v>
      </c>
      <c r="G219">
        <v>1565</v>
      </c>
      <c r="H219">
        <v>1502</v>
      </c>
      <c r="I219">
        <v>1542</v>
      </c>
      <c r="J219">
        <v>355600</v>
      </c>
    </row>
    <row r="220" spans="4:10">
      <c r="D220" t="s">
        <v>629</v>
      </c>
      <c r="E220" t="s">
        <v>581</v>
      </c>
      <c r="F220">
        <v>1542</v>
      </c>
      <c r="G220">
        <v>1551</v>
      </c>
      <c r="H220">
        <v>1520</v>
      </c>
      <c r="I220">
        <v>1539</v>
      </c>
      <c r="J220">
        <v>210400</v>
      </c>
    </row>
    <row r="221" spans="4:10">
      <c r="D221" t="s">
        <v>629</v>
      </c>
      <c r="E221" t="s">
        <v>582</v>
      </c>
      <c r="F221">
        <v>1538</v>
      </c>
      <c r="G221">
        <v>1540</v>
      </c>
      <c r="H221">
        <v>1516</v>
      </c>
      <c r="I221">
        <v>1526</v>
      </c>
      <c r="J221">
        <v>129000</v>
      </c>
    </row>
    <row r="222" spans="4:10">
      <c r="D222" t="s">
        <v>629</v>
      </c>
      <c r="E222" t="s">
        <v>583</v>
      </c>
      <c r="F222">
        <v>1526</v>
      </c>
      <c r="G222">
        <v>1542</v>
      </c>
      <c r="H222">
        <v>1509</v>
      </c>
      <c r="I222">
        <v>1512</v>
      </c>
      <c r="J222">
        <v>146100</v>
      </c>
    </row>
    <row r="223" spans="4:10">
      <c r="D223" t="s">
        <v>629</v>
      </c>
      <c r="E223" t="s">
        <v>584</v>
      </c>
      <c r="F223">
        <v>1513</v>
      </c>
      <c r="G223">
        <v>1527</v>
      </c>
      <c r="H223">
        <v>1513</v>
      </c>
      <c r="I223">
        <v>1513</v>
      </c>
      <c r="J223">
        <v>72300</v>
      </c>
    </row>
    <row r="224" spans="4:10">
      <c r="D224" t="s">
        <v>629</v>
      </c>
      <c r="E224" t="s">
        <v>585</v>
      </c>
      <c r="F224">
        <v>1514</v>
      </c>
      <c r="G224">
        <v>1536</v>
      </c>
      <c r="H224">
        <v>1502</v>
      </c>
      <c r="I224">
        <v>1534</v>
      </c>
      <c r="J224">
        <v>124300</v>
      </c>
    </row>
    <row r="225" spans="4:10">
      <c r="D225" t="s">
        <v>629</v>
      </c>
      <c r="E225" t="s">
        <v>586</v>
      </c>
      <c r="F225">
        <v>1534</v>
      </c>
      <c r="G225">
        <v>1543</v>
      </c>
      <c r="H225">
        <v>1530</v>
      </c>
      <c r="I225">
        <v>1530</v>
      </c>
      <c r="J225">
        <v>103700</v>
      </c>
    </row>
    <row r="226" spans="4:10">
      <c r="D226" t="s">
        <v>629</v>
      </c>
      <c r="E226" t="s">
        <v>587</v>
      </c>
      <c r="F226">
        <v>1532</v>
      </c>
      <c r="G226">
        <v>1535</v>
      </c>
      <c r="H226">
        <v>1523</v>
      </c>
      <c r="I226">
        <v>1532</v>
      </c>
      <c r="J226">
        <v>50800</v>
      </c>
    </row>
    <row r="227" spans="4:10">
      <c r="D227" t="s">
        <v>629</v>
      </c>
      <c r="E227" t="s">
        <v>588</v>
      </c>
      <c r="F227">
        <v>1532</v>
      </c>
      <c r="G227">
        <v>1578</v>
      </c>
      <c r="H227">
        <v>1532</v>
      </c>
      <c r="I227">
        <v>1569</v>
      </c>
      <c r="J227">
        <v>192700</v>
      </c>
    </row>
    <row r="228" spans="4:10">
      <c r="D228" t="s">
        <v>629</v>
      </c>
      <c r="E228" t="s">
        <v>589</v>
      </c>
      <c r="F228">
        <v>1569</v>
      </c>
      <c r="G228">
        <v>1575</v>
      </c>
      <c r="H228">
        <v>1561</v>
      </c>
      <c r="I228">
        <v>1562</v>
      </c>
      <c r="J228">
        <v>104900</v>
      </c>
    </row>
    <row r="229" spans="4:10">
      <c r="D229" t="s">
        <v>629</v>
      </c>
      <c r="E229" t="s">
        <v>590</v>
      </c>
      <c r="F229">
        <v>1561</v>
      </c>
      <c r="G229">
        <v>1574</v>
      </c>
      <c r="H229">
        <v>1550</v>
      </c>
      <c r="I229">
        <v>1551</v>
      </c>
      <c r="J229">
        <v>74800</v>
      </c>
    </row>
    <row r="230" spans="4:10">
      <c r="D230" t="s">
        <v>629</v>
      </c>
      <c r="E230" t="s">
        <v>591</v>
      </c>
      <c r="F230">
        <v>1553</v>
      </c>
      <c r="G230">
        <v>1555</v>
      </c>
      <c r="H230">
        <v>1533</v>
      </c>
      <c r="I230">
        <v>1539</v>
      </c>
      <c r="J230">
        <v>94000</v>
      </c>
    </row>
    <row r="231" spans="4:10">
      <c r="D231" t="s">
        <v>629</v>
      </c>
      <c r="E231" t="s">
        <v>592</v>
      </c>
      <c r="F231">
        <v>1540</v>
      </c>
      <c r="G231">
        <v>1542</v>
      </c>
      <c r="H231">
        <v>1523</v>
      </c>
      <c r="I231">
        <v>1527</v>
      </c>
      <c r="J231">
        <v>51700</v>
      </c>
    </row>
    <row r="232" spans="4:10">
      <c r="D232" t="s">
        <v>629</v>
      </c>
      <c r="E232" t="s">
        <v>593</v>
      </c>
      <c r="F232">
        <v>1528</v>
      </c>
      <c r="G232">
        <v>1528</v>
      </c>
      <c r="H232">
        <v>1519</v>
      </c>
      <c r="I232">
        <v>1520</v>
      </c>
      <c r="J232">
        <v>50700</v>
      </c>
    </row>
    <row r="233" spans="4:10">
      <c r="D233" t="s">
        <v>629</v>
      </c>
      <c r="E233" t="s">
        <v>594</v>
      </c>
      <c r="F233">
        <v>1521</v>
      </c>
      <c r="G233">
        <v>1521</v>
      </c>
      <c r="H233">
        <v>1507</v>
      </c>
      <c r="I233">
        <v>1517</v>
      </c>
      <c r="J233">
        <v>90100</v>
      </c>
    </row>
    <row r="234" spans="4:10">
      <c r="D234" t="s">
        <v>629</v>
      </c>
      <c r="E234" t="s">
        <v>595</v>
      </c>
      <c r="F234">
        <v>1517</v>
      </c>
      <c r="G234">
        <v>1517</v>
      </c>
      <c r="H234">
        <v>1492</v>
      </c>
      <c r="I234">
        <v>1496</v>
      </c>
      <c r="J234">
        <v>116000</v>
      </c>
    </row>
    <row r="235" spans="4:10">
      <c r="D235" t="s">
        <v>629</v>
      </c>
      <c r="E235" t="s">
        <v>596</v>
      </c>
      <c r="F235">
        <v>1498</v>
      </c>
      <c r="G235">
        <v>1505</v>
      </c>
      <c r="H235">
        <v>1496</v>
      </c>
      <c r="I235">
        <v>1498</v>
      </c>
      <c r="J235">
        <v>54500</v>
      </c>
    </row>
    <row r="236" spans="4:10">
      <c r="D236" t="s">
        <v>629</v>
      </c>
      <c r="E236" t="s">
        <v>597</v>
      </c>
      <c r="F236">
        <v>1499</v>
      </c>
      <c r="G236">
        <v>1520</v>
      </c>
      <c r="H236">
        <v>1496</v>
      </c>
      <c r="I236">
        <v>1519</v>
      </c>
      <c r="J236">
        <v>56900</v>
      </c>
    </row>
    <row r="237" spans="4:10">
      <c r="D237" t="s">
        <v>629</v>
      </c>
      <c r="E237" t="s">
        <v>598</v>
      </c>
      <c r="F237">
        <v>1518</v>
      </c>
      <c r="G237">
        <v>1520</v>
      </c>
      <c r="H237">
        <v>1501</v>
      </c>
      <c r="I237">
        <v>1503</v>
      </c>
      <c r="J237">
        <v>43600</v>
      </c>
    </row>
    <row r="238" spans="4:10">
      <c r="D238" t="s">
        <v>629</v>
      </c>
      <c r="E238" t="s">
        <v>599</v>
      </c>
      <c r="F238">
        <v>1502</v>
      </c>
      <c r="G238">
        <v>1506</v>
      </c>
      <c r="H238">
        <v>1497</v>
      </c>
      <c r="I238">
        <v>1502</v>
      </c>
      <c r="J238">
        <v>41200</v>
      </c>
    </row>
    <row r="239" spans="4:10">
      <c r="D239" t="s">
        <v>629</v>
      </c>
      <c r="E239" t="s">
        <v>600</v>
      </c>
      <c r="F239">
        <v>1503</v>
      </c>
      <c r="G239">
        <v>1517</v>
      </c>
      <c r="H239">
        <v>1497</v>
      </c>
      <c r="I239">
        <v>1498</v>
      </c>
      <c r="J239">
        <v>54900</v>
      </c>
    </row>
    <row r="240" spans="4:10">
      <c r="D240" t="s">
        <v>629</v>
      </c>
      <c r="E240" t="s">
        <v>601</v>
      </c>
      <c r="F240">
        <v>1497</v>
      </c>
      <c r="G240">
        <v>1497</v>
      </c>
      <c r="H240">
        <v>1483</v>
      </c>
      <c r="I240">
        <v>1483</v>
      </c>
      <c r="J240">
        <v>52300</v>
      </c>
    </row>
    <row r="241" spans="4:10">
      <c r="D241" t="s">
        <v>629</v>
      </c>
      <c r="E241" t="s">
        <v>602</v>
      </c>
      <c r="F241">
        <v>1483</v>
      </c>
      <c r="G241">
        <v>1494</v>
      </c>
      <c r="H241">
        <v>1478</v>
      </c>
      <c r="I241">
        <v>1486</v>
      </c>
      <c r="J241">
        <v>64300</v>
      </c>
    </row>
    <row r="242" spans="4:10">
      <c r="D242" t="s">
        <v>629</v>
      </c>
      <c r="E242" t="s">
        <v>603</v>
      </c>
      <c r="F242">
        <v>1487</v>
      </c>
      <c r="G242">
        <v>1495</v>
      </c>
      <c r="H242">
        <v>1482</v>
      </c>
      <c r="I242">
        <v>1495</v>
      </c>
      <c r="J242">
        <v>54300</v>
      </c>
    </row>
    <row r="243" spans="4:10">
      <c r="D243" t="s">
        <v>629</v>
      </c>
      <c r="E243" t="s">
        <v>604</v>
      </c>
      <c r="F243">
        <v>1506</v>
      </c>
      <c r="G243">
        <v>1506</v>
      </c>
      <c r="H243">
        <v>1506</v>
      </c>
      <c r="I243">
        <v>1506</v>
      </c>
      <c r="J243">
        <v>15800</v>
      </c>
    </row>
    <row r="244" spans="4:10">
      <c r="D244" t="s">
        <v>629</v>
      </c>
      <c r="E244" t="s">
        <v>605</v>
      </c>
      <c r="F244">
        <v>1483</v>
      </c>
      <c r="G244">
        <v>1498</v>
      </c>
      <c r="H244">
        <v>1475</v>
      </c>
      <c r="I244">
        <v>1496</v>
      </c>
      <c r="J244">
        <v>98000</v>
      </c>
    </row>
    <row r="245" spans="4:10">
      <c r="D245" t="s">
        <v>629</v>
      </c>
      <c r="E245" t="s">
        <v>606</v>
      </c>
      <c r="F245">
        <v>1496</v>
      </c>
      <c r="G245">
        <v>1496</v>
      </c>
      <c r="H245">
        <v>1477</v>
      </c>
      <c r="I245">
        <v>1488</v>
      </c>
      <c r="J245">
        <v>33400</v>
      </c>
    </row>
    <row r="246" spans="4:10">
      <c r="D246" t="s">
        <v>629</v>
      </c>
      <c r="E246" t="s">
        <v>538</v>
      </c>
      <c r="F246">
        <v>1489</v>
      </c>
      <c r="G246">
        <v>1493</v>
      </c>
      <c r="H246">
        <v>1482</v>
      </c>
      <c r="I246">
        <v>1492</v>
      </c>
      <c r="J246">
        <v>24600</v>
      </c>
    </row>
    <row r="247" spans="4:10">
      <c r="D247" t="s">
        <v>629</v>
      </c>
      <c r="E247" t="s">
        <v>539</v>
      </c>
      <c r="F247">
        <v>1492</v>
      </c>
      <c r="G247">
        <v>1493</v>
      </c>
      <c r="H247">
        <v>1475</v>
      </c>
      <c r="I247">
        <v>1480</v>
      </c>
      <c r="J247">
        <v>44100</v>
      </c>
    </row>
    <row r="248" spans="4:10">
      <c r="D248" t="s">
        <v>629</v>
      </c>
      <c r="E248" t="s">
        <v>540</v>
      </c>
      <c r="F248">
        <v>1482</v>
      </c>
      <c r="G248">
        <v>1491</v>
      </c>
      <c r="H248">
        <v>1480</v>
      </c>
      <c r="I248">
        <v>1490</v>
      </c>
      <c r="J248">
        <v>25900</v>
      </c>
    </row>
    <row r="249" spans="4:10">
      <c r="D249" t="s">
        <v>629</v>
      </c>
      <c r="E249" t="s">
        <v>541</v>
      </c>
      <c r="F249">
        <v>1490</v>
      </c>
      <c r="G249">
        <v>1505</v>
      </c>
      <c r="H249">
        <v>1490</v>
      </c>
      <c r="I249">
        <v>1501</v>
      </c>
      <c r="J249">
        <v>40600</v>
      </c>
    </row>
    <row r="250" spans="4:10">
      <c r="D250" t="s">
        <v>629</v>
      </c>
      <c r="E250" t="s">
        <v>542</v>
      </c>
      <c r="F250">
        <v>1501</v>
      </c>
      <c r="G250">
        <v>1512</v>
      </c>
      <c r="H250">
        <v>1500</v>
      </c>
      <c r="I250">
        <v>1508</v>
      </c>
      <c r="J250">
        <v>45200</v>
      </c>
    </row>
    <row r="251" spans="4:10">
      <c r="D251" t="s">
        <v>629</v>
      </c>
      <c r="E251" t="s">
        <v>543</v>
      </c>
      <c r="F251">
        <v>1508</v>
      </c>
      <c r="G251">
        <v>1520</v>
      </c>
      <c r="H251">
        <v>1506</v>
      </c>
      <c r="I251">
        <v>1515</v>
      </c>
      <c r="J251">
        <v>43300</v>
      </c>
    </row>
    <row r="252" spans="4:10">
      <c r="D252" t="s">
        <v>629</v>
      </c>
      <c r="E252" t="s">
        <v>544</v>
      </c>
      <c r="F252">
        <v>1515</v>
      </c>
      <c r="G252">
        <v>1516</v>
      </c>
      <c r="H252">
        <v>1503</v>
      </c>
      <c r="I252">
        <v>1503</v>
      </c>
      <c r="J252">
        <v>29400</v>
      </c>
    </row>
    <row r="253" spans="4:10">
      <c r="D253" t="s">
        <v>629</v>
      </c>
      <c r="E253" t="s">
        <v>545</v>
      </c>
      <c r="F253">
        <v>1504</v>
      </c>
      <c r="G253">
        <v>1508</v>
      </c>
      <c r="H253">
        <v>1501</v>
      </c>
      <c r="I253">
        <v>1508</v>
      </c>
      <c r="J253">
        <v>19600</v>
      </c>
    </row>
    <row r="254" spans="4:10">
      <c r="D254" t="s">
        <v>629</v>
      </c>
      <c r="E254" t="s">
        <v>546</v>
      </c>
      <c r="F254">
        <v>1506</v>
      </c>
      <c r="G254">
        <v>1508</v>
      </c>
      <c r="H254">
        <v>1490</v>
      </c>
      <c r="I254">
        <v>1495</v>
      </c>
      <c r="J254">
        <v>39800</v>
      </c>
    </row>
    <row r="255" spans="4:10">
      <c r="D255" t="s">
        <v>629</v>
      </c>
      <c r="E255" t="s">
        <v>547</v>
      </c>
      <c r="F255">
        <v>1496</v>
      </c>
      <c r="G255">
        <v>1499</v>
      </c>
      <c r="H255">
        <v>1491</v>
      </c>
      <c r="I255">
        <v>1494</v>
      </c>
      <c r="J255">
        <v>17700</v>
      </c>
    </row>
    <row r="256" spans="4:10">
      <c r="D256" t="s">
        <v>629</v>
      </c>
      <c r="E256" t="s">
        <v>548</v>
      </c>
      <c r="F256">
        <v>1494</v>
      </c>
      <c r="G256">
        <v>1500</v>
      </c>
      <c r="H256">
        <v>1488</v>
      </c>
      <c r="I256">
        <v>1500</v>
      </c>
      <c r="J256">
        <v>21900</v>
      </c>
    </row>
    <row r="257" spans="4:10">
      <c r="D257" t="s">
        <v>629</v>
      </c>
      <c r="E257" t="s">
        <v>549</v>
      </c>
      <c r="F257">
        <v>1500</v>
      </c>
      <c r="G257">
        <v>1506</v>
      </c>
      <c r="H257">
        <v>1499</v>
      </c>
      <c r="I257">
        <v>1503</v>
      </c>
      <c r="J257">
        <v>18900</v>
      </c>
    </row>
    <row r="258" spans="4:10">
      <c r="D258" t="s">
        <v>629</v>
      </c>
      <c r="E258" t="s">
        <v>550</v>
      </c>
      <c r="F258">
        <v>1504</v>
      </c>
      <c r="G258">
        <v>1505</v>
      </c>
      <c r="H258">
        <v>1500</v>
      </c>
      <c r="I258">
        <v>1504</v>
      </c>
      <c r="J258">
        <v>12900</v>
      </c>
    </row>
    <row r="259" spans="4:10">
      <c r="D259" t="s">
        <v>629</v>
      </c>
      <c r="E259" t="s">
        <v>551</v>
      </c>
      <c r="F259">
        <v>1506</v>
      </c>
      <c r="G259">
        <v>1514</v>
      </c>
      <c r="H259">
        <v>1504</v>
      </c>
      <c r="I259">
        <v>1514</v>
      </c>
      <c r="J259">
        <v>20200</v>
      </c>
    </row>
    <row r="260" spans="4:10">
      <c r="D260" t="s">
        <v>629</v>
      </c>
      <c r="E260" t="s">
        <v>552</v>
      </c>
      <c r="F260">
        <v>1514</v>
      </c>
      <c r="G260">
        <v>1515</v>
      </c>
      <c r="H260">
        <v>1508</v>
      </c>
      <c r="I260">
        <v>1513</v>
      </c>
      <c r="J260">
        <v>20000</v>
      </c>
    </row>
    <row r="261" spans="4:10">
      <c r="D261" t="s">
        <v>629</v>
      </c>
      <c r="E261" t="s">
        <v>553</v>
      </c>
      <c r="F261">
        <v>1512</v>
      </c>
      <c r="G261">
        <v>1513</v>
      </c>
      <c r="H261">
        <v>1506</v>
      </c>
      <c r="I261">
        <v>1509</v>
      </c>
      <c r="J261">
        <v>16700</v>
      </c>
    </row>
    <row r="262" spans="4:10">
      <c r="D262" t="s">
        <v>629</v>
      </c>
      <c r="E262" t="s">
        <v>554</v>
      </c>
      <c r="F262">
        <v>1509</v>
      </c>
      <c r="G262">
        <v>1518</v>
      </c>
      <c r="H262">
        <v>1509</v>
      </c>
      <c r="I262">
        <v>1515</v>
      </c>
      <c r="J262">
        <v>26000</v>
      </c>
    </row>
    <row r="263" spans="4:10">
      <c r="D263" t="s">
        <v>629</v>
      </c>
      <c r="E263" t="s">
        <v>555</v>
      </c>
      <c r="F263">
        <v>1514</v>
      </c>
      <c r="G263">
        <v>1522</v>
      </c>
      <c r="H263">
        <v>1513</v>
      </c>
      <c r="I263">
        <v>1522</v>
      </c>
      <c r="J263">
        <v>26700</v>
      </c>
    </row>
    <row r="264" spans="4:10">
      <c r="D264" t="s">
        <v>629</v>
      </c>
      <c r="E264" t="s">
        <v>556</v>
      </c>
      <c r="F264">
        <v>1522</v>
      </c>
      <c r="G264">
        <v>1529</v>
      </c>
      <c r="H264">
        <v>1516</v>
      </c>
      <c r="I264">
        <v>1520</v>
      </c>
      <c r="J264">
        <v>63300</v>
      </c>
    </row>
    <row r="265" spans="4:10">
      <c r="D265" t="s">
        <v>629</v>
      </c>
      <c r="E265" t="s">
        <v>557</v>
      </c>
      <c r="F265">
        <v>1520</v>
      </c>
      <c r="G265">
        <v>1521</v>
      </c>
      <c r="H265">
        <v>1511</v>
      </c>
      <c r="I265">
        <v>1517</v>
      </c>
      <c r="J265">
        <v>26800</v>
      </c>
    </row>
    <row r="266" spans="4:10">
      <c r="D266" t="s">
        <v>629</v>
      </c>
      <c r="E266" t="s">
        <v>558</v>
      </c>
      <c r="F266">
        <v>1519</v>
      </c>
      <c r="G266">
        <v>1524</v>
      </c>
      <c r="H266">
        <v>1518</v>
      </c>
      <c r="I266">
        <v>1524</v>
      </c>
      <c r="J266">
        <v>10000</v>
      </c>
    </row>
    <row r="267" spans="4:10">
      <c r="D267" t="s">
        <v>629</v>
      </c>
      <c r="E267" t="s">
        <v>559</v>
      </c>
      <c r="F267">
        <v>1524</v>
      </c>
      <c r="G267">
        <v>1529</v>
      </c>
      <c r="H267">
        <v>1524</v>
      </c>
      <c r="I267">
        <v>1529</v>
      </c>
      <c r="J267">
        <v>39800</v>
      </c>
    </row>
    <row r="268" spans="4:10">
      <c r="D268" t="s">
        <v>629</v>
      </c>
      <c r="E268" t="s">
        <v>560</v>
      </c>
      <c r="F268">
        <v>1527</v>
      </c>
      <c r="G268">
        <v>1528</v>
      </c>
      <c r="H268">
        <v>1520</v>
      </c>
      <c r="I268">
        <v>1522</v>
      </c>
      <c r="J268">
        <v>24400</v>
      </c>
    </row>
    <row r="269" spans="4:10">
      <c r="D269" t="s">
        <v>629</v>
      </c>
      <c r="E269" t="s">
        <v>561</v>
      </c>
      <c r="F269">
        <v>1522</v>
      </c>
      <c r="G269">
        <v>1522</v>
      </c>
      <c r="H269">
        <v>1514</v>
      </c>
      <c r="I269">
        <v>1516</v>
      </c>
      <c r="J269">
        <v>33800</v>
      </c>
    </row>
    <row r="270" spans="4:10">
      <c r="D270" t="s">
        <v>629</v>
      </c>
      <c r="E270" t="s">
        <v>562</v>
      </c>
      <c r="F270">
        <v>1515</v>
      </c>
      <c r="G270">
        <v>1519</v>
      </c>
      <c r="H270">
        <v>1513</v>
      </c>
      <c r="I270">
        <v>1514</v>
      </c>
      <c r="J270">
        <v>16100</v>
      </c>
    </row>
    <row r="271" spans="4:10">
      <c r="D271" t="s">
        <v>629</v>
      </c>
      <c r="E271" t="s">
        <v>563</v>
      </c>
      <c r="F271">
        <v>1514</v>
      </c>
      <c r="G271">
        <v>1525</v>
      </c>
      <c r="H271">
        <v>1512</v>
      </c>
      <c r="I271">
        <v>1525</v>
      </c>
      <c r="J271">
        <v>25400</v>
      </c>
    </row>
    <row r="272" spans="4:10">
      <c r="D272" t="s">
        <v>629</v>
      </c>
      <c r="E272" t="s">
        <v>564</v>
      </c>
      <c r="F272">
        <v>1524</v>
      </c>
      <c r="G272">
        <v>1539</v>
      </c>
      <c r="H272">
        <v>1524</v>
      </c>
      <c r="I272">
        <v>1536</v>
      </c>
      <c r="J272">
        <v>66800</v>
      </c>
    </row>
    <row r="273" spans="4:10">
      <c r="D273" t="s">
        <v>629</v>
      </c>
      <c r="E273" t="s">
        <v>565</v>
      </c>
      <c r="F273">
        <v>1535</v>
      </c>
      <c r="G273">
        <v>1537</v>
      </c>
      <c r="H273">
        <v>1530</v>
      </c>
      <c r="I273">
        <v>1534</v>
      </c>
      <c r="J273">
        <v>21500</v>
      </c>
    </row>
    <row r="274" spans="4:10">
      <c r="D274" t="s">
        <v>629</v>
      </c>
      <c r="E274" t="s">
        <v>566</v>
      </c>
      <c r="F274">
        <v>1534</v>
      </c>
      <c r="G274">
        <v>1544</v>
      </c>
      <c r="H274">
        <v>1532</v>
      </c>
      <c r="I274">
        <v>1537</v>
      </c>
      <c r="J274">
        <v>51500</v>
      </c>
    </row>
    <row r="275" spans="4:10">
      <c r="D275" t="s">
        <v>629</v>
      </c>
      <c r="E275" t="s">
        <v>567</v>
      </c>
      <c r="F275">
        <v>1537</v>
      </c>
      <c r="G275">
        <v>1539</v>
      </c>
      <c r="H275">
        <v>1526</v>
      </c>
      <c r="I275">
        <v>1527</v>
      </c>
      <c r="J275">
        <v>61000</v>
      </c>
    </row>
    <row r="276" spans="4:10">
      <c r="D276" t="s">
        <v>629</v>
      </c>
      <c r="E276" t="s">
        <v>568</v>
      </c>
      <c r="F276">
        <v>1528</v>
      </c>
      <c r="G276">
        <v>1535</v>
      </c>
      <c r="H276">
        <v>1525</v>
      </c>
      <c r="I276">
        <v>1525</v>
      </c>
      <c r="J276">
        <v>43000</v>
      </c>
    </row>
    <row r="277" spans="4:10">
      <c r="D277" t="s">
        <v>629</v>
      </c>
      <c r="E277" t="s">
        <v>569</v>
      </c>
      <c r="F277">
        <v>1527</v>
      </c>
      <c r="G277">
        <v>1570</v>
      </c>
      <c r="H277">
        <v>1526</v>
      </c>
      <c r="I277">
        <v>1555</v>
      </c>
      <c r="J277">
        <v>229100</v>
      </c>
    </row>
    <row r="278" spans="4:10">
      <c r="D278" t="s">
        <v>629</v>
      </c>
      <c r="E278" t="s">
        <v>570</v>
      </c>
      <c r="F278">
        <v>1555</v>
      </c>
      <c r="G278">
        <v>1559</v>
      </c>
      <c r="H278">
        <v>1531</v>
      </c>
      <c r="I278">
        <v>1538</v>
      </c>
      <c r="J278">
        <v>103300</v>
      </c>
    </row>
    <row r="279" spans="4:10">
      <c r="D279" t="s">
        <v>629</v>
      </c>
      <c r="E279" t="s">
        <v>571</v>
      </c>
      <c r="F279" t="s">
        <v>35</v>
      </c>
      <c r="G279" t="s">
        <v>35</v>
      </c>
      <c r="H279" t="s">
        <v>35</v>
      </c>
      <c r="I279" t="s">
        <v>35</v>
      </c>
      <c r="J279">
        <v>0</v>
      </c>
    </row>
    <row r="280" spans="4:10">
      <c r="D280" t="s">
        <v>629</v>
      </c>
      <c r="E280" t="s">
        <v>572</v>
      </c>
      <c r="F280">
        <v>1537</v>
      </c>
      <c r="G280">
        <v>1537</v>
      </c>
      <c r="H280">
        <v>1537</v>
      </c>
      <c r="I280">
        <v>1537</v>
      </c>
      <c r="J280">
        <v>73700</v>
      </c>
    </row>
    <row r="281" spans="4:10">
      <c r="D281" t="s">
        <v>621</v>
      </c>
      <c r="E281" t="s">
        <v>574</v>
      </c>
      <c r="F281">
        <v>1477</v>
      </c>
      <c r="G281">
        <v>1481</v>
      </c>
      <c r="H281">
        <v>1437</v>
      </c>
      <c r="I281">
        <v>1463</v>
      </c>
      <c r="J281">
        <v>271100</v>
      </c>
    </row>
    <row r="282" spans="4:10">
      <c r="D282" t="s">
        <v>621</v>
      </c>
      <c r="E282" t="s">
        <v>575</v>
      </c>
      <c r="F282">
        <v>1464</v>
      </c>
      <c r="G282">
        <v>1480</v>
      </c>
      <c r="H282">
        <v>1460</v>
      </c>
      <c r="I282">
        <v>1477</v>
      </c>
      <c r="J282">
        <v>80600</v>
      </c>
    </row>
    <row r="283" spans="4:10">
      <c r="D283" t="s">
        <v>621</v>
      </c>
      <c r="E283" t="s">
        <v>576</v>
      </c>
      <c r="F283">
        <v>1475</v>
      </c>
      <c r="G283">
        <v>1485</v>
      </c>
      <c r="H283">
        <v>1454</v>
      </c>
      <c r="I283">
        <v>1464</v>
      </c>
      <c r="J283">
        <v>77900</v>
      </c>
    </row>
    <row r="284" spans="4:10">
      <c r="D284" t="s">
        <v>621</v>
      </c>
      <c r="E284" t="s">
        <v>577</v>
      </c>
      <c r="F284">
        <v>1463</v>
      </c>
      <c r="G284">
        <v>1483</v>
      </c>
      <c r="H284">
        <v>1455</v>
      </c>
      <c r="I284">
        <v>1473</v>
      </c>
      <c r="J284">
        <v>59200</v>
      </c>
    </row>
    <row r="285" spans="4:10">
      <c r="D285" t="s">
        <v>621</v>
      </c>
      <c r="E285" t="s">
        <v>578</v>
      </c>
      <c r="F285">
        <v>1471</v>
      </c>
      <c r="G285">
        <v>1493</v>
      </c>
      <c r="H285">
        <v>1459</v>
      </c>
      <c r="I285">
        <v>1475</v>
      </c>
      <c r="J285">
        <v>55000</v>
      </c>
    </row>
    <row r="286" spans="4:10">
      <c r="D286" t="s">
        <v>621</v>
      </c>
      <c r="E286" t="s">
        <v>579</v>
      </c>
      <c r="F286">
        <v>1474</v>
      </c>
      <c r="G286">
        <v>1482</v>
      </c>
      <c r="H286">
        <v>1455</v>
      </c>
      <c r="I286">
        <v>1455</v>
      </c>
      <c r="J286">
        <v>47300</v>
      </c>
    </row>
    <row r="287" spans="4:10">
      <c r="D287" t="s">
        <v>621</v>
      </c>
      <c r="E287" t="s">
        <v>580</v>
      </c>
      <c r="F287">
        <v>1455</v>
      </c>
      <c r="G287">
        <v>1465</v>
      </c>
      <c r="H287">
        <v>1449</v>
      </c>
      <c r="I287">
        <v>1458</v>
      </c>
      <c r="J287">
        <v>47300</v>
      </c>
    </row>
    <row r="288" spans="4:10">
      <c r="D288" t="s">
        <v>621</v>
      </c>
      <c r="E288" t="s">
        <v>581</v>
      </c>
      <c r="F288">
        <v>1458</v>
      </c>
      <c r="G288">
        <v>1486</v>
      </c>
      <c r="H288">
        <v>1458</v>
      </c>
      <c r="I288">
        <v>1485</v>
      </c>
      <c r="J288">
        <v>35900</v>
      </c>
    </row>
    <row r="289" spans="4:10">
      <c r="D289" t="s">
        <v>621</v>
      </c>
      <c r="E289" t="s">
        <v>582</v>
      </c>
      <c r="F289">
        <v>1485</v>
      </c>
      <c r="G289">
        <v>1496</v>
      </c>
      <c r="H289">
        <v>1485</v>
      </c>
      <c r="I289">
        <v>1492</v>
      </c>
      <c r="J289">
        <v>37200</v>
      </c>
    </row>
    <row r="290" spans="4:10">
      <c r="D290" t="s">
        <v>621</v>
      </c>
      <c r="E290" t="s">
        <v>583</v>
      </c>
      <c r="F290">
        <v>1493</v>
      </c>
      <c r="G290">
        <v>1499</v>
      </c>
      <c r="H290">
        <v>1481</v>
      </c>
      <c r="I290">
        <v>1484</v>
      </c>
      <c r="J290">
        <v>36600</v>
      </c>
    </row>
    <row r="291" spans="4:10">
      <c r="D291" t="s">
        <v>621</v>
      </c>
      <c r="E291" t="s">
        <v>584</v>
      </c>
      <c r="F291">
        <v>1482</v>
      </c>
      <c r="G291">
        <v>1497</v>
      </c>
      <c r="H291">
        <v>1478</v>
      </c>
      <c r="I291">
        <v>1496</v>
      </c>
      <c r="J291">
        <v>34200</v>
      </c>
    </row>
    <row r="292" spans="4:10">
      <c r="D292" t="s">
        <v>621</v>
      </c>
      <c r="E292" t="s">
        <v>585</v>
      </c>
      <c r="F292">
        <v>1494</v>
      </c>
      <c r="G292">
        <v>1498</v>
      </c>
      <c r="H292">
        <v>1478</v>
      </c>
      <c r="I292">
        <v>1486</v>
      </c>
      <c r="J292">
        <v>41100</v>
      </c>
    </row>
    <row r="293" spans="4:10">
      <c r="D293" t="s">
        <v>621</v>
      </c>
      <c r="E293" t="s">
        <v>586</v>
      </c>
      <c r="F293">
        <v>1485</v>
      </c>
      <c r="G293">
        <v>1485</v>
      </c>
      <c r="H293">
        <v>1473</v>
      </c>
      <c r="I293">
        <v>1482</v>
      </c>
      <c r="J293">
        <v>21000</v>
      </c>
    </row>
    <row r="294" spans="4:10">
      <c r="D294" t="s">
        <v>621</v>
      </c>
      <c r="E294" t="s">
        <v>587</v>
      </c>
      <c r="F294">
        <v>1484</v>
      </c>
      <c r="G294">
        <v>1503</v>
      </c>
      <c r="H294">
        <v>1484</v>
      </c>
      <c r="I294">
        <v>1500</v>
      </c>
      <c r="J294">
        <v>41200</v>
      </c>
    </row>
    <row r="295" spans="4:10">
      <c r="D295" t="s">
        <v>621</v>
      </c>
      <c r="E295" t="s">
        <v>588</v>
      </c>
      <c r="F295">
        <v>1503</v>
      </c>
      <c r="G295">
        <v>1515</v>
      </c>
      <c r="H295">
        <v>1489</v>
      </c>
      <c r="I295">
        <v>1493</v>
      </c>
      <c r="J295">
        <v>46900</v>
      </c>
    </row>
    <row r="296" spans="4:10">
      <c r="D296" t="s">
        <v>621</v>
      </c>
      <c r="E296" t="s">
        <v>589</v>
      </c>
      <c r="F296">
        <v>1492</v>
      </c>
      <c r="G296">
        <v>1492</v>
      </c>
      <c r="H296">
        <v>1476</v>
      </c>
      <c r="I296">
        <v>1480</v>
      </c>
      <c r="J296">
        <v>23400</v>
      </c>
    </row>
    <row r="297" spans="4:10">
      <c r="D297" t="s">
        <v>621</v>
      </c>
      <c r="E297" t="s">
        <v>590</v>
      </c>
      <c r="F297">
        <v>1482</v>
      </c>
      <c r="G297">
        <v>1492</v>
      </c>
      <c r="H297">
        <v>1482</v>
      </c>
      <c r="I297">
        <v>1491</v>
      </c>
      <c r="J297">
        <v>13600</v>
      </c>
    </row>
    <row r="298" spans="4:10">
      <c r="D298" t="s">
        <v>621</v>
      </c>
      <c r="E298" t="s">
        <v>591</v>
      </c>
      <c r="F298">
        <v>1492</v>
      </c>
      <c r="G298">
        <v>1494</v>
      </c>
      <c r="H298">
        <v>1482</v>
      </c>
      <c r="I298">
        <v>1490</v>
      </c>
      <c r="J298">
        <v>23700</v>
      </c>
    </row>
    <row r="299" spans="4:10">
      <c r="D299" t="s">
        <v>621</v>
      </c>
      <c r="E299" t="s">
        <v>592</v>
      </c>
      <c r="F299">
        <v>1491</v>
      </c>
      <c r="G299">
        <v>1498</v>
      </c>
      <c r="H299">
        <v>1483</v>
      </c>
      <c r="I299">
        <v>1486</v>
      </c>
      <c r="J299">
        <v>21000</v>
      </c>
    </row>
    <row r="300" spans="4:10">
      <c r="D300" t="s">
        <v>621</v>
      </c>
      <c r="E300" t="s">
        <v>593</v>
      </c>
      <c r="F300">
        <v>1483</v>
      </c>
      <c r="G300">
        <v>1488</v>
      </c>
      <c r="H300">
        <v>1479</v>
      </c>
      <c r="I300">
        <v>1488</v>
      </c>
      <c r="J300">
        <v>15000</v>
      </c>
    </row>
    <row r="301" spans="4:10">
      <c r="D301" t="s">
        <v>621</v>
      </c>
      <c r="E301" t="s">
        <v>594</v>
      </c>
      <c r="F301">
        <v>1486</v>
      </c>
      <c r="G301">
        <v>1490</v>
      </c>
      <c r="H301">
        <v>1479</v>
      </c>
      <c r="I301">
        <v>1485</v>
      </c>
      <c r="J301">
        <v>20000</v>
      </c>
    </row>
    <row r="302" spans="4:10">
      <c r="D302" t="s">
        <v>621</v>
      </c>
      <c r="E302" t="s">
        <v>595</v>
      </c>
      <c r="F302">
        <v>1487</v>
      </c>
      <c r="G302">
        <v>1502</v>
      </c>
      <c r="H302">
        <v>1486</v>
      </c>
      <c r="I302">
        <v>1500</v>
      </c>
      <c r="J302">
        <v>31100</v>
      </c>
    </row>
    <row r="303" spans="4:10">
      <c r="D303" t="s">
        <v>621</v>
      </c>
      <c r="E303" t="s">
        <v>596</v>
      </c>
      <c r="F303">
        <v>1499</v>
      </c>
      <c r="G303">
        <v>1505</v>
      </c>
      <c r="H303">
        <v>1488</v>
      </c>
      <c r="I303">
        <v>1491</v>
      </c>
      <c r="J303">
        <v>18900</v>
      </c>
    </row>
    <row r="304" spans="4:10">
      <c r="D304" t="s">
        <v>621</v>
      </c>
      <c r="E304" t="s">
        <v>597</v>
      </c>
      <c r="F304">
        <v>1491</v>
      </c>
      <c r="G304">
        <v>1496</v>
      </c>
      <c r="H304">
        <v>1490</v>
      </c>
      <c r="I304">
        <v>1495</v>
      </c>
      <c r="J304">
        <v>8700</v>
      </c>
    </row>
    <row r="305" spans="4:10">
      <c r="D305" t="s">
        <v>621</v>
      </c>
      <c r="E305" t="s">
        <v>598</v>
      </c>
      <c r="F305">
        <v>1495</v>
      </c>
      <c r="G305">
        <v>1501</v>
      </c>
      <c r="H305">
        <v>1491</v>
      </c>
      <c r="I305">
        <v>1493</v>
      </c>
      <c r="J305">
        <v>16700</v>
      </c>
    </row>
    <row r="306" spans="4:10">
      <c r="D306" t="s">
        <v>621</v>
      </c>
      <c r="E306" t="s">
        <v>599</v>
      </c>
      <c r="F306">
        <v>1495</v>
      </c>
      <c r="G306">
        <v>1501</v>
      </c>
      <c r="H306">
        <v>1495</v>
      </c>
      <c r="I306">
        <v>1497</v>
      </c>
      <c r="J306">
        <v>13700</v>
      </c>
    </row>
    <row r="307" spans="4:10">
      <c r="D307" t="s">
        <v>621</v>
      </c>
      <c r="E307" t="s">
        <v>600</v>
      </c>
      <c r="F307">
        <v>1498</v>
      </c>
      <c r="G307">
        <v>1508</v>
      </c>
      <c r="H307">
        <v>1497</v>
      </c>
      <c r="I307">
        <v>1508</v>
      </c>
      <c r="J307">
        <v>16200</v>
      </c>
    </row>
    <row r="308" spans="4:10">
      <c r="D308" t="s">
        <v>621</v>
      </c>
      <c r="E308" t="s">
        <v>601</v>
      </c>
      <c r="F308">
        <v>1507</v>
      </c>
      <c r="G308">
        <v>1521</v>
      </c>
      <c r="H308">
        <v>1507</v>
      </c>
      <c r="I308">
        <v>1521</v>
      </c>
      <c r="J308">
        <v>27500</v>
      </c>
    </row>
    <row r="309" spans="4:10">
      <c r="D309" t="s">
        <v>621</v>
      </c>
      <c r="E309" t="s">
        <v>602</v>
      </c>
      <c r="F309">
        <v>1521</v>
      </c>
      <c r="G309">
        <v>1524</v>
      </c>
      <c r="H309">
        <v>1506</v>
      </c>
      <c r="I309">
        <v>1508</v>
      </c>
      <c r="J309">
        <v>15600</v>
      </c>
    </row>
    <row r="310" spans="4:10">
      <c r="D310" t="s">
        <v>621</v>
      </c>
      <c r="E310" t="s">
        <v>603</v>
      </c>
      <c r="F310">
        <v>1506</v>
      </c>
      <c r="G310">
        <v>1509</v>
      </c>
      <c r="H310">
        <v>1499</v>
      </c>
      <c r="I310">
        <v>1502</v>
      </c>
      <c r="J310">
        <v>23500</v>
      </c>
    </row>
    <row r="311" spans="4:10">
      <c r="D311" t="s">
        <v>621</v>
      </c>
      <c r="E311" t="s">
        <v>604</v>
      </c>
      <c r="F311">
        <v>1498</v>
      </c>
      <c r="G311">
        <v>1498</v>
      </c>
      <c r="H311">
        <v>1498</v>
      </c>
      <c r="I311">
        <v>1498</v>
      </c>
      <c r="J311">
        <v>4000</v>
      </c>
    </row>
    <row r="312" spans="4:10">
      <c r="D312" t="s">
        <v>621</v>
      </c>
      <c r="E312" t="s">
        <v>605</v>
      </c>
      <c r="F312">
        <v>1504</v>
      </c>
      <c r="G312">
        <v>1528</v>
      </c>
      <c r="H312">
        <v>1504</v>
      </c>
      <c r="I312">
        <v>1525</v>
      </c>
      <c r="J312">
        <v>65700</v>
      </c>
    </row>
    <row r="313" spans="4:10">
      <c r="D313" t="s">
        <v>621</v>
      </c>
      <c r="E313" t="s">
        <v>606</v>
      </c>
      <c r="F313">
        <v>1527</v>
      </c>
      <c r="G313">
        <v>1536</v>
      </c>
      <c r="H313">
        <v>1527</v>
      </c>
      <c r="I313">
        <v>1532</v>
      </c>
      <c r="J313">
        <v>32800</v>
      </c>
    </row>
    <row r="314" spans="4:10">
      <c r="D314" t="s">
        <v>621</v>
      </c>
      <c r="E314" t="s">
        <v>538</v>
      </c>
      <c r="F314">
        <v>1533</v>
      </c>
      <c r="G314">
        <v>1533</v>
      </c>
      <c r="H314">
        <v>1520</v>
      </c>
      <c r="I314">
        <v>1527</v>
      </c>
      <c r="J314">
        <v>31200</v>
      </c>
    </row>
    <row r="315" spans="4:10">
      <c r="D315" t="s">
        <v>621</v>
      </c>
      <c r="E315" t="s">
        <v>539</v>
      </c>
      <c r="F315">
        <v>1527</v>
      </c>
      <c r="G315">
        <v>1528</v>
      </c>
      <c r="H315">
        <v>1513</v>
      </c>
      <c r="I315">
        <v>1518</v>
      </c>
      <c r="J315">
        <v>32900</v>
      </c>
    </row>
    <row r="316" spans="4:10">
      <c r="D316" t="s">
        <v>621</v>
      </c>
      <c r="E316" t="s">
        <v>540</v>
      </c>
      <c r="F316">
        <v>1517</v>
      </c>
      <c r="G316">
        <v>1527</v>
      </c>
      <c r="H316">
        <v>1517</v>
      </c>
      <c r="I316">
        <v>1527</v>
      </c>
      <c r="J316">
        <v>13100</v>
      </c>
    </row>
    <row r="317" spans="4:10">
      <c r="D317" t="s">
        <v>621</v>
      </c>
      <c r="E317" t="s">
        <v>541</v>
      </c>
      <c r="F317">
        <v>1528</v>
      </c>
      <c r="G317">
        <v>1528</v>
      </c>
      <c r="H317">
        <v>1520</v>
      </c>
      <c r="I317">
        <v>1523</v>
      </c>
      <c r="J317">
        <v>15000</v>
      </c>
    </row>
    <row r="318" spans="4:10">
      <c r="D318" t="s">
        <v>621</v>
      </c>
      <c r="E318" t="s">
        <v>542</v>
      </c>
      <c r="F318">
        <v>1523</v>
      </c>
      <c r="G318">
        <v>1523</v>
      </c>
      <c r="H318">
        <v>1509</v>
      </c>
      <c r="I318">
        <v>1510</v>
      </c>
      <c r="J318">
        <v>27200</v>
      </c>
    </row>
    <row r="319" spans="4:10">
      <c r="D319" t="s">
        <v>621</v>
      </c>
      <c r="E319" t="s">
        <v>543</v>
      </c>
      <c r="F319">
        <v>1510</v>
      </c>
      <c r="G319">
        <v>1514</v>
      </c>
      <c r="H319">
        <v>1507</v>
      </c>
      <c r="I319">
        <v>1509</v>
      </c>
      <c r="J319">
        <v>19100</v>
      </c>
    </row>
    <row r="320" spans="4:10">
      <c r="D320" t="s">
        <v>621</v>
      </c>
      <c r="E320" t="s">
        <v>544</v>
      </c>
      <c r="F320">
        <v>1510</v>
      </c>
      <c r="G320">
        <v>1513</v>
      </c>
      <c r="H320">
        <v>1506</v>
      </c>
      <c r="I320">
        <v>1510</v>
      </c>
      <c r="J320">
        <v>14900</v>
      </c>
    </row>
    <row r="321" spans="4:10">
      <c r="D321" t="s">
        <v>621</v>
      </c>
      <c r="E321" t="s">
        <v>545</v>
      </c>
      <c r="F321">
        <v>1511</v>
      </c>
      <c r="G321">
        <v>1520</v>
      </c>
      <c r="H321">
        <v>1509</v>
      </c>
      <c r="I321">
        <v>1511</v>
      </c>
      <c r="J321">
        <v>14500</v>
      </c>
    </row>
    <row r="322" spans="4:10">
      <c r="D322" t="s">
        <v>621</v>
      </c>
      <c r="E322" t="s">
        <v>546</v>
      </c>
      <c r="F322">
        <v>1511</v>
      </c>
      <c r="G322">
        <v>1522</v>
      </c>
      <c r="H322">
        <v>1511</v>
      </c>
      <c r="I322">
        <v>1517</v>
      </c>
      <c r="J322">
        <v>15900</v>
      </c>
    </row>
    <row r="323" spans="4:10">
      <c r="D323" t="s">
        <v>621</v>
      </c>
      <c r="E323" t="s">
        <v>547</v>
      </c>
      <c r="F323">
        <v>1518</v>
      </c>
      <c r="G323">
        <v>1521</v>
      </c>
      <c r="H323">
        <v>1515</v>
      </c>
      <c r="I323">
        <v>1515</v>
      </c>
      <c r="J323">
        <v>6400</v>
      </c>
    </row>
    <row r="324" spans="4:10">
      <c r="D324" t="s">
        <v>621</v>
      </c>
      <c r="E324" t="s">
        <v>548</v>
      </c>
      <c r="F324">
        <v>1515</v>
      </c>
      <c r="G324">
        <v>1518</v>
      </c>
      <c r="H324">
        <v>1512</v>
      </c>
      <c r="I324">
        <v>1512</v>
      </c>
      <c r="J324">
        <v>10900</v>
      </c>
    </row>
    <row r="325" spans="4:10">
      <c r="D325" t="s">
        <v>621</v>
      </c>
      <c r="E325" t="s">
        <v>549</v>
      </c>
      <c r="F325">
        <v>1512</v>
      </c>
      <c r="G325">
        <v>1514</v>
      </c>
      <c r="H325">
        <v>1508</v>
      </c>
      <c r="I325">
        <v>1512</v>
      </c>
      <c r="J325">
        <v>24900</v>
      </c>
    </row>
    <row r="326" spans="4:10">
      <c r="D326" t="s">
        <v>621</v>
      </c>
      <c r="E326" t="s">
        <v>550</v>
      </c>
      <c r="F326">
        <v>1511</v>
      </c>
      <c r="G326">
        <v>1513</v>
      </c>
      <c r="H326">
        <v>1508</v>
      </c>
      <c r="I326">
        <v>1508</v>
      </c>
      <c r="J326">
        <v>6800</v>
      </c>
    </row>
    <row r="327" spans="4:10">
      <c r="D327" t="s">
        <v>621</v>
      </c>
      <c r="E327" t="s">
        <v>551</v>
      </c>
      <c r="F327">
        <v>1510</v>
      </c>
      <c r="G327">
        <v>1514</v>
      </c>
      <c r="H327">
        <v>1509</v>
      </c>
      <c r="I327">
        <v>1511</v>
      </c>
      <c r="J327">
        <v>10900</v>
      </c>
    </row>
    <row r="328" spans="4:10">
      <c r="D328" t="s">
        <v>621</v>
      </c>
      <c r="E328" t="s">
        <v>552</v>
      </c>
      <c r="F328">
        <v>1509</v>
      </c>
      <c r="G328">
        <v>1511</v>
      </c>
      <c r="H328">
        <v>1508</v>
      </c>
      <c r="I328">
        <v>1508</v>
      </c>
      <c r="J328">
        <v>5100</v>
      </c>
    </row>
    <row r="329" spans="4:10">
      <c r="D329" t="s">
        <v>621</v>
      </c>
      <c r="E329" t="s">
        <v>553</v>
      </c>
      <c r="F329">
        <v>1508</v>
      </c>
      <c r="G329">
        <v>1509</v>
      </c>
      <c r="H329">
        <v>1503</v>
      </c>
      <c r="I329">
        <v>1506</v>
      </c>
      <c r="J329">
        <v>15500</v>
      </c>
    </row>
    <row r="330" spans="4:10">
      <c r="D330" t="s">
        <v>621</v>
      </c>
      <c r="E330" t="s">
        <v>554</v>
      </c>
      <c r="F330">
        <v>1506</v>
      </c>
      <c r="G330">
        <v>1508</v>
      </c>
      <c r="H330">
        <v>1501</v>
      </c>
      <c r="I330">
        <v>1501</v>
      </c>
      <c r="J330">
        <v>7600</v>
      </c>
    </row>
    <row r="331" spans="4:10">
      <c r="D331" t="s">
        <v>621</v>
      </c>
      <c r="E331" t="s">
        <v>555</v>
      </c>
      <c r="F331">
        <v>1501</v>
      </c>
      <c r="G331">
        <v>1504</v>
      </c>
      <c r="H331">
        <v>1499</v>
      </c>
      <c r="I331">
        <v>1501</v>
      </c>
      <c r="J331">
        <v>18500</v>
      </c>
    </row>
    <row r="332" spans="4:10">
      <c r="D332" t="s">
        <v>621</v>
      </c>
      <c r="E332" t="s">
        <v>556</v>
      </c>
      <c r="F332">
        <v>1501</v>
      </c>
      <c r="G332">
        <v>1509</v>
      </c>
      <c r="H332">
        <v>1501</v>
      </c>
      <c r="I332">
        <v>1506</v>
      </c>
      <c r="J332">
        <v>7500</v>
      </c>
    </row>
    <row r="333" spans="4:10">
      <c r="D333" t="s">
        <v>621</v>
      </c>
      <c r="E333" t="s">
        <v>557</v>
      </c>
      <c r="F333">
        <v>1505</v>
      </c>
      <c r="G333">
        <v>1506</v>
      </c>
      <c r="H333">
        <v>1501</v>
      </c>
      <c r="I333">
        <v>1504</v>
      </c>
      <c r="J333">
        <v>9000</v>
      </c>
    </row>
    <row r="334" spans="4:10">
      <c r="D334" t="s">
        <v>621</v>
      </c>
      <c r="E334" t="s">
        <v>558</v>
      </c>
      <c r="F334">
        <v>1505</v>
      </c>
      <c r="G334">
        <v>1506</v>
      </c>
      <c r="H334">
        <v>1500</v>
      </c>
      <c r="I334">
        <v>1502</v>
      </c>
      <c r="J334">
        <v>7300</v>
      </c>
    </row>
    <row r="335" spans="4:10">
      <c r="D335" t="s">
        <v>621</v>
      </c>
      <c r="E335" t="s">
        <v>559</v>
      </c>
      <c r="F335">
        <v>1503</v>
      </c>
      <c r="G335">
        <v>1504</v>
      </c>
      <c r="H335">
        <v>1500</v>
      </c>
      <c r="I335">
        <v>1503</v>
      </c>
      <c r="J335">
        <v>7800</v>
      </c>
    </row>
    <row r="336" spans="4:10">
      <c r="D336" t="s">
        <v>621</v>
      </c>
      <c r="E336" t="s">
        <v>560</v>
      </c>
      <c r="F336">
        <v>1502</v>
      </c>
      <c r="G336">
        <v>1508</v>
      </c>
      <c r="H336">
        <v>1500</v>
      </c>
      <c r="I336">
        <v>1506</v>
      </c>
      <c r="J336">
        <v>10300</v>
      </c>
    </row>
    <row r="337" spans="4:10">
      <c r="D337" t="s">
        <v>621</v>
      </c>
      <c r="E337" t="s">
        <v>561</v>
      </c>
      <c r="F337">
        <v>1507</v>
      </c>
      <c r="G337">
        <v>1508</v>
      </c>
      <c r="H337">
        <v>1501</v>
      </c>
      <c r="I337">
        <v>1502</v>
      </c>
      <c r="J337">
        <v>8900</v>
      </c>
    </row>
    <row r="338" spans="4:10">
      <c r="D338" t="s">
        <v>621</v>
      </c>
      <c r="E338" t="s">
        <v>562</v>
      </c>
      <c r="F338">
        <v>1504</v>
      </c>
      <c r="G338">
        <v>1506</v>
      </c>
      <c r="H338">
        <v>1496</v>
      </c>
      <c r="I338">
        <v>1499</v>
      </c>
      <c r="J338">
        <v>19100</v>
      </c>
    </row>
    <row r="339" spans="4:10">
      <c r="D339" t="s">
        <v>621</v>
      </c>
      <c r="E339" t="s">
        <v>563</v>
      </c>
      <c r="F339">
        <v>1499</v>
      </c>
      <c r="G339">
        <v>1500</v>
      </c>
      <c r="H339">
        <v>1496</v>
      </c>
      <c r="I339">
        <v>1498</v>
      </c>
      <c r="J339">
        <v>13500</v>
      </c>
    </row>
    <row r="340" spans="4:10">
      <c r="D340" t="s">
        <v>621</v>
      </c>
      <c r="E340" t="s">
        <v>564</v>
      </c>
      <c r="F340">
        <v>1496</v>
      </c>
      <c r="G340">
        <v>1498</v>
      </c>
      <c r="H340">
        <v>1491</v>
      </c>
      <c r="I340">
        <v>1495</v>
      </c>
      <c r="J340">
        <v>15800</v>
      </c>
    </row>
    <row r="341" spans="4:10">
      <c r="D341" t="s">
        <v>621</v>
      </c>
      <c r="E341" t="s">
        <v>565</v>
      </c>
      <c r="F341">
        <v>1495</v>
      </c>
      <c r="G341">
        <v>1502</v>
      </c>
      <c r="H341">
        <v>1495</v>
      </c>
      <c r="I341">
        <v>1500</v>
      </c>
      <c r="J341">
        <v>12900</v>
      </c>
    </row>
    <row r="342" spans="4:10">
      <c r="D342" t="s">
        <v>621</v>
      </c>
      <c r="E342" t="s">
        <v>566</v>
      </c>
      <c r="F342">
        <v>1499</v>
      </c>
      <c r="G342">
        <v>1501</v>
      </c>
      <c r="H342">
        <v>1493</v>
      </c>
      <c r="I342">
        <v>1493</v>
      </c>
      <c r="J342">
        <v>13100</v>
      </c>
    </row>
    <row r="343" spans="4:10">
      <c r="D343" t="s">
        <v>621</v>
      </c>
      <c r="E343" t="s">
        <v>567</v>
      </c>
      <c r="F343">
        <v>1494</v>
      </c>
      <c r="G343">
        <v>1494</v>
      </c>
      <c r="H343">
        <v>1488</v>
      </c>
      <c r="I343">
        <v>1490</v>
      </c>
      <c r="J343">
        <v>28000</v>
      </c>
    </row>
    <row r="344" spans="4:10">
      <c r="D344" t="s">
        <v>621</v>
      </c>
      <c r="E344" t="s">
        <v>568</v>
      </c>
      <c r="F344">
        <v>1490</v>
      </c>
      <c r="G344">
        <v>1493</v>
      </c>
      <c r="H344">
        <v>1488</v>
      </c>
      <c r="I344">
        <v>1489</v>
      </c>
      <c r="J344">
        <v>14800</v>
      </c>
    </row>
    <row r="345" spans="4:10">
      <c r="D345" t="s">
        <v>621</v>
      </c>
      <c r="E345" t="s">
        <v>569</v>
      </c>
      <c r="F345">
        <v>1487</v>
      </c>
      <c r="G345">
        <v>1503</v>
      </c>
      <c r="H345">
        <v>1486</v>
      </c>
      <c r="I345">
        <v>1490</v>
      </c>
      <c r="J345">
        <v>29700</v>
      </c>
    </row>
    <row r="346" spans="4:10">
      <c r="D346" t="s">
        <v>621</v>
      </c>
      <c r="E346" t="s">
        <v>570</v>
      </c>
      <c r="F346">
        <v>1491</v>
      </c>
      <c r="G346">
        <v>1497</v>
      </c>
      <c r="H346">
        <v>1485</v>
      </c>
      <c r="I346">
        <v>1487</v>
      </c>
      <c r="J346">
        <v>29900</v>
      </c>
    </row>
    <row r="347" spans="4:10">
      <c r="D347" t="s">
        <v>621</v>
      </c>
      <c r="E347" t="s">
        <v>571</v>
      </c>
      <c r="F347" t="s">
        <v>35</v>
      </c>
      <c r="G347" t="s">
        <v>35</v>
      </c>
      <c r="H347" t="s">
        <v>35</v>
      </c>
      <c r="I347" t="s">
        <v>35</v>
      </c>
      <c r="J347">
        <v>0</v>
      </c>
    </row>
    <row r="348" spans="4:10">
      <c r="D348" t="s">
        <v>621</v>
      </c>
      <c r="E348" t="s">
        <v>572</v>
      </c>
      <c r="F348">
        <v>1485</v>
      </c>
      <c r="G348">
        <v>1485</v>
      </c>
      <c r="H348">
        <v>1485</v>
      </c>
      <c r="I348">
        <v>1485</v>
      </c>
      <c r="J348">
        <v>47600</v>
      </c>
    </row>
    <row r="349" spans="4:10">
      <c r="D349" t="s">
        <v>622</v>
      </c>
      <c r="E349" t="s">
        <v>574</v>
      </c>
      <c r="F349">
        <v>1501</v>
      </c>
      <c r="G349">
        <v>1531</v>
      </c>
      <c r="H349">
        <v>1497</v>
      </c>
      <c r="I349">
        <v>1527</v>
      </c>
      <c r="J349">
        <v>127900</v>
      </c>
    </row>
    <row r="350" spans="4:10">
      <c r="D350" t="s">
        <v>622</v>
      </c>
      <c r="E350" t="s">
        <v>575</v>
      </c>
      <c r="F350">
        <v>1526</v>
      </c>
      <c r="G350">
        <v>1532</v>
      </c>
      <c r="H350">
        <v>1505</v>
      </c>
      <c r="I350">
        <v>1519</v>
      </c>
      <c r="J350">
        <v>56900</v>
      </c>
    </row>
    <row r="351" spans="4:10">
      <c r="D351" t="s">
        <v>622</v>
      </c>
      <c r="E351" t="s">
        <v>576</v>
      </c>
      <c r="F351">
        <v>1520</v>
      </c>
      <c r="G351">
        <v>1528</v>
      </c>
      <c r="H351">
        <v>1512</v>
      </c>
      <c r="I351">
        <v>1522</v>
      </c>
      <c r="J351">
        <v>46600</v>
      </c>
    </row>
    <row r="352" spans="4:10">
      <c r="D352" t="s">
        <v>622</v>
      </c>
      <c r="E352" t="s">
        <v>577</v>
      </c>
      <c r="F352">
        <v>1522</v>
      </c>
      <c r="G352">
        <v>1534</v>
      </c>
      <c r="H352">
        <v>1513</v>
      </c>
      <c r="I352">
        <v>1530</v>
      </c>
      <c r="J352">
        <v>75000</v>
      </c>
    </row>
    <row r="353" spans="4:10">
      <c r="D353" t="s">
        <v>622</v>
      </c>
      <c r="E353" t="s">
        <v>578</v>
      </c>
      <c r="F353">
        <v>1527</v>
      </c>
      <c r="G353">
        <v>1545</v>
      </c>
      <c r="H353">
        <v>1524</v>
      </c>
      <c r="I353">
        <v>1540</v>
      </c>
      <c r="J353">
        <v>81900</v>
      </c>
    </row>
    <row r="354" spans="4:10">
      <c r="D354" t="s">
        <v>622</v>
      </c>
      <c r="E354" t="s">
        <v>579</v>
      </c>
      <c r="F354">
        <v>1538</v>
      </c>
      <c r="G354">
        <v>1555</v>
      </c>
      <c r="H354">
        <v>1529</v>
      </c>
      <c r="I354">
        <v>1554</v>
      </c>
      <c r="J354">
        <v>61700</v>
      </c>
    </row>
    <row r="355" spans="4:10">
      <c r="D355" t="s">
        <v>622</v>
      </c>
      <c r="E355" t="s">
        <v>580</v>
      </c>
      <c r="F355">
        <v>1554</v>
      </c>
      <c r="G355">
        <v>1562</v>
      </c>
      <c r="H355">
        <v>1542</v>
      </c>
      <c r="I355">
        <v>1546</v>
      </c>
      <c r="J355">
        <v>73900</v>
      </c>
    </row>
    <row r="356" spans="4:10">
      <c r="D356" t="s">
        <v>622</v>
      </c>
      <c r="E356" t="s">
        <v>581</v>
      </c>
      <c r="F356">
        <v>1548</v>
      </c>
      <c r="G356">
        <v>1552</v>
      </c>
      <c r="H356">
        <v>1520</v>
      </c>
      <c r="I356">
        <v>1523</v>
      </c>
      <c r="J356">
        <v>76700</v>
      </c>
    </row>
    <row r="357" spans="4:10">
      <c r="D357" t="s">
        <v>622</v>
      </c>
      <c r="E357" t="s">
        <v>582</v>
      </c>
      <c r="F357">
        <v>1523</v>
      </c>
      <c r="G357">
        <v>1534</v>
      </c>
      <c r="H357">
        <v>1511</v>
      </c>
      <c r="I357">
        <v>1531</v>
      </c>
      <c r="J357">
        <v>45600</v>
      </c>
    </row>
    <row r="358" spans="4:10">
      <c r="D358" t="s">
        <v>622</v>
      </c>
      <c r="E358" t="s">
        <v>583</v>
      </c>
      <c r="F358">
        <v>1534</v>
      </c>
      <c r="G358">
        <v>1542</v>
      </c>
      <c r="H358">
        <v>1528</v>
      </c>
      <c r="I358">
        <v>1540</v>
      </c>
      <c r="J358">
        <v>20900</v>
      </c>
    </row>
    <row r="359" spans="4:10">
      <c r="D359" t="s">
        <v>622</v>
      </c>
      <c r="E359" t="s">
        <v>584</v>
      </c>
      <c r="F359">
        <v>1540</v>
      </c>
      <c r="G359">
        <v>1561</v>
      </c>
      <c r="H359">
        <v>1538</v>
      </c>
      <c r="I359">
        <v>1556</v>
      </c>
      <c r="J359">
        <v>46300</v>
      </c>
    </row>
    <row r="360" spans="4:10">
      <c r="D360" t="s">
        <v>622</v>
      </c>
      <c r="E360" t="s">
        <v>585</v>
      </c>
      <c r="F360">
        <v>1556</v>
      </c>
      <c r="G360">
        <v>1556</v>
      </c>
      <c r="H360">
        <v>1547</v>
      </c>
      <c r="I360">
        <v>1549</v>
      </c>
      <c r="J360">
        <v>20800</v>
      </c>
    </row>
    <row r="361" spans="4:10">
      <c r="D361" t="s">
        <v>622</v>
      </c>
      <c r="E361" t="s">
        <v>586</v>
      </c>
      <c r="F361">
        <v>1549</v>
      </c>
      <c r="G361">
        <v>1549</v>
      </c>
      <c r="H361">
        <v>1534</v>
      </c>
      <c r="I361">
        <v>1543</v>
      </c>
      <c r="J361">
        <v>22000</v>
      </c>
    </row>
    <row r="362" spans="4:10">
      <c r="D362" t="s">
        <v>622</v>
      </c>
      <c r="E362" t="s">
        <v>587</v>
      </c>
      <c r="F362">
        <v>1544</v>
      </c>
      <c r="G362">
        <v>1552</v>
      </c>
      <c r="H362">
        <v>1543</v>
      </c>
      <c r="I362">
        <v>1550</v>
      </c>
      <c r="J362">
        <v>22900</v>
      </c>
    </row>
    <row r="363" spans="4:10">
      <c r="D363" t="s">
        <v>622</v>
      </c>
      <c r="E363" t="s">
        <v>588</v>
      </c>
      <c r="F363">
        <v>1551</v>
      </c>
      <c r="G363">
        <v>1571</v>
      </c>
      <c r="H363">
        <v>1551</v>
      </c>
      <c r="I363">
        <v>1568</v>
      </c>
      <c r="J363">
        <v>59500</v>
      </c>
    </row>
    <row r="364" spans="4:10">
      <c r="D364" t="s">
        <v>622</v>
      </c>
      <c r="E364" t="s">
        <v>589</v>
      </c>
      <c r="F364">
        <v>1566</v>
      </c>
      <c r="G364">
        <v>1574</v>
      </c>
      <c r="H364">
        <v>1554</v>
      </c>
      <c r="I364">
        <v>1556</v>
      </c>
      <c r="J364">
        <v>51100</v>
      </c>
    </row>
    <row r="365" spans="4:10">
      <c r="D365" t="s">
        <v>622</v>
      </c>
      <c r="E365" t="s">
        <v>590</v>
      </c>
      <c r="F365">
        <v>1553</v>
      </c>
      <c r="G365">
        <v>1562</v>
      </c>
      <c r="H365">
        <v>1551</v>
      </c>
      <c r="I365">
        <v>1561</v>
      </c>
      <c r="J365">
        <v>17400</v>
      </c>
    </row>
    <row r="366" spans="4:10">
      <c r="D366" t="s">
        <v>622</v>
      </c>
      <c r="E366" t="s">
        <v>591</v>
      </c>
      <c r="F366">
        <v>1563</v>
      </c>
      <c r="G366">
        <v>1577</v>
      </c>
      <c r="H366">
        <v>1559</v>
      </c>
      <c r="I366">
        <v>1577</v>
      </c>
      <c r="J366">
        <v>36700</v>
      </c>
    </row>
    <row r="367" spans="4:10">
      <c r="D367" t="s">
        <v>622</v>
      </c>
      <c r="E367" t="s">
        <v>592</v>
      </c>
      <c r="F367">
        <v>1577</v>
      </c>
      <c r="G367">
        <v>1595</v>
      </c>
      <c r="H367">
        <v>1575</v>
      </c>
      <c r="I367">
        <v>1593</v>
      </c>
      <c r="J367">
        <v>66400</v>
      </c>
    </row>
    <row r="368" spans="4:10">
      <c r="D368" t="s">
        <v>622</v>
      </c>
      <c r="E368" t="s">
        <v>593</v>
      </c>
      <c r="F368">
        <v>1592</v>
      </c>
      <c r="G368">
        <v>1595</v>
      </c>
      <c r="H368">
        <v>1574</v>
      </c>
      <c r="I368">
        <v>1574</v>
      </c>
      <c r="J368">
        <v>35400</v>
      </c>
    </row>
    <row r="369" spans="4:10">
      <c r="D369" t="s">
        <v>622</v>
      </c>
      <c r="E369" t="s">
        <v>594</v>
      </c>
      <c r="F369">
        <v>1574</v>
      </c>
      <c r="G369">
        <v>1595</v>
      </c>
      <c r="H369">
        <v>1574</v>
      </c>
      <c r="I369">
        <v>1593</v>
      </c>
      <c r="J369">
        <v>37500</v>
      </c>
    </row>
    <row r="370" spans="4:10">
      <c r="D370" t="s">
        <v>622</v>
      </c>
      <c r="E370" t="s">
        <v>595</v>
      </c>
      <c r="F370">
        <v>1595</v>
      </c>
      <c r="G370">
        <v>1596</v>
      </c>
      <c r="H370">
        <v>1586</v>
      </c>
      <c r="I370">
        <v>1595</v>
      </c>
      <c r="J370">
        <v>32100</v>
      </c>
    </row>
    <row r="371" spans="4:10">
      <c r="D371" t="s">
        <v>622</v>
      </c>
      <c r="E371" t="s">
        <v>596</v>
      </c>
      <c r="F371">
        <v>1594</v>
      </c>
      <c r="G371">
        <v>1595</v>
      </c>
      <c r="H371">
        <v>1575</v>
      </c>
      <c r="I371">
        <v>1578</v>
      </c>
      <c r="J371">
        <v>39800</v>
      </c>
    </row>
    <row r="372" spans="4:10">
      <c r="D372" t="s">
        <v>622</v>
      </c>
      <c r="E372" t="s">
        <v>597</v>
      </c>
      <c r="F372">
        <v>1580</v>
      </c>
      <c r="G372">
        <v>1582</v>
      </c>
      <c r="H372">
        <v>1570</v>
      </c>
      <c r="I372">
        <v>1570</v>
      </c>
      <c r="J372">
        <v>33500</v>
      </c>
    </row>
    <row r="373" spans="4:10">
      <c r="D373" t="s">
        <v>622</v>
      </c>
      <c r="E373" t="s">
        <v>598</v>
      </c>
      <c r="F373">
        <v>1570</v>
      </c>
      <c r="G373">
        <v>1570</v>
      </c>
      <c r="H373">
        <v>1561</v>
      </c>
      <c r="I373">
        <v>1562</v>
      </c>
      <c r="J373">
        <v>29600</v>
      </c>
    </row>
    <row r="374" spans="4:10">
      <c r="D374" t="s">
        <v>622</v>
      </c>
      <c r="E374" t="s">
        <v>599</v>
      </c>
      <c r="F374">
        <v>1563</v>
      </c>
      <c r="G374">
        <v>1565</v>
      </c>
      <c r="H374">
        <v>1554</v>
      </c>
      <c r="I374">
        <v>1565</v>
      </c>
      <c r="J374">
        <v>45100</v>
      </c>
    </row>
    <row r="375" spans="4:10">
      <c r="D375" t="s">
        <v>622</v>
      </c>
      <c r="E375" t="s">
        <v>600</v>
      </c>
      <c r="F375">
        <v>1565</v>
      </c>
      <c r="G375">
        <v>1579</v>
      </c>
      <c r="H375">
        <v>1563</v>
      </c>
      <c r="I375">
        <v>1578</v>
      </c>
      <c r="J375">
        <v>45000</v>
      </c>
    </row>
    <row r="376" spans="4:10">
      <c r="D376" t="s">
        <v>622</v>
      </c>
      <c r="E376" t="s">
        <v>601</v>
      </c>
      <c r="F376">
        <v>1578</v>
      </c>
      <c r="G376">
        <v>1598</v>
      </c>
      <c r="H376">
        <v>1578</v>
      </c>
      <c r="I376">
        <v>1593</v>
      </c>
      <c r="J376">
        <v>48400</v>
      </c>
    </row>
    <row r="377" spans="4:10">
      <c r="D377" t="s">
        <v>622</v>
      </c>
      <c r="E377" t="s">
        <v>602</v>
      </c>
      <c r="F377">
        <v>1592</v>
      </c>
      <c r="G377">
        <v>1592</v>
      </c>
      <c r="H377">
        <v>1581</v>
      </c>
      <c r="I377">
        <v>1585</v>
      </c>
      <c r="J377">
        <v>17300</v>
      </c>
    </row>
    <row r="378" spans="4:10">
      <c r="D378" t="s">
        <v>622</v>
      </c>
      <c r="E378" t="s">
        <v>603</v>
      </c>
      <c r="F378">
        <v>1585</v>
      </c>
      <c r="G378">
        <v>1587</v>
      </c>
      <c r="H378">
        <v>1582</v>
      </c>
      <c r="I378">
        <v>1586</v>
      </c>
      <c r="J378">
        <v>7400</v>
      </c>
    </row>
    <row r="379" spans="4:10">
      <c r="D379" t="s">
        <v>622</v>
      </c>
      <c r="E379" t="s">
        <v>604</v>
      </c>
      <c r="F379">
        <v>1584</v>
      </c>
      <c r="G379">
        <v>1584</v>
      </c>
      <c r="H379">
        <v>1584</v>
      </c>
      <c r="I379">
        <v>1584</v>
      </c>
      <c r="J379">
        <v>200</v>
      </c>
    </row>
    <row r="380" spans="4:10">
      <c r="D380" t="s">
        <v>622</v>
      </c>
      <c r="E380" t="s">
        <v>605</v>
      </c>
      <c r="F380">
        <v>1590</v>
      </c>
      <c r="G380">
        <v>1599</v>
      </c>
      <c r="H380">
        <v>1585</v>
      </c>
      <c r="I380">
        <v>1594</v>
      </c>
      <c r="J380">
        <v>94500</v>
      </c>
    </row>
    <row r="381" spans="4:10">
      <c r="D381" t="s">
        <v>622</v>
      </c>
      <c r="E381" t="s">
        <v>606</v>
      </c>
      <c r="F381">
        <v>1594</v>
      </c>
      <c r="G381">
        <v>1599</v>
      </c>
      <c r="H381">
        <v>1585</v>
      </c>
      <c r="I381">
        <v>1585</v>
      </c>
      <c r="J381">
        <v>45900</v>
      </c>
    </row>
    <row r="382" spans="4:10">
      <c r="D382" t="s">
        <v>622</v>
      </c>
      <c r="E382" t="s">
        <v>538</v>
      </c>
      <c r="F382">
        <v>1585</v>
      </c>
      <c r="G382">
        <v>1585</v>
      </c>
      <c r="H382">
        <v>1563</v>
      </c>
      <c r="I382">
        <v>1564</v>
      </c>
      <c r="J382">
        <v>41300</v>
      </c>
    </row>
    <row r="383" spans="4:10">
      <c r="D383" t="s">
        <v>622</v>
      </c>
      <c r="E383" t="s">
        <v>539</v>
      </c>
      <c r="F383">
        <v>1566</v>
      </c>
      <c r="G383">
        <v>1579</v>
      </c>
      <c r="H383">
        <v>1563</v>
      </c>
      <c r="I383">
        <v>1575</v>
      </c>
      <c r="J383">
        <v>25900</v>
      </c>
    </row>
    <row r="384" spans="4:10">
      <c r="D384" t="s">
        <v>622</v>
      </c>
      <c r="E384" t="s">
        <v>540</v>
      </c>
      <c r="F384">
        <v>1574</v>
      </c>
      <c r="G384">
        <v>1588</v>
      </c>
      <c r="H384">
        <v>1574</v>
      </c>
      <c r="I384">
        <v>1588</v>
      </c>
      <c r="J384">
        <v>26900</v>
      </c>
    </row>
    <row r="385" spans="4:10">
      <c r="D385" t="s">
        <v>622</v>
      </c>
      <c r="E385" t="s">
        <v>541</v>
      </c>
      <c r="F385">
        <v>1587</v>
      </c>
      <c r="G385">
        <v>1591</v>
      </c>
      <c r="H385">
        <v>1586</v>
      </c>
      <c r="I385">
        <v>1589</v>
      </c>
      <c r="J385">
        <v>25600</v>
      </c>
    </row>
    <row r="386" spans="4:10">
      <c r="D386" t="s">
        <v>622</v>
      </c>
      <c r="E386" t="s">
        <v>542</v>
      </c>
      <c r="F386">
        <v>1588</v>
      </c>
      <c r="G386">
        <v>1601</v>
      </c>
      <c r="H386">
        <v>1587</v>
      </c>
      <c r="I386">
        <v>1590</v>
      </c>
      <c r="J386">
        <v>74300</v>
      </c>
    </row>
    <row r="387" spans="4:10">
      <c r="D387" t="s">
        <v>622</v>
      </c>
      <c r="E387" t="s">
        <v>543</v>
      </c>
      <c r="F387">
        <v>1590</v>
      </c>
      <c r="G387">
        <v>1592</v>
      </c>
      <c r="H387">
        <v>1581</v>
      </c>
      <c r="I387">
        <v>1588</v>
      </c>
      <c r="J387">
        <v>18800</v>
      </c>
    </row>
    <row r="388" spans="4:10">
      <c r="D388" t="s">
        <v>622</v>
      </c>
      <c r="E388" t="s">
        <v>544</v>
      </c>
      <c r="F388">
        <v>1588</v>
      </c>
      <c r="G388">
        <v>1590</v>
      </c>
      <c r="H388">
        <v>1581</v>
      </c>
      <c r="I388">
        <v>1589</v>
      </c>
      <c r="J388">
        <v>13900</v>
      </c>
    </row>
    <row r="389" spans="4:10">
      <c r="D389" t="s">
        <v>622</v>
      </c>
      <c r="E389" t="s">
        <v>545</v>
      </c>
      <c r="F389">
        <v>1590</v>
      </c>
      <c r="G389">
        <v>1595</v>
      </c>
      <c r="H389">
        <v>1588</v>
      </c>
      <c r="I389">
        <v>1594</v>
      </c>
      <c r="J389">
        <v>15400</v>
      </c>
    </row>
    <row r="390" spans="4:10">
      <c r="D390" t="s">
        <v>622</v>
      </c>
      <c r="E390" t="s">
        <v>546</v>
      </c>
      <c r="F390">
        <v>1594</v>
      </c>
      <c r="G390">
        <v>1599</v>
      </c>
      <c r="H390">
        <v>1593</v>
      </c>
      <c r="I390">
        <v>1599</v>
      </c>
      <c r="J390">
        <v>17000</v>
      </c>
    </row>
    <row r="391" spans="4:10">
      <c r="D391" t="s">
        <v>622</v>
      </c>
      <c r="E391" t="s">
        <v>547</v>
      </c>
      <c r="F391">
        <v>1599</v>
      </c>
      <c r="G391">
        <v>1601</v>
      </c>
      <c r="H391">
        <v>1589</v>
      </c>
      <c r="I391">
        <v>1600</v>
      </c>
      <c r="J391">
        <v>29800</v>
      </c>
    </row>
    <row r="392" spans="4:10">
      <c r="D392" t="s">
        <v>622</v>
      </c>
      <c r="E392" t="s">
        <v>548</v>
      </c>
      <c r="F392">
        <v>1601</v>
      </c>
      <c r="G392">
        <v>1614</v>
      </c>
      <c r="H392">
        <v>1600</v>
      </c>
      <c r="I392">
        <v>1610</v>
      </c>
      <c r="J392">
        <v>74500</v>
      </c>
    </row>
    <row r="393" spans="4:10">
      <c r="D393" t="s">
        <v>622</v>
      </c>
      <c r="E393" t="s">
        <v>549</v>
      </c>
      <c r="F393">
        <v>1609</v>
      </c>
      <c r="G393">
        <v>1610</v>
      </c>
      <c r="H393">
        <v>1600</v>
      </c>
      <c r="I393">
        <v>1608</v>
      </c>
      <c r="J393">
        <v>31800</v>
      </c>
    </row>
    <row r="394" spans="4:10">
      <c r="D394" t="s">
        <v>622</v>
      </c>
      <c r="E394" t="s">
        <v>550</v>
      </c>
      <c r="F394">
        <v>1606</v>
      </c>
      <c r="G394">
        <v>1608</v>
      </c>
      <c r="H394">
        <v>1599</v>
      </c>
      <c r="I394">
        <v>1606</v>
      </c>
      <c r="J394">
        <v>19200</v>
      </c>
    </row>
    <row r="395" spans="4:10">
      <c r="D395" t="s">
        <v>622</v>
      </c>
      <c r="E395" t="s">
        <v>551</v>
      </c>
      <c r="F395">
        <v>1607</v>
      </c>
      <c r="G395">
        <v>1613</v>
      </c>
      <c r="H395">
        <v>1606</v>
      </c>
      <c r="I395">
        <v>1613</v>
      </c>
      <c r="J395">
        <v>25300</v>
      </c>
    </row>
    <row r="396" spans="4:10">
      <c r="D396" t="s">
        <v>622</v>
      </c>
      <c r="E396" t="s">
        <v>552</v>
      </c>
      <c r="F396">
        <v>1613</v>
      </c>
      <c r="G396">
        <v>1613</v>
      </c>
      <c r="H396">
        <v>1599</v>
      </c>
      <c r="I396">
        <v>1603</v>
      </c>
      <c r="J396">
        <v>38400</v>
      </c>
    </row>
    <row r="397" spans="4:10">
      <c r="D397" t="s">
        <v>622</v>
      </c>
      <c r="E397" t="s">
        <v>553</v>
      </c>
      <c r="F397">
        <v>1605</v>
      </c>
      <c r="G397">
        <v>1607</v>
      </c>
      <c r="H397">
        <v>1593</v>
      </c>
      <c r="I397">
        <v>1595</v>
      </c>
      <c r="J397">
        <v>21000</v>
      </c>
    </row>
    <row r="398" spans="4:10">
      <c r="D398" t="s">
        <v>622</v>
      </c>
      <c r="E398" t="s">
        <v>554</v>
      </c>
      <c r="F398">
        <v>1595</v>
      </c>
      <c r="G398">
        <v>1597</v>
      </c>
      <c r="H398">
        <v>1585</v>
      </c>
      <c r="I398">
        <v>1596</v>
      </c>
      <c r="J398">
        <v>34200</v>
      </c>
    </row>
    <row r="399" spans="4:10">
      <c r="D399" t="s">
        <v>622</v>
      </c>
      <c r="E399" t="s">
        <v>555</v>
      </c>
      <c r="F399">
        <v>1596</v>
      </c>
      <c r="G399">
        <v>1599</v>
      </c>
      <c r="H399">
        <v>1593</v>
      </c>
      <c r="I399">
        <v>1598</v>
      </c>
      <c r="J399">
        <v>17700</v>
      </c>
    </row>
    <row r="400" spans="4:10">
      <c r="D400" t="s">
        <v>622</v>
      </c>
      <c r="E400" t="s">
        <v>556</v>
      </c>
      <c r="F400">
        <v>1597</v>
      </c>
      <c r="G400">
        <v>1602</v>
      </c>
      <c r="H400">
        <v>1591</v>
      </c>
      <c r="I400">
        <v>1602</v>
      </c>
      <c r="J400">
        <v>45300</v>
      </c>
    </row>
    <row r="401" spans="4:10">
      <c r="D401" t="s">
        <v>622</v>
      </c>
      <c r="E401" t="s">
        <v>557</v>
      </c>
      <c r="F401">
        <v>1602</v>
      </c>
      <c r="G401">
        <v>1604</v>
      </c>
      <c r="H401">
        <v>1600</v>
      </c>
      <c r="I401">
        <v>1601</v>
      </c>
      <c r="J401">
        <v>27100</v>
      </c>
    </row>
    <row r="402" spans="4:10">
      <c r="D402" t="s">
        <v>622</v>
      </c>
      <c r="E402" t="s">
        <v>558</v>
      </c>
      <c r="F402">
        <v>1602</v>
      </c>
      <c r="G402">
        <v>1612</v>
      </c>
      <c r="H402">
        <v>1602</v>
      </c>
      <c r="I402">
        <v>1612</v>
      </c>
      <c r="J402">
        <v>27700</v>
      </c>
    </row>
    <row r="403" spans="4:10">
      <c r="D403" t="s">
        <v>622</v>
      </c>
      <c r="E403" t="s">
        <v>559</v>
      </c>
      <c r="F403">
        <v>1610</v>
      </c>
      <c r="G403">
        <v>1610</v>
      </c>
      <c r="H403">
        <v>1603</v>
      </c>
      <c r="I403">
        <v>1610</v>
      </c>
      <c r="J403">
        <v>14600</v>
      </c>
    </row>
    <row r="404" spans="4:10">
      <c r="D404" t="s">
        <v>622</v>
      </c>
      <c r="E404" t="s">
        <v>560</v>
      </c>
      <c r="F404">
        <v>1610</v>
      </c>
      <c r="G404">
        <v>1612</v>
      </c>
      <c r="H404">
        <v>1607</v>
      </c>
      <c r="I404">
        <v>1611</v>
      </c>
      <c r="J404">
        <v>13700</v>
      </c>
    </row>
    <row r="405" spans="4:10">
      <c r="D405" t="s">
        <v>622</v>
      </c>
      <c r="E405" t="s">
        <v>561</v>
      </c>
      <c r="F405">
        <v>1610</v>
      </c>
      <c r="G405">
        <v>1620</v>
      </c>
      <c r="H405">
        <v>1610</v>
      </c>
      <c r="I405">
        <v>1613</v>
      </c>
      <c r="J405">
        <v>38200</v>
      </c>
    </row>
    <row r="406" spans="4:10">
      <c r="D406" t="s">
        <v>622</v>
      </c>
      <c r="E406" t="s">
        <v>562</v>
      </c>
      <c r="F406">
        <v>1613</v>
      </c>
      <c r="G406">
        <v>1618</v>
      </c>
      <c r="H406">
        <v>1612</v>
      </c>
      <c r="I406">
        <v>1614</v>
      </c>
      <c r="J406">
        <v>37000</v>
      </c>
    </row>
    <row r="407" spans="4:10">
      <c r="D407" t="s">
        <v>622</v>
      </c>
      <c r="E407" t="s">
        <v>563</v>
      </c>
      <c r="F407">
        <v>1614</v>
      </c>
      <c r="G407">
        <v>1617</v>
      </c>
      <c r="H407">
        <v>1613</v>
      </c>
      <c r="I407">
        <v>1613</v>
      </c>
      <c r="J407">
        <v>7400</v>
      </c>
    </row>
    <row r="408" spans="4:10">
      <c r="D408" t="s">
        <v>622</v>
      </c>
      <c r="E408" t="s">
        <v>564</v>
      </c>
      <c r="F408">
        <v>1614</v>
      </c>
      <c r="G408">
        <v>1619</v>
      </c>
      <c r="H408">
        <v>1613</v>
      </c>
      <c r="I408">
        <v>1618</v>
      </c>
      <c r="J408">
        <v>10100</v>
      </c>
    </row>
    <row r="409" spans="4:10">
      <c r="D409" t="s">
        <v>622</v>
      </c>
      <c r="E409" t="s">
        <v>565</v>
      </c>
      <c r="F409">
        <v>1619</v>
      </c>
      <c r="G409">
        <v>1627</v>
      </c>
      <c r="H409">
        <v>1617</v>
      </c>
      <c r="I409">
        <v>1626</v>
      </c>
      <c r="J409">
        <v>34200</v>
      </c>
    </row>
    <row r="410" spans="4:10">
      <c r="D410" t="s">
        <v>622</v>
      </c>
      <c r="E410" t="s">
        <v>566</v>
      </c>
      <c r="F410">
        <v>1626</v>
      </c>
      <c r="G410">
        <v>1628</v>
      </c>
      <c r="H410">
        <v>1623</v>
      </c>
      <c r="I410">
        <v>1628</v>
      </c>
      <c r="J410">
        <v>15700</v>
      </c>
    </row>
    <row r="411" spans="4:10">
      <c r="D411" t="s">
        <v>622</v>
      </c>
      <c r="E411" t="s">
        <v>567</v>
      </c>
      <c r="F411">
        <v>1628</v>
      </c>
      <c r="G411">
        <v>1628</v>
      </c>
      <c r="H411">
        <v>1620</v>
      </c>
      <c r="I411">
        <v>1624</v>
      </c>
      <c r="J411">
        <v>35900</v>
      </c>
    </row>
    <row r="412" spans="4:10">
      <c r="D412" t="s">
        <v>622</v>
      </c>
      <c r="E412" t="s">
        <v>568</v>
      </c>
      <c r="F412">
        <v>1625</v>
      </c>
      <c r="G412">
        <v>1626</v>
      </c>
      <c r="H412">
        <v>1618</v>
      </c>
      <c r="I412">
        <v>1623</v>
      </c>
      <c r="J412">
        <v>22200</v>
      </c>
    </row>
    <row r="413" spans="4:10">
      <c r="D413" t="s">
        <v>622</v>
      </c>
      <c r="E413" t="s">
        <v>569</v>
      </c>
      <c r="F413">
        <v>1622</v>
      </c>
      <c r="G413">
        <v>1622</v>
      </c>
      <c r="H413">
        <v>1617</v>
      </c>
      <c r="I413">
        <v>1620</v>
      </c>
      <c r="J413">
        <v>21300</v>
      </c>
    </row>
    <row r="414" spans="4:10">
      <c r="D414" t="s">
        <v>622</v>
      </c>
      <c r="E414" t="s">
        <v>570</v>
      </c>
      <c r="F414">
        <v>1620</v>
      </c>
      <c r="G414">
        <v>1624</v>
      </c>
      <c r="H414">
        <v>1620</v>
      </c>
      <c r="I414">
        <v>1622</v>
      </c>
      <c r="J414">
        <v>22300</v>
      </c>
    </row>
    <row r="415" spans="4:10">
      <c r="D415" t="s">
        <v>622</v>
      </c>
      <c r="E415" t="s">
        <v>571</v>
      </c>
      <c r="F415" t="s">
        <v>35</v>
      </c>
      <c r="G415" t="s">
        <v>35</v>
      </c>
      <c r="H415" t="s">
        <v>35</v>
      </c>
      <c r="I415" t="s">
        <v>35</v>
      </c>
      <c r="J415">
        <v>0</v>
      </c>
    </row>
    <row r="416" spans="4:10">
      <c r="D416" t="s">
        <v>622</v>
      </c>
      <c r="E416" t="s">
        <v>572</v>
      </c>
      <c r="F416">
        <v>1626</v>
      </c>
      <c r="G416">
        <v>1626</v>
      </c>
      <c r="H416">
        <v>1626</v>
      </c>
      <c r="I416">
        <v>1626</v>
      </c>
      <c r="J416">
        <v>56600</v>
      </c>
    </row>
    <row r="417" spans="4:10">
      <c r="D417" t="s">
        <v>623</v>
      </c>
      <c r="E417" t="s">
        <v>574</v>
      </c>
      <c r="F417" t="s">
        <v>35</v>
      </c>
      <c r="G417" t="s">
        <v>35</v>
      </c>
      <c r="H417" t="s">
        <v>35</v>
      </c>
      <c r="I417" t="s">
        <v>35</v>
      </c>
      <c r="J417">
        <v>0</v>
      </c>
    </row>
    <row r="418" spans="4:10">
      <c r="D418" t="s">
        <v>623</v>
      </c>
      <c r="E418" t="s">
        <v>575</v>
      </c>
      <c r="F418" t="s">
        <v>35</v>
      </c>
      <c r="G418" t="s">
        <v>35</v>
      </c>
      <c r="H418" t="s">
        <v>35</v>
      </c>
      <c r="I418" t="s">
        <v>35</v>
      </c>
      <c r="J418">
        <v>0</v>
      </c>
    </row>
    <row r="419" spans="4:10">
      <c r="D419" t="s">
        <v>623</v>
      </c>
      <c r="E419" t="s">
        <v>576</v>
      </c>
      <c r="F419">
        <v>1820</v>
      </c>
      <c r="G419">
        <v>1830</v>
      </c>
      <c r="H419">
        <v>1757</v>
      </c>
      <c r="I419">
        <v>1790</v>
      </c>
      <c r="J419">
        <v>404500</v>
      </c>
    </row>
    <row r="420" spans="4:10">
      <c r="D420" t="s">
        <v>623</v>
      </c>
      <c r="E420" t="s">
        <v>577</v>
      </c>
      <c r="F420">
        <v>1790</v>
      </c>
      <c r="G420">
        <v>1841</v>
      </c>
      <c r="H420">
        <v>1790</v>
      </c>
      <c r="I420">
        <v>1819</v>
      </c>
      <c r="J420">
        <v>215200</v>
      </c>
    </row>
    <row r="421" spans="4:10">
      <c r="D421" t="s">
        <v>623</v>
      </c>
      <c r="E421" t="s">
        <v>578</v>
      </c>
      <c r="F421">
        <v>1817</v>
      </c>
      <c r="G421">
        <v>1881</v>
      </c>
      <c r="H421">
        <v>1814</v>
      </c>
      <c r="I421">
        <v>1881</v>
      </c>
      <c r="J421">
        <v>250500</v>
      </c>
    </row>
    <row r="422" spans="4:10">
      <c r="D422" t="s">
        <v>623</v>
      </c>
      <c r="E422" t="s">
        <v>579</v>
      </c>
      <c r="F422">
        <v>1880</v>
      </c>
      <c r="G422">
        <v>1920</v>
      </c>
      <c r="H422">
        <v>1880</v>
      </c>
      <c r="I422">
        <v>1918</v>
      </c>
      <c r="J422">
        <v>325400</v>
      </c>
    </row>
    <row r="423" spans="4:10">
      <c r="D423" t="s">
        <v>623</v>
      </c>
      <c r="E423" t="s">
        <v>580</v>
      </c>
      <c r="F423">
        <v>1915</v>
      </c>
      <c r="G423">
        <v>1917</v>
      </c>
      <c r="H423">
        <v>1863</v>
      </c>
      <c r="I423">
        <v>1871</v>
      </c>
      <c r="J423">
        <v>235200</v>
      </c>
    </row>
    <row r="424" spans="4:10">
      <c r="D424" t="s">
        <v>623</v>
      </c>
      <c r="E424" t="s">
        <v>581</v>
      </c>
      <c r="F424">
        <v>1870</v>
      </c>
      <c r="G424">
        <v>1872</v>
      </c>
      <c r="H424">
        <v>1836</v>
      </c>
      <c r="I424">
        <v>1868</v>
      </c>
      <c r="J424">
        <v>187200</v>
      </c>
    </row>
    <row r="425" spans="4:10">
      <c r="D425" t="s">
        <v>623</v>
      </c>
      <c r="E425" t="s">
        <v>582</v>
      </c>
      <c r="F425">
        <v>1867</v>
      </c>
      <c r="G425">
        <v>1869</v>
      </c>
      <c r="H425">
        <v>1833</v>
      </c>
      <c r="I425">
        <v>1837</v>
      </c>
      <c r="J425">
        <v>107400</v>
      </c>
    </row>
    <row r="426" spans="4:10">
      <c r="D426" t="s">
        <v>623</v>
      </c>
      <c r="E426" t="s">
        <v>583</v>
      </c>
      <c r="F426">
        <v>1839</v>
      </c>
      <c r="G426">
        <v>1843</v>
      </c>
      <c r="H426">
        <v>1811</v>
      </c>
      <c r="I426">
        <v>1822</v>
      </c>
      <c r="J426">
        <v>131700</v>
      </c>
    </row>
    <row r="427" spans="4:10">
      <c r="D427" t="s">
        <v>623</v>
      </c>
      <c r="E427" t="s">
        <v>584</v>
      </c>
      <c r="F427">
        <v>1821</v>
      </c>
      <c r="G427">
        <v>1841</v>
      </c>
      <c r="H427">
        <v>1821</v>
      </c>
      <c r="I427">
        <v>1838</v>
      </c>
      <c r="J427">
        <v>78600</v>
      </c>
    </row>
    <row r="428" spans="4:10">
      <c r="D428" t="s">
        <v>623</v>
      </c>
      <c r="E428" t="s">
        <v>585</v>
      </c>
      <c r="F428">
        <v>1837</v>
      </c>
      <c r="G428">
        <v>1848</v>
      </c>
      <c r="H428">
        <v>1831</v>
      </c>
      <c r="I428">
        <v>1844</v>
      </c>
      <c r="J428">
        <v>62300</v>
      </c>
    </row>
    <row r="429" spans="4:10">
      <c r="D429" t="s">
        <v>623</v>
      </c>
      <c r="E429" t="s">
        <v>586</v>
      </c>
      <c r="F429">
        <v>1843</v>
      </c>
      <c r="G429">
        <v>1850</v>
      </c>
      <c r="H429">
        <v>1830</v>
      </c>
      <c r="I429">
        <v>1844</v>
      </c>
      <c r="J429">
        <v>51200</v>
      </c>
    </row>
    <row r="430" spans="4:10">
      <c r="D430" t="s">
        <v>623</v>
      </c>
      <c r="E430" t="s">
        <v>587</v>
      </c>
      <c r="F430">
        <v>1842</v>
      </c>
      <c r="G430">
        <v>1876</v>
      </c>
      <c r="H430">
        <v>1836</v>
      </c>
      <c r="I430">
        <v>1873</v>
      </c>
      <c r="J430">
        <v>82000</v>
      </c>
    </row>
    <row r="431" spans="4:10">
      <c r="D431" t="s">
        <v>623</v>
      </c>
      <c r="E431" t="s">
        <v>588</v>
      </c>
      <c r="F431">
        <v>1873</v>
      </c>
      <c r="G431">
        <v>1873</v>
      </c>
      <c r="H431">
        <v>1845</v>
      </c>
      <c r="I431">
        <v>1855</v>
      </c>
      <c r="J431">
        <v>75200</v>
      </c>
    </row>
    <row r="432" spans="4:10">
      <c r="D432" t="s">
        <v>623</v>
      </c>
      <c r="E432" t="s">
        <v>589</v>
      </c>
      <c r="F432">
        <v>1854</v>
      </c>
      <c r="G432">
        <v>1858</v>
      </c>
      <c r="H432">
        <v>1830</v>
      </c>
      <c r="I432">
        <v>1834</v>
      </c>
      <c r="J432">
        <v>55200</v>
      </c>
    </row>
    <row r="433" spans="4:10">
      <c r="D433" t="s">
        <v>623</v>
      </c>
      <c r="E433" t="s">
        <v>590</v>
      </c>
      <c r="F433">
        <v>1834</v>
      </c>
      <c r="G433">
        <v>1846</v>
      </c>
      <c r="H433">
        <v>1832</v>
      </c>
      <c r="I433">
        <v>1840</v>
      </c>
      <c r="J433">
        <v>31500</v>
      </c>
    </row>
    <row r="434" spans="4:10">
      <c r="D434" t="s">
        <v>623</v>
      </c>
      <c r="E434" t="s">
        <v>591</v>
      </c>
      <c r="F434">
        <v>1839</v>
      </c>
      <c r="G434">
        <v>1839</v>
      </c>
      <c r="H434">
        <v>1827</v>
      </c>
      <c r="I434">
        <v>1834</v>
      </c>
      <c r="J434">
        <v>29900</v>
      </c>
    </row>
    <row r="435" spans="4:10">
      <c r="D435" t="s">
        <v>623</v>
      </c>
      <c r="E435" t="s">
        <v>592</v>
      </c>
      <c r="F435">
        <v>1834</v>
      </c>
      <c r="G435">
        <v>1836</v>
      </c>
      <c r="H435">
        <v>1831</v>
      </c>
      <c r="I435">
        <v>1832</v>
      </c>
      <c r="J435">
        <v>15700</v>
      </c>
    </row>
    <row r="436" spans="4:10">
      <c r="D436" t="s">
        <v>623</v>
      </c>
      <c r="E436" t="s">
        <v>593</v>
      </c>
      <c r="F436">
        <v>1832</v>
      </c>
      <c r="G436">
        <v>1833</v>
      </c>
      <c r="H436">
        <v>1820</v>
      </c>
      <c r="I436">
        <v>1830</v>
      </c>
      <c r="J436">
        <v>30600</v>
      </c>
    </row>
    <row r="437" spans="4:10">
      <c r="D437" t="s">
        <v>623</v>
      </c>
      <c r="E437" t="s">
        <v>594</v>
      </c>
      <c r="F437">
        <v>1830</v>
      </c>
      <c r="G437">
        <v>1838</v>
      </c>
      <c r="H437">
        <v>1827</v>
      </c>
      <c r="I437">
        <v>1838</v>
      </c>
      <c r="J437">
        <v>21200</v>
      </c>
    </row>
    <row r="438" spans="4:10">
      <c r="D438" t="s">
        <v>623</v>
      </c>
      <c r="E438" t="s">
        <v>595</v>
      </c>
      <c r="F438">
        <v>1838</v>
      </c>
      <c r="G438">
        <v>1844</v>
      </c>
      <c r="H438">
        <v>1834</v>
      </c>
      <c r="I438">
        <v>1842</v>
      </c>
      <c r="J438">
        <v>48100</v>
      </c>
    </row>
    <row r="439" spans="4:10">
      <c r="D439" t="s">
        <v>623</v>
      </c>
      <c r="E439" t="s">
        <v>596</v>
      </c>
      <c r="F439">
        <v>1843</v>
      </c>
      <c r="G439">
        <v>1844</v>
      </c>
      <c r="H439">
        <v>1833</v>
      </c>
      <c r="I439">
        <v>1834</v>
      </c>
      <c r="J439">
        <v>18100</v>
      </c>
    </row>
    <row r="440" spans="4:10">
      <c r="D440" t="s">
        <v>623</v>
      </c>
      <c r="E440" t="s">
        <v>597</v>
      </c>
      <c r="F440">
        <v>1835</v>
      </c>
      <c r="G440">
        <v>1842</v>
      </c>
      <c r="H440">
        <v>1832</v>
      </c>
      <c r="I440">
        <v>1838</v>
      </c>
      <c r="J440">
        <v>23200</v>
      </c>
    </row>
    <row r="441" spans="4:10">
      <c r="D441" t="s">
        <v>623</v>
      </c>
      <c r="E441" t="s">
        <v>598</v>
      </c>
      <c r="F441">
        <v>1839</v>
      </c>
      <c r="G441">
        <v>1841</v>
      </c>
      <c r="H441">
        <v>1836</v>
      </c>
      <c r="I441">
        <v>1836</v>
      </c>
      <c r="J441">
        <v>12500</v>
      </c>
    </row>
    <row r="442" spans="4:10">
      <c r="D442" t="s">
        <v>623</v>
      </c>
      <c r="E442" t="s">
        <v>599</v>
      </c>
      <c r="F442">
        <v>1837</v>
      </c>
      <c r="G442">
        <v>1839</v>
      </c>
      <c r="H442">
        <v>1825</v>
      </c>
      <c r="I442">
        <v>1826</v>
      </c>
      <c r="J442">
        <v>24400</v>
      </c>
    </row>
    <row r="443" spans="4:10">
      <c r="D443" t="s">
        <v>623</v>
      </c>
      <c r="E443" t="s">
        <v>600</v>
      </c>
      <c r="F443">
        <v>1825</v>
      </c>
      <c r="G443">
        <v>1829</v>
      </c>
      <c r="H443">
        <v>1816</v>
      </c>
      <c r="I443">
        <v>1829</v>
      </c>
      <c r="J443">
        <v>43300</v>
      </c>
    </row>
    <row r="444" spans="4:10">
      <c r="D444" t="s">
        <v>623</v>
      </c>
      <c r="E444" t="s">
        <v>601</v>
      </c>
      <c r="F444">
        <v>1829</v>
      </c>
      <c r="G444">
        <v>1835</v>
      </c>
      <c r="H444">
        <v>1828</v>
      </c>
      <c r="I444">
        <v>1835</v>
      </c>
      <c r="J444">
        <v>16500</v>
      </c>
    </row>
    <row r="445" spans="4:10">
      <c r="D445" t="s">
        <v>623</v>
      </c>
      <c r="E445" t="s">
        <v>602</v>
      </c>
      <c r="F445">
        <v>1835</v>
      </c>
      <c r="G445">
        <v>1837</v>
      </c>
      <c r="H445">
        <v>1830</v>
      </c>
      <c r="I445">
        <v>1833</v>
      </c>
      <c r="J445">
        <v>12800</v>
      </c>
    </row>
    <row r="446" spans="4:10">
      <c r="D446" t="s">
        <v>623</v>
      </c>
      <c r="E446" t="s">
        <v>603</v>
      </c>
      <c r="F446">
        <v>1833</v>
      </c>
      <c r="G446">
        <v>1833</v>
      </c>
      <c r="H446">
        <v>1816</v>
      </c>
      <c r="I446">
        <v>1823</v>
      </c>
      <c r="J446">
        <v>34700</v>
      </c>
    </row>
    <row r="447" spans="4:10">
      <c r="D447" t="s">
        <v>623</v>
      </c>
      <c r="E447" t="s">
        <v>604</v>
      </c>
      <c r="F447">
        <v>1817</v>
      </c>
      <c r="G447">
        <v>1817</v>
      </c>
      <c r="H447">
        <v>1817</v>
      </c>
      <c r="I447">
        <v>1817</v>
      </c>
      <c r="J447">
        <v>900</v>
      </c>
    </row>
    <row r="448" spans="4:10">
      <c r="D448" t="s">
        <v>623</v>
      </c>
      <c r="E448" t="s">
        <v>605</v>
      </c>
      <c r="F448">
        <v>1815</v>
      </c>
      <c r="G448">
        <v>1815</v>
      </c>
      <c r="H448">
        <v>1794</v>
      </c>
      <c r="I448">
        <v>1806</v>
      </c>
      <c r="J448">
        <v>113600</v>
      </c>
    </row>
    <row r="449" spans="4:10">
      <c r="D449" t="s">
        <v>623</v>
      </c>
      <c r="E449" t="s">
        <v>606</v>
      </c>
      <c r="F449">
        <v>1805</v>
      </c>
      <c r="G449">
        <v>1816</v>
      </c>
      <c r="H449">
        <v>1798</v>
      </c>
      <c r="I449">
        <v>1816</v>
      </c>
      <c r="J449">
        <v>42600</v>
      </c>
    </row>
    <row r="450" spans="4:10">
      <c r="D450" t="s">
        <v>623</v>
      </c>
      <c r="E450" t="s">
        <v>538</v>
      </c>
      <c r="F450">
        <v>1817</v>
      </c>
      <c r="G450">
        <v>1836</v>
      </c>
      <c r="H450">
        <v>1816</v>
      </c>
      <c r="I450">
        <v>1836</v>
      </c>
      <c r="J450">
        <v>62100</v>
      </c>
    </row>
    <row r="451" spans="4:10">
      <c r="D451" t="s">
        <v>623</v>
      </c>
      <c r="E451" t="s">
        <v>539</v>
      </c>
      <c r="F451">
        <v>1835</v>
      </c>
      <c r="G451">
        <v>1835</v>
      </c>
      <c r="H451">
        <v>1810</v>
      </c>
      <c r="I451">
        <v>1817</v>
      </c>
      <c r="J451">
        <v>62200</v>
      </c>
    </row>
    <row r="452" spans="4:10">
      <c r="D452" t="s">
        <v>623</v>
      </c>
      <c r="E452" t="s">
        <v>540</v>
      </c>
      <c r="F452">
        <v>1818</v>
      </c>
      <c r="G452">
        <v>1822</v>
      </c>
      <c r="H452">
        <v>1816</v>
      </c>
      <c r="I452">
        <v>1816</v>
      </c>
      <c r="J452">
        <v>19400</v>
      </c>
    </row>
    <row r="453" spans="4:10">
      <c r="D453" t="s">
        <v>623</v>
      </c>
      <c r="E453" t="s">
        <v>541</v>
      </c>
      <c r="F453">
        <v>1816</v>
      </c>
      <c r="G453">
        <v>1816</v>
      </c>
      <c r="H453">
        <v>1810</v>
      </c>
      <c r="I453">
        <v>1810</v>
      </c>
      <c r="J453">
        <v>21500</v>
      </c>
    </row>
    <row r="454" spans="4:10">
      <c r="D454" t="s">
        <v>623</v>
      </c>
      <c r="E454" t="s">
        <v>542</v>
      </c>
      <c r="F454">
        <v>1809</v>
      </c>
      <c r="G454">
        <v>1810</v>
      </c>
      <c r="H454">
        <v>1792</v>
      </c>
      <c r="I454">
        <v>1798</v>
      </c>
      <c r="J454">
        <v>64200</v>
      </c>
    </row>
    <row r="455" spans="4:10">
      <c r="D455" t="s">
        <v>623</v>
      </c>
      <c r="E455" t="s">
        <v>543</v>
      </c>
      <c r="F455">
        <v>1799</v>
      </c>
      <c r="G455">
        <v>1801</v>
      </c>
      <c r="H455">
        <v>1780</v>
      </c>
      <c r="I455">
        <v>1782</v>
      </c>
      <c r="J455">
        <v>64600</v>
      </c>
    </row>
    <row r="456" spans="4:10">
      <c r="D456" t="s">
        <v>623</v>
      </c>
      <c r="E456" t="s">
        <v>544</v>
      </c>
      <c r="F456">
        <v>1782</v>
      </c>
      <c r="G456">
        <v>1797</v>
      </c>
      <c r="H456">
        <v>1781</v>
      </c>
      <c r="I456">
        <v>1787</v>
      </c>
      <c r="J456">
        <v>34200</v>
      </c>
    </row>
    <row r="457" spans="4:10">
      <c r="D457" t="s">
        <v>623</v>
      </c>
      <c r="E457" t="s">
        <v>545</v>
      </c>
      <c r="F457">
        <v>1786</v>
      </c>
      <c r="G457">
        <v>1790</v>
      </c>
      <c r="H457">
        <v>1782</v>
      </c>
      <c r="I457">
        <v>1785</v>
      </c>
      <c r="J457">
        <v>22300</v>
      </c>
    </row>
    <row r="458" spans="4:10">
      <c r="D458" t="s">
        <v>623</v>
      </c>
      <c r="E458" t="s">
        <v>546</v>
      </c>
      <c r="F458">
        <v>1785</v>
      </c>
      <c r="G458">
        <v>1785</v>
      </c>
      <c r="H458">
        <v>1762</v>
      </c>
      <c r="I458">
        <v>1776</v>
      </c>
      <c r="J458">
        <v>61600</v>
      </c>
    </row>
    <row r="459" spans="4:10">
      <c r="D459" t="s">
        <v>623</v>
      </c>
      <c r="E459" t="s">
        <v>547</v>
      </c>
      <c r="F459">
        <v>1776</v>
      </c>
      <c r="G459">
        <v>1778</v>
      </c>
      <c r="H459">
        <v>1765</v>
      </c>
      <c r="I459">
        <v>1771</v>
      </c>
      <c r="J459">
        <v>61600</v>
      </c>
    </row>
    <row r="460" spans="4:10">
      <c r="D460" t="s">
        <v>623</v>
      </c>
      <c r="E460" t="s">
        <v>548</v>
      </c>
      <c r="F460">
        <v>1772</v>
      </c>
      <c r="G460">
        <v>1790</v>
      </c>
      <c r="H460">
        <v>1772</v>
      </c>
      <c r="I460">
        <v>1785</v>
      </c>
      <c r="J460">
        <v>37500</v>
      </c>
    </row>
    <row r="461" spans="4:10">
      <c r="D461" t="s">
        <v>623</v>
      </c>
      <c r="E461" t="s">
        <v>549</v>
      </c>
      <c r="F461">
        <v>1786</v>
      </c>
      <c r="G461">
        <v>1797</v>
      </c>
      <c r="H461">
        <v>1780</v>
      </c>
      <c r="I461">
        <v>1780</v>
      </c>
      <c r="J461">
        <v>60700</v>
      </c>
    </row>
    <row r="462" spans="4:10">
      <c r="D462" t="s">
        <v>623</v>
      </c>
      <c r="E462" t="s">
        <v>550</v>
      </c>
      <c r="F462">
        <v>1779</v>
      </c>
      <c r="G462">
        <v>1786</v>
      </c>
      <c r="H462">
        <v>1778</v>
      </c>
      <c r="I462">
        <v>1778</v>
      </c>
      <c r="J462">
        <v>18400</v>
      </c>
    </row>
    <row r="463" spans="4:10">
      <c r="D463" t="s">
        <v>623</v>
      </c>
      <c r="E463" t="s">
        <v>551</v>
      </c>
      <c r="F463">
        <v>1777</v>
      </c>
      <c r="G463">
        <v>1777</v>
      </c>
      <c r="H463">
        <v>1762</v>
      </c>
      <c r="I463">
        <v>1763</v>
      </c>
      <c r="J463">
        <v>28300</v>
      </c>
    </row>
    <row r="464" spans="4:10">
      <c r="D464" t="s">
        <v>623</v>
      </c>
      <c r="E464" t="s">
        <v>552</v>
      </c>
      <c r="F464">
        <v>1764</v>
      </c>
      <c r="G464">
        <v>1769</v>
      </c>
      <c r="H464">
        <v>1761</v>
      </c>
      <c r="I464">
        <v>1766</v>
      </c>
      <c r="J464">
        <v>15900</v>
      </c>
    </row>
    <row r="465" spans="4:10">
      <c r="D465" t="s">
        <v>623</v>
      </c>
      <c r="E465" t="s">
        <v>553</v>
      </c>
      <c r="F465">
        <v>1765</v>
      </c>
      <c r="G465">
        <v>1772</v>
      </c>
      <c r="H465">
        <v>1763</v>
      </c>
      <c r="I465">
        <v>1771</v>
      </c>
      <c r="J465">
        <v>16500</v>
      </c>
    </row>
    <row r="466" spans="4:10">
      <c r="D466" t="s">
        <v>623</v>
      </c>
      <c r="E466" t="s">
        <v>554</v>
      </c>
      <c r="F466">
        <v>1771</v>
      </c>
      <c r="G466">
        <v>1773</v>
      </c>
      <c r="H466">
        <v>1763</v>
      </c>
      <c r="I466">
        <v>1770</v>
      </c>
      <c r="J466">
        <v>20600</v>
      </c>
    </row>
    <row r="467" spans="4:10">
      <c r="D467" t="s">
        <v>623</v>
      </c>
      <c r="E467" t="s">
        <v>555</v>
      </c>
      <c r="F467">
        <v>1770</v>
      </c>
      <c r="G467">
        <v>1775</v>
      </c>
      <c r="H467">
        <v>1765</v>
      </c>
      <c r="I467">
        <v>1775</v>
      </c>
      <c r="J467">
        <v>14000</v>
      </c>
    </row>
    <row r="468" spans="4:10">
      <c r="D468" t="s">
        <v>623</v>
      </c>
      <c r="E468" t="s">
        <v>556</v>
      </c>
      <c r="F468">
        <v>1775</v>
      </c>
      <c r="G468">
        <v>1785</v>
      </c>
      <c r="H468">
        <v>1770</v>
      </c>
      <c r="I468">
        <v>1784</v>
      </c>
      <c r="J468">
        <v>16900</v>
      </c>
    </row>
    <row r="469" spans="4:10">
      <c r="D469" t="s">
        <v>623</v>
      </c>
      <c r="E469" t="s">
        <v>557</v>
      </c>
      <c r="F469">
        <v>1784</v>
      </c>
      <c r="G469">
        <v>1786</v>
      </c>
      <c r="H469">
        <v>1777</v>
      </c>
      <c r="I469">
        <v>1781</v>
      </c>
      <c r="J469">
        <v>24300</v>
      </c>
    </row>
    <row r="470" spans="4:10">
      <c r="D470" t="s">
        <v>623</v>
      </c>
      <c r="E470" t="s">
        <v>558</v>
      </c>
      <c r="F470">
        <v>1782</v>
      </c>
      <c r="G470">
        <v>1789</v>
      </c>
      <c r="H470">
        <v>1780</v>
      </c>
      <c r="I470">
        <v>1787</v>
      </c>
      <c r="J470">
        <v>17200</v>
      </c>
    </row>
    <row r="471" spans="4:10">
      <c r="D471" t="s">
        <v>623</v>
      </c>
      <c r="E471" t="s">
        <v>559</v>
      </c>
      <c r="F471">
        <v>1788</v>
      </c>
      <c r="G471">
        <v>1789</v>
      </c>
      <c r="H471">
        <v>1786</v>
      </c>
      <c r="I471">
        <v>1788</v>
      </c>
      <c r="J471">
        <v>6100</v>
      </c>
    </row>
    <row r="472" spans="4:10">
      <c r="D472" t="s">
        <v>623</v>
      </c>
      <c r="E472" t="s">
        <v>560</v>
      </c>
      <c r="F472">
        <v>1787</v>
      </c>
      <c r="G472">
        <v>1787</v>
      </c>
      <c r="H472">
        <v>1778</v>
      </c>
      <c r="I472">
        <v>1784</v>
      </c>
      <c r="J472">
        <v>36800</v>
      </c>
    </row>
    <row r="473" spans="4:10">
      <c r="D473" t="s">
        <v>623</v>
      </c>
      <c r="E473" t="s">
        <v>561</v>
      </c>
      <c r="F473">
        <v>1786</v>
      </c>
      <c r="G473">
        <v>1796</v>
      </c>
      <c r="H473">
        <v>1784</v>
      </c>
      <c r="I473">
        <v>1795</v>
      </c>
      <c r="J473">
        <v>39900</v>
      </c>
    </row>
    <row r="474" spans="4:10">
      <c r="D474" t="s">
        <v>623</v>
      </c>
      <c r="E474" t="s">
        <v>562</v>
      </c>
      <c r="F474">
        <v>1796</v>
      </c>
      <c r="G474">
        <v>1799</v>
      </c>
      <c r="H474">
        <v>1792</v>
      </c>
      <c r="I474">
        <v>1796</v>
      </c>
      <c r="J474">
        <v>26900</v>
      </c>
    </row>
    <row r="475" spans="4:10">
      <c r="D475" t="s">
        <v>623</v>
      </c>
      <c r="E475" t="s">
        <v>563</v>
      </c>
      <c r="F475">
        <v>1796</v>
      </c>
      <c r="G475">
        <v>1798</v>
      </c>
      <c r="H475">
        <v>1788</v>
      </c>
      <c r="I475">
        <v>1796</v>
      </c>
      <c r="J475">
        <v>20800</v>
      </c>
    </row>
    <row r="476" spans="4:10">
      <c r="D476" t="s">
        <v>623</v>
      </c>
      <c r="E476" t="s">
        <v>564</v>
      </c>
      <c r="F476">
        <v>1797</v>
      </c>
      <c r="G476">
        <v>1797</v>
      </c>
      <c r="H476">
        <v>1792</v>
      </c>
      <c r="I476">
        <v>1793</v>
      </c>
      <c r="J476">
        <v>13700</v>
      </c>
    </row>
    <row r="477" spans="4:10">
      <c r="D477" t="s">
        <v>623</v>
      </c>
      <c r="E477" t="s">
        <v>565</v>
      </c>
      <c r="F477">
        <v>1793</v>
      </c>
      <c r="G477">
        <v>1795</v>
      </c>
      <c r="H477">
        <v>1790</v>
      </c>
      <c r="I477">
        <v>1792</v>
      </c>
      <c r="J477">
        <v>11800</v>
      </c>
    </row>
    <row r="478" spans="4:10">
      <c r="D478" t="s">
        <v>623</v>
      </c>
      <c r="E478" t="s">
        <v>566</v>
      </c>
      <c r="F478">
        <v>1790</v>
      </c>
      <c r="G478">
        <v>1793</v>
      </c>
      <c r="H478">
        <v>1789</v>
      </c>
      <c r="I478">
        <v>1792</v>
      </c>
      <c r="J478">
        <v>13100</v>
      </c>
    </row>
    <row r="479" spans="4:10">
      <c r="D479" t="s">
        <v>623</v>
      </c>
      <c r="E479" t="s">
        <v>567</v>
      </c>
      <c r="F479">
        <v>1793</v>
      </c>
      <c r="G479">
        <v>1793</v>
      </c>
      <c r="H479">
        <v>1788</v>
      </c>
      <c r="I479">
        <v>1789</v>
      </c>
      <c r="J479">
        <v>28900</v>
      </c>
    </row>
    <row r="480" spans="4:10">
      <c r="D480" t="s">
        <v>623</v>
      </c>
      <c r="E480" t="s">
        <v>568</v>
      </c>
      <c r="F480">
        <v>1789</v>
      </c>
      <c r="G480">
        <v>1792</v>
      </c>
      <c r="H480">
        <v>1786</v>
      </c>
      <c r="I480">
        <v>1786</v>
      </c>
      <c r="J480">
        <v>16500</v>
      </c>
    </row>
    <row r="481" spans="4:10">
      <c r="D481" t="s">
        <v>623</v>
      </c>
      <c r="E481" t="s">
        <v>569</v>
      </c>
      <c r="F481">
        <v>1785</v>
      </c>
      <c r="G481">
        <v>1785</v>
      </c>
      <c r="H481">
        <v>1778</v>
      </c>
      <c r="I481">
        <v>1782</v>
      </c>
      <c r="J481">
        <v>30400</v>
      </c>
    </row>
    <row r="482" spans="4:10">
      <c r="D482" t="s">
        <v>623</v>
      </c>
      <c r="E482" t="s">
        <v>570</v>
      </c>
      <c r="F482">
        <v>1784</v>
      </c>
      <c r="G482">
        <v>1786</v>
      </c>
      <c r="H482">
        <v>1777</v>
      </c>
      <c r="I482">
        <v>1778</v>
      </c>
      <c r="J482">
        <v>36500</v>
      </c>
    </row>
    <row r="483" spans="4:10">
      <c r="D483" t="s">
        <v>623</v>
      </c>
      <c r="E483" t="s">
        <v>571</v>
      </c>
      <c r="F483" t="s">
        <v>35</v>
      </c>
      <c r="G483" t="s">
        <v>35</v>
      </c>
      <c r="H483" t="s">
        <v>35</v>
      </c>
      <c r="I483" t="s">
        <v>35</v>
      </c>
      <c r="J483">
        <v>0</v>
      </c>
    </row>
    <row r="484" spans="4:10">
      <c r="D484" t="s">
        <v>623</v>
      </c>
      <c r="E484" t="s">
        <v>572</v>
      </c>
      <c r="F484">
        <v>1785</v>
      </c>
      <c r="G484">
        <v>1785</v>
      </c>
      <c r="H484">
        <v>1785</v>
      </c>
      <c r="I484">
        <v>1785</v>
      </c>
      <c r="J484">
        <v>53800</v>
      </c>
    </row>
    <row r="485" spans="4:10">
      <c r="D485" t="s">
        <v>615</v>
      </c>
      <c r="E485" t="s">
        <v>574</v>
      </c>
      <c r="F485">
        <v>1720</v>
      </c>
      <c r="G485">
        <v>1738</v>
      </c>
      <c r="H485">
        <v>1706</v>
      </c>
      <c r="I485">
        <v>1721</v>
      </c>
      <c r="J485">
        <v>156800</v>
      </c>
    </row>
    <row r="486" spans="4:10">
      <c r="D486" t="s">
        <v>615</v>
      </c>
      <c r="E486" t="s">
        <v>575</v>
      </c>
      <c r="F486">
        <v>1721</v>
      </c>
      <c r="G486">
        <v>1733</v>
      </c>
      <c r="H486">
        <v>1716</v>
      </c>
      <c r="I486">
        <v>1721</v>
      </c>
      <c r="J486">
        <v>63400</v>
      </c>
    </row>
    <row r="487" spans="4:10">
      <c r="D487" t="s">
        <v>615</v>
      </c>
      <c r="E487" t="s">
        <v>576</v>
      </c>
      <c r="F487">
        <v>1720</v>
      </c>
      <c r="G487">
        <v>1732</v>
      </c>
      <c r="H487">
        <v>1716</v>
      </c>
      <c r="I487">
        <v>1719</v>
      </c>
      <c r="J487">
        <v>39800</v>
      </c>
    </row>
    <row r="488" spans="4:10">
      <c r="D488" t="s">
        <v>615</v>
      </c>
      <c r="E488" t="s">
        <v>577</v>
      </c>
      <c r="F488">
        <v>1721</v>
      </c>
      <c r="G488">
        <v>1724</v>
      </c>
      <c r="H488">
        <v>1702</v>
      </c>
      <c r="I488">
        <v>1702</v>
      </c>
      <c r="J488">
        <v>58400</v>
      </c>
    </row>
    <row r="489" spans="4:10">
      <c r="D489" t="s">
        <v>615</v>
      </c>
      <c r="E489" t="s">
        <v>578</v>
      </c>
      <c r="F489">
        <v>1702</v>
      </c>
      <c r="G489">
        <v>1713</v>
      </c>
      <c r="H489">
        <v>1693</v>
      </c>
      <c r="I489">
        <v>1711</v>
      </c>
      <c r="J489">
        <v>70100</v>
      </c>
    </row>
    <row r="490" spans="4:10">
      <c r="D490" t="s">
        <v>615</v>
      </c>
      <c r="E490" t="s">
        <v>579</v>
      </c>
      <c r="F490">
        <v>1710</v>
      </c>
      <c r="G490">
        <v>1734</v>
      </c>
      <c r="H490">
        <v>1710</v>
      </c>
      <c r="I490">
        <v>1721</v>
      </c>
      <c r="J490">
        <v>42400</v>
      </c>
    </row>
    <row r="491" spans="4:10">
      <c r="D491" t="s">
        <v>615</v>
      </c>
      <c r="E491" t="s">
        <v>580</v>
      </c>
      <c r="F491">
        <v>1722</v>
      </c>
      <c r="G491">
        <v>1757</v>
      </c>
      <c r="H491">
        <v>1721</v>
      </c>
      <c r="I491">
        <v>1746</v>
      </c>
      <c r="J491">
        <v>85600</v>
      </c>
    </row>
    <row r="492" spans="4:10">
      <c r="D492" t="s">
        <v>615</v>
      </c>
      <c r="E492" t="s">
        <v>581</v>
      </c>
      <c r="F492">
        <v>1744</v>
      </c>
      <c r="G492">
        <v>1751</v>
      </c>
      <c r="H492">
        <v>1727</v>
      </c>
      <c r="I492">
        <v>1751</v>
      </c>
      <c r="J492">
        <v>52800</v>
      </c>
    </row>
    <row r="493" spans="4:10">
      <c r="D493" t="s">
        <v>615</v>
      </c>
      <c r="E493" t="s">
        <v>582</v>
      </c>
      <c r="F493">
        <v>1753</v>
      </c>
      <c r="G493">
        <v>1762</v>
      </c>
      <c r="H493">
        <v>1736</v>
      </c>
      <c r="I493">
        <v>1740</v>
      </c>
      <c r="J493">
        <v>44300</v>
      </c>
    </row>
    <row r="494" spans="4:10">
      <c r="D494" t="s">
        <v>615</v>
      </c>
      <c r="E494" t="s">
        <v>583</v>
      </c>
      <c r="F494">
        <v>1741</v>
      </c>
      <c r="G494">
        <v>1749</v>
      </c>
      <c r="H494">
        <v>1736</v>
      </c>
      <c r="I494">
        <v>1745</v>
      </c>
      <c r="J494">
        <v>25100</v>
      </c>
    </row>
    <row r="495" spans="4:10">
      <c r="D495" t="s">
        <v>615</v>
      </c>
      <c r="E495" t="s">
        <v>584</v>
      </c>
      <c r="F495">
        <v>1743</v>
      </c>
      <c r="G495">
        <v>1745</v>
      </c>
      <c r="H495">
        <v>1730</v>
      </c>
      <c r="I495">
        <v>1737</v>
      </c>
      <c r="J495">
        <v>20300</v>
      </c>
    </row>
    <row r="496" spans="4:10">
      <c r="D496" t="s">
        <v>615</v>
      </c>
      <c r="E496" t="s">
        <v>585</v>
      </c>
      <c r="F496">
        <v>1736</v>
      </c>
      <c r="G496">
        <v>1743</v>
      </c>
      <c r="H496">
        <v>1732</v>
      </c>
      <c r="I496">
        <v>1741</v>
      </c>
      <c r="J496">
        <v>14100</v>
      </c>
    </row>
    <row r="497" spans="4:10">
      <c r="D497" t="s">
        <v>615</v>
      </c>
      <c r="E497" t="s">
        <v>586</v>
      </c>
      <c r="F497">
        <v>1742</v>
      </c>
      <c r="G497">
        <v>1744</v>
      </c>
      <c r="H497">
        <v>1735</v>
      </c>
      <c r="I497">
        <v>1742</v>
      </c>
      <c r="J497">
        <v>12800</v>
      </c>
    </row>
    <row r="498" spans="4:10">
      <c r="D498" t="s">
        <v>615</v>
      </c>
      <c r="E498" t="s">
        <v>587</v>
      </c>
      <c r="F498">
        <v>1744</v>
      </c>
      <c r="G498">
        <v>1758</v>
      </c>
      <c r="H498">
        <v>1744</v>
      </c>
      <c r="I498">
        <v>1758</v>
      </c>
      <c r="J498">
        <v>28300</v>
      </c>
    </row>
    <row r="499" spans="4:10">
      <c r="D499" t="s">
        <v>615</v>
      </c>
      <c r="E499" t="s">
        <v>588</v>
      </c>
      <c r="F499">
        <v>1759</v>
      </c>
      <c r="G499">
        <v>1779</v>
      </c>
      <c r="H499">
        <v>1756</v>
      </c>
      <c r="I499">
        <v>1772</v>
      </c>
      <c r="J499">
        <v>46700</v>
      </c>
    </row>
    <row r="500" spans="4:10">
      <c r="D500" t="s">
        <v>615</v>
      </c>
      <c r="E500" t="s">
        <v>589</v>
      </c>
      <c r="F500">
        <v>1771</v>
      </c>
      <c r="G500">
        <v>1771</v>
      </c>
      <c r="H500">
        <v>1761</v>
      </c>
      <c r="I500">
        <v>1766</v>
      </c>
      <c r="J500">
        <v>31100</v>
      </c>
    </row>
    <row r="501" spans="4:10">
      <c r="D501" t="s">
        <v>615</v>
      </c>
      <c r="E501" t="s">
        <v>590</v>
      </c>
      <c r="F501">
        <v>1765</v>
      </c>
      <c r="G501">
        <v>1765</v>
      </c>
      <c r="H501">
        <v>1750</v>
      </c>
      <c r="I501">
        <v>1759</v>
      </c>
      <c r="J501">
        <v>23800</v>
      </c>
    </row>
    <row r="502" spans="4:10">
      <c r="D502" t="s">
        <v>615</v>
      </c>
      <c r="E502" t="s">
        <v>591</v>
      </c>
      <c r="F502">
        <v>1761</v>
      </c>
      <c r="G502">
        <v>1763</v>
      </c>
      <c r="H502">
        <v>1750</v>
      </c>
      <c r="I502">
        <v>1752</v>
      </c>
      <c r="J502">
        <v>15200</v>
      </c>
    </row>
    <row r="503" spans="4:10">
      <c r="D503" t="s">
        <v>615</v>
      </c>
      <c r="E503" t="s">
        <v>592</v>
      </c>
      <c r="F503">
        <v>1752</v>
      </c>
      <c r="G503">
        <v>1759</v>
      </c>
      <c r="H503">
        <v>1750</v>
      </c>
      <c r="I503">
        <v>1752</v>
      </c>
      <c r="J503">
        <v>10600</v>
      </c>
    </row>
    <row r="504" spans="4:10">
      <c r="D504" t="s">
        <v>615</v>
      </c>
      <c r="E504" t="s">
        <v>593</v>
      </c>
      <c r="F504">
        <v>1750</v>
      </c>
      <c r="G504">
        <v>1750</v>
      </c>
      <c r="H504">
        <v>1735</v>
      </c>
      <c r="I504">
        <v>1737</v>
      </c>
      <c r="J504">
        <v>26900</v>
      </c>
    </row>
    <row r="505" spans="4:10">
      <c r="D505" t="s">
        <v>615</v>
      </c>
      <c r="E505" t="s">
        <v>594</v>
      </c>
      <c r="F505">
        <v>1735</v>
      </c>
      <c r="G505">
        <v>1748</v>
      </c>
      <c r="H505">
        <v>1732</v>
      </c>
      <c r="I505">
        <v>1738</v>
      </c>
      <c r="J505">
        <v>11900</v>
      </c>
    </row>
    <row r="506" spans="4:10">
      <c r="D506" t="s">
        <v>615</v>
      </c>
      <c r="E506" t="s">
        <v>595</v>
      </c>
      <c r="F506">
        <v>1737</v>
      </c>
      <c r="G506">
        <v>1746</v>
      </c>
      <c r="H506">
        <v>1735</v>
      </c>
      <c r="I506">
        <v>1746</v>
      </c>
      <c r="J506">
        <v>7000</v>
      </c>
    </row>
    <row r="507" spans="4:10">
      <c r="D507" t="s">
        <v>615</v>
      </c>
      <c r="E507" t="s">
        <v>596</v>
      </c>
      <c r="F507">
        <v>1747</v>
      </c>
      <c r="G507">
        <v>1749</v>
      </c>
      <c r="H507">
        <v>1741</v>
      </c>
      <c r="I507">
        <v>1742</v>
      </c>
      <c r="J507">
        <v>9300</v>
      </c>
    </row>
    <row r="508" spans="4:10">
      <c r="D508" t="s">
        <v>615</v>
      </c>
      <c r="E508" t="s">
        <v>597</v>
      </c>
      <c r="F508">
        <v>1741</v>
      </c>
      <c r="G508">
        <v>1741</v>
      </c>
      <c r="H508">
        <v>1736</v>
      </c>
      <c r="I508">
        <v>1740</v>
      </c>
      <c r="J508">
        <v>4500</v>
      </c>
    </row>
    <row r="509" spans="4:10">
      <c r="D509" t="s">
        <v>615</v>
      </c>
      <c r="E509" t="s">
        <v>598</v>
      </c>
      <c r="F509">
        <v>1740</v>
      </c>
      <c r="G509">
        <v>1740</v>
      </c>
      <c r="H509">
        <v>1735</v>
      </c>
      <c r="I509">
        <v>1737</v>
      </c>
      <c r="J509">
        <v>7400</v>
      </c>
    </row>
    <row r="510" spans="4:10">
      <c r="D510" t="s">
        <v>615</v>
      </c>
      <c r="E510" t="s">
        <v>599</v>
      </c>
      <c r="F510">
        <v>1737</v>
      </c>
      <c r="G510">
        <v>1745</v>
      </c>
      <c r="H510">
        <v>1737</v>
      </c>
      <c r="I510">
        <v>1744</v>
      </c>
      <c r="J510">
        <v>9200</v>
      </c>
    </row>
    <row r="511" spans="4:10">
      <c r="D511" t="s">
        <v>615</v>
      </c>
      <c r="E511" t="s">
        <v>600</v>
      </c>
      <c r="F511">
        <v>1742</v>
      </c>
      <c r="G511">
        <v>1747</v>
      </c>
      <c r="H511">
        <v>1742</v>
      </c>
      <c r="I511">
        <v>1747</v>
      </c>
      <c r="J511">
        <v>3900</v>
      </c>
    </row>
    <row r="512" spans="4:10">
      <c r="D512" t="s">
        <v>615</v>
      </c>
      <c r="E512" t="s">
        <v>601</v>
      </c>
      <c r="F512">
        <v>1745</v>
      </c>
      <c r="G512">
        <v>1748</v>
      </c>
      <c r="H512">
        <v>1745</v>
      </c>
      <c r="I512">
        <v>1748</v>
      </c>
      <c r="J512">
        <v>4600</v>
      </c>
    </row>
    <row r="513" spans="4:10">
      <c r="D513" t="s">
        <v>615</v>
      </c>
      <c r="E513" t="s">
        <v>602</v>
      </c>
      <c r="F513">
        <v>1748</v>
      </c>
      <c r="G513">
        <v>1754</v>
      </c>
      <c r="H513">
        <v>1748</v>
      </c>
      <c r="I513">
        <v>1750</v>
      </c>
      <c r="J513">
        <v>15300</v>
      </c>
    </row>
    <row r="514" spans="4:10">
      <c r="D514" t="s">
        <v>615</v>
      </c>
      <c r="E514" t="s">
        <v>603</v>
      </c>
      <c r="F514">
        <v>1750</v>
      </c>
      <c r="G514">
        <v>1754</v>
      </c>
      <c r="H514">
        <v>1748</v>
      </c>
      <c r="I514">
        <v>1750</v>
      </c>
      <c r="J514">
        <v>14700</v>
      </c>
    </row>
    <row r="515" spans="4:10">
      <c r="D515" t="s">
        <v>615</v>
      </c>
      <c r="E515" t="s">
        <v>604</v>
      </c>
      <c r="F515">
        <v>1750</v>
      </c>
      <c r="G515">
        <v>1750</v>
      </c>
      <c r="H515">
        <v>1750</v>
      </c>
      <c r="I515">
        <v>1750</v>
      </c>
      <c r="J515">
        <v>500</v>
      </c>
    </row>
    <row r="516" spans="4:10">
      <c r="D516" t="s">
        <v>615</v>
      </c>
      <c r="E516" t="s">
        <v>605</v>
      </c>
      <c r="F516">
        <v>1750</v>
      </c>
      <c r="G516">
        <v>1770</v>
      </c>
      <c r="H516">
        <v>1741</v>
      </c>
      <c r="I516">
        <v>1745</v>
      </c>
      <c r="J516">
        <v>66300</v>
      </c>
    </row>
    <row r="517" spans="4:10">
      <c r="D517" t="s">
        <v>615</v>
      </c>
      <c r="E517" t="s">
        <v>606</v>
      </c>
      <c r="F517">
        <v>1746</v>
      </c>
      <c r="G517">
        <v>1771</v>
      </c>
      <c r="H517">
        <v>1746</v>
      </c>
      <c r="I517">
        <v>1765</v>
      </c>
      <c r="J517">
        <v>21200</v>
      </c>
    </row>
    <row r="518" spans="4:10">
      <c r="D518" t="s">
        <v>615</v>
      </c>
      <c r="E518" t="s">
        <v>538</v>
      </c>
      <c r="F518">
        <v>1765</v>
      </c>
      <c r="G518">
        <v>1765</v>
      </c>
      <c r="H518">
        <v>1748</v>
      </c>
      <c r="I518">
        <v>1750</v>
      </c>
      <c r="J518">
        <v>10300</v>
      </c>
    </row>
    <row r="519" spans="4:10">
      <c r="D519" t="s">
        <v>615</v>
      </c>
      <c r="E519" t="s">
        <v>539</v>
      </c>
      <c r="F519">
        <v>1750</v>
      </c>
      <c r="G519">
        <v>1752</v>
      </c>
      <c r="H519">
        <v>1745</v>
      </c>
      <c r="I519">
        <v>1750</v>
      </c>
      <c r="J519">
        <v>8500</v>
      </c>
    </row>
    <row r="520" spans="4:10">
      <c r="D520" t="s">
        <v>615</v>
      </c>
      <c r="E520" t="s">
        <v>540</v>
      </c>
      <c r="F520">
        <v>1752</v>
      </c>
      <c r="G520">
        <v>1752</v>
      </c>
      <c r="H520">
        <v>1743</v>
      </c>
      <c r="I520">
        <v>1745</v>
      </c>
      <c r="J520">
        <v>18400</v>
      </c>
    </row>
    <row r="521" spans="4:10">
      <c r="D521" t="s">
        <v>615</v>
      </c>
      <c r="E521" t="s">
        <v>541</v>
      </c>
      <c r="F521">
        <v>1744</v>
      </c>
      <c r="G521">
        <v>1747</v>
      </c>
      <c r="H521">
        <v>1743</v>
      </c>
      <c r="I521">
        <v>1745</v>
      </c>
      <c r="J521">
        <v>7200</v>
      </c>
    </row>
    <row r="522" spans="4:10">
      <c r="D522" t="s">
        <v>615</v>
      </c>
      <c r="E522" t="s">
        <v>542</v>
      </c>
      <c r="F522">
        <v>1745</v>
      </c>
      <c r="G522">
        <v>1746</v>
      </c>
      <c r="H522">
        <v>1732</v>
      </c>
      <c r="I522">
        <v>1734</v>
      </c>
      <c r="J522">
        <v>19900</v>
      </c>
    </row>
    <row r="523" spans="4:10">
      <c r="D523" t="s">
        <v>615</v>
      </c>
      <c r="E523" t="s">
        <v>543</v>
      </c>
      <c r="F523">
        <v>1735</v>
      </c>
      <c r="G523">
        <v>1735</v>
      </c>
      <c r="H523">
        <v>1725</v>
      </c>
      <c r="I523">
        <v>1725</v>
      </c>
      <c r="J523">
        <v>21200</v>
      </c>
    </row>
    <row r="524" spans="4:10">
      <c r="D524" t="s">
        <v>615</v>
      </c>
      <c r="E524" t="s">
        <v>544</v>
      </c>
      <c r="F524">
        <v>1727</v>
      </c>
      <c r="G524">
        <v>1735</v>
      </c>
      <c r="H524">
        <v>1726</v>
      </c>
      <c r="I524">
        <v>1734</v>
      </c>
      <c r="J524">
        <v>9100</v>
      </c>
    </row>
    <row r="525" spans="4:10">
      <c r="D525" t="s">
        <v>615</v>
      </c>
      <c r="E525" t="s">
        <v>545</v>
      </c>
      <c r="F525">
        <v>1734</v>
      </c>
      <c r="G525">
        <v>1740</v>
      </c>
      <c r="H525">
        <v>1733</v>
      </c>
      <c r="I525">
        <v>1738</v>
      </c>
      <c r="J525">
        <v>4700</v>
      </c>
    </row>
    <row r="526" spans="4:10">
      <c r="D526" t="s">
        <v>615</v>
      </c>
      <c r="E526" t="s">
        <v>546</v>
      </c>
      <c r="F526">
        <v>1739</v>
      </c>
      <c r="G526">
        <v>1746</v>
      </c>
      <c r="H526">
        <v>1738</v>
      </c>
      <c r="I526">
        <v>1745</v>
      </c>
      <c r="J526">
        <v>5100</v>
      </c>
    </row>
    <row r="527" spans="4:10">
      <c r="D527" t="s">
        <v>615</v>
      </c>
      <c r="E527" t="s">
        <v>547</v>
      </c>
      <c r="F527">
        <v>1745</v>
      </c>
      <c r="G527">
        <v>1747</v>
      </c>
      <c r="H527">
        <v>1741</v>
      </c>
      <c r="I527">
        <v>1744</v>
      </c>
      <c r="J527">
        <v>7600</v>
      </c>
    </row>
    <row r="528" spans="4:10">
      <c r="D528" t="s">
        <v>615</v>
      </c>
      <c r="E528" t="s">
        <v>548</v>
      </c>
      <c r="F528">
        <v>1746</v>
      </c>
      <c r="G528">
        <v>1751</v>
      </c>
      <c r="H528">
        <v>1746</v>
      </c>
      <c r="I528">
        <v>1747</v>
      </c>
      <c r="J528">
        <v>7600</v>
      </c>
    </row>
    <row r="529" spans="4:10">
      <c r="D529" t="s">
        <v>615</v>
      </c>
      <c r="E529" t="s">
        <v>549</v>
      </c>
      <c r="F529">
        <v>1748</v>
      </c>
      <c r="G529">
        <v>1756</v>
      </c>
      <c r="H529">
        <v>1748</v>
      </c>
      <c r="I529">
        <v>1752</v>
      </c>
      <c r="J529">
        <v>15000</v>
      </c>
    </row>
    <row r="530" spans="4:10">
      <c r="D530" t="s">
        <v>615</v>
      </c>
      <c r="E530" t="s">
        <v>550</v>
      </c>
      <c r="F530">
        <v>1752</v>
      </c>
      <c r="G530">
        <v>1758</v>
      </c>
      <c r="H530">
        <v>1751</v>
      </c>
      <c r="I530">
        <v>1753</v>
      </c>
      <c r="J530">
        <v>7300</v>
      </c>
    </row>
    <row r="531" spans="4:10">
      <c r="D531" t="s">
        <v>615</v>
      </c>
      <c r="E531" t="s">
        <v>551</v>
      </c>
      <c r="F531">
        <v>1752</v>
      </c>
      <c r="G531">
        <v>1757</v>
      </c>
      <c r="H531">
        <v>1750</v>
      </c>
      <c r="I531">
        <v>1755</v>
      </c>
      <c r="J531">
        <v>14200</v>
      </c>
    </row>
    <row r="532" spans="4:10">
      <c r="D532" t="s">
        <v>615</v>
      </c>
      <c r="E532" t="s">
        <v>552</v>
      </c>
      <c r="F532">
        <v>1756</v>
      </c>
      <c r="G532">
        <v>1768</v>
      </c>
      <c r="H532">
        <v>1756</v>
      </c>
      <c r="I532">
        <v>1768</v>
      </c>
      <c r="J532">
        <v>18400</v>
      </c>
    </row>
    <row r="533" spans="4:10">
      <c r="D533" t="s">
        <v>615</v>
      </c>
      <c r="E533" t="s">
        <v>553</v>
      </c>
      <c r="F533">
        <v>1768</v>
      </c>
      <c r="G533">
        <v>1769</v>
      </c>
      <c r="H533">
        <v>1765</v>
      </c>
      <c r="I533">
        <v>1769</v>
      </c>
      <c r="J533">
        <v>9100</v>
      </c>
    </row>
    <row r="534" spans="4:10">
      <c r="D534" t="s">
        <v>615</v>
      </c>
      <c r="E534" t="s">
        <v>554</v>
      </c>
      <c r="F534">
        <v>1770</v>
      </c>
      <c r="G534">
        <v>1785</v>
      </c>
      <c r="H534">
        <v>1770</v>
      </c>
      <c r="I534">
        <v>1784</v>
      </c>
      <c r="J534">
        <v>47900</v>
      </c>
    </row>
    <row r="535" spans="4:10">
      <c r="D535" t="s">
        <v>615</v>
      </c>
      <c r="E535" t="s">
        <v>555</v>
      </c>
      <c r="F535">
        <v>1783</v>
      </c>
      <c r="G535">
        <v>1792</v>
      </c>
      <c r="H535">
        <v>1783</v>
      </c>
      <c r="I535">
        <v>1785</v>
      </c>
      <c r="J535">
        <v>28100</v>
      </c>
    </row>
    <row r="536" spans="4:10">
      <c r="D536" t="s">
        <v>615</v>
      </c>
      <c r="E536" t="s">
        <v>556</v>
      </c>
      <c r="F536">
        <v>1785</v>
      </c>
      <c r="G536">
        <v>1798</v>
      </c>
      <c r="H536">
        <v>1782</v>
      </c>
      <c r="I536">
        <v>1795</v>
      </c>
      <c r="J536">
        <v>28100</v>
      </c>
    </row>
    <row r="537" spans="4:10">
      <c r="D537" t="s">
        <v>615</v>
      </c>
      <c r="E537" t="s">
        <v>557</v>
      </c>
      <c r="F537">
        <v>1793</v>
      </c>
      <c r="G537">
        <v>1794</v>
      </c>
      <c r="H537">
        <v>1775</v>
      </c>
      <c r="I537">
        <v>1779</v>
      </c>
      <c r="J537">
        <v>27800</v>
      </c>
    </row>
    <row r="538" spans="4:10">
      <c r="D538" t="s">
        <v>615</v>
      </c>
      <c r="E538" t="s">
        <v>558</v>
      </c>
      <c r="F538">
        <v>1777</v>
      </c>
      <c r="G538">
        <v>1777</v>
      </c>
      <c r="H538">
        <v>1762</v>
      </c>
      <c r="I538">
        <v>1765</v>
      </c>
      <c r="J538">
        <v>22100</v>
      </c>
    </row>
    <row r="539" spans="4:10">
      <c r="D539" t="s">
        <v>615</v>
      </c>
      <c r="E539" t="s">
        <v>559</v>
      </c>
      <c r="F539">
        <v>1766</v>
      </c>
      <c r="G539">
        <v>1772</v>
      </c>
      <c r="H539">
        <v>1764</v>
      </c>
      <c r="I539">
        <v>1765</v>
      </c>
      <c r="J539">
        <v>15200</v>
      </c>
    </row>
    <row r="540" spans="4:10">
      <c r="D540" t="s">
        <v>615</v>
      </c>
      <c r="E540" t="s">
        <v>560</v>
      </c>
      <c r="F540">
        <v>1766</v>
      </c>
      <c r="G540">
        <v>1773</v>
      </c>
      <c r="H540">
        <v>1765</v>
      </c>
      <c r="I540">
        <v>1767</v>
      </c>
      <c r="J540">
        <v>10800</v>
      </c>
    </row>
    <row r="541" spans="4:10">
      <c r="D541" t="s">
        <v>615</v>
      </c>
      <c r="E541" t="s">
        <v>561</v>
      </c>
      <c r="F541">
        <v>1766</v>
      </c>
      <c r="G541">
        <v>1767</v>
      </c>
      <c r="H541">
        <v>1762</v>
      </c>
      <c r="I541">
        <v>1762</v>
      </c>
      <c r="J541">
        <v>9000</v>
      </c>
    </row>
    <row r="542" spans="4:10">
      <c r="D542" t="s">
        <v>615</v>
      </c>
      <c r="E542" t="s">
        <v>562</v>
      </c>
      <c r="F542">
        <v>1761</v>
      </c>
      <c r="G542">
        <v>1761</v>
      </c>
      <c r="H542">
        <v>1751</v>
      </c>
      <c r="I542">
        <v>1756</v>
      </c>
      <c r="J542">
        <v>15400</v>
      </c>
    </row>
    <row r="543" spans="4:10">
      <c r="D543" t="s">
        <v>615</v>
      </c>
      <c r="E543" t="s">
        <v>563</v>
      </c>
      <c r="F543">
        <v>1757</v>
      </c>
      <c r="G543">
        <v>1759</v>
      </c>
      <c r="H543">
        <v>1754</v>
      </c>
      <c r="I543">
        <v>1755</v>
      </c>
      <c r="J543">
        <v>8900</v>
      </c>
    </row>
    <row r="544" spans="4:10">
      <c r="D544" t="s">
        <v>615</v>
      </c>
      <c r="E544" t="s">
        <v>564</v>
      </c>
      <c r="F544">
        <v>1755</v>
      </c>
      <c r="G544">
        <v>1761</v>
      </c>
      <c r="H544">
        <v>1753</v>
      </c>
      <c r="I544">
        <v>1759</v>
      </c>
      <c r="J544">
        <v>9400</v>
      </c>
    </row>
    <row r="545" spans="4:10">
      <c r="D545" t="s">
        <v>615</v>
      </c>
      <c r="E545" t="s">
        <v>565</v>
      </c>
      <c r="F545">
        <v>1759</v>
      </c>
      <c r="G545">
        <v>1769</v>
      </c>
      <c r="H545">
        <v>1759</v>
      </c>
      <c r="I545">
        <v>1769</v>
      </c>
      <c r="J545">
        <v>6900</v>
      </c>
    </row>
    <row r="546" spans="4:10">
      <c r="D546" t="s">
        <v>615</v>
      </c>
      <c r="E546" t="s">
        <v>566</v>
      </c>
      <c r="F546">
        <v>1769</v>
      </c>
      <c r="G546">
        <v>1775</v>
      </c>
      <c r="H546">
        <v>1768</v>
      </c>
      <c r="I546">
        <v>1775</v>
      </c>
      <c r="J546">
        <v>12900</v>
      </c>
    </row>
    <row r="547" spans="4:10">
      <c r="D547" t="s">
        <v>615</v>
      </c>
      <c r="E547" t="s">
        <v>567</v>
      </c>
      <c r="F547">
        <v>1774</v>
      </c>
      <c r="G547">
        <v>1775</v>
      </c>
      <c r="H547">
        <v>1765</v>
      </c>
      <c r="I547">
        <v>1765</v>
      </c>
      <c r="J547">
        <v>15800</v>
      </c>
    </row>
    <row r="548" spans="4:10">
      <c r="D548" t="s">
        <v>615</v>
      </c>
      <c r="E548" t="s">
        <v>568</v>
      </c>
      <c r="F548">
        <v>1766</v>
      </c>
      <c r="G548">
        <v>1767</v>
      </c>
      <c r="H548">
        <v>1760</v>
      </c>
      <c r="I548">
        <v>1760</v>
      </c>
      <c r="J548">
        <v>10900</v>
      </c>
    </row>
    <row r="549" spans="4:10">
      <c r="D549" t="s">
        <v>615</v>
      </c>
      <c r="E549" t="s">
        <v>569</v>
      </c>
      <c r="F549">
        <v>1763</v>
      </c>
      <c r="G549">
        <v>1768</v>
      </c>
      <c r="H549">
        <v>1761</v>
      </c>
      <c r="I549">
        <v>1763</v>
      </c>
      <c r="J549">
        <v>18800</v>
      </c>
    </row>
    <row r="550" spans="4:10">
      <c r="D550" t="s">
        <v>615</v>
      </c>
      <c r="E550" t="s">
        <v>570</v>
      </c>
      <c r="F550">
        <v>1763</v>
      </c>
      <c r="G550">
        <v>1765</v>
      </c>
      <c r="H550">
        <v>1760</v>
      </c>
      <c r="I550">
        <v>1762</v>
      </c>
      <c r="J550">
        <v>30200</v>
      </c>
    </row>
    <row r="551" spans="4:10">
      <c r="D551" t="s">
        <v>615</v>
      </c>
      <c r="E551" t="s">
        <v>571</v>
      </c>
      <c r="F551" t="s">
        <v>35</v>
      </c>
      <c r="G551" t="s">
        <v>35</v>
      </c>
      <c r="H551" t="s">
        <v>35</v>
      </c>
      <c r="I551" t="s">
        <v>35</v>
      </c>
      <c r="J551">
        <v>0</v>
      </c>
    </row>
    <row r="552" spans="4:10">
      <c r="D552" t="s">
        <v>615</v>
      </c>
      <c r="E552" t="s">
        <v>572</v>
      </c>
      <c r="F552">
        <v>1766</v>
      </c>
      <c r="G552">
        <v>1766</v>
      </c>
      <c r="H552">
        <v>1766</v>
      </c>
      <c r="I552">
        <v>1766</v>
      </c>
      <c r="J552">
        <v>41600</v>
      </c>
    </row>
    <row r="553" spans="4:10">
      <c r="D553" t="s">
        <v>616</v>
      </c>
      <c r="E553" t="s">
        <v>574</v>
      </c>
      <c r="F553">
        <v>1782</v>
      </c>
      <c r="G553">
        <v>1792</v>
      </c>
      <c r="H553">
        <v>1761</v>
      </c>
      <c r="I553">
        <v>1762</v>
      </c>
      <c r="J553">
        <v>135100</v>
      </c>
    </row>
    <row r="554" spans="4:10">
      <c r="D554" t="s">
        <v>616</v>
      </c>
      <c r="E554" t="s">
        <v>575</v>
      </c>
      <c r="F554">
        <v>1761</v>
      </c>
      <c r="G554">
        <v>1761</v>
      </c>
      <c r="H554">
        <v>1740</v>
      </c>
      <c r="I554">
        <v>1741</v>
      </c>
      <c r="J554">
        <v>45800</v>
      </c>
    </row>
    <row r="555" spans="4:10">
      <c r="D555" t="s">
        <v>616</v>
      </c>
      <c r="E555" t="s">
        <v>576</v>
      </c>
      <c r="F555">
        <v>1740</v>
      </c>
      <c r="G555">
        <v>1743</v>
      </c>
      <c r="H555">
        <v>1725</v>
      </c>
      <c r="I555">
        <v>1727</v>
      </c>
      <c r="J555">
        <v>44400</v>
      </c>
    </row>
    <row r="556" spans="4:10">
      <c r="D556" t="s">
        <v>616</v>
      </c>
      <c r="E556" t="s">
        <v>577</v>
      </c>
      <c r="F556">
        <v>1725</v>
      </c>
      <c r="G556">
        <v>1725</v>
      </c>
      <c r="H556">
        <v>1710</v>
      </c>
      <c r="I556">
        <v>1722</v>
      </c>
      <c r="J556">
        <v>37700</v>
      </c>
    </row>
    <row r="557" spans="4:10">
      <c r="D557" t="s">
        <v>616</v>
      </c>
      <c r="E557" t="s">
        <v>578</v>
      </c>
      <c r="F557">
        <v>1724</v>
      </c>
      <c r="G557">
        <v>1724</v>
      </c>
      <c r="H557">
        <v>1711</v>
      </c>
      <c r="I557">
        <v>1711</v>
      </c>
      <c r="J557">
        <v>23700</v>
      </c>
    </row>
    <row r="558" spans="4:10">
      <c r="D558" t="s">
        <v>616</v>
      </c>
      <c r="E558" t="s">
        <v>579</v>
      </c>
      <c r="F558">
        <v>1711</v>
      </c>
      <c r="G558">
        <v>1723</v>
      </c>
      <c r="H558">
        <v>1711</v>
      </c>
      <c r="I558">
        <v>1720</v>
      </c>
      <c r="J558">
        <v>20900</v>
      </c>
    </row>
    <row r="559" spans="4:10">
      <c r="D559" t="s">
        <v>616</v>
      </c>
      <c r="E559" t="s">
        <v>580</v>
      </c>
      <c r="F559">
        <v>1719</v>
      </c>
      <c r="G559">
        <v>1748</v>
      </c>
      <c r="H559">
        <v>1719</v>
      </c>
      <c r="I559">
        <v>1740</v>
      </c>
      <c r="J559">
        <v>36000</v>
      </c>
    </row>
    <row r="560" spans="4:10">
      <c r="D560" t="s">
        <v>616</v>
      </c>
      <c r="E560" t="s">
        <v>581</v>
      </c>
      <c r="F560">
        <v>1739</v>
      </c>
      <c r="G560">
        <v>1742</v>
      </c>
      <c r="H560">
        <v>1728</v>
      </c>
      <c r="I560">
        <v>1732</v>
      </c>
      <c r="J560">
        <v>18500</v>
      </c>
    </row>
    <row r="561" spans="4:10">
      <c r="D561" t="s">
        <v>616</v>
      </c>
      <c r="E561" t="s">
        <v>582</v>
      </c>
      <c r="F561">
        <v>1732</v>
      </c>
      <c r="G561">
        <v>1733</v>
      </c>
      <c r="H561">
        <v>1719</v>
      </c>
      <c r="I561">
        <v>1725</v>
      </c>
      <c r="J561">
        <v>29500</v>
      </c>
    </row>
    <row r="562" spans="4:10">
      <c r="D562" t="s">
        <v>616</v>
      </c>
      <c r="E562" t="s">
        <v>583</v>
      </c>
      <c r="F562">
        <v>1724</v>
      </c>
      <c r="G562">
        <v>1732</v>
      </c>
      <c r="H562">
        <v>1722</v>
      </c>
      <c r="I562">
        <v>1723</v>
      </c>
      <c r="J562">
        <v>21200</v>
      </c>
    </row>
    <row r="563" spans="4:10">
      <c r="D563" t="s">
        <v>616</v>
      </c>
      <c r="E563" t="s">
        <v>584</v>
      </c>
      <c r="F563">
        <v>1723</v>
      </c>
      <c r="G563">
        <v>1740</v>
      </c>
      <c r="H563">
        <v>1723</v>
      </c>
      <c r="I563">
        <v>1725</v>
      </c>
      <c r="J563">
        <v>21400</v>
      </c>
    </row>
    <row r="564" spans="4:10">
      <c r="D564" t="s">
        <v>616</v>
      </c>
      <c r="E564" t="s">
        <v>585</v>
      </c>
      <c r="F564">
        <v>1724</v>
      </c>
      <c r="G564">
        <v>1725</v>
      </c>
      <c r="H564">
        <v>1713</v>
      </c>
      <c r="I564">
        <v>1718</v>
      </c>
      <c r="J564">
        <v>32500</v>
      </c>
    </row>
    <row r="565" spans="4:10">
      <c r="D565" t="s">
        <v>616</v>
      </c>
      <c r="E565" t="s">
        <v>586</v>
      </c>
      <c r="F565">
        <v>1717</v>
      </c>
      <c r="G565">
        <v>1718</v>
      </c>
      <c r="H565">
        <v>1695</v>
      </c>
      <c r="I565">
        <v>1706</v>
      </c>
      <c r="J565">
        <v>68500</v>
      </c>
    </row>
    <row r="566" spans="4:10">
      <c r="D566" t="s">
        <v>616</v>
      </c>
      <c r="E566" t="s">
        <v>587</v>
      </c>
      <c r="F566">
        <v>1705</v>
      </c>
      <c r="G566">
        <v>1708</v>
      </c>
      <c r="H566">
        <v>1696</v>
      </c>
      <c r="I566">
        <v>1696</v>
      </c>
      <c r="J566">
        <v>24400</v>
      </c>
    </row>
    <row r="567" spans="4:10">
      <c r="D567" t="s">
        <v>616</v>
      </c>
      <c r="E567" t="s">
        <v>588</v>
      </c>
      <c r="F567">
        <v>1696</v>
      </c>
      <c r="G567">
        <v>1698</v>
      </c>
      <c r="H567">
        <v>1681</v>
      </c>
      <c r="I567">
        <v>1684</v>
      </c>
      <c r="J567">
        <v>35200</v>
      </c>
    </row>
    <row r="568" spans="4:10">
      <c r="D568" t="s">
        <v>616</v>
      </c>
      <c r="E568" t="s">
        <v>589</v>
      </c>
      <c r="F568">
        <v>1684</v>
      </c>
      <c r="G568">
        <v>1688</v>
      </c>
      <c r="H568">
        <v>1678</v>
      </c>
      <c r="I568">
        <v>1685</v>
      </c>
      <c r="J568">
        <v>51300</v>
      </c>
    </row>
    <row r="569" spans="4:10">
      <c r="D569" t="s">
        <v>616</v>
      </c>
      <c r="E569" t="s">
        <v>590</v>
      </c>
      <c r="F569">
        <v>1684</v>
      </c>
      <c r="G569">
        <v>1684</v>
      </c>
      <c r="H569">
        <v>1669</v>
      </c>
      <c r="I569">
        <v>1681</v>
      </c>
      <c r="J569">
        <v>64500</v>
      </c>
    </row>
    <row r="570" spans="4:10">
      <c r="D570" t="s">
        <v>616</v>
      </c>
      <c r="E570" t="s">
        <v>591</v>
      </c>
      <c r="F570">
        <v>1682</v>
      </c>
      <c r="G570">
        <v>1689</v>
      </c>
      <c r="H570">
        <v>1676</v>
      </c>
      <c r="I570">
        <v>1688</v>
      </c>
      <c r="J570">
        <v>19300</v>
      </c>
    </row>
    <row r="571" spans="4:10">
      <c r="D571" t="s">
        <v>616</v>
      </c>
      <c r="E571" t="s">
        <v>592</v>
      </c>
      <c r="F571">
        <v>1685</v>
      </c>
      <c r="G571">
        <v>1689</v>
      </c>
      <c r="H571">
        <v>1675</v>
      </c>
      <c r="I571">
        <v>1675</v>
      </c>
      <c r="J571">
        <v>18500</v>
      </c>
    </row>
    <row r="572" spans="4:10">
      <c r="D572" t="s">
        <v>616</v>
      </c>
      <c r="E572" t="s">
        <v>593</v>
      </c>
      <c r="F572">
        <v>1675</v>
      </c>
      <c r="G572">
        <v>1675</v>
      </c>
      <c r="H572">
        <v>1664</v>
      </c>
      <c r="I572">
        <v>1665</v>
      </c>
      <c r="J572">
        <v>17900</v>
      </c>
    </row>
    <row r="573" spans="4:10">
      <c r="D573" t="s">
        <v>616</v>
      </c>
      <c r="E573" t="s">
        <v>594</v>
      </c>
      <c r="F573">
        <v>1665</v>
      </c>
      <c r="G573">
        <v>1669</v>
      </c>
      <c r="H573">
        <v>1654</v>
      </c>
      <c r="I573">
        <v>1655</v>
      </c>
      <c r="J573">
        <v>46300</v>
      </c>
    </row>
    <row r="574" spans="4:10">
      <c r="D574" t="s">
        <v>616</v>
      </c>
      <c r="E574" t="s">
        <v>595</v>
      </c>
      <c r="F574">
        <v>1658</v>
      </c>
      <c r="G574">
        <v>1663</v>
      </c>
      <c r="H574">
        <v>1651</v>
      </c>
      <c r="I574">
        <v>1656</v>
      </c>
      <c r="J574">
        <v>25600</v>
      </c>
    </row>
    <row r="575" spans="4:10">
      <c r="D575" t="s">
        <v>616</v>
      </c>
      <c r="E575" t="s">
        <v>596</v>
      </c>
      <c r="F575">
        <v>1658</v>
      </c>
      <c r="G575">
        <v>1661</v>
      </c>
      <c r="H575">
        <v>1650</v>
      </c>
      <c r="I575">
        <v>1661</v>
      </c>
      <c r="J575">
        <v>29100</v>
      </c>
    </row>
    <row r="576" spans="4:10">
      <c r="D576" t="s">
        <v>616</v>
      </c>
      <c r="E576" t="s">
        <v>597</v>
      </c>
      <c r="F576">
        <v>1662</v>
      </c>
      <c r="G576">
        <v>1663</v>
      </c>
      <c r="H576">
        <v>1653</v>
      </c>
      <c r="I576">
        <v>1659</v>
      </c>
      <c r="J576">
        <v>24100</v>
      </c>
    </row>
    <row r="577" spans="4:10">
      <c r="D577" t="s">
        <v>616</v>
      </c>
      <c r="E577" t="s">
        <v>598</v>
      </c>
      <c r="F577">
        <v>1656</v>
      </c>
      <c r="G577">
        <v>1667</v>
      </c>
      <c r="H577">
        <v>1655</v>
      </c>
      <c r="I577">
        <v>1666</v>
      </c>
      <c r="J577">
        <v>13900</v>
      </c>
    </row>
    <row r="578" spans="4:10">
      <c r="D578" t="s">
        <v>616</v>
      </c>
      <c r="E578" t="s">
        <v>599</v>
      </c>
      <c r="F578">
        <v>1665</v>
      </c>
      <c r="G578">
        <v>1681</v>
      </c>
      <c r="H578">
        <v>1663</v>
      </c>
      <c r="I578">
        <v>1663</v>
      </c>
      <c r="J578">
        <v>29600</v>
      </c>
    </row>
    <row r="579" spans="4:10">
      <c r="D579" t="s">
        <v>616</v>
      </c>
      <c r="E579" t="s">
        <v>600</v>
      </c>
      <c r="F579">
        <v>1665</v>
      </c>
      <c r="G579">
        <v>1674</v>
      </c>
      <c r="H579">
        <v>1660</v>
      </c>
      <c r="I579">
        <v>1673</v>
      </c>
      <c r="J579">
        <v>11300</v>
      </c>
    </row>
    <row r="580" spans="4:10">
      <c r="D580" t="s">
        <v>616</v>
      </c>
      <c r="E580" t="s">
        <v>601</v>
      </c>
      <c r="F580">
        <v>1671</v>
      </c>
      <c r="G580">
        <v>1691</v>
      </c>
      <c r="H580">
        <v>1671</v>
      </c>
      <c r="I580">
        <v>1688</v>
      </c>
      <c r="J580">
        <v>24700</v>
      </c>
    </row>
    <row r="581" spans="4:10">
      <c r="D581" t="s">
        <v>616</v>
      </c>
      <c r="E581" t="s">
        <v>602</v>
      </c>
      <c r="F581">
        <v>1686</v>
      </c>
      <c r="G581">
        <v>1689</v>
      </c>
      <c r="H581">
        <v>1683</v>
      </c>
      <c r="I581">
        <v>1688</v>
      </c>
      <c r="J581">
        <v>9500</v>
      </c>
    </row>
    <row r="582" spans="4:10">
      <c r="D582" t="s">
        <v>616</v>
      </c>
      <c r="E582" t="s">
        <v>603</v>
      </c>
      <c r="F582">
        <v>1688</v>
      </c>
      <c r="G582">
        <v>1688</v>
      </c>
      <c r="H582">
        <v>1676</v>
      </c>
      <c r="I582">
        <v>1683</v>
      </c>
      <c r="J582">
        <v>12900</v>
      </c>
    </row>
    <row r="583" spans="4:10">
      <c r="D583" t="s">
        <v>616</v>
      </c>
      <c r="E583" t="s">
        <v>604</v>
      </c>
      <c r="F583">
        <v>1680</v>
      </c>
      <c r="G583">
        <v>1680</v>
      </c>
      <c r="H583">
        <v>1680</v>
      </c>
      <c r="I583">
        <v>1680</v>
      </c>
      <c r="J583">
        <v>400</v>
      </c>
    </row>
    <row r="584" spans="4:10">
      <c r="D584" t="s">
        <v>616</v>
      </c>
      <c r="E584" t="s">
        <v>605</v>
      </c>
      <c r="F584">
        <v>1680</v>
      </c>
      <c r="G584">
        <v>1693</v>
      </c>
      <c r="H584">
        <v>1680</v>
      </c>
      <c r="I584">
        <v>1693</v>
      </c>
      <c r="J584">
        <v>32900</v>
      </c>
    </row>
    <row r="585" spans="4:10">
      <c r="D585" t="s">
        <v>616</v>
      </c>
      <c r="E585" t="s">
        <v>606</v>
      </c>
      <c r="F585">
        <v>1691</v>
      </c>
      <c r="G585">
        <v>1705</v>
      </c>
      <c r="H585">
        <v>1691</v>
      </c>
      <c r="I585">
        <v>1697</v>
      </c>
      <c r="J585">
        <v>24400</v>
      </c>
    </row>
    <row r="586" spans="4:10">
      <c r="D586" t="s">
        <v>616</v>
      </c>
      <c r="E586" t="s">
        <v>538</v>
      </c>
      <c r="F586">
        <v>1697</v>
      </c>
      <c r="G586">
        <v>1697</v>
      </c>
      <c r="H586">
        <v>1683</v>
      </c>
      <c r="I586">
        <v>1695</v>
      </c>
      <c r="J586">
        <v>15800</v>
      </c>
    </row>
    <row r="587" spans="4:10">
      <c r="D587" t="s">
        <v>616</v>
      </c>
      <c r="E587" t="s">
        <v>539</v>
      </c>
      <c r="F587">
        <v>1693</v>
      </c>
      <c r="G587">
        <v>1693</v>
      </c>
      <c r="H587">
        <v>1684</v>
      </c>
      <c r="I587">
        <v>1688</v>
      </c>
      <c r="J587">
        <v>7500</v>
      </c>
    </row>
    <row r="588" spans="4:10">
      <c r="D588" t="s">
        <v>616</v>
      </c>
      <c r="E588" t="s">
        <v>540</v>
      </c>
      <c r="F588">
        <v>1686</v>
      </c>
      <c r="G588">
        <v>1686</v>
      </c>
      <c r="H588">
        <v>1676</v>
      </c>
      <c r="I588">
        <v>1677</v>
      </c>
      <c r="J588">
        <v>12600</v>
      </c>
    </row>
    <row r="589" spans="4:10">
      <c r="D589" t="s">
        <v>616</v>
      </c>
      <c r="E589" t="s">
        <v>541</v>
      </c>
      <c r="F589">
        <v>1678</v>
      </c>
      <c r="G589">
        <v>1687</v>
      </c>
      <c r="H589">
        <v>1678</v>
      </c>
      <c r="I589">
        <v>1687</v>
      </c>
      <c r="J589">
        <v>7300</v>
      </c>
    </row>
    <row r="590" spans="4:10">
      <c r="D590" t="s">
        <v>616</v>
      </c>
      <c r="E590" t="s">
        <v>542</v>
      </c>
      <c r="F590">
        <v>1686</v>
      </c>
      <c r="G590">
        <v>1693</v>
      </c>
      <c r="H590">
        <v>1685</v>
      </c>
      <c r="I590">
        <v>1693</v>
      </c>
      <c r="J590">
        <v>10100</v>
      </c>
    </row>
    <row r="591" spans="4:10">
      <c r="D591" t="s">
        <v>616</v>
      </c>
      <c r="E591" t="s">
        <v>543</v>
      </c>
      <c r="F591">
        <v>1692</v>
      </c>
      <c r="G591">
        <v>1699</v>
      </c>
      <c r="H591">
        <v>1690</v>
      </c>
      <c r="I591">
        <v>1697</v>
      </c>
      <c r="J591">
        <v>6300</v>
      </c>
    </row>
    <row r="592" spans="4:10">
      <c r="D592" t="s">
        <v>616</v>
      </c>
      <c r="E592" t="s">
        <v>544</v>
      </c>
      <c r="F592">
        <v>1696</v>
      </c>
      <c r="G592">
        <v>1702</v>
      </c>
      <c r="H592">
        <v>1691</v>
      </c>
      <c r="I592">
        <v>1700</v>
      </c>
      <c r="J592">
        <v>10600</v>
      </c>
    </row>
    <row r="593" spans="4:10">
      <c r="D593" t="s">
        <v>616</v>
      </c>
      <c r="E593" t="s">
        <v>545</v>
      </c>
      <c r="F593">
        <v>1701</v>
      </c>
      <c r="G593">
        <v>1707</v>
      </c>
      <c r="H593">
        <v>1697</v>
      </c>
      <c r="I593">
        <v>1703</v>
      </c>
      <c r="J593">
        <v>16900</v>
      </c>
    </row>
    <row r="594" spans="4:10">
      <c r="D594" t="s">
        <v>616</v>
      </c>
      <c r="E594" t="s">
        <v>546</v>
      </c>
      <c r="F594">
        <v>1703</v>
      </c>
      <c r="G594">
        <v>1705</v>
      </c>
      <c r="H594">
        <v>1698</v>
      </c>
      <c r="I594">
        <v>1700</v>
      </c>
      <c r="J594">
        <v>13500</v>
      </c>
    </row>
    <row r="595" spans="4:10">
      <c r="D595" t="s">
        <v>616</v>
      </c>
      <c r="E595" t="s">
        <v>547</v>
      </c>
      <c r="F595">
        <v>1698</v>
      </c>
      <c r="G595">
        <v>1702</v>
      </c>
      <c r="H595">
        <v>1698</v>
      </c>
      <c r="I595">
        <v>1700</v>
      </c>
      <c r="J595">
        <v>7500</v>
      </c>
    </row>
    <row r="596" spans="4:10">
      <c r="D596" t="s">
        <v>616</v>
      </c>
      <c r="E596" t="s">
        <v>548</v>
      </c>
      <c r="F596">
        <v>1699</v>
      </c>
      <c r="G596">
        <v>1702</v>
      </c>
      <c r="H596">
        <v>1696</v>
      </c>
      <c r="I596">
        <v>1696</v>
      </c>
      <c r="J596">
        <v>7600</v>
      </c>
    </row>
    <row r="597" spans="4:10">
      <c r="D597" t="s">
        <v>616</v>
      </c>
      <c r="E597" t="s">
        <v>549</v>
      </c>
      <c r="F597">
        <v>1696</v>
      </c>
      <c r="G597">
        <v>1698</v>
      </c>
      <c r="H597">
        <v>1694</v>
      </c>
      <c r="I597">
        <v>1695</v>
      </c>
      <c r="J597">
        <v>8200</v>
      </c>
    </row>
    <row r="598" spans="4:10">
      <c r="D598" t="s">
        <v>616</v>
      </c>
      <c r="E598" t="s">
        <v>550</v>
      </c>
      <c r="F598">
        <v>1694</v>
      </c>
      <c r="G598">
        <v>1700</v>
      </c>
      <c r="H598">
        <v>1694</v>
      </c>
      <c r="I598">
        <v>1695</v>
      </c>
      <c r="J598">
        <v>8600</v>
      </c>
    </row>
    <row r="599" spans="4:10">
      <c r="D599" t="s">
        <v>616</v>
      </c>
      <c r="E599" t="s">
        <v>551</v>
      </c>
      <c r="F599">
        <v>1695</v>
      </c>
      <c r="G599">
        <v>1700</v>
      </c>
      <c r="H599">
        <v>1695</v>
      </c>
      <c r="I599">
        <v>1699</v>
      </c>
      <c r="J599">
        <v>5000</v>
      </c>
    </row>
    <row r="600" spans="4:10">
      <c r="D600" t="s">
        <v>616</v>
      </c>
      <c r="E600" t="s">
        <v>552</v>
      </c>
      <c r="F600">
        <v>1697</v>
      </c>
      <c r="G600">
        <v>1698</v>
      </c>
      <c r="H600">
        <v>1693</v>
      </c>
      <c r="I600">
        <v>1698</v>
      </c>
      <c r="J600">
        <v>4900</v>
      </c>
    </row>
    <row r="601" spans="4:10">
      <c r="D601" t="s">
        <v>616</v>
      </c>
      <c r="E601" t="s">
        <v>553</v>
      </c>
      <c r="F601">
        <v>1697</v>
      </c>
      <c r="G601">
        <v>1701</v>
      </c>
      <c r="H601">
        <v>1697</v>
      </c>
      <c r="I601">
        <v>1699</v>
      </c>
      <c r="J601">
        <v>7400</v>
      </c>
    </row>
    <row r="602" spans="4:10">
      <c r="D602" t="s">
        <v>616</v>
      </c>
      <c r="E602" t="s">
        <v>554</v>
      </c>
      <c r="F602">
        <v>1697</v>
      </c>
      <c r="G602">
        <v>1718</v>
      </c>
      <c r="H602">
        <v>1696</v>
      </c>
      <c r="I602">
        <v>1717</v>
      </c>
      <c r="J602">
        <v>30900</v>
      </c>
    </row>
    <row r="603" spans="4:10">
      <c r="D603" t="s">
        <v>616</v>
      </c>
      <c r="E603" t="s">
        <v>555</v>
      </c>
      <c r="F603">
        <v>1715</v>
      </c>
      <c r="G603">
        <v>1720</v>
      </c>
      <c r="H603">
        <v>1712</v>
      </c>
      <c r="I603">
        <v>1713</v>
      </c>
      <c r="J603">
        <v>16500</v>
      </c>
    </row>
    <row r="604" spans="4:10">
      <c r="D604" t="s">
        <v>616</v>
      </c>
      <c r="E604" t="s">
        <v>556</v>
      </c>
      <c r="F604">
        <v>1716</v>
      </c>
      <c r="G604">
        <v>1716</v>
      </c>
      <c r="H604">
        <v>1708</v>
      </c>
      <c r="I604">
        <v>1710</v>
      </c>
      <c r="J604">
        <v>11200</v>
      </c>
    </row>
    <row r="605" spans="4:10">
      <c r="D605" t="s">
        <v>616</v>
      </c>
      <c r="E605" t="s">
        <v>557</v>
      </c>
      <c r="F605">
        <v>1710</v>
      </c>
      <c r="G605">
        <v>1726</v>
      </c>
      <c r="H605">
        <v>1710</v>
      </c>
      <c r="I605">
        <v>1725</v>
      </c>
      <c r="J605">
        <v>15400</v>
      </c>
    </row>
    <row r="606" spans="4:10">
      <c r="D606" t="s">
        <v>616</v>
      </c>
      <c r="E606" t="s">
        <v>558</v>
      </c>
      <c r="F606">
        <v>1723</v>
      </c>
      <c r="G606">
        <v>1725</v>
      </c>
      <c r="H606">
        <v>1720</v>
      </c>
      <c r="I606">
        <v>1721</v>
      </c>
      <c r="J606">
        <v>15400</v>
      </c>
    </row>
    <row r="607" spans="4:10">
      <c r="D607" t="s">
        <v>616</v>
      </c>
      <c r="E607" t="s">
        <v>559</v>
      </c>
      <c r="F607">
        <v>1720</v>
      </c>
      <c r="G607">
        <v>1726</v>
      </c>
      <c r="H607">
        <v>1720</v>
      </c>
      <c r="I607">
        <v>1722</v>
      </c>
      <c r="J607">
        <v>7500</v>
      </c>
    </row>
    <row r="608" spans="4:10">
      <c r="D608" t="s">
        <v>616</v>
      </c>
      <c r="E608" t="s">
        <v>560</v>
      </c>
      <c r="F608">
        <v>1722</v>
      </c>
      <c r="G608">
        <v>1723</v>
      </c>
      <c r="H608">
        <v>1716</v>
      </c>
      <c r="I608">
        <v>1717</v>
      </c>
      <c r="J608">
        <v>14400</v>
      </c>
    </row>
    <row r="609" spans="4:10">
      <c r="D609" t="s">
        <v>616</v>
      </c>
      <c r="E609" t="s">
        <v>561</v>
      </c>
      <c r="F609">
        <v>1717</v>
      </c>
      <c r="G609">
        <v>1720</v>
      </c>
      <c r="H609">
        <v>1711</v>
      </c>
      <c r="I609">
        <v>1712</v>
      </c>
      <c r="J609">
        <v>11000</v>
      </c>
    </row>
    <row r="610" spans="4:10">
      <c r="D610" t="s">
        <v>616</v>
      </c>
      <c r="E610" t="s">
        <v>562</v>
      </c>
      <c r="F610">
        <v>1711</v>
      </c>
      <c r="G610">
        <v>1719</v>
      </c>
      <c r="H610">
        <v>1710</v>
      </c>
      <c r="I610">
        <v>1719</v>
      </c>
      <c r="J610">
        <v>11900</v>
      </c>
    </row>
    <row r="611" spans="4:10">
      <c r="D611" t="s">
        <v>616</v>
      </c>
      <c r="E611" t="s">
        <v>563</v>
      </c>
      <c r="F611">
        <v>1720</v>
      </c>
      <c r="G611">
        <v>1739</v>
      </c>
      <c r="H611">
        <v>1720</v>
      </c>
      <c r="I611">
        <v>1736</v>
      </c>
      <c r="J611">
        <v>32100</v>
      </c>
    </row>
    <row r="612" spans="4:10">
      <c r="D612" t="s">
        <v>616</v>
      </c>
      <c r="E612" t="s">
        <v>564</v>
      </c>
      <c r="F612">
        <v>1738</v>
      </c>
      <c r="G612">
        <v>1746</v>
      </c>
      <c r="H612">
        <v>1735</v>
      </c>
      <c r="I612">
        <v>1746</v>
      </c>
      <c r="J612">
        <v>25300</v>
      </c>
    </row>
    <row r="613" spans="4:10">
      <c r="D613" t="s">
        <v>616</v>
      </c>
      <c r="E613" t="s">
        <v>565</v>
      </c>
      <c r="F613">
        <v>1746</v>
      </c>
      <c r="G613">
        <v>1753</v>
      </c>
      <c r="H613">
        <v>1731</v>
      </c>
      <c r="I613">
        <v>1731</v>
      </c>
      <c r="J613">
        <v>58700</v>
      </c>
    </row>
    <row r="614" spans="4:10">
      <c r="D614" t="s">
        <v>616</v>
      </c>
      <c r="E614" t="s">
        <v>566</v>
      </c>
      <c r="F614">
        <v>1731</v>
      </c>
      <c r="G614">
        <v>1739</v>
      </c>
      <c r="H614">
        <v>1731</v>
      </c>
      <c r="I614">
        <v>1739</v>
      </c>
      <c r="J614">
        <v>10200</v>
      </c>
    </row>
    <row r="615" spans="4:10">
      <c r="D615" t="s">
        <v>616</v>
      </c>
      <c r="E615" t="s">
        <v>567</v>
      </c>
      <c r="F615">
        <v>1739</v>
      </c>
      <c r="G615">
        <v>1751</v>
      </c>
      <c r="H615">
        <v>1736</v>
      </c>
      <c r="I615">
        <v>1744</v>
      </c>
      <c r="J615">
        <v>28200</v>
      </c>
    </row>
    <row r="616" spans="4:10">
      <c r="D616" t="s">
        <v>616</v>
      </c>
      <c r="E616" t="s">
        <v>568</v>
      </c>
      <c r="F616">
        <v>1746</v>
      </c>
      <c r="G616">
        <v>1748</v>
      </c>
      <c r="H616">
        <v>1740</v>
      </c>
      <c r="I616">
        <v>1740</v>
      </c>
      <c r="J616">
        <v>19400</v>
      </c>
    </row>
    <row r="617" spans="4:10">
      <c r="D617" t="s">
        <v>616</v>
      </c>
      <c r="E617" t="s">
        <v>569</v>
      </c>
      <c r="F617">
        <v>1741</v>
      </c>
      <c r="G617">
        <v>1745</v>
      </c>
      <c r="H617">
        <v>1738</v>
      </c>
      <c r="I617">
        <v>1739</v>
      </c>
      <c r="J617">
        <v>19500</v>
      </c>
    </row>
    <row r="618" spans="4:10">
      <c r="D618" t="s">
        <v>616</v>
      </c>
      <c r="E618" t="s">
        <v>570</v>
      </c>
      <c r="F618">
        <v>1740</v>
      </c>
      <c r="G618">
        <v>1740</v>
      </c>
      <c r="H618">
        <v>1734</v>
      </c>
      <c r="I618">
        <v>1738</v>
      </c>
      <c r="J618">
        <v>16700</v>
      </c>
    </row>
    <row r="619" spans="4:10">
      <c r="D619" t="s">
        <v>616</v>
      </c>
      <c r="E619" t="s">
        <v>571</v>
      </c>
      <c r="F619" t="s">
        <v>35</v>
      </c>
      <c r="G619" t="s">
        <v>35</v>
      </c>
      <c r="H619" t="s">
        <v>35</v>
      </c>
      <c r="I619" t="s">
        <v>35</v>
      </c>
      <c r="J619">
        <v>0</v>
      </c>
    </row>
    <row r="620" spans="4:10">
      <c r="D620" t="s">
        <v>616</v>
      </c>
      <c r="E620" t="s">
        <v>572</v>
      </c>
      <c r="F620">
        <v>1744</v>
      </c>
      <c r="G620">
        <v>1744</v>
      </c>
      <c r="H620">
        <v>1744</v>
      </c>
      <c r="I620">
        <v>1744</v>
      </c>
      <c r="J620">
        <v>35800</v>
      </c>
    </row>
    <row r="621" spans="4:10">
      <c r="D621" t="s">
        <v>617</v>
      </c>
      <c r="E621" t="s">
        <v>574</v>
      </c>
      <c r="F621">
        <v>1779</v>
      </c>
      <c r="G621">
        <v>1814</v>
      </c>
      <c r="H621">
        <v>1761</v>
      </c>
      <c r="I621">
        <v>1794</v>
      </c>
      <c r="J621">
        <v>228800</v>
      </c>
    </row>
    <row r="622" spans="4:10">
      <c r="D622" t="s">
        <v>617</v>
      </c>
      <c r="E622" t="s">
        <v>575</v>
      </c>
      <c r="F622">
        <v>1791</v>
      </c>
      <c r="G622">
        <v>1826</v>
      </c>
      <c r="H622">
        <v>1786</v>
      </c>
      <c r="I622">
        <v>1812</v>
      </c>
      <c r="J622">
        <v>117900</v>
      </c>
    </row>
    <row r="623" spans="4:10">
      <c r="D623" t="s">
        <v>617</v>
      </c>
      <c r="E623" t="s">
        <v>576</v>
      </c>
      <c r="F623">
        <v>1813</v>
      </c>
      <c r="G623">
        <v>1815</v>
      </c>
      <c r="H623">
        <v>1800</v>
      </c>
      <c r="I623">
        <v>1803</v>
      </c>
      <c r="J623">
        <v>59800</v>
      </c>
    </row>
    <row r="624" spans="4:10">
      <c r="D624" t="s">
        <v>617</v>
      </c>
      <c r="E624" t="s">
        <v>577</v>
      </c>
      <c r="F624">
        <v>1803</v>
      </c>
      <c r="G624">
        <v>1855</v>
      </c>
      <c r="H624">
        <v>1801</v>
      </c>
      <c r="I624">
        <v>1844</v>
      </c>
      <c r="J624">
        <v>196400</v>
      </c>
    </row>
    <row r="625" spans="4:10">
      <c r="D625" t="s">
        <v>617</v>
      </c>
      <c r="E625" t="s">
        <v>578</v>
      </c>
      <c r="F625">
        <v>1844</v>
      </c>
      <c r="G625">
        <v>1883</v>
      </c>
      <c r="H625">
        <v>1841</v>
      </c>
      <c r="I625">
        <v>1881</v>
      </c>
      <c r="J625">
        <v>167300</v>
      </c>
    </row>
    <row r="626" spans="4:10">
      <c r="D626" t="s">
        <v>617</v>
      </c>
      <c r="E626" t="s">
        <v>579</v>
      </c>
      <c r="F626">
        <v>1883</v>
      </c>
      <c r="G626">
        <v>1906</v>
      </c>
      <c r="H626">
        <v>1881</v>
      </c>
      <c r="I626">
        <v>1891</v>
      </c>
      <c r="J626">
        <v>163200</v>
      </c>
    </row>
    <row r="627" spans="4:10">
      <c r="D627" t="s">
        <v>617</v>
      </c>
      <c r="E627" t="s">
        <v>580</v>
      </c>
      <c r="F627">
        <v>1890</v>
      </c>
      <c r="G627">
        <v>1893</v>
      </c>
      <c r="H627">
        <v>1866</v>
      </c>
      <c r="I627">
        <v>1886</v>
      </c>
      <c r="J627">
        <v>87100</v>
      </c>
    </row>
    <row r="628" spans="4:10">
      <c r="D628" t="s">
        <v>617</v>
      </c>
      <c r="E628" t="s">
        <v>581</v>
      </c>
      <c r="F628">
        <v>1888</v>
      </c>
      <c r="G628">
        <v>1903</v>
      </c>
      <c r="H628">
        <v>1875</v>
      </c>
      <c r="I628">
        <v>1885</v>
      </c>
      <c r="J628">
        <v>130700</v>
      </c>
    </row>
    <row r="629" spans="4:10">
      <c r="D629" t="s">
        <v>617</v>
      </c>
      <c r="E629" t="s">
        <v>582</v>
      </c>
      <c r="F629">
        <v>1884</v>
      </c>
      <c r="G629">
        <v>1889</v>
      </c>
      <c r="H629">
        <v>1867</v>
      </c>
      <c r="I629">
        <v>1880</v>
      </c>
      <c r="J629">
        <v>71400</v>
      </c>
    </row>
    <row r="630" spans="4:10">
      <c r="D630" t="s">
        <v>617</v>
      </c>
      <c r="E630" t="s">
        <v>583</v>
      </c>
      <c r="F630">
        <v>1882</v>
      </c>
      <c r="G630">
        <v>1897</v>
      </c>
      <c r="H630">
        <v>1870</v>
      </c>
      <c r="I630">
        <v>1894</v>
      </c>
      <c r="J630">
        <v>69000</v>
      </c>
    </row>
    <row r="631" spans="4:10">
      <c r="D631" t="s">
        <v>617</v>
      </c>
      <c r="E631" t="s">
        <v>584</v>
      </c>
      <c r="F631">
        <v>1894</v>
      </c>
      <c r="G631">
        <v>1923</v>
      </c>
      <c r="H631">
        <v>1894</v>
      </c>
      <c r="I631">
        <v>1902</v>
      </c>
      <c r="J631">
        <v>195700</v>
      </c>
    </row>
    <row r="632" spans="4:10">
      <c r="D632" t="s">
        <v>617</v>
      </c>
      <c r="E632" t="s">
        <v>585</v>
      </c>
      <c r="F632">
        <v>1905</v>
      </c>
      <c r="G632">
        <v>1907</v>
      </c>
      <c r="H632">
        <v>1890</v>
      </c>
      <c r="I632">
        <v>1901</v>
      </c>
      <c r="J632">
        <v>69000</v>
      </c>
    </row>
    <row r="633" spans="4:10">
      <c r="D633" t="s">
        <v>617</v>
      </c>
      <c r="E633" t="s">
        <v>586</v>
      </c>
      <c r="F633">
        <v>1902</v>
      </c>
      <c r="G633">
        <v>1917</v>
      </c>
      <c r="H633">
        <v>1896</v>
      </c>
      <c r="I633">
        <v>1910</v>
      </c>
      <c r="J633">
        <v>74600</v>
      </c>
    </row>
    <row r="634" spans="4:10">
      <c r="D634" t="s">
        <v>617</v>
      </c>
      <c r="E634" t="s">
        <v>587</v>
      </c>
      <c r="F634">
        <v>1910</v>
      </c>
      <c r="G634">
        <v>1931</v>
      </c>
      <c r="H634">
        <v>1907</v>
      </c>
      <c r="I634">
        <v>1930</v>
      </c>
      <c r="J634">
        <v>87300</v>
      </c>
    </row>
    <row r="635" spans="4:10">
      <c r="D635" t="s">
        <v>617</v>
      </c>
      <c r="E635" t="s">
        <v>588</v>
      </c>
      <c r="F635">
        <v>1929</v>
      </c>
      <c r="G635">
        <v>1935</v>
      </c>
      <c r="H635">
        <v>1908</v>
      </c>
      <c r="I635">
        <v>1912</v>
      </c>
      <c r="J635">
        <v>75400</v>
      </c>
    </row>
    <row r="636" spans="4:10">
      <c r="D636" t="s">
        <v>617</v>
      </c>
      <c r="E636" t="s">
        <v>589</v>
      </c>
      <c r="F636">
        <v>1912</v>
      </c>
      <c r="G636">
        <v>1919</v>
      </c>
      <c r="H636">
        <v>1899</v>
      </c>
      <c r="I636">
        <v>1905</v>
      </c>
      <c r="J636">
        <v>65200</v>
      </c>
    </row>
    <row r="637" spans="4:10">
      <c r="D637" t="s">
        <v>617</v>
      </c>
      <c r="E637" t="s">
        <v>590</v>
      </c>
      <c r="F637">
        <v>1908</v>
      </c>
      <c r="G637">
        <v>1920</v>
      </c>
      <c r="H637">
        <v>1903</v>
      </c>
      <c r="I637">
        <v>1920</v>
      </c>
      <c r="J637">
        <v>34100</v>
      </c>
    </row>
    <row r="638" spans="4:10">
      <c r="D638" t="s">
        <v>617</v>
      </c>
      <c r="E638" t="s">
        <v>591</v>
      </c>
      <c r="F638">
        <v>1919</v>
      </c>
      <c r="G638">
        <v>1947</v>
      </c>
      <c r="H638">
        <v>1919</v>
      </c>
      <c r="I638">
        <v>1940</v>
      </c>
      <c r="J638">
        <v>125500</v>
      </c>
    </row>
    <row r="639" spans="4:10">
      <c r="D639" t="s">
        <v>617</v>
      </c>
      <c r="E639" t="s">
        <v>592</v>
      </c>
      <c r="F639">
        <v>1939</v>
      </c>
      <c r="G639">
        <v>1941</v>
      </c>
      <c r="H639">
        <v>1917</v>
      </c>
      <c r="I639">
        <v>1929</v>
      </c>
      <c r="J639">
        <v>74600</v>
      </c>
    </row>
    <row r="640" spans="4:10">
      <c r="D640" t="s">
        <v>617</v>
      </c>
      <c r="E640" t="s">
        <v>593</v>
      </c>
      <c r="F640">
        <v>1929</v>
      </c>
      <c r="G640">
        <v>1941</v>
      </c>
      <c r="H640">
        <v>1922</v>
      </c>
      <c r="I640">
        <v>1939</v>
      </c>
      <c r="J640">
        <v>53100</v>
      </c>
    </row>
    <row r="641" spans="4:10">
      <c r="D641" t="s">
        <v>617</v>
      </c>
      <c r="E641" t="s">
        <v>594</v>
      </c>
      <c r="F641">
        <v>1939</v>
      </c>
      <c r="G641">
        <v>1939</v>
      </c>
      <c r="H641">
        <v>1912</v>
      </c>
      <c r="I641">
        <v>1920</v>
      </c>
      <c r="J641">
        <v>72000</v>
      </c>
    </row>
    <row r="642" spans="4:10">
      <c r="D642" t="s">
        <v>617</v>
      </c>
      <c r="E642" t="s">
        <v>595</v>
      </c>
      <c r="F642">
        <v>1918</v>
      </c>
      <c r="G642">
        <v>1927</v>
      </c>
      <c r="H642">
        <v>1914</v>
      </c>
      <c r="I642">
        <v>1914</v>
      </c>
      <c r="J642">
        <v>36400</v>
      </c>
    </row>
    <row r="643" spans="4:10">
      <c r="D643" t="s">
        <v>617</v>
      </c>
      <c r="E643" t="s">
        <v>596</v>
      </c>
      <c r="F643">
        <v>1914</v>
      </c>
      <c r="G643">
        <v>1922</v>
      </c>
      <c r="H643">
        <v>1901</v>
      </c>
      <c r="I643">
        <v>1903</v>
      </c>
      <c r="J643">
        <v>43600</v>
      </c>
    </row>
    <row r="644" spans="4:10">
      <c r="D644" t="s">
        <v>617</v>
      </c>
      <c r="E644" t="s">
        <v>597</v>
      </c>
      <c r="F644">
        <v>1902</v>
      </c>
      <c r="G644">
        <v>1910</v>
      </c>
      <c r="H644">
        <v>1900</v>
      </c>
      <c r="I644">
        <v>1909</v>
      </c>
      <c r="J644">
        <v>55700</v>
      </c>
    </row>
    <row r="645" spans="4:10">
      <c r="D645" t="s">
        <v>617</v>
      </c>
      <c r="E645" t="s">
        <v>598</v>
      </c>
      <c r="F645">
        <v>1909</v>
      </c>
      <c r="G645">
        <v>1913</v>
      </c>
      <c r="H645">
        <v>1903</v>
      </c>
      <c r="I645">
        <v>1904</v>
      </c>
      <c r="J645">
        <v>39200</v>
      </c>
    </row>
    <row r="646" spans="4:10">
      <c r="D646" t="s">
        <v>617</v>
      </c>
      <c r="E646" t="s">
        <v>599</v>
      </c>
      <c r="F646">
        <v>1904</v>
      </c>
      <c r="G646">
        <v>1905</v>
      </c>
      <c r="H646">
        <v>1891</v>
      </c>
      <c r="I646">
        <v>1894</v>
      </c>
      <c r="J646">
        <v>43500</v>
      </c>
    </row>
    <row r="647" spans="4:10">
      <c r="D647" t="s">
        <v>617</v>
      </c>
      <c r="E647" t="s">
        <v>600</v>
      </c>
      <c r="F647">
        <v>1893</v>
      </c>
      <c r="G647">
        <v>1898</v>
      </c>
      <c r="H647">
        <v>1887</v>
      </c>
      <c r="I647">
        <v>1893</v>
      </c>
      <c r="J647">
        <v>39600</v>
      </c>
    </row>
    <row r="648" spans="4:10">
      <c r="D648" t="s">
        <v>617</v>
      </c>
      <c r="E648" t="s">
        <v>601</v>
      </c>
      <c r="F648">
        <v>1894</v>
      </c>
      <c r="G648">
        <v>1895</v>
      </c>
      <c r="H648">
        <v>1883</v>
      </c>
      <c r="I648">
        <v>1886</v>
      </c>
      <c r="J648">
        <v>35400</v>
      </c>
    </row>
    <row r="649" spans="4:10">
      <c r="D649" t="s">
        <v>617</v>
      </c>
      <c r="E649" t="s">
        <v>602</v>
      </c>
      <c r="F649">
        <v>1884</v>
      </c>
      <c r="G649">
        <v>1891</v>
      </c>
      <c r="H649">
        <v>1883</v>
      </c>
      <c r="I649">
        <v>1890</v>
      </c>
      <c r="J649">
        <v>34900</v>
      </c>
    </row>
    <row r="650" spans="4:10">
      <c r="D650" t="s">
        <v>617</v>
      </c>
      <c r="E650" t="s">
        <v>603</v>
      </c>
      <c r="F650">
        <v>1890</v>
      </c>
      <c r="G650">
        <v>1894</v>
      </c>
      <c r="H650">
        <v>1883</v>
      </c>
      <c r="I650">
        <v>1887</v>
      </c>
      <c r="J650">
        <v>25500</v>
      </c>
    </row>
    <row r="651" spans="4:10">
      <c r="D651" t="s">
        <v>617</v>
      </c>
      <c r="E651" t="s">
        <v>604</v>
      </c>
      <c r="F651">
        <v>1889</v>
      </c>
      <c r="G651">
        <v>1889</v>
      </c>
      <c r="H651">
        <v>1889</v>
      </c>
      <c r="I651">
        <v>1889</v>
      </c>
      <c r="J651">
        <v>1200</v>
      </c>
    </row>
    <row r="652" spans="4:10">
      <c r="D652" t="s">
        <v>617</v>
      </c>
      <c r="E652" t="s">
        <v>605</v>
      </c>
      <c r="F652">
        <v>1889</v>
      </c>
      <c r="G652">
        <v>1900</v>
      </c>
      <c r="H652">
        <v>1886</v>
      </c>
      <c r="I652">
        <v>1899</v>
      </c>
      <c r="J652">
        <v>60000</v>
      </c>
    </row>
    <row r="653" spans="4:10">
      <c r="D653" t="s">
        <v>617</v>
      </c>
      <c r="E653" t="s">
        <v>606</v>
      </c>
      <c r="F653">
        <v>1897</v>
      </c>
      <c r="G653">
        <v>1902</v>
      </c>
      <c r="H653">
        <v>1887</v>
      </c>
      <c r="I653">
        <v>1890</v>
      </c>
      <c r="J653">
        <v>45400</v>
      </c>
    </row>
    <row r="654" spans="4:10">
      <c r="D654" t="s">
        <v>617</v>
      </c>
      <c r="E654" t="s">
        <v>538</v>
      </c>
      <c r="F654">
        <v>1890</v>
      </c>
      <c r="G654">
        <v>1894</v>
      </c>
      <c r="H654">
        <v>1884</v>
      </c>
      <c r="I654">
        <v>1892</v>
      </c>
      <c r="J654">
        <v>20200</v>
      </c>
    </row>
    <row r="655" spans="4:10">
      <c r="D655" t="s">
        <v>617</v>
      </c>
      <c r="E655" t="s">
        <v>539</v>
      </c>
      <c r="F655">
        <v>1892</v>
      </c>
      <c r="G655">
        <v>1894</v>
      </c>
      <c r="H655">
        <v>1889</v>
      </c>
      <c r="I655">
        <v>1890</v>
      </c>
      <c r="J655">
        <v>20000</v>
      </c>
    </row>
    <row r="656" spans="4:10">
      <c r="D656" t="s">
        <v>617</v>
      </c>
      <c r="E656" t="s">
        <v>540</v>
      </c>
      <c r="F656">
        <v>1888</v>
      </c>
      <c r="G656">
        <v>1891</v>
      </c>
      <c r="H656">
        <v>1887</v>
      </c>
      <c r="I656">
        <v>1889</v>
      </c>
      <c r="J656">
        <v>9800</v>
      </c>
    </row>
    <row r="657" spans="4:10">
      <c r="D657" t="s">
        <v>617</v>
      </c>
      <c r="E657" t="s">
        <v>541</v>
      </c>
      <c r="F657">
        <v>1889</v>
      </c>
      <c r="G657">
        <v>1901</v>
      </c>
      <c r="H657">
        <v>1889</v>
      </c>
      <c r="I657">
        <v>1900</v>
      </c>
      <c r="J657">
        <v>29000</v>
      </c>
    </row>
    <row r="658" spans="4:10">
      <c r="D658" t="s">
        <v>617</v>
      </c>
      <c r="E658" t="s">
        <v>542</v>
      </c>
      <c r="F658">
        <v>1900</v>
      </c>
      <c r="G658">
        <v>1900</v>
      </c>
      <c r="H658">
        <v>1896</v>
      </c>
      <c r="I658">
        <v>1896</v>
      </c>
      <c r="J658">
        <v>20900</v>
      </c>
    </row>
    <row r="659" spans="4:10">
      <c r="D659" t="s">
        <v>617</v>
      </c>
      <c r="E659" t="s">
        <v>543</v>
      </c>
      <c r="F659">
        <v>1897</v>
      </c>
      <c r="G659">
        <v>1898</v>
      </c>
      <c r="H659">
        <v>1892</v>
      </c>
      <c r="I659">
        <v>1897</v>
      </c>
      <c r="J659">
        <v>19500</v>
      </c>
    </row>
    <row r="660" spans="4:10">
      <c r="D660" t="s">
        <v>617</v>
      </c>
      <c r="E660" t="s">
        <v>544</v>
      </c>
      <c r="F660">
        <v>1896</v>
      </c>
      <c r="G660">
        <v>1900</v>
      </c>
      <c r="H660">
        <v>1895</v>
      </c>
      <c r="I660">
        <v>1898</v>
      </c>
      <c r="J660">
        <v>13700</v>
      </c>
    </row>
    <row r="661" spans="4:10">
      <c r="D661" t="s">
        <v>617</v>
      </c>
      <c r="E661" t="s">
        <v>545</v>
      </c>
      <c r="F661">
        <v>1899</v>
      </c>
      <c r="G661">
        <v>1906</v>
      </c>
      <c r="H661">
        <v>1898</v>
      </c>
      <c r="I661">
        <v>1903</v>
      </c>
      <c r="J661">
        <v>27200</v>
      </c>
    </row>
    <row r="662" spans="4:10">
      <c r="D662" t="s">
        <v>617</v>
      </c>
      <c r="E662" t="s">
        <v>546</v>
      </c>
      <c r="F662">
        <v>1903</v>
      </c>
      <c r="G662">
        <v>1905</v>
      </c>
      <c r="H662">
        <v>1897</v>
      </c>
      <c r="I662">
        <v>1900</v>
      </c>
      <c r="J662">
        <v>31600</v>
      </c>
    </row>
    <row r="663" spans="4:10">
      <c r="D663" t="s">
        <v>617</v>
      </c>
      <c r="E663" t="s">
        <v>547</v>
      </c>
      <c r="F663">
        <v>1899</v>
      </c>
      <c r="G663">
        <v>1899</v>
      </c>
      <c r="H663">
        <v>1895</v>
      </c>
      <c r="I663">
        <v>1897</v>
      </c>
      <c r="J663">
        <v>8900</v>
      </c>
    </row>
    <row r="664" spans="4:10">
      <c r="D664" t="s">
        <v>617</v>
      </c>
      <c r="E664" t="s">
        <v>548</v>
      </c>
      <c r="F664">
        <v>1897</v>
      </c>
      <c r="G664">
        <v>1897</v>
      </c>
      <c r="H664">
        <v>1890</v>
      </c>
      <c r="I664">
        <v>1893</v>
      </c>
      <c r="J664">
        <v>20400</v>
      </c>
    </row>
    <row r="665" spans="4:10">
      <c r="D665" t="s">
        <v>617</v>
      </c>
      <c r="E665" t="s">
        <v>549</v>
      </c>
      <c r="F665">
        <v>1893</v>
      </c>
      <c r="G665">
        <v>1897</v>
      </c>
      <c r="H665">
        <v>1891</v>
      </c>
      <c r="I665">
        <v>1893</v>
      </c>
      <c r="J665">
        <v>13600</v>
      </c>
    </row>
    <row r="666" spans="4:10">
      <c r="D666" t="s">
        <v>617</v>
      </c>
      <c r="E666" t="s">
        <v>550</v>
      </c>
      <c r="F666">
        <v>1893</v>
      </c>
      <c r="G666">
        <v>1899</v>
      </c>
      <c r="H666">
        <v>1891</v>
      </c>
      <c r="I666">
        <v>1898</v>
      </c>
      <c r="J666">
        <v>13700</v>
      </c>
    </row>
    <row r="667" spans="4:10">
      <c r="D667" t="s">
        <v>617</v>
      </c>
      <c r="E667" t="s">
        <v>551</v>
      </c>
      <c r="F667">
        <v>1899</v>
      </c>
      <c r="G667">
        <v>1900</v>
      </c>
      <c r="H667">
        <v>1895</v>
      </c>
      <c r="I667">
        <v>1899</v>
      </c>
      <c r="J667">
        <v>9600</v>
      </c>
    </row>
    <row r="668" spans="4:10">
      <c r="D668" t="s">
        <v>617</v>
      </c>
      <c r="E668" t="s">
        <v>552</v>
      </c>
      <c r="F668">
        <v>1898</v>
      </c>
      <c r="G668">
        <v>1902</v>
      </c>
      <c r="H668">
        <v>1897</v>
      </c>
      <c r="I668">
        <v>1899</v>
      </c>
      <c r="J668">
        <v>17300</v>
      </c>
    </row>
    <row r="669" spans="4:10">
      <c r="D669" t="s">
        <v>617</v>
      </c>
      <c r="E669" t="s">
        <v>553</v>
      </c>
      <c r="F669">
        <v>1900</v>
      </c>
      <c r="G669">
        <v>1906</v>
      </c>
      <c r="H669">
        <v>1900</v>
      </c>
      <c r="I669">
        <v>1904</v>
      </c>
      <c r="J669">
        <v>24400</v>
      </c>
    </row>
    <row r="670" spans="4:10">
      <c r="D670" t="s">
        <v>617</v>
      </c>
      <c r="E670" t="s">
        <v>554</v>
      </c>
      <c r="F670">
        <v>1904</v>
      </c>
      <c r="G670">
        <v>1911</v>
      </c>
      <c r="H670">
        <v>1903</v>
      </c>
      <c r="I670">
        <v>1911</v>
      </c>
      <c r="J670">
        <v>23000</v>
      </c>
    </row>
    <row r="671" spans="4:10">
      <c r="D671" t="s">
        <v>617</v>
      </c>
      <c r="E671" t="s">
        <v>555</v>
      </c>
      <c r="F671">
        <v>1911</v>
      </c>
      <c r="G671">
        <v>1920</v>
      </c>
      <c r="H671">
        <v>1908</v>
      </c>
      <c r="I671">
        <v>1914</v>
      </c>
      <c r="J671">
        <v>40800</v>
      </c>
    </row>
    <row r="672" spans="4:10">
      <c r="D672" t="s">
        <v>617</v>
      </c>
      <c r="E672" t="s">
        <v>556</v>
      </c>
      <c r="F672">
        <v>1915</v>
      </c>
      <c r="G672">
        <v>1917</v>
      </c>
      <c r="H672">
        <v>1912</v>
      </c>
      <c r="I672">
        <v>1917</v>
      </c>
      <c r="J672">
        <v>21700</v>
      </c>
    </row>
    <row r="673" spans="4:10">
      <c r="D673" t="s">
        <v>617</v>
      </c>
      <c r="E673" t="s">
        <v>557</v>
      </c>
      <c r="F673">
        <v>1917</v>
      </c>
      <c r="G673">
        <v>1918</v>
      </c>
      <c r="H673">
        <v>1912</v>
      </c>
      <c r="I673">
        <v>1912</v>
      </c>
      <c r="J673">
        <v>21800</v>
      </c>
    </row>
    <row r="674" spans="4:10">
      <c r="D674" t="s">
        <v>617</v>
      </c>
      <c r="E674" t="s">
        <v>558</v>
      </c>
      <c r="F674">
        <v>1912</v>
      </c>
      <c r="G674">
        <v>1917</v>
      </c>
      <c r="H674">
        <v>1910</v>
      </c>
      <c r="I674">
        <v>1917</v>
      </c>
      <c r="J674">
        <v>24400</v>
      </c>
    </row>
    <row r="675" spans="4:10">
      <c r="D675" t="s">
        <v>617</v>
      </c>
      <c r="E675" t="s">
        <v>559</v>
      </c>
      <c r="F675">
        <v>1916</v>
      </c>
      <c r="G675">
        <v>1922</v>
      </c>
      <c r="H675">
        <v>1916</v>
      </c>
      <c r="I675">
        <v>1916</v>
      </c>
      <c r="J675">
        <v>31700</v>
      </c>
    </row>
    <row r="676" spans="4:10">
      <c r="D676" t="s">
        <v>617</v>
      </c>
      <c r="E676" t="s">
        <v>560</v>
      </c>
      <c r="F676">
        <v>1919</v>
      </c>
      <c r="G676">
        <v>1922</v>
      </c>
      <c r="H676">
        <v>1919</v>
      </c>
      <c r="I676">
        <v>1920</v>
      </c>
      <c r="J676">
        <v>20700</v>
      </c>
    </row>
    <row r="677" spans="4:10">
      <c r="D677" t="s">
        <v>617</v>
      </c>
      <c r="E677" t="s">
        <v>561</v>
      </c>
      <c r="F677">
        <v>1919</v>
      </c>
      <c r="G677">
        <v>1921</v>
      </c>
      <c r="H677">
        <v>1916</v>
      </c>
      <c r="I677">
        <v>1920</v>
      </c>
      <c r="J677">
        <v>20200</v>
      </c>
    </row>
    <row r="678" spans="4:10">
      <c r="D678" t="s">
        <v>617</v>
      </c>
      <c r="E678" t="s">
        <v>562</v>
      </c>
      <c r="F678">
        <v>1920</v>
      </c>
      <c r="G678">
        <v>1926</v>
      </c>
      <c r="H678">
        <v>1918</v>
      </c>
      <c r="I678">
        <v>1922</v>
      </c>
      <c r="J678">
        <v>41900</v>
      </c>
    </row>
    <row r="679" spans="4:10">
      <c r="D679" t="s">
        <v>617</v>
      </c>
      <c r="E679" t="s">
        <v>563</v>
      </c>
      <c r="F679">
        <v>1922</v>
      </c>
      <c r="G679">
        <v>1926</v>
      </c>
      <c r="H679">
        <v>1910</v>
      </c>
      <c r="I679">
        <v>1922</v>
      </c>
      <c r="J679">
        <v>63400</v>
      </c>
    </row>
    <row r="680" spans="4:10">
      <c r="D680" t="s">
        <v>617</v>
      </c>
      <c r="E680" t="s">
        <v>564</v>
      </c>
      <c r="F680">
        <v>1921</v>
      </c>
      <c r="G680">
        <v>1924</v>
      </c>
      <c r="H680">
        <v>1915</v>
      </c>
      <c r="I680">
        <v>1923</v>
      </c>
      <c r="J680">
        <v>37200</v>
      </c>
    </row>
    <row r="681" spans="4:10">
      <c r="D681" t="s">
        <v>617</v>
      </c>
      <c r="E681" t="s">
        <v>565</v>
      </c>
      <c r="F681">
        <v>1923</v>
      </c>
      <c r="G681">
        <v>1926</v>
      </c>
      <c r="H681">
        <v>1918</v>
      </c>
      <c r="I681">
        <v>1922</v>
      </c>
      <c r="J681">
        <v>37500</v>
      </c>
    </row>
    <row r="682" spans="4:10">
      <c r="D682" t="s">
        <v>617</v>
      </c>
      <c r="E682" t="s">
        <v>566</v>
      </c>
      <c r="F682">
        <v>1923</v>
      </c>
      <c r="G682">
        <v>1930</v>
      </c>
      <c r="H682">
        <v>1920</v>
      </c>
      <c r="I682">
        <v>1930</v>
      </c>
      <c r="J682">
        <v>32300</v>
      </c>
    </row>
    <row r="683" spans="4:10">
      <c r="D683" t="s">
        <v>617</v>
      </c>
      <c r="E683" t="s">
        <v>567</v>
      </c>
      <c r="F683">
        <v>1928</v>
      </c>
      <c r="G683">
        <v>1935</v>
      </c>
      <c r="H683">
        <v>1926</v>
      </c>
      <c r="I683">
        <v>1934</v>
      </c>
      <c r="J683">
        <v>63700</v>
      </c>
    </row>
    <row r="684" spans="4:10">
      <c r="D684" t="s">
        <v>617</v>
      </c>
      <c r="E684" t="s">
        <v>568</v>
      </c>
      <c r="F684">
        <v>1934</v>
      </c>
      <c r="G684">
        <v>1937</v>
      </c>
      <c r="H684">
        <v>1926</v>
      </c>
      <c r="I684">
        <v>1930</v>
      </c>
      <c r="J684">
        <v>65300</v>
      </c>
    </row>
    <row r="685" spans="4:10">
      <c r="D685" t="s">
        <v>617</v>
      </c>
      <c r="E685" t="s">
        <v>569</v>
      </c>
      <c r="F685">
        <v>1930</v>
      </c>
      <c r="G685">
        <v>1949</v>
      </c>
      <c r="H685">
        <v>1929</v>
      </c>
      <c r="I685">
        <v>1949</v>
      </c>
      <c r="J685">
        <v>100600</v>
      </c>
    </row>
    <row r="686" spans="4:10">
      <c r="D686" t="s">
        <v>617</v>
      </c>
      <c r="E686" t="s">
        <v>570</v>
      </c>
      <c r="F686">
        <v>1946</v>
      </c>
      <c r="G686">
        <v>1973</v>
      </c>
      <c r="H686">
        <v>1946</v>
      </c>
      <c r="I686">
        <v>1959</v>
      </c>
      <c r="J686">
        <v>174400</v>
      </c>
    </row>
    <row r="687" spans="4:10">
      <c r="D687" t="s">
        <v>617</v>
      </c>
      <c r="E687" t="s">
        <v>571</v>
      </c>
      <c r="F687" t="s">
        <v>35</v>
      </c>
      <c r="G687" t="s">
        <v>35</v>
      </c>
      <c r="H687" t="s">
        <v>35</v>
      </c>
      <c r="I687" t="s">
        <v>35</v>
      </c>
      <c r="J687">
        <v>0</v>
      </c>
    </row>
    <row r="688" spans="4:10">
      <c r="D688" t="s">
        <v>617</v>
      </c>
      <c r="E688" t="s">
        <v>572</v>
      </c>
      <c r="F688">
        <v>1960</v>
      </c>
      <c r="G688">
        <v>1960</v>
      </c>
      <c r="H688">
        <v>1960</v>
      </c>
      <c r="I688">
        <v>1960</v>
      </c>
      <c r="J688">
        <v>76700</v>
      </c>
    </row>
    <row r="689" spans="4:10">
      <c r="D689" t="s">
        <v>618</v>
      </c>
      <c r="E689" t="s">
        <v>574</v>
      </c>
      <c r="F689" t="s">
        <v>35</v>
      </c>
      <c r="G689" t="s">
        <v>35</v>
      </c>
      <c r="H689" t="s">
        <v>35</v>
      </c>
      <c r="I689" t="s">
        <v>35</v>
      </c>
      <c r="J689">
        <v>0</v>
      </c>
    </row>
    <row r="690" spans="4:10">
      <c r="D690" t="s">
        <v>618</v>
      </c>
      <c r="E690" t="s">
        <v>575</v>
      </c>
      <c r="F690" t="s">
        <v>35</v>
      </c>
      <c r="G690" t="s">
        <v>35</v>
      </c>
      <c r="H690" t="s">
        <v>35</v>
      </c>
      <c r="I690" t="s">
        <v>35</v>
      </c>
      <c r="J690">
        <v>0</v>
      </c>
    </row>
    <row r="691" spans="4:10">
      <c r="D691" t="s">
        <v>618</v>
      </c>
      <c r="E691" t="s">
        <v>576</v>
      </c>
      <c r="F691">
        <v>1789</v>
      </c>
      <c r="G691">
        <v>1824</v>
      </c>
      <c r="H691">
        <v>1750</v>
      </c>
      <c r="I691">
        <v>1753</v>
      </c>
      <c r="J691">
        <v>624000</v>
      </c>
    </row>
    <row r="692" spans="4:10">
      <c r="D692" t="s">
        <v>618</v>
      </c>
      <c r="E692" t="s">
        <v>577</v>
      </c>
      <c r="F692">
        <v>1752</v>
      </c>
      <c r="G692">
        <v>1768</v>
      </c>
      <c r="H692">
        <v>1692</v>
      </c>
      <c r="I692">
        <v>1707</v>
      </c>
      <c r="J692">
        <v>444200</v>
      </c>
    </row>
    <row r="693" spans="4:10">
      <c r="D693" t="s">
        <v>618</v>
      </c>
      <c r="E693" t="s">
        <v>578</v>
      </c>
      <c r="F693">
        <v>1707</v>
      </c>
      <c r="G693">
        <v>1714</v>
      </c>
      <c r="H693">
        <v>1693</v>
      </c>
      <c r="I693">
        <v>1697</v>
      </c>
      <c r="J693">
        <v>195000</v>
      </c>
    </row>
    <row r="694" spans="4:10">
      <c r="D694" t="s">
        <v>618</v>
      </c>
      <c r="E694" t="s">
        <v>579</v>
      </c>
      <c r="F694">
        <v>1697</v>
      </c>
      <c r="G694">
        <v>1723</v>
      </c>
      <c r="H694">
        <v>1675</v>
      </c>
      <c r="I694">
        <v>1690</v>
      </c>
      <c r="J694">
        <v>310900</v>
      </c>
    </row>
    <row r="695" spans="4:10">
      <c r="D695" t="s">
        <v>618</v>
      </c>
      <c r="E695" t="s">
        <v>580</v>
      </c>
      <c r="F695">
        <v>1690</v>
      </c>
      <c r="G695">
        <v>1699</v>
      </c>
      <c r="H695">
        <v>1681</v>
      </c>
      <c r="I695">
        <v>1684</v>
      </c>
      <c r="J695">
        <v>147200</v>
      </c>
    </row>
    <row r="696" spans="4:10">
      <c r="D696" t="s">
        <v>618</v>
      </c>
      <c r="E696" t="s">
        <v>581</v>
      </c>
      <c r="F696">
        <v>1685</v>
      </c>
      <c r="G696">
        <v>1694</v>
      </c>
      <c r="H696">
        <v>1680</v>
      </c>
      <c r="I696">
        <v>1681</v>
      </c>
      <c r="J696">
        <v>93700</v>
      </c>
    </row>
    <row r="697" spans="4:10">
      <c r="D697" t="s">
        <v>618</v>
      </c>
      <c r="E697" t="s">
        <v>582</v>
      </c>
      <c r="F697">
        <v>1684</v>
      </c>
      <c r="G697">
        <v>1721</v>
      </c>
      <c r="H697">
        <v>1681</v>
      </c>
      <c r="I697">
        <v>1721</v>
      </c>
      <c r="J697">
        <v>117100</v>
      </c>
    </row>
    <row r="698" spans="4:10">
      <c r="D698" t="s">
        <v>618</v>
      </c>
      <c r="E698" t="s">
        <v>583</v>
      </c>
      <c r="F698">
        <v>1721</v>
      </c>
      <c r="G698">
        <v>1727</v>
      </c>
      <c r="H698">
        <v>1695</v>
      </c>
      <c r="I698">
        <v>1700</v>
      </c>
      <c r="J698">
        <v>175800</v>
      </c>
    </row>
    <row r="699" spans="4:10">
      <c r="D699" t="s">
        <v>618</v>
      </c>
      <c r="E699" t="s">
        <v>584</v>
      </c>
      <c r="F699">
        <v>1700</v>
      </c>
      <c r="G699">
        <v>1705</v>
      </c>
      <c r="H699">
        <v>1699</v>
      </c>
      <c r="I699">
        <v>1702</v>
      </c>
      <c r="J699">
        <v>64100</v>
      </c>
    </row>
    <row r="700" spans="4:10">
      <c r="D700" t="s">
        <v>618</v>
      </c>
      <c r="E700" t="s">
        <v>585</v>
      </c>
      <c r="F700">
        <v>1702</v>
      </c>
      <c r="G700">
        <v>1709</v>
      </c>
      <c r="H700">
        <v>1700</v>
      </c>
      <c r="I700">
        <v>1709</v>
      </c>
      <c r="J700">
        <v>45900</v>
      </c>
    </row>
    <row r="701" spans="4:10">
      <c r="D701" t="s">
        <v>618</v>
      </c>
      <c r="E701" t="s">
        <v>586</v>
      </c>
      <c r="F701">
        <v>1708</v>
      </c>
      <c r="G701">
        <v>1729</v>
      </c>
      <c r="H701">
        <v>1708</v>
      </c>
      <c r="I701">
        <v>1728</v>
      </c>
      <c r="J701">
        <v>90300</v>
      </c>
    </row>
    <row r="702" spans="4:10">
      <c r="D702" t="s">
        <v>618</v>
      </c>
      <c r="E702" t="s">
        <v>587</v>
      </c>
      <c r="F702">
        <v>1728</v>
      </c>
      <c r="G702">
        <v>1743</v>
      </c>
      <c r="H702">
        <v>1721</v>
      </c>
      <c r="I702">
        <v>1730</v>
      </c>
      <c r="J702">
        <v>142300</v>
      </c>
    </row>
    <row r="703" spans="4:10">
      <c r="D703" t="s">
        <v>618</v>
      </c>
      <c r="E703" t="s">
        <v>588</v>
      </c>
      <c r="F703">
        <v>1730</v>
      </c>
      <c r="G703">
        <v>1733</v>
      </c>
      <c r="H703">
        <v>1708</v>
      </c>
      <c r="I703">
        <v>1710</v>
      </c>
      <c r="J703">
        <v>84700</v>
      </c>
    </row>
    <row r="704" spans="4:10">
      <c r="D704" t="s">
        <v>618</v>
      </c>
      <c r="E704" t="s">
        <v>589</v>
      </c>
      <c r="F704">
        <v>1710</v>
      </c>
      <c r="G704">
        <v>1712</v>
      </c>
      <c r="H704">
        <v>1705</v>
      </c>
      <c r="I704">
        <v>1709</v>
      </c>
      <c r="J704">
        <v>50400</v>
      </c>
    </row>
    <row r="705" spans="4:10">
      <c r="D705" t="s">
        <v>618</v>
      </c>
      <c r="E705" t="s">
        <v>590</v>
      </c>
      <c r="F705">
        <v>1711</v>
      </c>
      <c r="G705">
        <v>1723</v>
      </c>
      <c r="H705">
        <v>1707</v>
      </c>
      <c r="I705">
        <v>1721</v>
      </c>
      <c r="J705">
        <v>55600</v>
      </c>
    </row>
    <row r="706" spans="4:10">
      <c r="D706" t="s">
        <v>618</v>
      </c>
      <c r="E706" t="s">
        <v>591</v>
      </c>
      <c r="F706">
        <v>1723</v>
      </c>
      <c r="G706">
        <v>1723</v>
      </c>
      <c r="H706">
        <v>1711</v>
      </c>
      <c r="I706">
        <v>1711</v>
      </c>
      <c r="J706">
        <v>39700</v>
      </c>
    </row>
    <row r="707" spans="4:10">
      <c r="D707" t="s">
        <v>618</v>
      </c>
      <c r="E707" t="s">
        <v>592</v>
      </c>
      <c r="F707">
        <v>1711</v>
      </c>
      <c r="G707">
        <v>1714</v>
      </c>
      <c r="H707">
        <v>1708</v>
      </c>
      <c r="I707">
        <v>1708</v>
      </c>
      <c r="J707">
        <v>44700</v>
      </c>
    </row>
    <row r="708" spans="4:10">
      <c r="D708" t="s">
        <v>618</v>
      </c>
      <c r="E708" t="s">
        <v>593</v>
      </c>
      <c r="F708">
        <v>1708</v>
      </c>
      <c r="G708">
        <v>1725</v>
      </c>
      <c r="H708">
        <v>1708</v>
      </c>
      <c r="I708">
        <v>1724</v>
      </c>
      <c r="J708">
        <v>34800</v>
      </c>
    </row>
    <row r="709" spans="4:10">
      <c r="D709" t="s">
        <v>618</v>
      </c>
      <c r="E709" t="s">
        <v>594</v>
      </c>
      <c r="F709">
        <v>1723</v>
      </c>
      <c r="G709">
        <v>1748</v>
      </c>
      <c r="H709">
        <v>1721</v>
      </c>
      <c r="I709">
        <v>1747</v>
      </c>
      <c r="J709">
        <v>63600</v>
      </c>
    </row>
    <row r="710" spans="4:10">
      <c r="D710" t="s">
        <v>618</v>
      </c>
      <c r="E710" t="s">
        <v>595</v>
      </c>
      <c r="F710">
        <v>1747</v>
      </c>
      <c r="G710">
        <v>1780</v>
      </c>
      <c r="H710">
        <v>1747</v>
      </c>
      <c r="I710">
        <v>1774</v>
      </c>
      <c r="J710">
        <v>150200</v>
      </c>
    </row>
    <row r="711" spans="4:10">
      <c r="D711" t="s">
        <v>618</v>
      </c>
      <c r="E711" t="s">
        <v>596</v>
      </c>
      <c r="F711">
        <v>1774</v>
      </c>
      <c r="G711">
        <v>1800</v>
      </c>
      <c r="H711">
        <v>1767</v>
      </c>
      <c r="I711">
        <v>1769</v>
      </c>
      <c r="J711">
        <v>211500</v>
      </c>
    </row>
    <row r="712" spans="4:10">
      <c r="D712" t="s">
        <v>618</v>
      </c>
      <c r="E712" t="s">
        <v>597</v>
      </c>
      <c r="F712">
        <v>1769</v>
      </c>
      <c r="G712">
        <v>1773</v>
      </c>
      <c r="H712">
        <v>1755</v>
      </c>
      <c r="I712">
        <v>1758</v>
      </c>
      <c r="J712">
        <v>115900</v>
      </c>
    </row>
    <row r="713" spans="4:10">
      <c r="D713" t="s">
        <v>618</v>
      </c>
      <c r="E713" t="s">
        <v>598</v>
      </c>
      <c r="F713">
        <v>1759</v>
      </c>
      <c r="G713">
        <v>1766</v>
      </c>
      <c r="H713">
        <v>1750</v>
      </c>
      <c r="I713">
        <v>1764</v>
      </c>
      <c r="J713">
        <v>75400</v>
      </c>
    </row>
    <row r="714" spans="4:10">
      <c r="D714" t="s">
        <v>618</v>
      </c>
      <c r="E714" t="s">
        <v>599</v>
      </c>
      <c r="F714">
        <v>1762</v>
      </c>
      <c r="G714">
        <v>1773</v>
      </c>
      <c r="H714">
        <v>1762</v>
      </c>
      <c r="I714">
        <v>1772</v>
      </c>
      <c r="J714">
        <v>35500</v>
      </c>
    </row>
    <row r="715" spans="4:10">
      <c r="D715" t="s">
        <v>618</v>
      </c>
      <c r="E715" t="s">
        <v>600</v>
      </c>
      <c r="F715">
        <v>1772</v>
      </c>
      <c r="G715">
        <v>1780</v>
      </c>
      <c r="H715">
        <v>1770</v>
      </c>
      <c r="I715">
        <v>1776</v>
      </c>
      <c r="J715">
        <v>40000</v>
      </c>
    </row>
    <row r="716" spans="4:10">
      <c r="D716" t="s">
        <v>618</v>
      </c>
      <c r="E716" t="s">
        <v>601</v>
      </c>
      <c r="F716">
        <v>1776</v>
      </c>
      <c r="G716">
        <v>1782</v>
      </c>
      <c r="H716">
        <v>1771</v>
      </c>
      <c r="I716">
        <v>1780</v>
      </c>
      <c r="J716">
        <v>35000</v>
      </c>
    </row>
    <row r="717" spans="4:10">
      <c r="D717" t="s">
        <v>618</v>
      </c>
      <c r="E717" t="s">
        <v>602</v>
      </c>
      <c r="F717">
        <v>1778</v>
      </c>
      <c r="G717">
        <v>1782</v>
      </c>
      <c r="H717">
        <v>1775</v>
      </c>
      <c r="I717">
        <v>1775</v>
      </c>
      <c r="J717">
        <v>28300</v>
      </c>
    </row>
    <row r="718" spans="4:10">
      <c r="D718" t="s">
        <v>618</v>
      </c>
      <c r="E718" t="s">
        <v>603</v>
      </c>
      <c r="F718">
        <v>1775</v>
      </c>
      <c r="G718">
        <v>1775</v>
      </c>
      <c r="H718">
        <v>1770</v>
      </c>
      <c r="I718">
        <v>1773</v>
      </c>
      <c r="J718">
        <v>18000</v>
      </c>
    </row>
    <row r="719" spans="4:10">
      <c r="D719" t="s">
        <v>618</v>
      </c>
      <c r="E719" t="s">
        <v>604</v>
      </c>
      <c r="F719">
        <v>1770</v>
      </c>
      <c r="G719">
        <v>1770</v>
      </c>
      <c r="H719">
        <v>1770</v>
      </c>
      <c r="I719">
        <v>1770</v>
      </c>
      <c r="J719">
        <v>5300</v>
      </c>
    </row>
    <row r="720" spans="4:10">
      <c r="D720" t="s">
        <v>618</v>
      </c>
      <c r="E720" t="s">
        <v>605</v>
      </c>
      <c r="F720">
        <v>1790</v>
      </c>
      <c r="G720">
        <v>1817</v>
      </c>
      <c r="H720">
        <v>1780</v>
      </c>
      <c r="I720">
        <v>1815</v>
      </c>
      <c r="J720">
        <v>176000</v>
      </c>
    </row>
    <row r="721" spans="4:10">
      <c r="D721" t="s">
        <v>618</v>
      </c>
      <c r="E721" t="s">
        <v>606</v>
      </c>
      <c r="F721">
        <v>1814</v>
      </c>
      <c r="G721">
        <v>1815</v>
      </c>
      <c r="H721">
        <v>1778</v>
      </c>
      <c r="I721">
        <v>1785</v>
      </c>
      <c r="J721">
        <v>133900</v>
      </c>
    </row>
    <row r="722" spans="4:10">
      <c r="D722" t="s">
        <v>618</v>
      </c>
      <c r="E722" t="s">
        <v>538</v>
      </c>
      <c r="F722">
        <v>1785</v>
      </c>
      <c r="G722">
        <v>1790</v>
      </c>
      <c r="H722">
        <v>1782</v>
      </c>
      <c r="I722">
        <v>1785</v>
      </c>
      <c r="J722">
        <v>38600</v>
      </c>
    </row>
    <row r="723" spans="4:10">
      <c r="D723" t="s">
        <v>618</v>
      </c>
      <c r="E723" t="s">
        <v>539</v>
      </c>
      <c r="F723">
        <v>1785</v>
      </c>
      <c r="G723">
        <v>1786</v>
      </c>
      <c r="H723">
        <v>1781</v>
      </c>
      <c r="I723">
        <v>1781</v>
      </c>
      <c r="J723">
        <v>21500</v>
      </c>
    </row>
    <row r="724" spans="4:10">
      <c r="D724" t="s">
        <v>618</v>
      </c>
      <c r="E724" t="s">
        <v>540</v>
      </c>
      <c r="F724">
        <v>1781</v>
      </c>
      <c r="G724">
        <v>1800</v>
      </c>
      <c r="H724">
        <v>1781</v>
      </c>
      <c r="I724">
        <v>1793</v>
      </c>
      <c r="J724">
        <v>80200</v>
      </c>
    </row>
    <row r="725" spans="4:10">
      <c r="D725" t="s">
        <v>618</v>
      </c>
      <c r="E725" t="s">
        <v>541</v>
      </c>
      <c r="F725">
        <v>1793</v>
      </c>
      <c r="G725">
        <v>1795</v>
      </c>
      <c r="H725">
        <v>1791</v>
      </c>
      <c r="I725">
        <v>1792</v>
      </c>
      <c r="J725">
        <v>23500</v>
      </c>
    </row>
    <row r="726" spans="4:10">
      <c r="D726" t="s">
        <v>618</v>
      </c>
      <c r="E726" t="s">
        <v>542</v>
      </c>
      <c r="F726">
        <v>1792</v>
      </c>
      <c r="G726">
        <v>1795</v>
      </c>
      <c r="H726">
        <v>1790</v>
      </c>
      <c r="I726">
        <v>1791</v>
      </c>
      <c r="J726">
        <v>40400</v>
      </c>
    </row>
    <row r="727" spans="4:10">
      <c r="D727" t="s">
        <v>618</v>
      </c>
      <c r="E727" t="s">
        <v>543</v>
      </c>
      <c r="F727">
        <v>1791</v>
      </c>
      <c r="G727">
        <v>1791</v>
      </c>
      <c r="H727">
        <v>1780</v>
      </c>
      <c r="I727">
        <v>1780</v>
      </c>
      <c r="J727">
        <v>35500</v>
      </c>
    </row>
    <row r="728" spans="4:10">
      <c r="D728" t="s">
        <v>618</v>
      </c>
      <c r="E728" t="s">
        <v>544</v>
      </c>
      <c r="F728">
        <v>1780</v>
      </c>
      <c r="G728">
        <v>1781</v>
      </c>
      <c r="H728">
        <v>1771</v>
      </c>
      <c r="I728">
        <v>1774</v>
      </c>
      <c r="J728">
        <v>50000</v>
      </c>
    </row>
    <row r="729" spans="4:10">
      <c r="D729" t="s">
        <v>618</v>
      </c>
      <c r="E729" t="s">
        <v>545</v>
      </c>
      <c r="F729">
        <v>1773</v>
      </c>
      <c r="G729">
        <v>1780</v>
      </c>
      <c r="H729">
        <v>1765</v>
      </c>
      <c r="I729">
        <v>1780</v>
      </c>
      <c r="J729">
        <v>51100</v>
      </c>
    </row>
    <row r="730" spans="4:10">
      <c r="D730" t="s">
        <v>618</v>
      </c>
      <c r="E730" t="s">
        <v>546</v>
      </c>
      <c r="F730">
        <v>1778</v>
      </c>
      <c r="G730">
        <v>1780</v>
      </c>
      <c r="H730">
        <v>1769</v>
      </c>
      <c r="I730">
        <v>1769</v>
      </c>
      <c r="J730">
        <v>18100</v>
      </c>
    </row>
    <row r="731" spans="4:10">
      <c r="D731" t="s">
        <v>618</v>
      </c>
      <c r="E731" t="s">
        <v>547</v>
      </c>
      <c r="F731">
        <v>1770</v>
      </c>
      <c r="G731">
        <v>1770</v>
      </c>
      <c r="H731">
        <v>1765</v>
      </c>
      <c r="I731">
        <v>1765</v>
      </c>
      <c r="J731">
        <v>21700</v>
      </c>
    </row>
    <row r="732" spans="4:10">
      <c r="D732" t="s">
        <v>618</v>
      </c>
      <c r="E732" t="s">
        <v>548</v>
      </c>
      <c r="F732">
        <v>1765</v>
      </c>
      <c r="G732">
        <v>1767</v>
      </c>
      <c r="H732">
        <v>1740</v>
      </c>
      <c r="I732">
        <v>1744</v>
      </c>
      <c r="J732">
        <v>115500</v>
      </c>
    </row>
    <row r="733" spans="4:10">
      <c r="D733" t="s">
        <v>618</v>
      </c>
      <c r="E733" t="s">
        <v>549</v>
      </c>
      <c r="F733">
        <v>1743</v>
      </c>
      <c r="G733">
        <v>1757</v>
      </c>
      <c r="H733">
        <v>1742</v>
      </c>
      <c r="I733">
        <v>1751</v>
      </c>
      <c r="J733">
        <v>36300</v>
      </c>
    </row>
    <row r="734" spans="4:10">
      <c r="D734" t="s">
        <v>618</v>
      </c>
      <c r="E734" t="s">
        <v>550</v>
      </c>
      <c r="F734">
        <v>1750</v>
      </c>
      <c r="G734">
        <v>1755</v>
      </c>
      <c r="H734">
        <v>1749</v>
      </c>
      <c r="I734">
        <v>1749</v>
      </c>
      <c r="J734">
        <v>19200</v>
      </c>
    </row>
    <row r="735" spans="4:10">
      <c r="D735" t="s">
        <v>618</v>
      </c>
      <c r="E735" t="s">
        <v>551</v>
      </c>
      <c r="F735">
        <v>1750</v>
      </c>
      <c r="G735">
        <v>1759</v>
      </c>
      <c r="H735">
        <v>1749</v>
      </c>
      <c r="I735">
        <v>1758</v>
      </c>
      <c r="J735">
        <v>21200</v>
      </c>
    </row>
    <row r="736" spans="4:10">
      <c r="D736" t="s">
        <v>618</v>
      </c>
      <c r="E736" t="s">
        <v>552</v>
      </c>
      <c r="F736">
        <v>1758</v>
      </c>
      <c r="G736">
        <v>1761</v>
      </c>
      <c r="H736">
        <v>1752</v>
      </c>
      <c r="I736">
        <v>1757</v>
      </c>
      <c r="J736">
        <v>25700</v>
      </c>
    </row>
    <row r="737" spans="4:10">
      <c r="D737" t="s">
        <v>618</v>
      </c>
      <c r="E737" t="s">
        <v>553</v>
      </c>
      <c r="F737">
        <v>1757</v>
      </c>
      <c r="G737">
        <v>1769</v>
      </c>
      <c r="H737">
        <v>1757</v>
      </c>
      <c r="I737">
        <v>1769</v>
      </c>
      <c r="J737">
        <v>19900</v>
      </c>
    </row>
    <row r="738" spans="4:10">
      <c r="D738" t="s">
        <v>618</v>
      </c>
      <c r="E738" t="s">
        <v>554</v>
      </c>
      <c r="F738">
        <v>1770</v>
      </c>
      <c r="G738">
        <v>1771</v>
      </c>
      <c r="H738">
        <v>1758</v>
      </c>
      <c r="I738">
        <v>1758</v>
      </c>
      <c r="J738">
        <v>33700</v>
      </c>
    </row>
    <row r="739" spans="4:10">
      <c r="D739" t="s">
        <v>618</v>
      </c>
      <c r="E739" t="s">
        <v>555</v>
      </c>
      <c r="F739">
        <v>1758</v>
      </c>
      <c r="G739">
        <v>1765</v>
      </c>
      <c r="H739">
        <v>1755</v>
      </c>
      <c r="I739">
        <v>1759</v>
      </c>
      <c r="J739">
        <v>22900</v>
      </c>
    </row>
    <row r="740" spans="4:10">
      <c r="D740" t="s">
        <v>618</v>
      </c>
      <c r="E740" t="s">
        <v>556</v>
      </c>
      <c r="F740">
        <v>1758</v>
      </c>
      <c r="G740">
        <v>1763</v>
      </c>
      <c r="H740">
        <v>1756</v>
      </c>
      <c r="I740">
        <v>1758</v>
      </c>
      <c r="J740">
        <v>19700</v>
      </c>
    </row>
    <row r="741" spans="4:10">
      <c r="D741" t="s">
        <v>618</v>
      </c>
      <c r="E741" t="s">
        <v>557</v>
      </c>
      <c r="F741">
        <v>1757</v>
      </c>
      <c r="G741">
        <v>1759</v>
      </c>
      <c r="H741">
        <v>1757</v>
      </c>
      <c r="I741">
        <v>1758</v>
      </c>
      <c r="J741">
        <v>11800</v>
      </c>
    </row>
    <row r="742" spans="4:10">
      <c r="D742" t="s">
        <v>618</v>
      </c>
      <c r="E742" t="s">
        <v>558</v>
      </c>
      <c r="F742">
        <v>1759</v>
      </c>
      <c r="G742">
        <v>1761</v>
      </c>
      <c r="H742">
        <v>1759</v>
      </c>
      <c r="I742">
        <v>1760</v>
      </c>
      <c r="J742">
        <v>5700</v>
      </c>
    </row>
    <row r="743" spans="4:10">
      <c r="D743" t="s">
        <v>618</v>
      </c>
      <c r="E743" t="s">
        <v>559</v>
      </c>
      <c r="F743">
        <v>1760</v>
      </c>
      <c r="G743">
        <v>1760</v>
      </c>
      <c r="H743">
        <v>1756</v>
      </c>
      <c r="I743">
        <v>1757</v>
      </c>
      <c r="J743">
        <v>23600</v>
      </c>
    </row>
    <row r="744" spans="4:10">
      <c r="D744" t="s">
        <v>618</v>
      </c>
      <c r="E744" t="s">
        <v>560</v>
      </c>
      <c r="F744">
        <v>1757</v>
      </c>
      <c r="G744">
        <v>1760</v>
      </c>
      <c r="H744">
        <v>1756</v>
      </c>
      <c r="I744">
        <v>1760</v>
      </c>
      <c r="J744">
        <v>18500</v>
      </c>
    </row>
    <row r="745" spans="4:10">
      <c r="D745" t="s">
        <v>618</v>
      </c>
      <c r="E745" t="s">
        <v>561</v>
      </c>
      <c r="F745">
        <v>1760</v>
      </c>
      <c r="G745">
        <v>1760</v>
      </c>
      <c r="H745">
        <v>1755</v>
      </c>
      <c r="I745">
        <v>1755</v>
      </c>
      <c r="J745">
        <v>17400</v>
      </c>
    </row>
    <row r="746" spans="4:10">
      <c r="D746" t="s">
        <v>618</v>
      </c>
      <c r="E746" t="s">
        <v>562</v>
      </c>
      <c r="F746">
        <v>1755</v>
      </c>
      <c r="G746">
        <v>1758</v>
      </c>
      <c r="H746">
        <v>1755</v>
      </c>
      <c r="I746">
        <v>1757</v>
      </c>
      <c r="J746">
        <v>6800</v>
      </c>
    </row>
    <row r="747" spans="4:10">
      <c r="D747" t="s">
        <v>618</v>
      </c>
      <c r="E747" t="s">
        <v>563</v>
      </c>
      <c r="F747">
        <v>1756</v>
      </c>
      <c r="G747">
        <v>1757</v>
      </c>
      <c r="H747">
        <v>1755</v>
      </c>
      <c r="I747">
        <v>1755</v>
      </c>
      <c r="J747">
        <v>10700</v>
      </c>
    </row>
    <row r="748" spans="4:10">
      <c r="D748" t="s">
        <v>618</v>
      </c>
      <c r="E748" t="s">
        <v>564</v>
      </c>
      <c r="F748">
        <v>1756</v>
      </c>
      <c r="G748">
        <v>1756</v>
      </c>
      <c r="H748">
        <v>1753</v>
      </c>
      <c r="I748">
        <v>1755</v>
      </c>
      <c r="J748">
        <v>18300</v>
      </c>
    </row>
    <row r="749" spans="4:10">
      <c r="D749" t="s">
        <v>618</v>
      </c>
      <c r="E749" t="s">
        <v>565</v>
      </c>
      <c r="F749">
        <v>1755</v>
      </c>
      <c r="G749">
        <v>1756</v>
      </c>
      <c r="H749">
        <v>1748</v>
      </c>
      <c r="I749">
        <v>1748</v>
      </c>
      <c r="J749">
        <v>42700</v>
      </c>
    </row>
    <row r="750" spans="4:10">
      <c r="D750" t="s">
        <v>618</v>
      </c>
      <c r="E750" t="s">
        <v>566</v>
      </c>
      <c r="F750">
        <v>1748</v>
      </c>
      <c r="G750">
        <v>1749</v>
      </c>
      <c r="H750">
        <v>1741</v>
      </c>
      <c r="I750">
        <v>1743</v>
      </c>
      <c r="J750">
        <v>46500</v>
      </c>
    </row>
    <row r="751" spans="4:10">
      <c r="D751" t="s">
        <v>618</v>
      </c>
      <c r="E751" t="s">
        <v>567</v>
      </c>
      <c r="F751">
        <v>1742</v>
      </c>
      <c r="G751">
        <v>1745</v>
      </c>
      <c r="H751">
        <v>1740</v>
      </c>
      <c r="I751">
        <v>1740</v>
      </c>
      <c r="J751">
        <v>36300</v>
      </c>
    </row>
    <row r="752" spans="4:10">
      <c r="D752" t="s">
        <v>618</v>
      </c>
      <c r="E752" t="s">
        <v>568</v>
      </c>
      <c r="F752">
        <v>1740</v>
      </c>
      <c r="G752">
        <v>1746</v>
      </c>
      <c r="H752">
        <v>1740</v>
      </c>
      <c r="I752">
        <v>1744</v>
      </c>
      <c r="J752">
        <v>30200</v>
      </c>
    </row>
    <row r="753" spans="4:10">
      <c r="D753" t="s">
        <v>618</v>
      </c>
      <c r="E753" t="s">
        <v>569</v>
      </c>
      <c r="F753">
        <v>1744</v>
      </c>
      <c r="G753">
        <v>1744</v>
      </c>
      <c r="H753">
        <v>1741</v>
      </c>
      <c r="I753">
        <v>1743</v>
      </c>
      <c r="J753">
        <v>28600</v>
      </c>
    </row>
    <row r="754" spans="4:10">
      <c r="D754" t="s">
        <v>618</v>
      </c>
      <c r="E754" t="s">
        <v>570</v>
      </c>
      <c r="F754">
        <v>1741</v>
      </c>
      <c r="G754">
        <v>1742</v>
      </c>
      <c r="H754">
        <v>1735</v>
      </c>
      <c r="I754">
        <v>1736</v>
      </c>
      <c r="J754">
        <v>70800</v>
      </c>
    </row>
    <row r="755" spans="4:10">
      <c r="D755" t="s">
        <v>618</v>
      </c>
      <c r="E755" t="s">
        <v>571</v>
      </c>
      <c r="F755" t="s">
        <v>35</v>
      </c>
      <c r="G755" t="s">
        <v>35</v>
      </c>
      <c r="H755" t="s">
        <v>35</v>
      </c>
      <c r="I755" t="s">
        <v>35</v>
      </c>
      <c r="J755">
        <v>0</v>
      </c>
    </row>
    <row r="756" spans="4:10">
      <c r="D756" t="s">
        <v>618</v>
      </c>
      <c r="E756" t="s">
        <v>572</v>
      </c>
      <c r="F756">
        <v>1735</v>
      </c>
      <c r="G756">
        <v>1735</v>
      </c>
      <c r="H756">
        <v>1735</v>
      </c>
      <c r="I756">
        <v>1735</v>
      </c>
      <c r="J756">
        <v>61200</v>
      </c>
    </row>
    <row r="757" spans="4:10">
      <c r="D757" t="s">
        <v>619</v>
      </c>
      <c r="E757" t="s">
        <v>574</v>
      </c>
      <c r="F757">
        <v>1750</v>
      </c>
      <c r="G757">
        <v>1811</v>
      </c>
      <c r="H757">
        <v>1750</v>
      </c>
      <c r="I757">
        <v>1799</v>
      </c>
      <c r="J757">
        <v>265600</v>
      </c>
    </row>
    <row r="758" spans="4:10">
      <c r="D758" t="s">
        <v>619</v>
      </c>
      <c r="E758" t="s">
        <v>575</v>
      </c>
      <c r="F758">
        <v>1800</v>
      </c>
      <c r="G758">
        <v>1811</v>
      </c>
      <c r="H758">
        <v>1776</v>
      </c>
      <c r="I758">
        <v>1785</v>
      </c>
      <c r="J758">
        <v>125600</v>
      </c>
    </row>
    <row r="759" spans="4:10">
      <c r="D759" t="s">
        <v>619</v>
      </c>
      <c r="E759" t="s">
        <v>576</v>
      </c>
      <c r="F759">
        <v>1787</v>
      </c>
      <c r="G759">
        <v>1794</v>
      </c>
      <c r="H759">
        <v>1773</v>
      </c>
      <c r="I759">
        <v>1776</v>
      </c>
      <c r="J759">
        <v>76500</v>
      </c>
    </row>
    <row r="760" spans="4:10">
      <c r="D760" t="s">
        <v>619</v>
      </c>
      <c r="E760" t="s">
        <v>577</v>
      </c>
      <c r="F760">
        <v>1777</v>
      </c>
      <c r="G760">
        <v>1782</v>
      </c>
      <c r="H760">
        <v>1760</v>
      </c>
      <c r="I760">
        <v>1774</v>
      </c>
      <c r="J760">
        <v>103100</v>
      </c>
    </row>
    <row r="761" spans="4:10">
      <c r="D761" t="s">
        <v>619</v>
      </c>
      <c r="E761" t="s">
        <v>578</v>
      </c>
      <c r="F761">
        <v>1774</v>
      </c>
      <c r="G761">
        <v>1777</v>
      </c>
      <c r="H761">
        <v>1765</v>
      </c>
      <c r="I761">
        <v>1766</v>
      </c>
      <c r="J761">
        <v>38300</v>
      </c>
    </row>
    <row r="762" spans="4:10">
      <c r="D762" t="s">
        <v>619</v>
      </c>
      <c r="E762" t="s">
        <v>579</v>
      </c>
      <c r="F762">
        <v>1766</v>
      </c>
      <c r="G762">
        <v>1766</v>
      </c>
      <c r="H762">
        <v>1753</v>
      </c>
      <c r="I762">
        <v>1754</v>
      </c>
      <c r="J762">
        <v>51800</v>
      </c>
    </row>
    <row r="763" spans="4:10">
      <c r="D763" t="s">
        <v>619</v>
      </c>
      <c r="E763" t="s">
        <v>580</v>
      </c>
      <c r="F763">
        <v>1754</v>
      </c>
      <c r="G763">
        <v>1769</v>
      </c>
      <c r="H763">
        <v>1751</v>
      </c>
      <c r="I763">
        <v>1769</v>
      </c>
      <c r="J763">
        <v>58900</v>
      </c>
    </row>
    <row r="764" spans="4:10">
      <c r="D764" t="s">
        <v>619</v>
      </c>
      <c r="E764" t="s">
        <v>581</v>
      </c>
      <c r="F764">
        <v>1765</v>
      </c>
      <c r="G764">
        <v>1768</v>
      </c>
      <c r="H764">
        <v>1756</v>
      </c>
      <c r="I764">
        <v>1762</v>
      </c>
      <c r="J764">
        <v>24200</v>
      </c>
    </row>
    <row r="765" spans="4:10">
      <c r="D765" t="s">
        <v>619</v>
      </c>
      <c r="E765" t="s">
        <v>582</v>
      </c>
      <c r="F765">
        <v>1763</v>
      </c>
      <c r="G765">
        <v>1776</v>
      </c>
      <c r="H765">
        <v>1759</v>
      </c>
      <c r="I765">
        <v>1775</v>
      </c>
      <c r="J765">
        <v>60500</v>
      </c>
    </row>
    <row r="766" spans="4:10">
      <c r="D766" t="s">
        <v>619</v>
      </c>
      <c r="E766" t="s">
        <v>583</v>
      </c>
      <c r="F766">
        <v>1775</v>
      </c>
      <c r="G766">
        <v>1778</v>
      </c>
      <c r="H766">
        <v>1769</v>
      </c>
      <c r="I766">
        <v>1772</v>
      </c>
      <c r="J766">
        <v>36000</v>
      </c>
    </row>
    <row r="767" spans="4:10">
      <c r="D767" t="s">
        <v>619</v>
      </c>
      <c r="E767" t="s">
        <v>584</v>
      </c>
      <c r="F767">
        <v>1771</v>
      </c>
      <c r="G767">
        <v>1774</v>
      </c>
      <c r="H767">
        <v>1765</v>
      </c>
      <c r="I767">
        <v>1765</v>
      </c>
      <c r="J767">
        <v>40900</v>
      </c>
    </row>
    <row r="768" spans="4:10">
      <c r="D768" t="s">
        <v>619</v>
      </c>
      <c r="E768" t="s">
        <v>585</v>
      </c>
      <c r="F768">
        <v>1766</v>
      </c>
      <c r="G768">
        <v>1774</v>
      </c>
      <c r="H768">
        <v>1761</v>
      </c>
      <c r="I768">
        <v>1772</v>
      </c>
      <c r="J768">
        <v>37500</v>
      </c>
    </row>
    <row r="769" spans="4:10">
      <c r="D769" t="s">
        <v>619</v>
      </c>
      <c r="E769" t="s">
        <v>586</v>
      </c>
      <c r="F769">
        <v>1773</v>
      </c>
      <c r="G769">
        <v>1773</v>
      </c>
      <c r="H769">
        <v>1770</v>
      </c>
      <c r="I769">
        <v>1772</v>
      </c>
      <c r="J769">
        <v>14100</v>
      </c>
    </row>
    <row r="770" spans="4:10">
      <c r="D770" t="s">
        <v>619</v>
      </c>
      <c r="E770" t="s">
        <v>587</v>
      </c>
      <c r="F770">
        <v>1772</v>
      </c>
      <c r="G770">
        <v>1793</v>
      </c>
      <c r="H770">
        <v>1772</v>
      </c>
      <c r="I770">
        <v>1790</v>
      </c>
      <c r="J770">
        <v>75900</v>
      </c>
    </row>
    <row r="771" spans="4:10">
      <c r="D771" t="s">
        <v>619</v>
      </c>
      <c r="E771" t="s">
        <v>588</v>
      </c>
      <c r="F771">
        <v>1790</v>
      </c>
      <c r="G771">
        <v>1804</v>
      </c>
      <c r="H771">
        <v>1786</v>
      </c>
      <c r="I771">
        <v>1792</v>
      </c>
      <c r="J771">
        <v>124400</v>
      </c>
    </row>
    <row r="772" spans="4:10">
      <c r="D772" t="s">
        <v>619</v>
      </c>
      <c r="E772" t="s">
        <v>589</v>
      </c>
      <c r="F772">
        <v>1791</v>
      </c>
      <c r="G772">
        <v>1802</v>
      </c>
      <c r="H772">
        <v>1782</v>
      </c>
      <c r="I772">
        <v>1798</v>
      </c>
      <c r="J772">
        <v>57100</v>
      </c>
    </row>
    <row r="773" spans="4:10">
      <c r="D773" t="s">
        <v>619</v>
      </c>
      <c r="E773" t="s">
        <v>590</v>
      </c>
      <c r="F773">
        <v>1800</v>
      </c>
      <c r="G773">
        <v>1850</v>
      </c>
      <c r="H773">
        <v>1800</v>
      </c>
      <c r="I773">
        <v>1827</v>
      </c>
      <c r="J773">
        <v>270900</v>
      </c>
    </row>
    <row r="774" spans="4:10">
      <c r="D774" t="s">
        <v>619</v>
      </c>
      <c r="E774" t="s">
        <v>591</v>
      </c>
      <c r="F774">
        <v>1826</v>
      </c>
      <c r="G774">
        <v>1841</v>
      </c>
      <c r="H774">
        <v>1823</v>
      </c>
      <c r="I774">
        <v>1834</v>
      </c>
      <c r="J774">
        <v>82500</v>
      </c>
    </row>
    <row r="775" spans="4:10">
      <c r="D775" t="s">
        <v>619</v>
      </c>
      <c r="E775" t="s">
        <v>592</v>
      </c>
      <c r="F775">
        <v>1834</v>
      </c>
      <c r="G775">
        <v>1849</v>
      </c>
      <c r="H775">
        <v>1824</v>
      </c>
      <c r="I775">
        <v>1847</v>
      </c>
      <c r="J775">
        <v>103800</v>
      </c>
    </row>
    <row r="776" spans="4:10">
      <c r="D776" t="s">
        <v>619</v>
      </c>
      <c r="E776" t="s">
        <v>593</v>
      </c>
      <c r="F776">
        <v>1848</v>
      </c>
      <c r="G776">
        <v>1854</v>
      </c>
      <c r="H776">
        <v>1825</v>
      </c>
      <c r="I776">
        <v>1834</v>
      </c>
      <c r="J776">
        <v>118800</v>
      </c>
    </row>
    <row r="777" spans="4:10">
      <c r="D777" t="s">
        <v>619</v>
      </c>
      <c r="E777" t="s">
        <v>594</v>
      </c>
      <c r="F777">
        <v>1835</v>
      </c>
      <c r="G777">
        <v>1836</v>
      </c>
      <c r="H777">
        <v>1812</v>
      </c>
      <c r="I777">
        <v>1813</v>
      </c>
      <c r="J777">
        <v>89100</v>
      </c>
    </row>
    <row r="778" spans="4:10">
      <c r="D778" t="s">
        <v>619</v>
      </c>
      <c r="E778" t="s">
        <v>595</v>
      </c>
      <c r="F778">
        <v>1814</v>
      </c>
      <c r="G778">
        <v>1819</v>
      </c>
      <c r="H778">
        <v>1793</v>
      </c>
      <c r="I778">
        <v>1804</v>
      </c>
      <c r="J778">
        <v>63400</v>
      </c>
    </row>
    <row r="779" spans="4:10">
      <c r="D779" t="s">
        <v>619</v>
      </c>
      <c r="E779" t="s">
        <v>596</v>
      </c>
      <c r="F779">
        <v>1804</v>
      </c>
      <c r="G779">
        <v>1817</v>
      </c>
      <c r="H779">
        <v>1803</v>
      </c>
      <c r="I779">
        <v>1811</v>
      </c>
      <c r="J779">
        <v>42300</v>
      </c>
    </row>
    <row r="780" spans="4:10">
      <c r="D780" t="s">
        <v>619</v>
      </c>
      <c r="E780" t="s">
        <v>597</v>
      </c>
      <c r="F780">
        <v>1813</v>
      </c>
      <c r="G780">
        <v>1830</v>
      </c>
      <c r="H780">
        <v>1811</v>
      </c>
      <c r="I780">
        <v>1824</v>
      </c>
      <c r="J780">
        <v>51100</v>
      </c>
    </row>
    <row r="781" spans="4:10">
      <c r="D781" t="s">
        <v>619</v>
      </c>
      <c r="E781" t="s">
        <v>598</v>
      </c>
      <c r="F781">
        <v>1823</v>
      </c>
      <c r="G781">
        <v>1837</v>
      </c>
      <c r="H781">
        <v>1820</v>
      </c>
      <c r="I781">
        <v>1831</v>
      </c>
      <c r="J781">
        <v>57600</v>
      </c>
    </row>
    <row r="782" spans="4:10">
      <c r="D782" t="s">
        <v>619</v>
      </c>
      <c r="E782" t="s">
        <v>599</v>
      </c>
      <c r="F782">
        <v>1832</v>
      </c>
      <c r="G782">
        <v>1857</v>
      </c>
      <c r="H782">
        <v>1832</v>
      </c>
      <c r="I782">
        <v>1854</v>
      </c>
      <c r="J782">
        <v>113200</v>
      </c>
    </row>
    <row r="783" spans="4:10">
      <c r="D783" t="s">
        <v>619</v>
      </c>
      <c r="E783" t="s">
        <v>600</v>
      </c>
      <c r="F783">
        <v>1856</v>
      </c>
      <c r="G783">
        <v>1869</v>
      </c>
      <c r="H783">
        <v>1849</v>
      </c>
      <c r="I783">
        <v>1856</v>
      </c>
      <c r="J783">
        <v>78600</v>
      </c>
    </row>
    <row r="784" spans="4:10">
      <c r="D784" t="s">
        <v>619</v>
      </c>
      <c r="E784" t="s">
        <v>601</v>
      </c>
      <c r="F784">
        <v>1859</v>
      </c>
      <c r="G784">
        <v>1861</v>
      </c>
      <c r="H784">
        <v>1848</v>
      </c>
      <c r="I784">
        <v>1852</v>
      </c>
      <c r="J784">
        <v>60200</v>
      </c>
    </row>
    <row r="785" spans="4:10">
      <c r="D785" t="s">
        <v>619</v>
      </c>
      <c r="E785" t="s">
        <v>602</v>
      </c>
      <c r="F785">
        <v>1854</v>
      </c>
      <c r="G785">
        <v>1854</v>
      </c>
      <c r="H785">
        <v>1836</v>
      </c>
      <c r="I785">
        <v>1841</v>
      </c>
      <c r="J785">
        <v>33200</v>
      </c>
    </row>
    <row r="786" spans="4:10">
      <c r="D786" t="s">
        <v>619</v>
      </c>
      <c r="E786" t="s">
        <v>603</v>
      </c>
      <c r="F786">
        <v>1841</v>
      </c>
      <c r="G786">
        <v>1848</v>
      </c>
      <c r="H786">
        <v>1838</v>
      </c>
      <c r="I786">
        <v>1838</v>
      </c>
      <c r="J786">
        <v>37600</v>
      </c>
    </row>
    <row r="787" spans="4:10">
      <c r="D787" t="s">
        <v>619</v>
      </c>
      <c r="E787" t="s">
        <v>604</v>
      </c>
      <c r="F787">
        <v>1838</v>
      </c>
      <c r="G787">
        <v>1838</v>
      </c>
      <c r="H787">
        <v>1838</v>
      </c>
      <c r="I787">
        <v>1838</v>
      </c>
      <c r="J787">
        <v>1100</v>
      </c>
    </row>
    <row r="788" spans="4:10">
      <c r="D788" t="s">
        <v>619</v>
      </c>
      <c r="E788" t="s">
        <v>605</v>
      </c>
      <c r="F788">
        <v>1838</v>
      </c>
      <c r="G788">
        <v>1838</v>
      </c>
      <c r="H788">
        <v>1806</v>
      </c>
      <c r="I788">
        <v>1807</v>
      </c>
      <c r="J788">
        <v>119900</v>
      </c>
    </row>
    <row r="789" spans="4:10">
      <c r="D789" t="s">
        <v>619</v>
      </c>
      <c r="E789" t="s">
        <v>606</v>
      </c>
      <c r="F789">
        <v>1807</v>
      </c>
      <c r="G789">
        <v>1817</v>
      </c>
      <c r="H789">
        <v>1806</v>
      </c>
      <c r="I789">
        <v>1807</v>
      </c>
      <c r="J789">
        <v>61700</v>
      </c>
    </row>
    <row r="790" spans="4:10">
      <c r="D790" t="s">
        <v>619</v>
      </c>
      <c r="E790" t="s">
        <v>538</v>
      </c>
      <c r="F790">
        <v>1807</v>
      </c>
      <c r="G790">
        <v>1811</v>
      </c>
      <c r="H790">
        <v>1792</v>
      </c>
      <c r="I790">
        <v>1793</v>
      </c>
      <c r="J790">
        <v>76500</v>
      </c>
    </row>
    <row r="791" spans="4:10">
      <c r="D791" t="s">
        <v>619</v>
      </c>
      <c r="E791" t="s">
        <v>539</v>
      </c>
      <c r="F791">
        <v>1792</v>
      </c>
      <c r="G791">
        <v>1804</v>
      </c>
      <c r="H791">
        <v>1791</v>
      </c>
      <c r="I791">
        <v>1798</v>
      </c>
      <c r="J791">
        <v>44700</v>
      </c>
    </row>
    <row r="792" spans="4:10">
      <c r="D792" t="s">
        <v>619</v>
      </c>
      <c r="E792" t="s">
        <v>540</v>
      </c>
      <c r="F792">
        <v>1798</v>
      </c>
      <c r="G792">
        <v>1815</v>
      </c>
      <c r="H792">
        <v>1795</v>
      </c>
      <c r="I792">
        <v>1814</v>
      </c>
      <c r="J792">
        <v>29700</v>
      </c>
    </row>
    <row r="793" spans="4:10">
      <c r="D793" t="s">
        <v>619</v>
      </c>
      <c r="E793" t="s">
        <v>541</v>
      </c>
      <c r="F793">
        <v>1814</v>
      </c>
      <c r="G793">
        <v>1815</v>
      </c>
      <c r="H793">
        <v>1805</v>
      </c>
      <c r="I793">
        <v>1805</v>
      </c>
      <c r="J793">
        <v>32000</v>
      </c>
    </row>
    <row r="794" spans="4:10">
      <c r="D794" t="s">
        <v>619</v>
      </c>
      <c r="E794" t="s">
        <v>542</v>
      </c>
      <c r="F794">
        <v>1803</v>
      </c>
      <c r="G794">
        <v>1810</v>
      </c>
      <c r="H794">
        <v>1795</v>
      </c>
      <c r="I794">
        <v>1807</v>
      </c>
      <c r="J794">
        <v>37600</v>
      </c>
    </row>
    <row r="795" spans="4:10">
      <c r="D795" t="s">
        <v>619</v>
      </c>
      <c r="E795" t="s">
        <v>543</v>
      </c>
      <c r="F795">
        <v>1808</v>
      </c>
      <c r="G795">
        <v>1815</v>
      </c>
      <c r="H795">
        <v>1802</v>
      </c>
      <c r="I795">
        <v>1813</v>
      </c>
      <c r="J795">
        <v>23700</v>
      </c>
    </row>
    <row r="796" spans="4:10">
      <c r="D796" t="s">
        <v>619</v>
      </c>
      <c r="E796" t="s">
        <v>544</v>
      </c>
      <c r="F796">
        <v>1814</v>
      </c>
      <c r="G796">
        <v>1821</v>
      </c>
      <c r="H796">
        <v>1814</v>
      </c>
      <c r="I796">
        <v>1820</v>
      </c>
      <c r="J796">
        <v>36800</v>
      </c>
    </row>
    <row r="797" spans="4:10">
      <c r="D797" t="s">
        <v>619</v>
      </c>
      <c r="E797" t="s">
        <v>545</v>
      </c>
      <c r="F797">
        <v>1819</v>
      </c>
      <c r="G797">
        <v>1832</v>
      </c>
      <c r="H797">
        <v>1816</v>
      </c>
      <c r="I797">
        <v>1828</v>
      </c>
      <c r="J797">
        <v>91000</v>
      </c>
    </row>
    <row r="798" spans="4:10">
      <c r="D798" t="s">
        <v>619</v>
      </c>
      <c r="E798" t="s">
        <v>546</v>
      </c>
      <c r="F798">
        <v>1828</v>
      </c>
      <c r="G798">
        <v>1832</v>
      </c>
      <c r="H798">
        <v>1820</v>
      </c>
      <c r="I798">
        <v>1828</v>
      </c>
      <c r="J798">
        <v>39100</v>
      </c>
    </row>
    <row r="799" spans="4:10">
      <c r="D799" t="s">
        <v>619</v>
      </c>
      <c r="E799" t="s">
        <v>547</v>
      </c>
      <c r="F799">
        <v>1829</v>
      </c>
      <c r="G799">
        <v>1829</v>
      </c>
      <c r="H799">
        <v>1810</v>
      </c>
      <c r="I799">
        <v>1814</v>
      </c>
      <c r="J799">
        <v>39600</v>
      </c>
    </row>
    <row r="800" spans="4:10">
      <c r="D800" t="s">
        <v>619</v>
      </c>
      <c r="E800" t="s">
        <v>548</v>
      </c>
      <c r="F800">
        <v>1812</v>
      </c>
      <c r="G800">
        <v>1822</v>
      </c>
      <c r="H800">
        <v>1809</v>
      </c>
      <c r="I800">
        <v>1817</v>
      </c>
      <c r="J800">
        <v>18400</v>
      </c>
    </row>
    <row r="801" spans="4:10">
      <c r="D801" t="s">
        <v>619</v>
      </c>
      <c r="E801" t="s">
        <v>549</v>
      </c>
      <c r="F801">
        <v>1816</v>
      </c>
      <c r="G801">
        <v>1818</v>
      </c>
      <c r="H801">
        <v>1810</v>
      </c>
      <c r="I801">
        <v>1810</v>
      </c>
      <c r="J801">
        <v>22400</v>
      </c>
    </row>
    <row r="802" spans="4:10">
      <c r="D802" t="s">
        <v>619</v>
      </c>
      <c r="E802" t="s">
        <v>550</v>
      </c>
      <c r="F802">
        <v>1811</v>
      </c>
      <c r="G802">
        <v>1816</v>
      </c>
      <c r="H802">
        <v>1809</v>
      </c>
      <c r="I802">
        <v>1814</v>
      </c>
      <c r="J802">
        <v>12500</v>
      </c>
    </row>
    <row r="803" spans="4:10">
      <c r="D803" t="s">
        <v>619</v>
      </c>
      <c r="E803" t="s">
        <v>551</v>
      </c>
      <c r="F803">
        <v>1812</v>
      </c>
      <c r="G803">
        <v>1813</v>
      </c>
      <c r="H803">
        <v>1807</v>
      </c>
      <c r="I803">
        <v>1807</v>
      </c>
      <c r="J803">
        <v>22400</v>
      </c>
    </row>
    <row r="804" spans="4:10">
      <c r="D804" t="s">
        <v>619</v>
      </c>
      <c r="E804" t="s">
        <v>552</v>
      </c>
      <c r="F804">
        <v>1809</v>
      </c>
      <c r="G804">
        <v>1813</v>
      </c>
      <c r="H804">
        <v>1809</v>
      </c>
      <c r="I804">
        <v>1810</v>
      </c>
      <c r="J804">
        <v>8800</v>
      </c>
    </row>
    <row r="805" spans="4:10">
      <c r="D805" t="s">
        <v>619</v>
      </c>
      <c r="E805" t="s">
        <v>553</v>
      </c>
      <c r="F805">
        <v>1810</v>
      </c>
      <c r="G805">
        <v>1819</v>
      </c>
      <c r="H805">
        <v>1796</v>
      </c>
      <c r="I805">
        <v>1819</v>
      </c>
      <c r="J805">
        <v>48200</v>
      </c>
    </row>
    <row r="806" spans="4:10">
      <c r="D806" t="s">
        <v>619</v>
      </c>
      <c r="E806" t="s">
        <v>554</v>
      </c>
      <c r="F806">
        <v>1818</v>
      </c>
      <c r="G806">
        <v>1826</v>
      </c>
      <c r="H806">
        <v>1803</v>
      </c>
      <c r="I806">
        <v>1826</v>
      </c>
      <c r="J806">
        <v>58000</v>
      </c>
    </row>
    <row r="807" spans="4:10">
      <c r="D807" t="s">
        <v>619</v>
      </c>
      <c r="E807" t="s">
        <v>555</v>
      </c>
      <c r="F807">
        <v>1825</v>
      </c>
      <c r="G807">
        <v>1838</v>
      </c>
      <c r="H807">
        <v>1824</v>
      </c>
      <c r="I807">
        <v>1834</v>
      </c>
      <c r="J807">
        <v>57500</v>
      </c>
    </row>
    <row r="808" spans="4:10">
      <c r="D808" t="s">
        <v>619</v>
      </c>
      <c r="E808" t="s">
        <v>556</v>
      </c>
      <c r="F808">
        <v>1834</v>
      </c>
      <c r="G808">
        <v>1834</v>
      </c>
      <c r="H808">
        <v>1824</v>
      </c>
      <c r="I808">
        <v>1828</v>
      </c>
      <c r="J808">
        <v>43100</v>
      </c>
    </row>
    <row r="809" spans="4:10">
      <c r="D809" t="s">
        <v>619</v>
      </c>
      <c r="E809" t="s">
        <v>557</v>
      </c>
      <c r="F809">
        <v>1830</v>
      </c>
      <c r="G809">
        <v>1831</v>
      </c>
      <c r="H809">
        <v>1817</v>
      </c>
      <c r="I809">
        <v>1817</v>
      </c>
      <c r="J809">
        <v>23800</v>
      </c>
    </row>
    <row r="810" spans="4:10">
      <c r="D810" t="s">
        <v>619</v>
      </c>
      <c r="E810" t="s">
        <v>558</v>
      </c>
      <c r="F810">
        <v>1817</v>
      </c>
      <c r="G810">
        <v>1825</v>
      </c>
      <c r="H810">
        <v>1815</v>
      </c>
      <c r="I810">
        <v>1818</v>
      </c>
      <c r="J810">
        <v>20000</v>
      </c>
    </row>
    <row r="811" spans="4:10">
      <c r="D811" t="s">
        <v>619</v>
      </c>
      <c r="E811" t="s">
        <v>559</v>
      </c>
      <c r="F811">
        <v>1818</v>
      </c>
      <c r="G811">
        <v>1823</v>
      </c>
      <c r="H811">
        <v>1816</v>
      </c>
      <c r="I811">
        <v>1817</v>
      </c>
      <c r="J811">
        <v>11900</v>
      </c>
    </row>
    <row r="812" spans="4:10">
      <c r="D812" t="s">
        <v>619</v>
      </c>
      <c r="E812" t="s">
        <v>560</v>
      </c>
      <c r="F812">
        <v>1817</v>
      </c>
      <c r="G812">
        <v>1818</v>
      </c>
      <c r="H812">
        <v>1812</v>
      </c>
      <c r="I812">
        <v>1816</v>
      </c>
      <c r="J812">
        <v>12700</v>
      </c>
    </row>
    <row r="813" spans="4:10">
      <c r="D813" t="s">
        <v>619</v>
      </c>
      <c r="E813" t="s">
        <v>561</v>
      </c>
      <c r="F813">
        <v>1816</v>
      </c>
      <c r="G813">
        <v>1816</v>
      </c>
      <c r="H813">
        <v>1801</v>
      </c>
      <c r="I813">
        <v>1804</v>
      </c>
      <c r="J813">
        <v>28400</v>
      </c>
    </row>
    <row r="814" spans="4:10">
      <c r="D814" t="s">
        <v>619</v>
      </c>
      <c r="E814" t="s">
        <v>562</v>
      </c>
      <c r="F814">
        <v>1803</v>
      </c>
      <c r="G814">
        <v>1804</v>
      </c>
      <c r="H814">
        <v>1795</v>
      </c>
      <c r="I814">
        <v>1797</v>
      </c>
      <c r="J814">
        <v>40200</v>
      </c>
    </row>
    <row r="815" spans="4:10">
      <c r="D815" t="s">
        <v>619</v>
      </c>
      <c r="E815" t="s">
        <v>563</v>
      </c>
      <c r="F815">
        <v>1796</v>
      </c>
      <c r="G815">
        <v>1796</v>
      </c>
      <c r="H815">
        <v>1791</v>
      </c>
      <c r="I815">
        <v>1795</v>
      </c>
      <c r="J815">
        <v>29900</v>
      </c>
    </row>
    <row r="816" spans="4:10">
      <c r="D816" t="s">
        <v>619</v>
      </c>
      <c r="E816" t="s">
        <v>564</v>
      </c>
      <c r="F816">
        <v>1794</v>
      </c>
      <c r="G816">
        <v>1794</v>
      </c>
      <c r="H816">
        <v>1773</v>
      </c>
      <c r="I816">
        <v>1773</v>
      </c>
      <c r="J816">
        <v>75100</v>
      </c>
    </row>
    <row r="817" spans="4:10">
      <c r="D817" t="s">
        <v>619</v>
      </c>
      <c r="E817" t="s">
        <v>565</v>
      </c>
      <c r="F817">
        <v>1773</v>
      </c>
      <c r="G817">
        <v>1776</v>
      </c>
      <c r="H817">
        <v>1758</v>
      </c>
      <c r="I817">
        <v>1758</v>
      </c>
      <c r="J817">
        <v>53900</v>
      </c>
    </row>
    <row r="818" spans="4:10">
      <c r="D818" t="s">
        <v>619</v>
      </c>
      <c r="E818" t="s">
        <v>566</v>
      </c>
      <c r="F818">
        <v>1758</v>
      </c>
      <c r="G818">
        <v>1768</v>
      </c>
      <c r="H818">
        <v>1758</v>
      </c>
      <c r="I818">
        <v>1763</v>
      </c>
      <c r="J818">
        <v>31800</v>
      </c>
    </row>
    <row r="819" spans="4:10">
      <c r="D819" t="s">
        <v>619</v>
      </c>
      <c r="E819" t="s">
        <v>567</v>
      </c>
      <c r="F819">
        <v>1765</v>
      </c>
      <c r="G819">
        <v>1769</v>
      </c>
      <c r="H819">
        <v>1763</v>
      </c>
      <c r="I819">
        <v>1767</v>
      </c>
      <c r="J819">
        <v>20700</v>
      </c>
    </row>
    <row r="820" spans="4:10">
      <c r="D820" t="s">
        <v>619</v>
      </c>
      <c r="E820" t="s">
        <v>568</v>
      </c>
      <c r="F820">
        <v>1768</v>
      </c>
      <c r="G820">
        <v>1768</v>
      </c>
      <c r="H820">
        <v>1762</v>
      </c>
      <c r="I820">
        <v>1764</v>
      </c>
      <c r="J820">
        <v>16900</v>
      </c>
    </row>
    <row r="821" spans="4:10">
      <c r="D821" t="s">
        <v>619</v>
      </c>
      <c r="E821" t="s">
        <v>569</v>
      </c>
      <c r="F821">
        <v>1763</v>
      </c>
      <c r="G821">
        <v>1765</v>
      </c>
      <c r="H821">
        <v>1760</v>
      </c>
      <c r="I821">
        <v>1764</v>
      </c>
      <c r="J821">
        <v>21300</v>
      </c>
    </row>
    <row r="822" spans="4:10">
      <c r="D822" t="s">
        <v>619</v>
      </c>
      <c r="E822" t="s">
        <v>570</v>
      </c>
      <c r="F822">
        <v>1763</v>
      </c>
      <c r="G822">
        <v>1763</v>
      </c>
      <c r="H822">
        <v>1743</v>
      </c>
      <c r="I822">
        <v>1745</v>
      </c>
      <c r="J822">
        <v>77100</v>
      </c>
    </row>
    <row r="823" spans="4:10">
      <c r="D823" t="s">
        <v>619</v>
      </c>
      <c r="E823" t="s">
        <v>571</v>
      </c>
      <c r="F823" t="s">
        <v>35</v>
      </c>
      <c r="G823" t="s">
        <v>35</v>
      </c>
      <c r="H823" t="s">
        <v>35</v>
      </c>
      <c r="I823" t="s">
        <v>35</v>
      </c>
      <c r="J823">
        <v>0</v>
      </c>
    </row>
    <row r="824" spans="4:10">
      <c r="D824" t="s">
        <v>619</v>
      </c>
      <c r="E824" t="s">
        <v>572</v>
      </c>
      <c r="F824">
        <v>1746</v>
      </c>
      <c r="G824">
        <v>1746</v>
      </c>
      <c r="H824">
        <v>1746</v>
      </c>
      <c r="I824">
        <v>1746</v>
      </c>
      <c r="J824">
        <v>46500</v>
      </c>
    </row>
    <row r="825" spans="4:10">
      <c r="D825" t="s">
        <v>199</v>
      </c>
      <c r="E825" t="s">
        <v>574</v>
      </c>
      <c r="F825" t="s">
        <v>35</v>
      </c>
      <c r="G825" t="s">
        <v>35</v>
      </c>
      <c r="H825" t="s">
        <v>35</v>
      </c>
      <c r="I825" t="s">
        <v>35</v>
      </c>
      <c r="J825">
        <v>0</v>
      </c>
    </row>
    <row r="826" spans="4:10">
      <c r="D826" t="s">
        <v>199</v>
      </c>
      <c r="E826" t="s">
        <v>575</v>
      </c>
      <c r="F826">
        <v>1826</v>
      </c>
      <c r="G826">
        <v>1854</v>
      </c>
      <c r="H826">
        <v>1792</v>
      </c>
      <c r="I826">
        <v>1797</v>
      </c>
      <c r="J826">
        <v>340800</v>
      </c>
    </row>
    <row r="827" spans="4:10">
      <c r="D827" t="s">
        <v>199</v>
      </c>
      <c r="E827" t="s">
        <v>576</v>
      </c>
      <c r="F827">
        <v>1797</v>
      </c>
      <c r="G827">
        <v>1798</v>
      </c>
      <c r="H827">
        <v>1772</v>
      </c>
      <c r="I827">
        <v>1773</v>
      </c>
      <c r="J827">
        <v>105500</v>
      </c>
    </row>
    <row r="828" spans="4:10">
      <c r="D828" t="s">
        <v>199</v>
      </c>
      <c r="E828" t="s">
        <v>577</v>
      </c>
      <c r="F828">
        <v>1773</v>
      </c>
      <c r="G828">
        <v>1792</v>
      </c>
      <c r="H828">
        <v>1771</v>
      </c>
      <c r="I828">
        <v>1787</v>
      </c>
      <c r="J828">
        <v>73800</v>
      </c>
    </row>
    <row r="829" spans="4:10">
      <c r="D829" t="s">
        <v>199</v>
      </c>
      <c r="E829" t="s">
        <v>578</v>
      </c>
      <c r="F829">
        <v>1788</v>
      </c>
      <c r="G829">
        <v>1806</v>
      </c>
      <c r="H829">
        <v>1783</v>
      </c>
      <c r="I829">
        <v>1790</v>
      </c>
      <c r="J829">
        <v>82200</v>
      </c>
    </row>
    <row r="830" spans="4:10">
      <c r="D830" t="s">
        <v>199</v>
      </c>
      <c r="E830" t="s">
        <v>579</v>
      </c>
      <c r="F830">
        <v>1790</v>
      </c>
      <c r="G830">
        <v>1802</v>
      </c>
      <c r="H830">
        <v>1787</v>
      </c>
      <c r="I830">
        <v>1802</v>
      </c>
      <c r="J830">
        <v>50400</v>
      </c>
    </row>
    <row r="831" spans="4:10">
      <c r="D831" t="s">
        <v>199</v>
      </c>
      <c r="E831" t="s">
        <v>580</v>
      </c>
      <c r="F831">
        <v>1802</v>
      </c>
      <c r="G831">
        <v>1805</v>
      </c>
      <c r="H831">
        <v>1795</v>
      </c>
      <c r="I831">
        <v>1798</v>
      </c>
      <c r="J831">
        <v>43500</v>
      </c>
    </row>
    <row r="832" spans="4:10">
      <c r="D832" t="s">
        <v>199</v>
      </c>
      <c r="E832" t="s">
        <v>581</v>
      </c>
      <c r="F832">
        <v>1797</v>
      </c>
      <c r="G832">
        <v>1824</v>
      </c>
      <c r="H832">
        <v>1793</v>
      </c>
      <c r="I832">
        <v>1822</v>
      </c>
      <c r="J832">
        <v>100800</v>
      </c>
    </row>
    <row r="833" spans="4:10">
      <c r="D833" t="s">
        <v>199</v>
      </c>
      <c r="E833" t="s">
        <v>582</v>
      </c>
      <c r="F833">
        <v>1821</v>
      </c>
      <c r="G833">
        <v>1824</v>
      </c>
      <c r="H833">
        <v>1802</v>
      </c>
      <c r="I833">
        <v>1805</v>
      </c>
      <c r="J833">
        <v>58700</v>
      </c>
    </row>
    <row r="834" spans="4:10">
      <c r="D834" t="s">
        <v>199</v>
      </c>
      <c r="E834" t="s">
        <v>583</v>
      </c>
      <c r="F834">
        <v>1805</v>
      </c>
      <c r="G834">
        <v>1816</v>
      </c>
      <c r="H834">
        <v>1797</v>
      </c>
      <c r="I834">
        <v>1799</v>
      </c>
      <c r="J834">
        <v>46500</v>
      </c>
    </row>
    <row r="835" spans="4:10">
      <c r="D835" t="s">
        <v>199</v>
      </c>
      <c r="E835" t="s">
        <v>584</v>
      </c>
      <c r="F835">
        <v>1797</v>
      </c>
      <c r="G835">
        <v>1807</v>
      </c>
      <c r="H835">
        <v>1796</v>
      </c>
      <c r="I835">
        <v>1801</v>
      </c>
      <c r="J835">
        <v>58600</v>
      </c>
    </row>
    <row r="836" spans="4:10">
      <c r="D836" t="s">
        <v>199</v>
      </c>
      <c r="E836" t="s">
        <v>585</v>
      </c>
      <c r="F836">
        <v>1800</v>
      </c>
      <c r="G836">
        <v>1801</v>
      </c>
      <c r="H836">
        <v>1785</v>
      </c>
      <c r="I836">
        <v>1785</v>
      </c>
      <c r="J836">
        <v>45800</v>
      </c>
    </row>
    <row r="837" spans="4:10">
      <c r="D837" t="s">
        <v>199</v>
      </c>
      <c r="E837" t="s">
        <v>586</v>
      </c>
      <c r="F837">
        <v>1786</v>
      </c>
      <c r="G837">
        <v>1795</v>
      </c>
      <c r="H837">
        <v>1781</v>
      </c>
      <c r="I837">
        <v>1781</v>
      </c>
      <c r="J837">
        <v>50400</v>
      </c>
    </row>
    <row r="838" spans="4:10">
      <c r="D838" t="s">
        <v>199</v>
      </c>
      <c r="E838" t="s">
        <v>587</v>
      </c>
      <c r="F838">
        <v>1781</v>
      </c>
      <c r="G838">
        <v>1789</v>
      </c>
      <c r="H838">
        <v>1777</v>
      </c>
      <c r="I838">
        <v>1787</v>
      </c>
      <c r="J838">
        <v>48200</v>
      </c>
    </row>
    <row r="839" spans="4:10">
      <c r="D839" t="s">
        <v>199</v>
      </c>
      <c r="E839" t="s">
        <v>588</v>
      </c>
      <c r="F839">
        <v>1786</v>
      </c>
      <c r="G839">
        <v>1795</v>
      </c>
      <c r="H839">
        <v>1775</v>
      </c>
      <c r="I839">
        <v>1776</v>
      </c>
      <c r="J839">
        <v>38500</v>
      </c>
    </row>
    <row r="840" spans="4:10">
      <c r="D840" t="s">
        <v>199</v>
      </c>
      <c r="E840" t="s">
        <v>589</v>
      </c>
      <c r="F840">
        <v>1776</v>
      </c>
      <c r="G840">
        <v>1778</v>
      </c>
      <c r="H840">
        <v>1766</v>
      </c>
      <c r="I840">
        <v>1778</v>
      </c>
      <c r="J840">
        <v>45300</v>
      </c>
    </row>
    <row r="841" spans="4:10">
      <c r="D841" t="s">
        <v>199</v>
      </c>
      <c r="E841" t="s">
        <v>590</v>
      </c>
      <c r="F841">
        <v>1777</v>
      </c>
      <c r="G841">
        <v>1789</v>
      </c>
      <c r="H841">
        <v>1775</v>
      </c>
      <c r="I841">
        <v>1785</v>
      </c>
      <c r="J841">
        <v>23400</v>
      </c>
    </row>
    <row r="842" spans="4:10">
      <c r="D842" t="s">
        <v>199</v>
      </c>
      <c r="E842" t="s">
        <v>591</v>
      </c>
      <c r="F842">
        <v>1785</v>
      </c>
      <c r="G842">
        <v>1789</v>
      </c>
      <c r="H842">
        <v>1780</v>
      </c>
      <c r="I842">
        <v>1789</v>
      </c>
      <c r="J842">
        <v>16400</v>
      </c>
    </row>
    <row r="843" spans="4:10">
      <c r="D843" t="s">
        <v>199</v>
      </c>
      <c r="E843" t="s">
        <v>592</v>
      </c>
      <c r="F843">
        <v>1789</v>
      </c>
      <c r="G843">
        <v>1790</v>
      </c>
      <c r="H843">
        <v>1769</v>
      </c>
      <c r="I843">
        <v>1770</v>
      </c>
      <c r="J843">
        <v>37000</v>
      </c>
    </row>
    <row r="844" spans="4:10">
      <c r="D844" t="s">
        <v>199</v>
      </c>
      <c r="E844" t="s">
        <v>593</v>
      </c>
      <c r="F844">
        <v>1770</v>
      </c>
      <c r="G844">
        <v>1785</v>
      </c>
      <c r="H844">
        <v>1770</v>
      </c>
      <c r="I844">
        <v>1783</v>
      </c>
      <c r="J844">
        <v>22000</v>
      </c>
    </row>
    <row r="845" spans="4:10">
      <c r="D845" t="s">
        <v>199</v>
      </c>
      <c r="E845" t="s">
        <v>594</v>
      </c>
      <c r="F845">
        <v>1783</v>
      </c>
      <c r="G845">
        <v>1787</v>
      </c>
      <c r="H845">
        <v>1778</v>
      </c>
      <c r="I845">
        <v>1783</v>
      </c>
      <c r="J845">
        <v>12800</v>
      </c>
    </row>
    <row r="846" spans="4:10">
      <c r="D846" t="s">
        <v>199</v>
      </c>
      <c r="E846" t="s">
        <v>595</v>
      </c>
      <c r="F846">
        <v>1782</v>
      </c>
      <c r="G846">
        <v>1785</v>
      </c>
      <c r="H846">
        <v>1780</v>
      </c>
      <c r="I846">
        <v>1785</v>
      </c>
      <c r="J846">
        <v>9000</v>
      </c>
    </row>
    <row r="847" spans="4:10">
      <c r="D847" t="s">
        <v>199</v>
      </c>
      <c r="E847" t="s">
        <v>596</v>
      </c>
      <c r="F847">
        <v>1783</v>
      </c>
      <c r="G847">
        <v>1784</v>
      </c>
      <c r="H847">
        <v>1779</v>
      </c>
      <c r="I847">
        <v>1779</v>
      </c>
      <c r="J847">
        <v>17300</v>
      </c>
    </row>
    <row r="848" spans="4:10">
      <c r="D848" t="s">
        <v>199</v>
      </c>
      <c r="E848" t="s">
        <v>597</v>
      </c>
      <c r="F848">
        <v>1779</v>
      </c>
      <c r="G848">
        <v>1784</v>
      </c>
      <c r="H848">
        <v>1779</v>
      </c>
      <c r="I848">
        <v>1782</v>
      </c>
      <c r="J848">
        <v>10800</v>
      </c>
    </row>
    <row r="849" spans="4:10">
      <c r="D849" t="s">
        <v>199</v>
      </c>
      <c r="E849" t="s">
        <v>598</v>
      </c>
      <c r="F849">
        <v>1781</v>
      </c>
      <c r="G849">
        <v>1792</v>
      </c>
      <c r="H849">
        <v>1781</v>
      </c>
      <c r="I849">
        <v>1787</v>
      </c>
      <c r="J849">
        <v>33200</v>
      </c>
    </row>
    <row r="850" spans="4:10">
      <c r="D850" t="s">
        <v>199</v>
      </c>
      <c r="E850" t="s">
        <v>599</v>
      </c>
      <c r="F850">
        <v>1788</v>
      </c>
      <c r="G850">
        <v>1806</v>
      </c>
      <c r="H850">
        <v>1788</v>
      </c>
      <c r="I850">
        <v>1801</v>
      </c>
      <c r="J850">
        <v>50900</v>
      </c>
    </row>
    <row r="851" spans="4:10">
      <c r="D851" t="s">
        <v>199</v>
      </c>
      <c r="E851" t="s">
        <v>600</v>
      </c>
      <c r="F851">
        <v>1801</v>
      </c>
      <c r="G851">
        <v>1804</v>
      </c>
      <c r="H851">
        <v>1793</v>
      </c>
      <c r="I851">
        <v>1802</v>
      </c>
      <c r="J851">
        <v>26400</v>
      </c>
    </row>
    <row r="852" spans="4:10">
      <c r="D852" t="s">
        <v>199</v>
      </c>
      <c r="E852" t="s">
        <v>601</v>
      </c>
      <c r="F852">
        <v>1803</v>
      </c>
      <c r="G852">
        <v>1803</v>
      </c>
      <c r="H852">
        <v>1789</v>
      </c>
      <c r="I852">
        <v>1789</v>
      </c>
      <c r="J852">
        <v>13600</v>
      </c>
    </row>
    <row r="853" spans="4:10">
      <c r="D853" t="s">
        <v>199</v>
      </c>
      <c r="E853" t="s">
        <v>602</v>
      </c>
      <c r="F853">
        <v>1788</v>
      </c>
      <c r="G853">
        <v>1797</v>
      </c>
      <c r="H853">
        <v>1787</v>
      </c>
      <c r="I853">
        <v>1795</v>
      </c>
      <c r="J853">
        <v>7700</v>
      </c>
    </row>
    <row r="854" spans="4:10">
      <c r="D854" t="s">
        <v>199</v>
      </c>
      <c r="E854" t="s">
        <v>603</v>
      </c>
      <c r="F854">
        <v>1796</v>
      </c>
      <c r="G854">
        <v>1796</v>
      </c>
      <c r="H854">
        <v>1783</v>
      </c>
      <c r="I854">
        <v>1789</v>
      </c>
      <c r="J854">
        <v>16600</v>
      </c>
    </row>
    <row r="855" spans="4:10">
      <c r="D855" t="s">
        <v>199</v>
      </c>
      <c r="E855" t="s">
        <v>604</v>
      </c>
      <c r="F855">
        <v>1786</v>
      </c>
      <c r="G855">
        <v>1786</v>
      </c>
      <c r="H855">
        <v>1786</v>
      </c>
      <c r="I855">
        <v>1786</v>
      </c>
      <c r="J855">
        <v>900</v>
      </c>
    </row>
    <row r="856" spans="4:10">
      <c r="D856" t="s">
        <v>199</v>
      </c>
      <c r="E856" t="s">
        <v>605</v>
      </c>
      <c r="F856">
        <v>1796</v>
      </c>
      <c r="G856">
        <v>1796</v>
      </c>
      <c r="H856">
        <v>1775</v>
      </c>
      <c r="I856">
        <v>1783</v>
      </c>
      <c r="J856">
        <v>34900</v>
      </c>
    </row>
    <row r="857" spans="4:10">
      <c r="D857" t="s">
        <v>199</v>
      </c>
      <c r="E857" t="s">
        <v>606</v>
      </c>
      <c r="F857">
        <v>1784</v>
      </c>
      <c r="G857">
        <v>1788</v>
      </c>
      <c r="H857">
        <v>1782</v>
      </c>
      <c r="I857">
        <v>1787</v>
      </c>
      <c r="J857">
        <v>13900</v>
      </c>
    </row>
    <row r="858" spans="4:10">
      <c r="D858" t="s">
        <v>199</v>
      </c>
      <c r="E858" t="s">
        <v>538</v>
      </c>
      <c r="F858">
        <v>1785</v>
      </c>
      <c r="G858">
        <v>1785</v>
      </c>
      <c r="H858">
        <v>1773</v>
      </c>
      <c r="I858">
        <v>1773</v>
      </c>
      <c r="J858">
        <v>22800</v>
      </c>
    </row>
    <row r="859" spans="4:10">
      <c r="D859" t="s">
        <v>199</v>
      </c>
      <c r="E859" t="s">
        <v>539</v>
      </c>
      <c r="F859">
        <v>1774</v>
      </c>
      <c r="G859">
        <v>1774</v>
      </c>
      <c r="H859">
        <v>1768</v>
      </c>
      <c r="I859">
        <v>1772</v>
      </c>
      <c r="J859">
        <v>35500</v>
      </c>
    </row>
    <row r="860" spans="4:10">
      <c r="D860" t="s">
        <v>199</v>
      </c>
      <c r="E860" t="s">
        <v>540</v>
      </c>
      <c r="F860">
        <v>1773</v>
      </c>
      <c r="G860">
        <v>1777</v>
      </c>
      <c r="H860">
        <v>1772</v>
      </c>
      <c r="I860">
        <v>1777</v>
      </c>
      <c r="J860">
        <v>10100</v>
      </c>
    </row>
    <row r="861" spans="4:10">
      <c r="D861" t="s">
        <v>199</v>
      </c>
      <c r="E861" t="s">
        <v>541</v>
      </c>
      <c r="F861">
        <v>1777</v>
      </c>
      <c r="G861">
        <v>1777</v>
      </c>
      <c r="H861">
        <v>1769</v>
      </c>
      <c r="I861">
        <v>1769</v>
      </c>
      <c r="J861">
        <v>24000</v>
      </c>
    </row>
    <row r="862" spans="4:10">
      <c r="D862" t="s">
        <v>199</v>
      </c>
      <c r="E862" t="s">
        <v>542</v>
      </c>
      <c r="F862">
        <v>1768</v>
      </c>
      <c r="G862">
        <v>1770</v>
      </c>
      <c r="H862">
        <v>1762</v>
      </c>
      <c r="I862">
        <v>1765</v>
      </c>
      <c r="J862">
        <v>26700</v>
      </c>
    </row>
    <row r="863" spans="4:10">
      <c r="D863" t="s">
        <v>199</v>
      </c>
      <c r="E863" t="s">
        <v>543</v>
      </c>
      <c r="F863">
        <v>1764</v>
      </c>
      <c r="G863">
        <v>1769</v>
      </c>
      <c r="H863">
        <v>1763</v>
      </c>
      <c r="I863">
        <v>1766</v>
      </c>
      <c r="J863">
        <v>18100</v>
      </c>
    </row>
    <row r="864" spans="4:10">
      <c r="D864" t="s">
        <v>199</v>
      </c>
      <c r="E864" t="s">
        <v>544</v>
      </c>
      <c r="F864">
        <v>1765</v>
      </c>
      <c r="G864">
        <v>1769</v>
      </c>
      <c r="H864">
        <v>1763</v>
      </c>
      <c r="I864">
        <v>1768</v>
      </c>
      <c r="J864">
        <v>16800</v>
      </c>
    </row>
    <row r="865" spans="4:10">
      <c r="D865" t="s">
        <v>199</v>
      </c>
      <c r="E865" t="s">
        <v>545</v>
      </c>
      <c r="F865">
        <v>1767</v>
      </c>
      <c r="G865">
        <v>1784</v>
      </c>
      <c r="H865">
        <v>1767</v>
      </c>
      <c r="I865">
        <v>1784</v>
      </c>
      <c r="J865">
        <v>22500</v>
      </c>
    </row>
    <row r="866" spans="4:10">
      <c r="D866" t="s">
        <v>199</v>
      </c>
      <c r="E866" t="s">
        <v>546</v>
      </c>
      <c r="F866">
        <v>1782</v>
      </c>
      <c r="G866">
        <v>1785</v>
      </c>
      <c r="H866">
        <v>1779</v>
      </c>
      <c r="I866">
        <v>1782</v>
      </c>
      <c r="J866">
        <v>24500</v>
      </c>
    </row>
    <row r="867" spans="4:10">
      <c r="D867" t="s">
        <v>199</v>
      </c>
      <c r="E867" t="s">
        <v>547</v>
      </c>
      <c r="F867">
        <v>1782</v>
      </c>
      <c r="G867">
        <v>1787</v>
      </c>
      <c r="H867">
        <v>1772</v>
      </c>
      <c r="I867">
        <v>1775</v>
      </c>
      <c r="J867">
        <v>32900</v>
      </c>
    </row>
    <row r="868" spans="4:10">
      <c r="D868" t="s">
        <v>199</v>
      </c>
      <c r="E868" t="s">
        <v>548</v>
      </c>
      <c r="F868">
        <v>1777</v>
      </c>
      <c r="G868">
        <v>1786</v>
      </c>
      <c r="H868">
        <v>1771</v>
      </c>
      <c r="I868">
        <v>1771</v>
      </c>
      <c r="J868">
        <v>20100</v>
      </c>
    </row>
    <row r="869" spans="4:10">
      <c r="D869" t="s">
        <v>199</v>
      </c>
      <c r="E869" t="s">
        <v>549</v>
      </c>
      <c r="F869">
        <v>1770</v>
      </c>
      <c r="G869">
        <v>1770</v>
      </c>
      <c r="H869">
        <v>1765</v>
      </c>
      <c r="I869">
        <v>1768</v>
      </c>
      <c r="J869">
        <v>14500</v>
      </c>
    </row>
    <row r="870" spans="4:10">
      <c r="D870" t="s">
        <v>199</v>
      </c>
      <c r="E870" t="s">
        <v>550</v>
      </c>
      <c r="F870">
        <v>1769</v>
      </c>
      <c r="G870">
        <v>1773</v>
      </c>
      <c r="H870">
        <v>1769</v>
      </c>
      <c r="I870">
        <v>1769</v>
      </c>
      <c r="J870">
        <v>8600</v>
      </c>
    </row>
    <row r="871" spans="4:10">
      <c r="D871" t="s">
        <v>199</v>
      </c>
      <c r="E871" t="s">
        <v>551</v>
      </c>
      <c r="F871">
        <v>1768</v>
      </c>
      <c r="G871">
        <v>1770</v>
      </c>
      <c r="H871">
        <v>1765</v>
      </c>
      <c r="I871">
        <v>1769</v>
      </c>
      <c r="J871">
        <v>4200</v>
      </c>
    </row>
    <row r="872" spans="4:10">
      <c r="D872" t="s">
        <v>199</v>
      </c>
      <c r="E872" t="s">
        <v>552</v>
      </c>
      <c r="F872">
        <v>1769</v>
      </c>
      <c r="G872">
        <v>1779</v>
      </c>
      <c r="H872">
        <v>1768</v>
      </c>
      <c r="I872">
        <v>1778</v>
      </c>
      <c r="J872">
        <v>13400</v>
      </c>
    </row>
    <row r="873" spans="4:10">
      <c r="D873" t="s">
        <v>199</v>
      </c>
      <c r="E873" t="s">
        <v>553</v>
      </c>
      <c r="F873">
        <v>1778</v>
      </c>
      <c r="G873">
        <v>1779</v>
      </c>
      <c r="H873">
        <v>1772</v>
      </c>
      <c r="I873">
        <v>1773</v>
      </c>
      <c r="J873">
        <v>19000</v>
      </c>
    </row>
    <row r="874" spans="4:10">
      <c r="D874" t="s">
        <v>199</v>
      </c>
      <c r="E874" t="s">
        <v>554</v>
      </c>
      <c r="F874">
        <v>1775</v>
      </c>
      <c r="G874">
        <v>1778</v>
      </c>
      <c r="H874">
        <v>1771</v>
      </c>
      <c r="I874">
        <v>1772</v>
      </c>
      <c r="J874">
        <v>7300</v>
      </c>
    </row>
    <row r="875" spans="4:10">
      <c r="D875" t="s">
        <v>199</v>
      </c>
      <c r="E875" t="s">
        <v>555</v>
      </c>
      <c r="F875">
        <v>1771</v>
      </c>
      <c r="G875">
        <v>1771</v>
      </c>
      <c r="H875">
        <v>1769</v>
      </c>
      <c r="I875">
        <v>1769</v>
      </c>
      <c r="J875">
        <v>8300</v>
      </c>
    </row>
    <row r="876" spans="4:10">
      <c r="D876" t="s">
        <v>199</v>
      </c>
      <c r="E876" t="s">
        <v>556</v>
      </c>
      <c r="F876">
        <v>1768</v>
      </c>
      <c r="G876">
        <v>1776</v>
      </c>
      <c r="H876">
        <v>1766</v>
      </c>
      <c r="I876">
        <v>1776</v>
      </c>
      <c r="J876">
        <v>8400</v>
      </c>
    </row>
    <row r="877" spans="4:10">
      <c r="D877" t="s">
        <v>199</v>
      </c>
      <c r="E877" t="s">
        <v>557</v>
      </c>
      <c r="F877">
        <v>1775</v>
      </c>
      <c r="G877">
        <v>1777</v>
      </c>
      <c r="H877">
        <v>1771</v>
      </c>
      <c r="I877">
        <v>1772</v>
      </c>
      <c r="J877">
        <v>10000</v>
      </c>
    </row>
    <row r="878" spans="4:10">
      <c r="D878" t="s">
        <v>199</v>
      </c>
      <c r="E878" t="s">
        <v>558</v>
      </c>
      <c r="F878">
        <v>1772</v>
      </c>
      <c r="G878">
        <v>1774</v>
      </c>
      <c r="H878">
        <v>1770</v>
      </c>
      <c r="I878">
        <v>1770</v>
      </c>
      <c r="J878">
        <v>2100</v>
      </c>
    </row>
    <row r="879" spans="4:10">
      <c r="D879" t="s">
        <v>199</v>
      </c>
      <c r="E879" t="s">
        <v>559</v>
      </c>
      <c r="F879">
        <v>1771</v>
      </c>
      <c r="G879">
        <v>1776</v>
      </c>
      <c r="H879">
        <v>1771</v>
      </c>
      <c r="I879">
        <v>1773</v>
      </c>
      <c r="J879">
        <v>4400</v>
      </c>
    </row>
    <row r="880" spans="4:10">
      <c r="D880" t="s">
        <v>199</v>
      </c>
      <c r="E880" t="s">
        <v>560</v>
      </c>
      <c r="F880">
        <v>1775</v>
      </c>
      <c r="G880">
        <v>1784</v>
      </c>
      <c r="H880">
        <v>1771</v>
      </c>
      <c r="I880">
        <v>1784</v>
      </c>
      <c r="J880">
        <v>23400</v>
      </c>
    </row>
    <row r="881" spans="4:10">
      <c r="D881" t="s">
        <v>199</v>
      </c>
      <c r="E881" t="s">
        <v>561</v>
      </c>
      <c r="F881">
        <v>1782</v>
      </c>
      <c r="G881">
        <v>1809</v>
      </c>
      <c r="H881">
        <v>1782</v>
      </c>
      <c r="I881">
        <v>1808</v>
      </c>
      <c r="J881">
        <v>114500</v>
      </c>
    </row>
    <row r="882" spans="4:10">
      <c r="D882" t="s">
        <v>199</v>
      </c>
      <c r="E882" t="s">
        <v>562</v>
      </c>
      <c r="F882">
        <v>1807</v>
      </c>
      <c r="G882">
        <v>1820</v>
      </c>
      <c r="H882">
        <v>1799</v>
      </c>
      <c r="I882">
        <v>1819</v>
      </c>
      <c r="J882">
        <v>116600</v>
      </c>
    </row>
    <row r="883" spans="4:10">
      <c r="D883" t="s">
        <v>199</v>
      </c>
      <c r="E883" t="s">
        <v>563</v>
      </c>
      <c r="F883">
        <v>1817</v>
      </c>
      <c r="G883">
        <v>1839</v>
      </c>
      <c r="H883">
        <v>1812</v>
      </c>
      <c r="I883">
        <v>1827</v>
      </c>
      <c r="J883">
        <v>170100</v>
      </c>
    </row>
    <row r="884" spans="4:10">
      <c r="D884" t="s">
        <v>199</v>
      </c>
      <c r="E884" t="s">
        <v>564</v>
      </c>
      <c r="F884">
        <v>1827</v>
      </c>
      <c r="G884">
        <v>1831</v>
      </c>
      <c r="H884">
        <v>1820</v>
      </c>
      <c r="I884">
        <v>1826</v>
      </c>
      <c r="J884">
        <v>47000</v>
      </c>
    </row>
    <row r="885" spans="4:10">
      <c r="D885" t="s">
        <v>199</v>
      </c>
      <c r="E885" t="s">
        <v>565</v>
      </c>
      <c r="F885">
        <v>1826</v>
      </c>
      <c r="G885">
        <v>1832</v>
      </c>
      <c r="H885">
        <v>1820</v>
      </c>
      <c r="I885">
        <v>1825</v>
      </c>
      <c r="J885">
        <v>50600</v>
      </c>
    </row>
    <row r="886" spans="4:10">
      <c r="D886" t="s">
        <v>199</v>
      </c>
      <c r="E886" t="s">
        <v>566</v>
      </c>
      <c r="F886">
        <v>1825</v>
      </c>
      <c r="G886">
        <v>1832</v>
      </c>
      <c r="H886">
        <v>1802</v>
      </c>
      <c r="I886">
        <v>1806</v>
      </c>
      <c r="J886">
        <v>55300</v>
      </c>
    </row>
    <row r="887" spans="4:10">
      <c r="D887" t="s">
        <v>199</v>
      </c>
      <c r="E887" t="s">
        <v>567</v>
      </c>
      <c r="F887">
        <v>1808</v>
      </c>
      <c r="G887">
        <v>1812</v>
      </c>
      <c r="H887">
        <v>1805</v>
      </c>
      <c r="I887">
        <v>1810</v>
      </c>
      <c r="J887">
        <v>27100</v>
      </c>
    </row>
    <row r="888" spans="4:10">
      <c r="D888" t="s">
        <v>199</v>
      </c>
      <c r="E888" t="s">
        <v>568</v>
      </c>
      <c r="F888">
        <v>1809</v>
      </c>
      <c r="G888">
        <v>1813</v>
      </c>
      <c r="H888">
        <v>1805</v>
      </c>
      <c r="I888">
        <v>1807</v>
      </c>
      <c r="J888">
        <v>29700</v>
      </c>
    </row>
    <row r="889" spans="4:10">
      <c r="D889" t="s">
        <v>199</v>
      </c>
      <c r="E889" t="s">
        <v>569</v>
      </c>
      <c r="F889">
        <v>1806</v>
      </c>
      <c r="G889">
        <v>1808</v>
      </c>
      <c r="H889">
        <v>1802</v>
      </c>
      <c r="I889">
        <v>1806</v>
      </c>
      <c r="J889">
        <v>24800</v>
      </c>
    </row>
    <row r="890" spans="4:10">
      <c r="D890" t="s">
        <v>199</v>
      </c>
      <c r="E890" t="s">
        <v>570</v>
      </c>
      <c r="F890">
        <v>1808</v>
      </c>
      <c r="G890">
        <v>1810</v>
      </c>
      <c r="H890">
        <v>1800</v>
      </c>
      <c r="I890">
        <v>1806</v>
      </c>
      <c r="J890">
        <v>56600</v>
      </c>
    </row>
    <row r="891" spans="4:10">
      <c r="D891" t="s">
        <v>199</v>
      </c>
      <c r="E891" t="s">
        <v>571</v>
      </c>
      <c r="F891" t="s">
        <v>35</v>
      </c>
      <c r="G891" t="s">
        <v>35</v>
      </c>
      <c r="H891" t="s">
        <v>35</v>
      </c>
      <c r="I891" t="s">
        <v>35</v>
      </c>
      <c r="J891">
        <v>0</v>
      </c>
    </row>
    <row r="892" spans="4:10">
      <c r="D892" t="s">
        <v>199</v>
      </c>
      <c r="E892" t="s">
        <v>572</v>
      </c>
      <c r="F892">
        <v>1806</v>
      </c>
      <c r="G892">
        <v>1806</v>
      </c>
      <c r="H892">
        <v>1806</v>
      </c>
      <c r="I892">
        <v>1806</v>
      </c>
      <c r="J892">
        <v>56700</v>
      </c>
    </row>
    <row r="893" spans="4:10">
      <c r="D893" t="s">
        <v>620</v>
      </c>
      <c r="E893" t="s">
        <v>574</v>
      </c>
      <c r="F893">
        <v>1830</v>
      </c>
      <c r="G893">
        <v>1998</v>
      </c>
      <c r="H893">
        <v>1830</v>
      </c>
      <c r="I893">
        <v>1978</v>
      </c>
      <c r="J893">
        <v>541600</v>
      </c>
    </row>
    <row r="894" spans="4:10">
      <c r="D894" t="s">
        <v>620</v>
      </c>
      <c r="E894" t="s">
        <v>575</v>
      </c>
      <c r="F894">
        <v>1980</v>
      </c>
      <c r="G894">
        <v>2005</v>
      </c>
      <c r="H894">
        <v>1954</v>
      </c>
      <c r="I894">
        <v>1995</v>
      </c>
      <c r="J894">
        <v>343200</v>
      </c>
    </row>
    <row r="895" spans="4:10">
      <c r="D895" t="s">
        <v>620</v>
      </c>
      <c r="E895" t="s">
        <v>576</v>
      </c>
      <c r="F895">
        <v>1996</v>
      </c>
      <c r="G895">
        <v>2022</v>
      </c>
      <c r="H895">
        <v>1976</v>
      </c>
      <c r="I895">
        <v>2011</v>
      </c>
      <c r="J895">
        <v>285500</v>
      </c>
    </row>
    <row r="896" spans="4:10">
      <c r="D896" t="s">
        <v>620</v>
      </c>
      <c r="E896" t="s">
        <v>577</v>
      </c>
      <c r="F896">
        <v>2011</v>
      </c>
      <c r="G896">
        <v>2015</v>
      </c>
      <c r="H896">
        <v>1993</v>
      </c>
      <c r="I896">
        <v>1993</v>
      </c>
      <c r="J896">
        <v>124200</v>
      </c>
    </row>
    <row r="897" spans="4:10">
      <c r="D897" t="s">
        <v>620</v>
      </c>
      <c r="E897" t="s">
        <v>578</v>
      </c>
      <c r="F897">
        <v>1994</v>
      </c>
      <c r="G897">
        <v>2000</v>
      </c>
      <c r="H897">
        <v>1973</v>
      </c>
      <c r="I897">
        <v>1986</v>
      </c>
      <c r="J897">
        <v>102500</v>
      </c>
    </row>
    <row r="898" spans="4:10">
      <c r="D898" t="s">
        <v>620</v>
      </c>
      <c r="E898" t="s">
        <v>579</v>
      </c>
      <c r="F898">
        <v>1988</v>
      </c>
      <c r="G898">
        <v>2022</v>
      </c>
      <c r="H898">
        <v>1979</v>
      </c>
      <c r="I898">
        <v>2020</v>
      </c>
      <c r="J898">
        <v>167000</v>
      </c>
    </row>
    <row r="899" spans="4:10">
      <c r="D899" t="s">
        <v>620</v>
      </c>
      <c r="E899" t="s">
        <v>580</v>
      </c>
      <c r="F899">
        <v>2021</v>
      </c>
      <c r="G899">
        <v>2038</v>
      </c>
      <c r="H899">
        <v>2001</v>
      </c>
      <c r="I899">
        <v>2006</v>
      </c>
      <c r="J899">
        <v>157900</v>
      </c>
    </row>
    <row r="900" spans="4:10">
      <c r="D900" t="s">
        <v>620</v>
      </c>
      <c r="E900" t="s">
        <v>581</v>
      </c>
      <c r="F900">
        <v>2006</v>
      </c>
      <c r="G900">
        <v>2020</v>
      </c>
      <c r="H900">
        <v>1992</v>
      </c>
      <c r="I900">
        <v>2019</v>
      </c>
      <c r="J900">
        <v>104500</v>
      </c>
    </row>
    <row r="901" spans="4:10">
      <c r="D901" t="s">
        <v>620</v>
      </c>
      <c r="E901" t="s">
        <v>582</v>
      </c>
      <c r="F901">
        <v>2020</v>
      </c>
      <c r="G901">
        <v>2028</v>
      </c>
      <c r="H901">
        <v>1996</v>
      </c>
      <c r="I901">
        <v>2007</v>
      </c>
      <c r="J901">
        <v>79200</v>
      </c>
    </row>
    <row r="902" spans="4:10">
      <c r="D902" t="s">
        <v>620</v>
      </c>
      <c r="E902" t="s">
        <v>583</v>
      </c>
      <c r="F902">
        <v>2008</v>
      </c>
      <c r="G902">
        <v>2010</v>
      </c>
      <c r="H902">
        <v>1996</v>
      </c>
      <c r="I902">
        <v>2003</v>
      </c>
      <c r="J902">
        <v>46300</v>
      </c>
    </row>
    <row r="903" spans="4:10">
      <c r="D903" t="s">
        <v>620</v>
      </c>
      <c r="E903" t="s">
        <v>584</v>
      </c>
      <c r="F903">
        <v>2003</v>
      </c>
      <c r="G903">
        <v>2014</v>
      </c>
      <c r="H903">
        <v>2001</v>
      </c>
      <c r="I903">
        <v>2010</v>
      </c>
      <c r="J903">
        <v>61100</v>
      </c>
    </row>
    <row r="904" spans="4:10">
      <c r="D904" t="s">
        <v>620</v>
      </c>
      <c r="E904" t="s">
        <v>585</v>
      </c>
      <c r="F904">
        <v>2012</v>
      </c>
      <c r="G904">
        <v>2015</v>
      </c>
      <c r="H904">
        <v>1972</v>
      </c>
      <c r="I904">
        <v>1975</v>
      </c>
      <c r="J904">
        <v>106900</v>
      </c>
    </row>
    <row r="905" spans="4:10">
      <c r="D905" t="s">
        <v>620</v>
      </c>
      <c r="E905" t="s">
        <v>586</v>
      </c>
      <c r="F905">
        <v>1975</v>
      </c>
      <c r="G905">
        <v>1999</v>
      </c>
      <c r="H905">
        <v>1974</v>
      </c>
      <c r="I905">
        <v>1993</v>
      </c>
      <c r="J905">
        <v>52400</v>
      </c>
    </row>
    <row r="906" spans="4:10">
      <c r="D906" t="s">
        <v>620</v>
      </c>
      <c r="E906" t="s">
        <v>587</v>
      </c>
      <c r="F906">
        <v>1994</v>
      </c>
      <c r="G906">
        <v>2000</v>
      </c>
      <c r="H906">
        <v>1985</v>
      </c>
      <c r="I906">
        <v>1986</v>
      </c>
      <c r="J906">
        <v>41900</v>
      </c>
    </row>
    <row r="907" spans="4:10">
      <c r="D907" t="s">
        <v>620</v>
      </c>
      <c r="E907" t="s">
        <v>588</v>
      </c>
      <c r="F907">
        <v>1988</v>
      </c>
      <c r="G907">
        <v>1992</v>
      </c>
      <c r="H907">
        <v>1986</v>
      </c>
      <c r="I907">
        <v>1990</v>
      </c>
      <c r="J907">
        <v>19400</v>
      </c>
    </row>
    <row r="908" spans="4:10">
      <c r="D908" t="s">
        <v>620</v>
      </c>
      <c r="E908" t="s">
        <v>589</v>
      </c>
      <c r="F908">
        <v>1992</v>
      </c>
      <c r="G908">
        <v>1992</v>
      </c>
      <c r="H908">
        <v>1981</v>
      </c>
      <c r="I908">
        <v>1985</v>
      </c>
      <c r="J908">
        <v>20400</v>
      </c>
    </row>
    <row r="909" spans="4:10">
      <c r="D909" t="s">
        <v>620</v>
      </c>
      <c r="E909" t="s">
        <v>590</v>
      </c>
      <c r="F909">
        <v>1985</v>
      </c>
      <c r="G909">
        <v>1994</v>
      </c>
      <c r="H909">
        <v>1984</v>
      </c>
      <c r="I909">
        <v>1985</v>
      </c>
      <c r="J909">
        <v>25800</v>
      </c>
    </row>
    <row r="910" spans="4:10">
      <c r="D910" t="s">
        <v>620</v>
      </c>
      <c r="E910" t="s">
        <v>591</v>
      </c>
      <c r="F910">
        <v>1986</v>
      </c>
      <c r="G910">
        <v>1998</v>
      </c>
      <c r="H910">
        <v>1977</v>
      </c>
      <c r="I910">
        <v>1981</v>
      </c>
      <c r="J910">
        <v>37200</v>
      </c>
    </row>
    <row r="911" spans="4:10">
      <c r="D911" t="s">
        <v>620</v>
      </c>
      <c r="E911" t="s">
        <v>592</v>
      </c>
      <c r="F911">
        <v>1981</v>
      </c>
      <c r="G911">
        <v>1987</v>
      </c>
      <c r="H911">
        <v>1965</v>
      </c>
      <c r="I911">
        <v>1971</v>
      </c>
      <c r="J911">
        <v>60800</v>
      </c>
    </row>
    <row r="912" spans="4:10">
      <c r="D912" t="s">
        <v>620</v>
      </c>
      <c r="E912" t="s">
        <v>593</v>
      </c>
      <c r="F912">
        <v>1971</v>
      </c>
      <c r="G912">
        <v>1971</v>
      </c>
      <c r="H912">
        <v>1957</v>
      </c>
      <c r="I912">
        <v>1959</v>
      </c>
      <c r="J912">
        <v>51500</v>
      </c>
    </row>
    <row r="913" spans="4:10">
      <c r="D913" t="s">
        <v>620</v>
      </c>
      <c r="E913" t="s">
        <v>594</v>
      </c>
      <c r="F913">
        <v>1960</v>
      </c>
      <c r="G913">
        <v>1985</v>
      </c>
      <c r="H913">
        <v>1959</v>
      </c>
      <c r="I913">
        <v>1983</v>
      </c>
      <c r="J913">
        <v>65200</v>
      </c>
    </row>
    <row r="914" spans="4:10">
      <c r="D914" t="s">
        <v>620</v>
      </c>
      <c r="E914" t="s">
        <v>595</v>
      </c>
      <c r="F914">
        <v>1983</v>
      </c>
      <c r="G914">
        <v>1989</v>
      </c>
      <c r="H914">
        <v>1975</v>
      </c>
      <c r="I914">
        <v>1977</v>
      </c>
      <c r="J914">
        <v>33000</v>
      </c>
    </row>
    <row r="915" spans="4:10">
      <c r="D915" t="s">
        <v>620</v>
      </c>
      <c r="E915" t="s">
        <v>596</v>
      </c>
      <c r="F915">
        <v>1977</v>
      </c>
      <c r="G915">
        <v>2000</v>
      </c>
      <c r="H915">
        <v>1977</v>
      </c>
      <c r="I915">
        <v>1997</v>
      </c>
      <c r="J915">
        <v>58100</v>
      </c>
    </row>
    <row r="916" spans="4:10">
      <c r="D916" t="s">
        <v>620</v>
      </c>
      <c r="E916" t="s">
        <v>597</v>
      </c>
      <c r="F916">
        <v>1998</v>
      </c>
      <c r="G916">
        <v>1998</v>
      </c>
      <c r="H916">
        <v>1989</v>
      </c>
      <c r="I916">
        <v>1993</v>
      </c>
      <c r="J916">
        <v>11100</v>
      </c>
    </row>
    <row r="917" spans="4:10">
      <c r="D917" t="s">
        <v>620</v>
      </c>
      <c r="E917" t="s">
        <v>598</v>
      </c>
      <c r="F917">
        <v>1993</v>
      </c>
      <c r="G917">
        <v>1994</v>
      </c>
      <c r="H917">
        <v>1978</v>
      </c>
      <c r="I917">
        <v>1982</v>
      </c>
      <c r="J917">
        <v>24100</v>
      </c>
    </row>
    <row r="918" spans="4:10">
      <c r="D918" t="s">
        <v>620</v>
      </c>
      <c r="E918" t="s">
        <v>599</v>
      </c>
      <c r="F918">
        <v>1984</v>
      </c>
      <c r="G918">
        <v>1984</v>
      </c>
      <c r="H918">
        <v>1969</v>
      </c>
      <c r="I918">
        <v>1969</v>
      </c>
      <c r="J918">
        <v>37600</v>
      </c>
    </row>
    <row r="919" spans="4:10">
      <c r="D919" t="s">
        <v>620</v>
      </c>
      <c r="E919" t="s">
        <v>600</v>
      </c>
      <c r="F919">
        <v>1972</v>
      </c>
      <c r="G919">
        <v>2004</v>
      </c>
      <c r="H919">
        <v>1969</v>
      </c>
      <c r="I919">
        <v>2003</v>
      </c>
      <c r="J919">
        <v>57200</v>
      </c>
    </row>
    <row r="920" spans="4:10">
      <c r="D920" t="s">
        <v>620</v>
      </c>
      <c r="E920" t="s">
        <v>601</v>
      </c>
      <c r="F920">
        <v>2003</v>
      </c>
      <c r="G920">
        <v>2003</v>
      </c>
      <c r="H920">
        <v>1987</v>
      </c>
      <c r="I920">
        <v>1987</v>
      </c>
      <c r="J920">
        <v>27200</v>
      </c>
    </row>
    <row r="921" spans="4:10">
      <c r="D921" t="s">
        <v>620</v>
      </c>
      <c r="E921" t="s">
        <v>602</v>
      </c>
      <c r="F921">
        <v>1988</v>
      </c>
      <c r="G921">
        <v>2037</v>
      </c>
      <c r="H921">
        <v>1987</v>
      </c>
      <c r="I921">
        <v>2027</v>
      </c>
      <c r="J921">
        <v>134200</v>
      </c>
    </row>
    <row r="922" spans="4:10">
      <c r="D922" t="s">
        <v>620</v>
      </c>
      <c r="E922" t="s">
        <v>603</v>
      </c>
      <c r="F922">
        <v>2027</v>
      </c>
      <c r="G922">
        <v>2030</v>
      </c>
      <c r="H922">
        <v>2013</v>
      </c>
      <c r="I922">
        <v>2015</v>
      </c>
      <c r="J922">
        <v>40800</v>
      </c>
    </row>
    <row r="923" spans="4:10">
      <c r="D923" t="s">
        <v>620</v>
      </c>
      <c r="E923" t="s">
        <v>604</v>
      </c>
      <c r="F923">
        <v>2012</v>
      </c>
      <c r="G923">
        <v>2012</v>
      </c>
      <c r="H923">
        <v>2012</v>
      </c>
      <c r="I923">
        <v>2012</v>
      </c>
      <c r="J923">
        <v>3100</v>
      </c>
    </row>
    <row r="924" spans="4:10">
      <c r="D924" t="s">
        <v>620</v>
      </c>
      <c r="E924" t="s">
        <v>605</v>
      </c>
      <c r="F924">
        <v>2012</v>
      </c>
      <c r="G924">
        <v>2023</v>
      </c>
      <c r="H924">
        <v>2004</v>
      </c>
      <c r="I924">
        <v>2015</v>
      </c>
      <c r="J924">
        <v>85600</v>
      </c>
    </row>
    <row r="925" spans="4:10">
      <c r="D925" t="s">
        <v>620</v>
      </c>
      <c r="E925" t="s">
        <v>606</v>
      </c>
      <c r="F925">
        <v>2015</v>
      </c>
      <c r="G925">
        <v>2020</v>
      </c>
      <c r="H925">
        <v>2003</v>
      </c>
      <c r="I925">
        <v>2006</v>
      </c>
      <c r="J925">
        <v>40100</v>
      </c>
    </row>
    <row r="926" spans="4:10">
      <c r="D926" t="s">
        <v>620</v>
      </c>
      <c r="E926" t="s">
        <v>538</v>
      </c>
      <c r="F926">
        <v>2005</v>
      </c>
      <c r="G926">
        <v>2008</v>
      </c>
      <c r="H926">
        <v>2001</v>
      </c>
      <c r="I926">
        <v>2003</v>
      </c>
      <c r="J926">
        <v>22200</v>
      </c>
    </row>
    <row r="927" spans="4:10">
      <c r="D927" t="s">
        <v>620</v>
      </c>
      <c r="E927" t="s">
        <v>539</v>
      </c>
      <c r="F927">
        <v>2002</v>
      </c>
      <c r="G927">
        <v>2021</v>
      </c>
      <c r="H927">
        <v>2002</v>
      </c>
      <c r="I927">
        <v>2018</v>
      </c>
      <c r="J927">
        <v>43100</v>
      </c>
    </row>
    <row r="928" spans="4:10">
      <c r="D928" t="s">
        <v>620</v>
      </c>
      <c r="E928" t="s">
        <v>540</v>
      </c>
      <c r="F928">
        <v>2020</v>
      </c>
      <c r="G928">
        <v>2056</v>
      </c>
      <c r="H928">
        <v>2016</v>
      </c>
      <c r="I928">
        <v>2053</v>
      </c>
      <c r="J928">
        <v>197300</v>
      </c>
    </row>
    <row r="929" spans="4:10">
      <c r="D929" t="s">
        <v>620</v>
      </c>
      <c r="E929" t="s">
        <v>541</v>
      </c>
      <c r="F929">
        <v>2051</v>
      </c>
      <c r="G929">
        <v>2068</v>
      </c>
      <c r="H929">
        <v>2050</v>
      </c>
      <c r="I929">
        <v>2063</v>
      </c>
      <c r="J929">
        <v>125800</v>
      </c>
    </row>
    <row r="930" spans="4:10">
      <c r="D930" t="s">
        <v>620</v>
      </c>
      <c r="E930" t="s">
        <v>542</v>
      </c>
      <c r="F930">
        <v>2063</v>
      </c>
      <c r="G930">
        <v>2095</v>
      </c>
      <c r="H930">
        <v>2063</v>
      </c>
      <c r="I930">
        <v>2074</v>
      </c>
      <c r="J930">
        <v>158900</v>
      </c>
    </row>
    <row r="931" spans="4:10">
      <c r="D931" t="s">
        <v>620</v>
      </c>
      <c r="E931" t="s">
        <v>543</v>
      </c>
      <c r="F931">
        <v>2073</v>
      </c>
      <c r="G931">
        <v>2087</v>
      </c>
      <c r="H931">
        <v>2064</v>
      </c>
      <c r="I931">
        <v>2085</v>
      </c>
      <c r="J931">
        <v>61800</v>
      </c>
    </row>
    <row r="932" spans="4:10">
      <c r="D932" t="s">
        <v>620</v>
      </c>
      <c r="E932" t="s">
        <v>544</v>
      </c>
      <c r="F932">
        <v>2085</v>
      </c>
      <c r="G932">
        <v>2090</v>
      </c>
      <c r="H932">
        <v>2073</v>
      </c>
      <c r="I932">
        <v>2080</v>
      </c>
      <c r="J932">
        <v>46400</v>
      </c>
    </row>
    <row r="933" spans="4:10">
      <c r="D933" t="s">
        <v>620</v>
      </c>
      <c r="E933" t="s">
        <v>545</v>
      </c>
      <c r="F933">
        <v>2080</v>
      </c>
      <c r="G933">
        <v>2099</v>
      </c>
      <c r="H933">
        <v>2078</v>
      </c>
      <c r="I933">
        <v>2099</v>
      </c>
      <c r="J933">
        <v>88700</v>
      </c>
    </row>
    <row r="934" spans="4:10">
      <c r="D934" t="s">
        <v>620</v>
      </c>
      <c r="E934" t="s">
        <v>546</v>
      </c>
      <c r="F934">
        <v>2099</v>
      </c>
      <c r="G934">
        <v>2105</v>
      </c>
      <c r="H934">
        <v>2066</v>
      </c>
      <c r="I934">
        <v>2069</v>
      </c>
      <c r="J934">
        <v>160400</v>
      </c>
    </row>
    <row r="935" spans="4:10">
      <c r="D935" t="s">
        <v>620</v>
      </c>
      <c r="E935" t="s">
        <v>547</v>
      </c>
      <c r="F935">
        <v>2068</v>
      </c>
      <c r="G935">
        <v>2072</v>
      </c>
      <c r="H935">
        <v>2064</v>
      </c>
      <c r="I935">
        <v>2065</v>
      </c>
      <c r="J935">
        <v>57300</v>
      </c>
    </row>
    <row r="936" spans="4:10">
      <c r="D936" t="s">
        <v>620</v>
      </c>
      <c r="E936" t="s">
        <v>548</v>
      </c>
      <c r="F936">
        <v>2068</v>
      </c>
      <c r="G936">
        <v>2073</v>
      </c>
      <c r="H936">
        <v>2065</v>
      </c>
      <c r="I936">
        <v>2070</v>
      </c>
      <c r="J936">
        <v>17700</v>
      </c>
    </row>
    <row r="937" spans="4:10">
      <c r="D937" t="s">
        <v>620</v>
      </c>
      <c r="E937" t="s">
        <v>549</v>
      </c>
      <c r="F937">
        <v>2071</v>
      </c>
      <c r="G937">
        <v>2078</v>
      </c>
      <c r="H937">
        <v>2058</v>
      </c>
      <c r="I937">
        <v>2061</v>
      </c>
      <c r="J937">
        <v>41300</v>
      </c>
    </row>
    <row r="938" spans="4:10">
      <c r="D938" t="s">
        <v>620</v>
      </c>
      <c r="E938" t="s">
        <v>550</v>
      </c>
      <c r="F938">
        <v>2063</v>
      </c>
      <c r="G938">
        <v>2074</v>
      </c>
      <c r="H938">
        <v>2062</v>
      </c>
      <c r="I938">
        <v>2071</v>
      </c>
      <c r="J938">
        <v>21200</v>
      </c>
    </row>
    <row r="939" spans="4:10">
      <c r="D939" t="s">
        <v>620</v>
      </c>
      <c r="E939" t="s">
        <v>551</v>
      </c>
      <c r="F939">
        <v>2070</v>
      </c>
      <c r="G939">
        <v>2092</v>
      </c>
      <c r="H939">
        <v>2070</v>
      </c>
      <c r="I939">
        <v>2083</v>
      </c>
      <c r="J939">
        <v>62700</v>
      </c>
    </row>
    <row r="940" spans="4:10">
      <c r="D940" t="s">
        <v>620</v>
      </c>
      <c r="E940" t="s">
        <v>552</v>
      </c>
      <c r="F940">
        <v>2084</v>
      </c>
      <c r="G940">
        <v>2110</v>
      </c>
      <c r="H940">
        <v>2084</v>
      </c>
      <c r="I940">
        <v>2103</v>
      </c>
      <c r="J940">
        <v>140900</v>
      </c>
    </row>
    <row r="941" spans="4:10">
      <c r="D941" t="s">
        <v>620</v>
      </c>
      <c r="E941" t="s">
        <v>553</v>
      </c>
      <c r="F941">
        <v>2105</v>
      </c>
      <c r="G941">
        <v>2117</v>
      </c>
      <c r="H941">
        <v>2102</v>
      </c>
      <c r="I941">
        <v>2113</v>
      </c>
      <c r="J941">
        <v>91200</v>
      </c>
    </row>
    <row r="942" spans="4:10">
      <c r="D942" t="s">
        <v>620</v>
      </c>
      <c r="E942" t="s">
        <v>554</v>
      </c>
      <c r="F942">
        <v>2112</v>
      </c>
      <c r="G942">
        <v>2129</v>
      </c>
      <c r="H942">
        <v>2108</v>
      </c>
      <c r="I942">
        <v>2125</v>
      </c>
      <c r="J942">
        <v>104500</v>
      </c>
    </row>
    <row r="943" spans="4:10">
      <c r="D943" t="s">
        <v>620</v>
      </c>
      <c r="E943" t="s">
        <v>555</v>
      </c>
      <c r="F943">
        <v>2125</v>
      </c>
      <c r="G943">
        <v>2125</v>
      </c>
      <c r="H943">
        <v>2095</v>
      </c>
      <c r="I943">
        <v>2102</v>
      </c>
      <c r="J943">
        <v>94500</v>
      </c>
    </row>
    <row r="944" spans="4:10">
      <c r="D944" t="s">
        <v>620</v>
      </c>
      <c r="E944" t="s">
        <v>556</v>
      </c>
      <c r="F944">
        <v>2102</v>
      </c>
      <c r="G944">
        <v>2104</v>
      </c>
      <c r="H944">
        <v>2088</v>
      </c>
      <c r="I944">
        <v>2092</v>
      </c>
      <c r="J944">
        <v>53300</v>
      </c>
    </row>
    <row r="945" spans="4:10">
      <c r="D945" t="s">
        <v>620</v>
      </c>
      <c r="E945" t="s">
        <v>557</v>
      </c>
      <c r="F945">
        <v>2093</v>
      </c>
      <c r="G945">
        <v>2093</v>
      </c>
      <c r="H945">
        <v>2085</v>
      </c>
      <c r="I945">
        <v>2085</v>
      </c>
      <c r="J945">
        <v>33400</v>
      </c>
    </row>
    <row r="946" spans="4:10">
      <c r="D946" t="s">
        <v>620</v>
      </c>
      <c r="E946" t="s">
        <v>558</v>
      </c>
      <c r="F946">
        <v>2086</v>
      </c>
      <c r="G946">
        <v>2087</v>
      </c>
      <c r="H946">
        <v>2073</v>
      </c>
      <c r="I946">
        <v>2075</v>
      </c>
      <c r="J946">
        <v>46200</v>
      </c>
    </row>
    <row r="947" spans="4:10">
      <c r="D947" t="s">
        <v>620</v>
      </c>
      <c r="E947" t="s">
        <v>559</v>
      </c>
      <c r="F947">
        <v>2075</v>
      </c>
      <c r="G947">
        <v>2077</v>
      </c>
      <c r="H947">
        <v>2069</v>
      </c>
      <c r="I947">
        <v>2072</v>
      </c>
      <c r="J947">
        <v>38700</v>
      </c>
    </row>
    <row r="948" spans="4:10">
      <c r="D948" t="s">
        <v>620</v>
      </c>
      <c r="E948" t="s">
        <v>560</v>
      </c>
      <c r="F948">
        <v>2074</v>
      </c>
      <c r="G948">
        <v>2087</v>
      </c>
      <c r="H948">
        <v>2071</v>
      </c>
      <c r="I948">
        <v>2085</v>
      </c>
      <c r="J948">
        <v>49300</v>
      </c>
    </row>
    <row r="949" spans="4:10">
      <c r="D949" t="s">
        <v>620</v>
      </c>
      <c r="E949" t="s">
        <v>561</v>
      </c>
      <c r="F949">
        <v>2083</v>
      </c>
      <c r="G949">
        <v>2090</v>
      </c>
      <c r="H949">
        <v>2071</v>
      </c>
      <c r="I949">
        <v>2085</v>
      </c>
      <c r="J949">
        <v>43500</v>
      </c>
    </row>
    <row r="950" spans="4:10">
      <c r="D950" t="s">
        <v>620</v>
      </c>
      <c r="E950" t="s">
        <v>562</v>
      </c>
      <c r="F950">
        <v>2086</v>
      </c>
      <c r="G950">
        <v>2088</v>
      </c>
      <c r="H950">
        <v>2081</v>
      </c>
      <c r="I950">
        <v>2083</v>
      </c>
      <c r="J950">
        <v>30300</v>
      </c>
    </row>
    <row r="951" spans="4:10">
      <c r="D951" t="s">
        <v>620</v>
      </c>
      <c r="E951" t="s">
        <v>563</v>
      </c>
      <c r="F951">
        <v>2083</v>
      </c>
      <c r="G951">
        <v>2107</v>
      </c>
      <c r="H951">
        <v>2083</v>
      </c>
      <c r="I951">
        <v>2101</v>
      </c>
      <c r="J951">
        <v>83400</v>
      </c>
    </row>
    <row r="952" spans="4:10">
      <c r="D952" t="s">
        <v>620</v>
      </c>
      <c r="E952" t="s">
        <v>564</v>
      </c>
      <c r="F952">
        <v>2101</v>
      </c>
      <c r="G952">
        <v>2103</v>
      </c>
      <c r="H952">
        <v>2095</v>
      </c>
      <c r="I952">
        <v>2101</v>
      </c>
      <c r="J952">
        <v>37700</v>
      </c>
    </row>
    <row r="953" spans="4:10">
      <c r="D953" t="s">
        <v>620</v>
      </c>
      <c r="E953" t="s">
        <v>565</v>
      </c>
      <c r="F953">
        <v>2100</v>
      </c>
      <c r="G953">
        <v>2109</v>
      </c>
      <c r="H953">
        <v>2094</v>
      </c>
      <c r="I953">
        <v>2106</v>
      </c>
      <c r="J953">
        <v>61400</v>
      </c>
    </row>
    <row r="954" spans="4:10">
      <c r="D954" t="s">
        <v>620</v>
      </c>
      <c r="E954" t="s">
        <v>566</v>
      </c>
      <c r="F954">
        <v>2106</v>
      </c>
      <c r="G954">
        <v>2107</v>
      </c>
      <c r="H954">
        <v>2083</v>
      </c>
      <c r="I954">
        <v>2091</v>
      </c>
      <c r="J954">
        <v>81500</v>
      </c>
    </row>
    <row r="955" spans="4:10">
      <c r="D955" t="s">
        <v>620</v>
      </c>
      <c r="E955" t="s">
        <v>567</v>
      </c>
      <c r="F955">
        <v>2090</v>
      </c>
      <c r="G955">
        <v>2094</v>
      </c>
      <c r="H955">
        <v>2083</v>
      </c>
      <c r="I955">
        <v>2088</v>
      </c>
      <c r="J955">
        <v>36900</v>
      </c>
    </row>
    <row r="956" spans="4:10">
      <c r="D956" t="s">
        <v>620</v>
      </c>
      <c r="E956" t="s">
        <v>568</v>
      </c>
      <c r="F956">
        <v>2088</v>
      </c>
      <c r="G956">
        <v>2089</v>
      </c>
      <c r="H956">
        <v>2076</v>
      </c>
      <c r="I956">
        <v>2076</v>
      </c>
      <c r="J956">
        <v>33600</v>
      </c>
    </row>
    <row r="957" spans="4:10">
      <c r="D957" t="s">
        <v>620</v>
      </c>
      <c r="E957" t="s">
        <v>569</v>
      </c>
      <c r="F957">
        <v>2077</v>
      </c>
      <c r="G957">
        <v>2088</v>
      </c>
      <c r="H957">
        <v>2076</v>
      </c>
      <c r="I957">
        <v>2081</v>
      </c>
      <c r="J957">
        <v>29900</v>
      </c>
    </row>
    <row r="958" spans="4:10">
      <c r="D958" t="s">
        <v>620</v>
      </c>
      <c r="E958" t="s">
        <v>570</v>
      </c>
      <c r="F958">
        <v>2081</v>
      </c>
      <c r="G958">
        <v>2084</v>
      </c>
      <c r="H958">
        <v>2055</v>
      </c>
      <c r="I958">
        <v>2078</v>
      </c>
      <c r="J958">
        <v>107600</v>
      </c>
    </row>
    <row r="959" spans="4:10">
      <c r="D959" t="s">
        <v>620</v>
      </c>
      <c r="E959" t="s">
        <v>571</v>
      </c>
      <c r="F959" t="s">
        <v>35</v>
      </c>
      <c r="G959" t="s">
        <v>35</v>
      </c>
      <c r="H959" t="s">
        <v>35</v>
      </c>
      <c r="I959" t="s">
        <v>35</v>
      </c>
      <c r="J959">
        <v>0</v>
      </c>
    </row>
    <row r="960" spans="4:10">
      <c r="D960" t="s">
        <v>620</v>
      </c>
      <c r="E960" t="s">
        <v>572</v>
      </c>
      <c r="F960">
        <v>2083</v>
      </c>
      <c r="G960">
        <v>2083</v>
      </c>
      <c r="H960">
        <v>2083</v>
      </c>
      <c r="I960">
        <v>2083</v>
      </c>
      <c r="J960">
        <v>146100</v>
      </c>
    </row>
    <row r="961" spans="4:10">
      <c r="D961" t="s">
        <v>607</v>
      </c>
      <c r="E961" t="s">
        <v>574</v>
      </c>
      <c r="F961">
        <v>2080</v>
      </c>
      <c r="G961">
        <v>2107</v>
      </c>
      <c r="H961">
        <v>2037</v>
      </c>
      <c r="I961">
        <v>2067</v>
      </c>
      <c r="J961">
        <v>340900</v>
      </c>
    </row>
    <row r="962" spans="4:10">
      <c r="D962" t="s">
        <v>607</v>
      </c>
      <c r="E962" t="s">
        <v>575</v>
      </c>
      <c r="F962">
        <v>2074</v>
      </c>
      <c r="G962">
        <v>2144</v>
      </c>
      <c r="H962">
        <v>2071</v>
      </c>
      <c r="I962">
        <v>2116</v>
      </c>
      <c r="J962">
        <v>220900</v>
      </c>
    </row>
    <row r="963" spans="4:10">
      <c r="D963" t="s">
        <v>607</v>
      </c>
      <c r="E963" t="s">
        <v>576</v>
      </c>
      <c r="F963">
        <v>2116</v>
      </c>
      <c r="G963">
        <v>2143</v>
      </c>
      <c r="H963">
        <v>2105</v>
      </c>
      <c r="I963">
        <v>2118</v>
      </c>
      <c r="J963">
        <v>167400</v>
      </c>
    </row>
    <row r="964" spans="4:10">
      <c r="D964" t="s">
        <v>607</v>
      </c>
      <c r="E964" t="s">
        <v>577</v>
      </c>
      <c r="F964">
        <v>2119</v>
      </c>
      <c r="G964">
        <v>2156</v>
      </c>
      <c r="H964">
        <v>2102</v>
      </c>
      <c r="I964">
        <v>2115</v>
      </c>
      <c r="J964">
        <v>147400</v>
      </c>
    </row>
    <row r="965" spans="4:10">
      <c r="D965" t="s">
        <v>607</v>
      </c>
      <c r="E965" t="s">
        <v>578</v>
      </c>
      <c r="F965">
        <v>2116</v>
      </c>
      <c r="G965">
        <v>2153</v>
      </c>
      <c r="H965">
        <v>2098</v>
      </c>
      <c r="I965">
        <v>2152</v>
      </c>
      <c r="J965">
        <v>136700</v>
      </c>
    </row>
    <row r="966" spans="4:10">
      <c r="D966" t="s">
        <v>607</v>
      </c>
      <c r="E966" t="s">
        <v>579</v>
      </c>
      <c r="F966">
        <v>2151</v>
      </c>
      <c r="G966">
        <v>2199</v>
      </c>
      <c r="H966">
        <v>2132</v>
      </c>
      <c r="I966">
        <v>2199</v>
      </c>
      <c r="J966">
        <v>171900</v>
      </c>
    </row>
    <row r="967" spans="4:10">
      <c r="D967" t="s">
        <v>607</v>
      </c>
      <c r="E967" t="s">
        <v>580</v>
      </c>
      <c r="F967">
        <v>2197</v>
      </c>
      <c r="G967">
        <v>2220</v>
      </c>
      <c r="H967">
        <v>2175</v>
      </c>
      <c r="I967">
        <v>2212</v>
      </c>
      <c r="J967">
        <v>281300</v>
      </c>
    </row>
    <row r="968" spans="4:10">
      <c r="D968" t="s">
        <v>607</v>
      </c>
      <c r="E968" t="s">
        <v>581</v>
      </c>
      <c r="F968">
        <v>2210</v>
      </c>
      <c r="G968">
        <v>2216</v>
      </c>
      <c r="H968">
        <v>2187</v>
      </c>
      <c r="I968">
        <v>2200</v>
      </c>
      <c r="J968">
        <v>138200</v>
      </c>
    </row>
    <row r="969" spans="4:10">
      <c r="D969" t="s">
        <v>607</v>
      </c>
      <c r="E969" t="s">
        <v>582</v>
      </c>
      <c r="F969">
        <v>2198</v>
      </c>
      <c r="G969">
        <v>2273</v>
      </c>
      <c r="H969">
        <v>2183</v>
      </c>
      <c r="I969">
        <v>2257</v>
      </c>
      <c r="J969">
        <v>301400</v>
      </c>
    </row>
    <row r="970" spans="4:10">
      <c r="D970" t="s">
        <v>607</v>
      </c>
      <c r="E970" t="s">
        <v>583</v>
      </c>
      <c r="F970">
        <v>2257</v>
      </c>
      <c r="G970">
        <v>2299</v>
      </c>
      <c r="H970">
        <v>2236</v>
      </c>
      <c r="I970">
        <v>2295</v>
      </c>
      <c r="J970">
        <v>230300</v>
      </c>
    </row>
    <row r="971" spans="4:10">
      <c r="D971" t="s">
        <v>607</v>
      </c>
      <c r="E971" t="s">
        <v>584</v>
      </c>
      <c r="F971">
        <v>2293</v>
      </c>
      <c r="G971">
        <v>2296</v>
      </c>
      <c r="H971">
        <v>2266</v>
      </c>
      <c r="I971">
        <v>2268</v>
      </c>
      <c r="J971">
        <v>240200</v>
      </c>
    </row>
    <row r="972" spans="4:10">
      <c r="D972" t="s">
        <v>607</v>
      </c>
      <c r="E972" t="s">
        <v>585</v>
      </c>
      <c r="F972">
        <v>2270</v>
      </c>
      <c r="G972">
        <v>2276</v>
      </c>
      <c r="H972">
        <v>2225</v>
      </c>
      <c r="I972">
        <v>2231</v>
      </c>
      <c r="J972">
        <v>168100</v>
      </c>
    </row>
    <row r="973" spans="4:10">
      <c r="D973" t="s">
        <v>607</v>
      </c>
      <c r="E973" t="s">
        <v>586</v>
      </c>
      <c r="F973">
        <v>2231</v>
      </c>
      <c r="G973">
        <v>2265</v>
      </c>
      <c r="H973">
        <v>2226</v>
      </c>
      <c r="I973">
        <v>2251</v>
      </c>
      <c r="J973">
        <v>95100</v>
      </c>
    </row>
    <row r="974" spans="4:10">
      <c r="D974" t="s">
        <v>607</v>
      </c>
      <c r="E974" t="s">
        <v>587</v>
      </c>
      <c r="F974">
        <v>2249</v>
      </c>
      <c r="G974">
        <v>2257</v>
      </c>
      <c r="H974">
        <v>2206</v>
      </c>
      <c r="I974">
        <v>2216</v>
      </c>
      <c r="J974">
        <v>137300</v>
      </c>
    </row>
    <row r="975" spans="4:10">
      <c r="D975" t="s">
        <v>607</v>
      </c>
      <c r="E975" t="s">
        <v>588</v>
      </c>
      <c r="F975">
        <v>2216</v>
      </c>
      <c r="G975">
        <v>2228</v>
      </c>
      <c r="H975">
        <v>2207</v>
      </c>
      <c r="I975">
        <v>2226</v>
      </c>
      <c r="J975">
        <v>64900</v>
      </c>
    </row>
    <row r="976" spans="4:10">
      <c r="D976" t="s">
        <v>607</v>
      </c>
      <c r="E976" t="s">
        <v>589</v>
      </c>
      <c r="F976">
        <v>2226</v>
      </c>
      <c r="G976">
        <v>2239</v>
      </c>
      <c r="H976">
        <v>2205</v>
      </c>
      <c r="I976">
        <v>2211</v>
      </c>
      <c r="J976">
        <v>76200</v>
      </c>
    </row>
    <row r="977" spans="4:10">
      <c r="D977" t="s">
        <v>607</v>
      </c>
      <c r="E977" t="s">
        <v>590</v>
      </c>
      <c r="F977">
        <v>2209</v>
      </c>
      <c r="G977">
        <v>2218</v>
      </c>
      <c r="H977">
        <v>2201</v>
      </c>
      <c r="I977">
        <v>2218</v>
      </c>
      <c r="J977">
        <v>50000</v>
      </c>
    </row>
    <row r="978" spans="4:10">
      <c r="D978" t="s">
        <v>607</v>
      </c>
      <c r="E978" t="s">
        <v>591</v>
      </c>
      <c r="F978">
        <v>2215</v>
      </c>
      <c r="G978">
        <v>2246</v>
      </c>
      <c r="H978">
        <v>2214</v>
      </c>
      <c r="I978">
        <v>2243</v>
      </c>
      <c r="J978">
        <v>63600</v>
      </c>
    </row>
    <row r="979" spans="4:10">
      <c r="D979" t="s">
        <v>607</v>
      </c>
      <c r="E979" t="s">
        <v>592</v>
      </c>
      <c r="F979">
        <v>2241</v>
      </c>
      <c r="G979">
        <v>2244</v>
      </c>
      <c r="H979">
        <v>2182</v>
      </c>
      <c r="I979">
        <v>2202</v>
      </c>
      <c r="J979">
        <v>126900</v>
      </c>
    </row>
    <row r="980" spans="4:10">
      <c r="D980" t="s">
        <v>607</v>
      </c>
      <c r="E980" t="s">
        <v>593</v>
      </c>
      <c r="F980">
        <v>2199</v>
      </c>
      <c r="G980">
        <v>2214</v>
      </c>
      <c r="H980">
        <v>2195</v>
      </c>
      <c r="I980">
        <v>2198</v>
      </c>
      <c r="J980">
        <v>63200</v>
      </c>
    </row>
    <row r="981" spans="4:10">
      <c r="D981" t="s">
        <v>607</v>
      </c>
      <c r="E981" t="s">
        <v>594</v>
      </c>
      <c r="F981">
        <v>2200</v>
      </c>
      <c r="G981">
        <v>2204</v>
      </c>
      <c r="H981">
        <v>2161</v>
      </c>
      <c r="I981">
        <v>2165</v>
      </c>
      <c r="J981">
        <v>109400</v>
      </c>
    </row>
    <row r="982" spans="4:10">
      <c r="D982" t="s">
        <v>607</v>
      </c>
      <c r="E982" t="s">
        <v>595</v>
      </c>
      <c r="F982">
        <v>2164</v>
      </c>
      <c r="G982">
        <v>2166</v>
      </c>
      <c r="H982">
        <v>2114</v>
      </c>
      <c r="I982">
        <v>2126</v>
      </c>
      <c r="J982">
        <v>247300</v>
      </c>
    </row>
    <row r="983" spans="4:10">
      <c r="D983" t="s">
        <v>607</v>
      </c>
      <c r="E983" t="s">
        <v>596</v>
      </c>
      <c r="F983">
        <v>2127</v>
      </c>
      <c r="G983">
        <v>2148</v>
      </c>
      <c r="H983">
        <v>2106</v>
      </c>
      <c r="I983">
        <v>2115</v>
      </c>
      <c r="J983">
        <v>117400</v>
      </c>
    </row>
    <row r="984" spans="4:10">
      <c r="D984" t="s">
        <v>607</v>
      </c>
      <c r="E984" t="s">
        <v>597</v>
      </c>
      <c r="F984">
        <v>2119</v>
      </c>
      <c r="G984">
        <v>2129</v>
      </c>
      <c r="H984">
        <v>2110</v>
      </c>
      <c r="I984">
        <v>2123</v>
      </c>
      <c r="J984">
        <v>65600</v>
      </c>
    </row>
    <row r="985" spans="4:10">
      <c r="D985" t="s">
        <v>607</v>
      </c>
      <c r="E985" t="s">
        <v>598</v>
      </c>
      <c r="F985">
        <v>2124</v>
      </c>
      <c r="G985">
        <v>2144</v>
      </c>
      <c r="H985">
        <v>2124</v>
      </c>
      <c r="I985">
        <v>2127</v>
      </c>
      <c r="J985">
        <v>73100</v>
      </c>
    </row>
    <row r="986" spans="4:10">
      <c r="D986" t="s">
        <v>607</v>
      </c>
      <c r="E986" t="s">
        <v>599</v>
      </c>
      <c r="F986">
        <v>2128</v>
      </c>
      <c r="G986">
        <v>2139</v>
      </c>
      <c r="H986">
        <v>2117</v>
      </c>
      <c r="I986">
        <v>2125</v>
      </c>
      <c r="J986">
        <v>37900</v>
      </c>
    </row>
    <row r="987" spans="4:10">
      <c r="D987" t="s">
        <v>607</v>
      </c>
      <c r="E987" t="s">
        <v>600</v>
      </c>
      <c r="F987">
        <v>2125</v>
      </c>
      <c r="G987">
        <v>2130</v>
      </c>
      <c r="H987">
        <v>2101</v>
      </c>
      <c r="I987">
        <v>2103</v>
      </c>
      <c r="J987">
        <v>52200</v>
      </c>
    </row>
    <row r="988" spans="4:10">
      <c r="D988" t="s">
        <v>607</v>
      </c>
      <c r="E988" t="s">
        <v>601</v>
      </c>
      <c r="F988">
        <v>2105</v>
      </c>
      <c r="G988">
        <v>2105</v>
      </c>
      <c r="H988">
        <v>2084</v>
      </c>
      <c r="I988">
        <v>2094</v>
      </c>
      <c r="J988">
        <v>89200</v>
      </c>
    </row>
    <row r="989" spans="4:10">
      <c r="D989" t="s">
        <v>607</v>
      </c>
      <c r="E989" t="s">
        <v>602</v>
      </c>
      <c r="F989">
        <v>2095</v>
      </c>
      <c r="G989">
        <v>2097</v>
      </c>
      <c r="H989">
        <v>2073</v>
      </c>
      <c r="I989">
        <v>2074</v>
      </c>
      <c r="J989">
        <v>54400</v>
      </c>
    </row>
    <row r="990" spans="4:10">
      <c r="D990" t="s">
        <v>607</v>
      </c>
      <c r="E990" t="s">
        <v>603</v>
      </c>
      <c r="F990">
        <v>2076</v>
      </c>
      <c r="G990">
        <v>2077</v>
      </c>
      <c r="H990">
        <v>2046</v>
      </c>
      <c r="I990">
        <v>2048</v>
      </c>
      <c r="J990">
        <v>87700</v>
      </c>
    </row>
    <row r="991" spans="4:10">
      <c r="D991" t="s">
        <v>607</v>
      </c>
      <c r="E991" t="s">
        <v>604</v>
      </c>
      <c r="F991">
        <v>2049</v>
      </c>
      <c r="G991">
        <v>2049</v>
      </c>
      <c r="H991">
        <v>2049</v>
      </c>
      <c r="I991">
        <v>2049</v>
      </c>
      <c r="J991">
        <v>1200</v>
      </c>
    </row>
    <row r="992" spans="4:10">
      <c r="D992" t="s">
        <v>607</v>
      </c>
      <c r="E992" t="s">
        <v>605</v>
      </c>
      <c r="F992">
        <v>2022</v>
      </c>
      <c r="G992">
        <v>2041</v>
      </c>
      <c r="H992">
        <v>2015</v>
      </c>
      <c r="I992">
        <v>2034</v>
      </c>
      <c r="J992">
        <v>183500</v>
      </c>
    </row>
    <row r="993" spans="4:10">
      <c r="D993" t="s">
        <v>607</v>
      </c>
      <c r="E993" t="s">
        <v>606</v>
      </c>
      <c r="F993">
        <v>2034</v>
      </c>
      <c r="G993">
        <v>2072</v>
      </c>
      <c r="H993">
        <v>2025</v>
      </c>
      <c r="I993">
        <v>2052</v>
      </c>
      <c r="J993">
        <v>97900</v>
      </c>
    </row>
    <row r="994" spans="4:10">
      <c r="D994" t="s">
        <v>607</v>
      </c>
      <c r="E994" t="s">
        <v>538</v>
      </c>
      <c r="F994">
        <v>2054</v>
      </c>
      <c r="G994">
        <v>2060</v>
      </c>
      <c r="H994">
        <v>2043</v>
      </c>
      <c r="I994">
        <v>2055</v>
      </c>
      <c r="J994">
        <v>47100</v>
      </c>
    </row>
    <row r="995" spans="4:10">
      <c r="D995" t="s">
        <v>607</v>
      </c>
      <c r="E995" t="s">
        <v>539</v>
      </c>
      <c r="F995">
        <v>2056</v>
      </c>
      <c r="G995">
        <v>2061</v>
      </c>
      <c r="H995">
        <v>2036</v>
      </c>
      <c r="I995">
        <v>2055</v>
      </c>
      <c r="J995">
        <v>64500</v>
      </c>
    </row>
    <row r="996" spans="4:10">
      <c r="D996" t="s">
        <v>607</v>
      </c>
      <c r="E996" t="s">
        <v>540</v>
      </c>
      <c r="F996">
        <v>2057</v>
      </c>
      <c r="G996">
        <v>2072</v>
      </c>
      <c r="H996">
        <v>2051</v>
      </c>
      <c r="I996">
        <v>2067</v>
      </c>
      <c r="J996">
        <v>43600</v>
      </c>
    </row>
    <row r="997" spans="4:10">
      <c r="D997" t="s">
        <v>607</v>
      </c>
      <c r="E997" t="s">
        <v>541</v>
      </c>
      <c r="F997">
        <v>2066</v>
      </c>
      <c r="G997">
        <v>2090</v>
      </c>
      <c r="H997">
        <v>2052</v>
      </c>
      <c r="I997">
        <v>2088</v>
      </c>
      <c r="J997">
        <v>113000</v>
      </c>
    </row>
    <row r="998" spans="4:10">
      <c r="D998" t="s">
        <v>607</v>
      </c>
      <c r="E998" t="s">
        <v>542</v>
      </c>
      <c r="F998">
        <v>2088</v>
      </c>
      <c r="G998">
        <v>2097</v>
      </c>
      <c r="H998">
        <v>2073</v>
      </c>
      <c r="I998">
        <v>2088</v>
      </c>
      <c r="J998">
        <v>105600</v>
      </c>
    </row>
    <row r="999" spans="4:10">
      <c r="D999" t="s">
        <v>607</v>
      </c>
      <c r="E999" t="s">
        <v>543</v>
      </c>
      <c r="F999">
        <v>2087</v>
      </c>
      <c r="G999">
        <v>2118</v>
      </c>
      <c r="H999">
        <v>2087</v>
      </c>
      <c r="I999">
        <v>2096</v>
      </c>
      <c r="J999">
        <v>136200</v>
      </c>
    </row>
    <row r="1000" spans="4:10">
      <c r="D1000" t="s">
        <v>607</v>
      </c>
      <c r="E1000" t="s">
        <v>544</v>
      </c>
      <c r="F1000">
        <v>2096</v>
      </c>
      <c r="G1000">
        <v>2115</v>
      </c>
      <c r="H1000">
        <v>2095</v>
      </c>
      <c r="I1000">
        <v>2105</v>
      </c>
      <c r="J1000">
        <v>62900</v>
      </c>
    </row>
    <row r="1001" spans="4:10">
      <c r="D1001" t="s">
        <v>607</v>
      </c>
      <c r="E1001" t="s">
        <v>545</v>
      </c>
      <c r="F1001">
        <v>2103</v>
      </c>
      <c r="G1001">
        <v>2104</v>
      </c>
      <c r="H1001">
        <v>2087</v>
      </c>
      <c r="I1001">
        <v>2090</v>
      </c>
      <c r="J1001">
        <v>38700</v>
      </c>
    </row>
    <row r="1002" spans="4:10">
      <c r="D1002" t="s">
        <v>607</v>
      </c>
      <c r="E1002" t="s">
        <v>546</v>
      </c>
      <c r="F1002">
        <v>2088</v>
      </c>
      <c r="G1002">
        <v>2089</v>
      </c>
      <c r="H1002">
        <v>2068</v>
      </c>
      <c r="I1002">
        <v>2072</v>
      </c>
      <c r="J1002">
        <v>39700</v>
      </c>
    </row>
    <row r="1003" spans="4:10">
      <c r="D1003" t="s">
        <v>607</v>
      </c>
      <c r="E1003" t="s">
        <v>547</v>
      </c>
      <c r="F1003">
        <v>2072</v>
      </c>
      <c r="G1003">
        <v>2091</v>
      </c>
      <c r="H1003">
        <v>2070</v>
      </c>
      <c r="I1003">
        <v>2088</v>
      </c>
      <c r="J1003">
        <v>23000</v>
      </c>
    </row>
    <row r="1004" spans="4:10">
      <c r="D1004" t="s">
        <v>607</v>
      </c>
      <c r="E1004" t="s">
        <v>548</v>
      </c>
      <c r="F1004">
        <v>2088</v>
      </c>
      <c r="G1004">
        <v>2095</v>
      </c>
      <c r="H1004">
        <v>2081</v>
      </c>
      <c r="I1004">
        <v>2090</v>
      </c>
      <c r="J1004">
        <v>20600</v>
      </c>
    </row>
    <row r="1005" spans="4:10">
      <c r="D1005" t="s">
        <v>607</v>
      </c>
      <c r="E1005" t="s">
        <v>549</v>
      </c>
      <c r="F1005">
        <v>2088</v>
      </c>
      <c r="G1005">
        <v>2096</v>
      </c>
      <c r="H1005">
        <v>2082</v>
      </c>
      <c r="I1005">
        <v>2082</v>
      </c>
      <c r="J1005">
        <v>24000</v>
      </c>
    </row>
    <row r="1006" spans="4:10">
      <c r="D1006" t="s">
        <v>607</v>
      </c>
      <c r="E1006" t="s">
        <v>550</v>
      </c>
      <c r="F1006">
        <v>2083</v>
      </c>
      <c r="G1006">
        <v>2098</v>
      </c>
      <c r="H1006">
        <v>2082</v>
      </c>
      <c r="I1006">
        <v>2087</v>
      </c>
      <c r="J1006">
        <v>27300</v>
      </c>
    </row>
    <row r="1007" spans="4:10">
      <c r="D1007" t="s">
        <v>607</v>
      </c>
      <c r="E1007" t="s">
        <v>551</v>
      </c>
      <c r="F1007">
        <v>2087</v>
      </c>
      <c r="G1007">
        <v>2092</v>
      </c>
      <c r="H1007">
        <v>2084</v>
      </c>
      <c r="I1007">
        <v>2089</v>
      </c>
      <c r="J1007">
        <v>10700</v>
      </c>
    </row>
    <row r="1008" spans="4:10">
      <c r="D1008" t="s">
        <v>607</v>
      </c>
      <c r="E1008" t="s">
        <v>552</v>
      </c>
      <c r="F1008">
        <v>2091</v>
      </c>
      <c r="G1008">
        <v>2105</v>
      </c>
      <c r="H1008">
        <v>2088</v>
      </c>
      <c r="I1008">
        <v>2101</v>
      </c>
      <c r="J1008">
        <v>34300</v>
      </c>
    </row>
    <row r="1009" spans="4:10">
      <c r="D1009" t="s">
        <v>607</v>
      </c>
      <c r="E1009" t="s">
        <v>553</v>
      </c>
      <c r="F1009">
        <v>2099</v>
      </c>
      <c r="G1009">
        <v>2100</v>
      </c>
      <c r="H1009">
        <v>2085</v>
      </c>
      <c r="I1009">
        <v>2092</v>
      </c>
      <c r="J1009">
        <v>28300</v>
      </c>
    </row>
    <row r="1010" spans="4:10">
      <c r="D1010" t="s">
        <v>607</v>
      </c>
      <c r="E1010" t="s">
        <v>554</v>
      </c>
      <c r="F1010">
        <v>2092</v>
      </c>
      <c r="G1010">
        <v>2101</v>
      </c>
      <c r="H1010">
        <v>2091</v>
      </c>
      <c r="I1010">
        <v>2101</v>
      </c>
      <c r="J1010">
        <v>23300</v>
      </c>
    </row>
    <row r="1011" spans="4:10">
      <c r="D1011" t="s">
        <v>607</v>
      </c>
      <c r="E1011" t="s">
        <v>555</v>
      </c>
      <c r="F1011">
        <v>2101</v>
      </c>
      <c r="G1011">
        <v>2123</v>
      </c>
      <c r="H1011">
        <v>2101</v>
      </c>
      <c r="I1011">
        <v>2120</v>
      </c>
      <c r="J1011">
        <v>53600</v>
      </c>
    </row>
    <row r="1012" spans="4:10">
      <c r="D1012" t="s">
        <v>607</v>
      </c>
      <c r="E1012" t="s">
        <v>556</v>
      </c>
      <c r="F1012">
        <v>2120</v>
      </c>
      <c r="G1012">
        <v>2129</v>
      </c>
      <c r="H1012">
        <v>2100</v>
      </c>
      <c r="I1012">
        <v>2129</v>
      </c>
      <c r="J1012">
        <v>64200</v>
      </c>
    </row>
    <row r="1013" spans="4:10">
      <c r="D1013" t="s">
        <v>607</v>
      </c>
      <c r="E1013" t="s">
        <v>557</v>
      </c>
      <c r="F1013">
        <v>2130</v>
      </c>
      <c r="G1013">
        <v>2159</v>
      </c>
      <c r="H1013">
        <v>2129</v>
      </c>
      <c r="I1013">
        <v>2158</v>
      </c>
      <c r="J1013">
        <v>91000</v>
      </c>
    </row>
    <row r="1014" spans="4:10">
      <c r="D1014" t="s">
        <v>607</v>
      </c>
      <c r="E1014" t="s">
        <v>558</v>
      </c>
      <c r="F1014">
        <v>2158</v>
      </c>
      <c r="G1014">
        <v>2172</v>
      </c>
      <c r="H1014">
        <v>2126</v>
      </c>
      <c r="I1014">
        <v>2130</v>
      </c>
      <c r="J1014">
        <v>157400</v>
      </c>
    </row>
    <row r="1015" spans="4:10">
      <c r="D1015" t="s">
        <v>607</v>
      </c>
      <c r="E1015" t="s">
        <v>559</v>
      </c>
      <c r="F1015">
        <v>2129</v>
      </c>
      <c r="G1015">
        <v>2135</v>
      </c>
      <c r="H1015">
        <v>2111</v>
      </c>
      <c r="I1015">
        <v>2116</v>
      </c>
      <c r="J1015">
        <v>62900</v>
      </c>
    </row>
    <row r="1016" spans="4:10">
      <c r="D1016" t="s">
        <v>607</v>
      </c>
      <c r="E1016" t="s">
        <v>560</v>
      </c>
      <c r="F1016">
        <v>2114</v>
      </c>
      <c r="G1016">
        <v>2142</v>
      </c>
      <c r="H1016">
        <v>2114</v>
      </c>
      <c r="I1016">
        <v>2126</v>
      </c>
      <c r="J1016">
        <v>31800</v>
      </c>
    </row>
    <row r="1017" spans="4:10">
      <c r="D1017" t="s">
        <v>607</v>
      </c>
      <c r="E1017" t="s">
        <v>561</v>
      </c>
      <c r="F1017">
        <v>2126</v>
      </c>
      <c r="G1017">
        <v>2126</v>
      </c>
      <c r="H1017">
        <v>2090</v>
      </c>
      <c r="I1017">
        <v>2108</v>
      </c>
      <c r="J1017">
        <v>84800</v>
      </c>
    </row>
    <row r="1018" spans="4:10">
      <c r="D1018" t="s">
        <v>607</v>
      </c>
      <c r="E1018" t="s">
        <v>562</v>
      </c>
      <c r="F1018">
        <v>2107</v>
      </c>
      <c r="G1018">
        <v>2112</v>
      </c>
      <c r="H1018">
        <v>2100</v>
      </c>
      <c r="I1018">
        <v>2106</v>
      </c>
      <c r="J1018">
        <v>30900</v>
      </c>
    </row>
    <row r="1019" spans="4:10">
      <c r="D1019" t="s">
        <v>607</v>
      </c>
      <c r="E1019" t="s">
        <v>563</v>
      </c>
      <c r="F1019">
        <v>2105</v>
      </c>
      <c r="G1019">
        <v>2114</v>
      </c>
      <c r="H1019">
        <v>2104</v>
      </c>
      <c r="I1019">
        <v>2108</v>
      </c>
      <c r="J1019">
        <v>26800</v>
      </c>
    </row>
    <row r="1020" spans="4:10">
      <c r="D1020" t="s">
        <v>607</v>
      </c>
      <c r="E1020" t="s">
        <v>564</v>
      </c>
      <c r="F1020">
        <v>2110</v>
      </c>
      <c r="G1020">
        <v>2112</v>
      </c>
      <c r="H1020">
        <v>2087</v>
      </c>
      <c r="I1020">
        <v>2097</v>
      </c>
      <c r="J1020">
        <v>55600</v>
      </c>
    </row>
    <row r="1021" spans="4:10">
      <c r="D1021" t="s">
        <v>607</v>
      </c>
      <c r="E1021" t="s">
        <v>565</v>
      </c>
      <c r="F1021">
        <v>2096</v>
      </c>
      <c r="G1021">
        <v>2098</v>
      </c>
      <c r="H1021">
        <v>2088</v>
      </c>
      <c r="I1021">
        <v>2088</v>
      </c>
      <c r="J1021">
        <v>18000</v>
      </c>
    </row>
    <row r="1022" spans="4:10">
      <c r="D1022" t="s">
        <v>607</v>
      </c>
      <c r="E1022" t="s">
        <v>566</v>
      </c>
      <c r="F1022">
        <v>2088</v>
      </c>
      <c r="G1022">
        <v>2093</v>
      </c>
      <c r="H1022">
        <v>2082</v>
      </c>
      <c r="I1022">
        <v>2090</v>
      </c>
      <c r="J1022">
        <v>40900</v>
      </c>
    </row>
    <row r="1023" spans="4:10">
      <c r="D1023" t="s">
        <v>607</v>
      </c>
      <c r="E1023" t="s">
        <v>567</v>
      </c>
      <c r="F1023">
        <v>2092</v>
      </c>
      <c r="G1023">
        <v>2100</v>
      </c>
      <c r="H1023">
        <v>2092</v>
      </c>
      <c r="I1023">
        <v>2099</v>
      </c>
      <c r="J1023">
        <v>20100</v>
      </c>
    </row>
    <row r="1024" spans="4:10">
      <c r="D1024" t="s">
        <v>607</v>
      </c>
      <c r="E1024" t="s">
        <v>568</v>
      </c>
      <c r="F1024">
        <v>2099</v>
      </c>
      <c r="G1024">
        <v>2120</v>
      </c>
      <c r="H1024">
        <v>2099</v>
      </c>
      <c r="I1024">
        <v>2114</v>
      </c>
      <c r="J1024">
        <v>56000</v>
      </c>
    </row>
    <row r="1025" spans="4:10">
      <c r="D1025" t="s">
        <v>607</v>
      </c>
      <c r="E1025" t="s">
        <v>569</v>
      </c>
      <c r="F1025">
        <v>2114</v>
      </c>
      <c r="G1025">
        <v>2120</v>
      </c>
      <c r="H1025">
        <v>2092</v>
      </c>
      <c r="I1025">
        <v>2097</v>
      </c>
      <c r="J1025">
        <v>67000</v>
      </c>
    </row>
    <row r="1026" spans="4:10">
      <c r="D1026" t="s">
        <v>607</v>
      </c>
      <c r="E1026" t="s">
        <v>570</v>
      </c>
      <c r="F1026">
        <v>2099</v>
      </c>
      <c r="G1026">
        <v>2100</v>
      </c>
      <c r="H1026">
        <v>2092</v>
      </c>
      <c r="I1026">
        <v>2093</v>
      </c>
      <c r="J1026">
        <v>33500</v>
      </c>
    </row>
    <row r="1027" spans="4:10">
      <c r="D1027" t="s">
        <v>607</v>
      </c>
      <c r="E1027" t="s">
        <v>571</v>
      </c>
      <c r="F1027" t="s">
        <v>35</v>
      </c>
      <c r="G1027" t="s">
        <v>35</v>
      </c>
      <c r="H1027" t="s">
        <v>35</v>
      </c>
      <c r="I1027" t="s">
        <v>35</v>
      </c>
      <c r="J1027">
        <v>0</v>
      </c>
    </row>
    <row r="1028" spans="4:10">
      <c r="D1028" t="s">
        <v>607</v>
      </c>
      <c r="E1028" t="s">
        <v>572</v>
      </c>
      <c r="F1028">
        <v>2091</v>
      </c>
      <c r="G1028">
        <v>2091</v>
      </c>
      <c r="H1028">
        <v>2091</v>
      </c>
      <c r="I1028">
        <v>2091</v>
      </c>
      <c r="J1028">
        <v>83200</v>
      </c>
    </row>
    <row r="1029" spans="4:10">
      <c r="D1029" t="s">
        <v>608</v>
      </c>
      <c r="E1029" t="s">
        <v>574</v>
      </c>
      <c r="F1029" t="s">
        <v>35</v>
      </c>
      <c r="G1029" t="s">
        <v>35</v>
      </c>
      <c r="H1029" t="s">
        <v>35</v>
      </c>
      <c r="I1029" t="s">
        <v>35</v>
      </c>
      <c r="J1029">
        <v>0</v>
      </c>
    </row>
    <row r="1030" spans="4:10">
      <c r="D1030" t="s">
        <v>608</v>
      </c>
      <c r="E1030" t="s">
        <v>575</v>
      </c>
      <c r="F1030">
        <v>1962</v>
      </c>
      <c r="G1030">
        <v>2017</v>
      </c>
      <c r="H1030">
        <v>1959</v>
      </c>
      <c r="I1030">
        <v>1995</v>
      </c>
      <c r="J1030">
        <v>369500</v>
      </c>
    </row>
    <row r="1031" spans="4:10">
      <c r="D1031" t="s">
        <v>608</v>
      </c>
      <c r="E1031" t="s">
        <v>576</v>
      </c>
      <c r="F1031">
        <v>1995</v>
      </c>
      <c r="G1031">
        <v>1998</v>
      </c>
      <c r="H1031">
        <v>1940</v>
      </c>
      <c r="I1031">
        <v>1963</v>
      </c>
      <c r="J1031">
        <v>203800</v>
      </c>
    </row>
    <row r="1032" spans="4:10">
      <c r="D1032" t="s">
        <v>608</v>
      </c>
      <c r="E1032" t="s">
        <v>577</v>
      </c>
      <c r="F1032">
        <v>1965</v>
      </c>
      <c r="G1032">
        <v>1965</v>
      </c>
      <c r="H1032">
        <v>1922</v>
      </c>
      <c r="I1032">
        <v>1944</v>
      </c>
      <c r="J1032">
        <v>111600</v>
      </c>
    </row>
    <row r="1033" spans="4:10">
      <c r="D1033" t="s">
        <v>608</v>
      </c>
      <c r="E1033" t="s">
        <v>578</v>
      </c>
      <c r="F1033">
        <v>1943</v>
      </c>
      <c r="G1033">
        <v>1961</v>
      </c>
      <c r="H1033">
        <v>1932</v>
      </c>
      <c r="I1033">
        <v>1939</v>
      </c>
      <c r="J1033">
        <v>70400</v>
      </c>
    </row>
    <row r="1034" spans="4:10">
      <c r="D1034" t="s">
        <v>608</v>
      </c>
      <c r="E1034" t="s">
        <v>579</v>
      </c>
      <c r="F1034">
        <v>1939</v>
      </c>
      <c r="G1034">
        <v>1965</v>
      </c>
      <c r="H1034">
        <v>1937</v>
      </c>
      <c r="I1034">
        <v>1960</v>
      </c>
      <c r="J1034">
        <v>62500</v>
      </c>
    </row>
    <row r="1035" spans="4:10">
      <c r="D1035" t="s">
        <v>608</v>
      </c>
      <c r="E1035" t="s">
        <v>580</v>
      </c>
      <c r="F1035">
        <v>1960</v>
      </c>
      <c r="G1035">
        <v>1998</v>
      </c>
      <c r="H1035">
        <v>1955</v>
      </c>
      <c r="I1035">
        <v>1994</v>
      </c>
      <c r="J1035">
        <v>98300</v>
      </c>
    </row>
    <row r="1036" spans="4:10">
      <c r="D1036" t="s">
        <v>608</v>
      </c>
      <c r="E1036" t="s">
        <v>581</v>
      </c>
      <c r="F1036">
        <v>1993</v>
      </c>
      <c r="G1036">
        <v>2012</v>
      </c>
      <c r="H1036">
        <v>1986</v>
      </c>
      <c r="I1036">
        <v>2009</v>
      </c>
      <c r="J1036">
        <v>96200</v>
      </c>
    </row>
    <row r="1037" spans="4:10">
      <c r="D1037" t="s">
        <v>608</v>
      </c>
      <c r="E1037" t="s">
        <v>582</v>
      </c>
      <c r="F1037">
        <v>2010</v>
      </c>
      <c r="G1037">
        <v>2019</v>
      </c>
      <c r="H1037">
        <v>1998</v>
      </c>
      <c r="I1037">
        <v>2016</v>
      </c>
      <c r="J1037">
        <v>76800</v>
      </c>
    </row>
    <row r="1038" spans="4:10">
      <c r="D1038" t="s">
        <v>608</v>
      </c>
      <c r="E1038" t="s">
        <v>583</v>
      </c>
      <c r="F1038">
        <v>2016</v>
      </c>
      <c r="G1038">
        <v>2023</v>
      </c>
      <c r="H1038">
        <v>1990</v>
      </c>
      <c r="I1038">
        <v>1995</v>
      </c>
      <c r="J1038">
        <v>83400</v>
      </c>
    </row>
    <row r="1039" spans="4:10">
      <c r="D1039" t="s">
        <v>608</v>
      </c>
      <c r="E1039" t="s">
        <v>584</v>
      </c>
      <c r="F1039">
        <v>1995</v>
      </c>
      <c r="G1039">
        <v>2015</v>
      </c>
      <c r="H1039">
        <v>1991</v>
      </c>
      <c r="I1039">
        <v>2007</v>
      </c>
      <c r="J1039">
        <v>31200</v>
      </c>
    </row>
    <row r="1040" spans="4:10">
      <c r="D1040" t="s">
        <v>608</v>
      </c>
      <c r="E1040" t="s">
        <v>585</v>
      </c>
      <c r="F1040">
        <v>2007</v>
      </c>
      <c r="G1040">
        <v>2049</v>
      </c>
      <c r="H1040">
        <v>2006</v>
      </c>
      <c r="I1040">
        <v>2025</v>
      </c>
      <c r="J1040">
        <v>68300</v>
      </c>
    </row>
    <row r="1041" spans="4:10">
      <c r="D1041" t="s">
        <v>608</v>
      </c>
      <c r="E1041" t="s">
        <v>586</v>
      </c>
      <c r="F1041">
        <v>2026</v>
      </c>
      <c r="G1041">
        <v>2049</v>
      </c>
      <c r="H1041">
        <v>2018</v>
      </c>
      <c r="I1041">
        <v>2049</v>
      </c>
      <c r="J1041">
        <v>62600</v>
      </c>
    </row>
    <row r="1042" spans="4:10">
      <c r="D1042" t="s">
        <v>608</v>
      </c>
      <c r="E1042" t="s">
        <v>587</v>
      </c>
      <c r="F1042">
        <v>2049</v>
      </c>
      <c r="G1042">
        <v>2093</v>
      </c>
      <c r="H1042">
        <v>2049</v>
      </c>
      <c r="I1042">
        <v>2082</v>
      </c>
      <c r="J1042">
        <v>149500</v>
      </c>
    </row>
    <row r="1043" spans="4:10">
      <c r="D1043" t="s">
        <v>608</v>
      </c>
      <c r="E1043" t="s">
        <v>588</v>
      </c>
      <c r="F1043">
        <v>2081</v>
      </c>
      <c r="G1043">
        <v>2100</v>
      </c>
      <c r="H1043">
        <v>2051</v>
      </c>
      <c r="I1043">
        <v>2076</v>
      </c>
      <c r="J1043">
        <v>119300</v>
      </c>
    </row>
    <row r="1044" spans="4:10">
      <c r="D1044" t="s">
        <v>608</v>
      </c>
      <c r="E1044" t="s">
        <v>589</v>
      </c>
      <c r="F1044">
        <v>2071</v>
      </c>
      <c r="G1044">
        <v>2082</v>
      </c>
      <c r="H1044">
        <v>2051</v>
      </c>
      <c r="I1044">
        <v>2066</v>
      </c>
      <c r="J1044">
        <v>42800</v>
      </c>
    </row>
    <row r="1045" spans="4:10">
      <c r="D1045" t="s">
        <v>608</v>
      </c>
      <c r="E1045" t="s">
        <v>590</v>
      </c>
      <c r="F1045">
        <v>2068</v>
      </c>
      <c r="G1045">
        <v>2100</v>
      </c>
      <c r="H1045">
        <v>2066</v>
      </c>
      <c r="I1045">
        <v>2074</v>
      </c>
      <c r="J1045">
        <v>48500</v>
      </c>
    </row>
    <row r="1046" spans="4:10">
      <c r="D1046" t="s">
        <v>608</v>
      </c>
      <c r="E1046" t="s">
        <v>591</v>
      </c>
      <c r="F1046">
        <v>2075</v>
      </c>
      <c r="G1046">
        <v>2081</v>
      </c>
      <c r="H1046">
        <v>2058</v>
      </c>
      <c r="I1046">
        <v>2076</v>
      </c>
      <c r="J1046">
        <v>33100</v>
      </c>
    </row>
    <row r="1047" spans="4:10">
      <c r="D1047" t="s">
        <v>608</v>
      </c>
      <c r="E1047" t="s">
        <v>592</v>
      </c>
      <c r="F1047">
        <v>2077</v>
      </c>
      <c r="G1047">
        <v>2088</v>
      </c>
      <c r="H1047">
        <v>2060</v>
      </c>
      <c r="I1047">
        <v>2060</v>
      </c>
      <c r="J1047">
        <v>35300</v>
      </c>
    </row>
    <row r="1048" spans="4:10">
      <c r="D1048" t="s">
        <v>608</v>
      </c>
      <c r="E1048" t="s">
        <v>593</v>
      </c>
      <c r="F1048">
        <v>2061</v>
      </c>
      <c r="G1048">
        <v>2075</v>
      </c>
      <c r="H1048">
        <v>2060</v>
      </c>
      <c r="I1048">
        <v>2072</v>
      </c>
      <c r="J1048">
        <v>16300</v>
      </c>
    </row>
    <row r="1049" spans="4:10">
      <c r="D1049" t="s">
        <v>608</v>
      </c>
      <c r="E1049" t="s">
        <v>594</v>
      </c>
      <c r="F1049">
        <v>2072</v>
      </c>
      <c r="G1049">
        <v>2072</v>
      </c>
      <c r="H1049">
        <v>2053</v>
      </c>
      <c r="I1049">
        <v>2064</v>
      </c>
      <c r="J1049">
        <v>21200</v>
      </c>
    </row>
    <row r="1050" spans="4:10">
      <c r="D1050" t="s">
        <v>608</v>
      </c>
      <c r="E1050" t="s">
        <v>595</v>
      </c>
      <c r="F1050">
        <v>2063</v>
      </c>
      <c r="G1050">
        <v>2063</v>
      </c>
      <c r="H1050">
        <v>2027</v>
      </c>
      <c r="I1050">
        <v>2037</v>
      </c>
      <c r="J1050">
        <v>62600</v>
      </c>
    </row>
    <row r="1051" spans="4:10">
      <c r="D1051" t="s">
        <v>608</v>
      </c>
      <c r="E1051" t="s">
        <v>596</v>
      </c>
      <c r="F1051">
        <v>2038</v>
      </c>
      <c r="G1051">
        <v>2044</v>
      </c>
      <c r="H1051">
        <v>2030</v>
      </c>
      <c r="I1051">
        <v>2038</v>
      </c>
      <c r="J1051">
        <v>25600</v>
      </c>
    </row>
    <row r="1052" spans="4:10">
      <c r="D1052" t="s">
        <v>608</v>
      </c>
      <c r="E1052" t="s">
        <v>597</v>
      </c>
      <c r="F1052">
        <v>2041</v>
      </c>
      <c r="G1052">
        <v>2050</v>
      </c>
      <c r="H1052">
        <v>2030</v>
      </c>
      <c r="I1052">
        <v>2038</v>
      </c>
      <c r="J1052">
        <v>19600</v>
      </c>
    </row>
    <row r="1053" spans="4:10">
      <c r="D1053" t="s">
        <v>608</v>
      </c>
      <c r="E1053" t="s">
        <v>598</v>
      </c>
      <c r="F1053">
        <v>2036</v>
      </c>
      <c r="G1053">
        <v>2080</v>
      </c>
      <c r="H1053">
        <v>2036</v>
      </c>
      <c r="I1053">
        <v>2057</v>
      </c>
      <c r="J1053">
        <v>37200</v>
      </c>
    </row>
    <row r="1054" spans="4:10">
      <c r="D1054" t="s">
        <v>608</v>
      </c>
      <c r="E1054" t="s">
        <v>599</v>
      </c>
      <c r="F1054">
        <v>2056</v>
      </c>
      <c r="G1054">
        <v>2082</v>
      </c>
      <c r="H1054">
        <v>2050</v>
      </c>
      <c r="I1054">
        <v>2053</v>
      </c>
      <c r="J1054">
        <v>28900</v>
      </c>
    </row>
    <row r="1055" spans="4:10">
      <c r="D1055" t="s">
        <v>608</v>
      </c>
      <c r="E1055" t="s">
        <v>600</v>
      </c>
      <c r="F1055">
        <v>2052</v>
      </c>
      <c r="G1055">
        <v>2055</v>
      </c>
      <c r="H1055">
        <v>2025</v>
      </c>
      <c r="I1055">
        <v>2030</v>
      </c>
      <c r="J1055">
        <v>39800</v>
      </c>
    </row>
    <row r="1056" spans="4:10">
      <c r="D1056" t="s">
        <v>608</v>
      </c>
      <c r="E1056" t="s">
        <v>601</v>
      </c>
      <c r="F1056">
        <v>2030</v>
      </c>
      <c r="G1056">
        <v>2031</v>
      </c>
      <c r="H1056">
        <v>2017</v>
      </c>
      <c r="I1056">
        <v>2019</v>
      </c>
      <c r="J1056">
        <v>24000</v>
      </c>
    </row>
    <row r="1057" spans="4:10">
      <c r="D1057" t="s">
        <v>608</v>
      </c>
      <c r="E1057" t="s">
        <v>602</v>
      </c>
      <c r="F1057">
        <v>2019</v>
      </c>
      <c r="G1057">
        <v>2032</v>
      </c>
      <c r="H1057">
        <v>2015</v>
      </c>
      <c r="I1057">
        <v>2030</v>
      </c>
      <c r="J1057">
        <v>17600</v>
      </c>
    </row>
    <row r="1058" spans="4:10">
      <c r="D1058" t="s">
        <v>608</v>
      </c>
      <c r="E1058" t="s">
        <v>603</v>
      </c>
      <c r="F1058">
        <v>2030</v>
      </c>
      <c r="G1058">
        <v>2038</v>
      </c>
      <c r="H1058">
        <v>2024</v>
      </c>
      <c r="I1058">
        <v>2024</v>
      </c>
      <c r="J1058">
        <v>15300</v>
      </c>
    </row>
    <row r="1059" spans="4:10">
      <c r="D1059" t="s">
        <v>608</v>
      </c>
      <c r="E1059" t="s">
        <v>604</v>
      </c>
      <c r="F1059">
        <v>2023</v>
      </c>
      <c r="G1059">
        <v>2023</v>
      </c>
      <c r="H1059">
        <v>2023</v>
      </c>
      <c r="I1059">
        <v>2023</v>
      </c>
      <c r="J1059">
        <v>800</v>
      </c>
    </row>
    <row r="1060" spans="4:10">
      <c r="D1060" t="s">
        <v>608</v>
      </c>
      <c r="E1060" t="s">
        <v>605</v>
      </c>
      <c r="F1060">
        <v>2020</v>
      </c>
      <c r="G1060">
        <v>2025</v>
      </c>
      <c r="H1060">
        <v>2010</v>
      </c>
      <c r="I1060">
        <v>2020</v>
      </c>
      <c r="J1060">
        <v>40300</v>
      </c>
    </row>
    <row r="1061" spans="4:10">
      <c r="D1061" t="s">
        <v>608</v>
      </c>
      <c r="E1061" t="s">
        <v>606</v>
      </c>
      <c r="F1061">
        <v>2022</v>
      </c>
      <c r="G1061">
        <v>2025</v>
      </c>
      <c r="H1061">
        <v>2015</v>
      </c>
      <c r="I1061">
        <v>2022</v>
      </c>
      <c r="J1061">
        <v>16700</v>
      </c>
    </row>
    <row r="1062" spans="4:10">
      <c r="D1062" t="s">
        <v>608</v>
      </c>
      <c r="E1062" t="s">
        <v>538</v>
      </c>
      <c r="F1062">
        <v>2020</v>
      </c>
      <c r="G1062">
        <v>2025</v>
      </c>
      <c r="H1062">
        <v>2010</v>
      </c>
      <c r="I1062">
        <v>2012</v>
      </c>
      <c r="J1062">
        <v>21600</v>
      </c>
    </row>
    <row r="1063" spans="4:10">
      <c r="D1063" t="s">
        <v>608</v>
      </c>
      <c r="E1063" t="s">
        <v>539</v>
      </c>
      <c r="F1063">
        <v>2013</v>
      </c>
      <c r="G1063">
        <v>2014</v>
      </c>
      <c r="H1063">
        <v>2001</v>
      </c>
      <c r="I1063">
        <v>2002</v>
      </c>
      <c r="J1063">
        <v>30700</v>
      </c>
    </row>
    <row r="1064" spans="4:10">
      <c r="D1064" t="s">
        <v>608</v>
      </c>
      <c r="E1064" t="s">
        <v>540</v>
      </c>
      <c r="F1064">
        <v>2005</v>
      </c>
      <c r="G1064">
        <v>2006</v>
      </c>
      <c r="H1064">
        <v>1996</v>
      </c>
      <c r="I1064">
        <v>2002</v>
      </c>
      <c r="J1064">
        <v>29900</v>
      </c>
    </row>
    <row r="1065" spans="4:10">
      <c r="D1065" t="s">
        <v>608</v>
      </c>
      <c r="E1065" t="s">
        <v>541</v>
      </c>
      <c r="F1065">
        <v>2000</v>
      </c>
      <c r="G1065">
        <v>2011</v>
      </c>
      <c r="H1065">
        <v>2000</v>
      </c>
      <c r="I1065">
        <v>2009</v>
      </c>
      <c r="J1065">
        <v>11100</v>
      </c>
    </row>
    <row r="1066" spans="4:10">
      <c r="D1066" t="s">
        <v>608</v>
      </c>
      <c r="E1066" t="s">
        <v>542</v>
      </c>
      <c r="F1066">
        <v>2010</v>
      </c>
      <c r="G1066">
        <v>2024</v>
      </c>
      <c r="H1066">
        <v>2010</v>
      </c>
      <c r="I1066">
        <v>2019</v>
      </c>
      <c r="J1066">
        <v>18900</v>
      </c>
    </row>
    <row r="1067" spans="4:10">
      <c r="D1067" t="s">
        <v>608</v>
      </c>
      <c r="E1067" t="s">
        <v>543</v>
      </c>
      <c r="F1067">
        <v>2019</v>
      </c>
      <c r="G1067">
        <v>2021</v>
      </c>
      <c r="H1067">
        <v>2006</v>
      </c>
      <c r="I1067">
        <v>2015</v>
      </c>
      <c r="J1067">
        <v>20800</v>
      </c>
    </row>
    <row r="1068" spans="4:10">
      <c r="D1068" t="s">
        <v>608</v>
      </c>
      <c r="E1068" t="s">
        <v>544</v>
      </c>
      <c r="F1068">
        <v>2012</v>
      </c>
      <c r="G1068">
        <v>2019</v>
      </c>
      <c r="H1068">
        <v>2005</v>
      </c>
      <c r="I1068">
        <v>2007</v>
      </c>
      <c r="J1068">
        <v>16800</v>
      </c>
    </row>
    <row r="1069" spans="4:10">
      <c r="D1069" t="s">
        <v>608</v>
      </c>
      <c r="E1069" t="s">
        <v>545</v>
      </c>
      <c r="F1069">
        <v>2006</v>
      </c>
      <c r="G1069">
        <v>2006</v>
      </c>
      <c r="H1069">
        <v>1996</v>
      </c>
      <c r="I1069">
        <v>1999</v>
      </c>
      <c r="J1069">
        <v>22100</v>
      </c>
    </row>
    <row r="1070" spans="4:10">
      <c r="D1070" t="s">
        <v>608</v>
      </c>
      <c r="E1070" t="s">
        <v>546</v>
      </c>
      <c r="F1070">
        <v>1999</v>
      </c>
      <c r="G1070">
        <v>2006</v>
      </c>
      <c r="H1070">
        <v>1998</v>
      </c>
      <c r="I1070">
        <v>2000</v>
      </c>
      <c r="J1070">
        <v>12100</v>
      </c>
    </row>
    <row r="1071" spans="4:10">
      <c r="D1071" t="s">
        <v>608</v>
      </c>
      <c r="E1071" t="s">
        <v>547</v>
      </c>
      <c r="F1071">
        <v>2000</v>
      </c>
      <c r="G1071">
        <v>2010</v>
      </c>
      <c r="H1071">
        <v>2000</v>
      </c>
      <c r="I1071">
        <v>2010</v>
      </c>
      <c r="J1071">
        <v>12800</v>
      </c>
    </row>
    <row r="1072" spans="4:10">
      <c r="D1072" t="s">
        <v>608</v>
      </c>
      <c r="E1072" t="s">
        <v>548</v>
      </c>
      <c r="F1072">
        <v>2009</v>
      </c>
      <c r="G1072">
        <v>2013</v>
      </c>
      <c r="H1072">
        <v>1997</v>
      </c>
      <c r="I1072">
        <v>1997</v>
      </c>
      <c r="J1072">
        <v>24000</v>
      </c>
    </row>
    <row r="1073" spans="4:10">
      <c r="D1073" t="s">
        <v>608</v>
      </c>
      <c r="E1073" t="s">
        <v>549</v>
      </c>
      <c r="F1073">
        <v>1998</v>
      </c>
      <c r="G1073">
        <v>2000</v>
      </c>
      <c r="H1073">
        <v>1991</v>
      </c>
      <c r="I1073">
        <v>1997</v>
      </c>
      <c r="J1073">
        <v>44700</v>
      </c>
    </row>
    <row r="1074" spans="4:10">
      <c r="D1074" t="s">
        <v>608</v>
      </c>
      <c r="E1074" t="s">
        <v>550</v>
      </c>
      <c r="F1074">
        <v>1996</v>
      </c>
      <c r="G1074">
        <v>1996</v>
      </c>
      <c r="H1074">
        <v>1981</v>
      </c>
      <c r="I1074">
        <v>1985</v>
      </c>
      <c r="J1074">
        <v>48300</v>
      </c>
    </row>
    <row r="1075" spans="4:10">
      <c r="D1075" t="s">
        <v>608</v>
      </c>
      <c r="E1075" t="s">
        <v>551</v>
      </c>
      <c r="F1075">
        <v>1986</v>
      </c>
      <c r="G1075">
        <v>1996</v>
      </c>
      <c r="H1075">
        <v>1985</v>
      </c>
      <c r="I1075">
        <v>1987</v>
      </c>
      <c r="J1075">
        <v>16900</v>
      </c>
    </row>
    <row r="1076" spans="4:10">
      <c r="D1076" t="s">
        <v>608</v>
      </c>
      <c r="E1076" t="s">
        <v>552</v>
      </c>
      <c r="F1076">
        <v>1986</v>
      </c>
      <c r="G1076">
        <v>1996</v>
      </c>
      <c r="H1076">
        <v>1981</v>
      </c>
      <c r="I1076">
        <v>1995</v>
      </c>
      <c r="J1076">
        <v>24200</v>
      </c>
    </row>
    <row r="1077" spans="4:10">
      <c r="D1077" t="s">
        <v>608</v>
      </c>
      <c r="E1077" t="s">
        <v>553</v>
      </c>
      <c r="F1077">
        <v>1997</v>
      </c>
      <c r="G1077">
        <v>2013</v>
      </c>
      <c r="H1077">
        <v>1992</v>
      </c>
      <c r="I1077">
        <v>2011</v>
      </c>
      <c r="J1077">
        <v>20900</v>
      </c>
    </row>
    <row r="1078" spans="4:10">
      <c r="D1078" t="s">
        <v>608</v>
      </c>
      <c r="E1078" t="s">
        <v>554</v>
      </c>
      <c r="F1078">
        <v>2012</v>
      </c>
      <c r="G1078">
        <v>2026</v>
      </c>
      <c r="H1078">
        <v>2010</v>
      </c>
      <c r="I1078">
        <v>2025</v>
      </c>
      <c r="J1078">
        <v>42100</v>
      </c>
    </row>
    <row r="1079" spans="4:10">
      <c r="D1079" t="s">
        <v>608</v>
      </c>
      <c r="E1079" t="s">
        <v>555</v>
      </c>
      <c r="F1079">
        <v>2025</v>
      </c>
      <c r="G1079">
        <v>2027</v>
      </c>
      <c r="H1079">
        <v>2014</v>
      </c>
      <c r="I1079">
        <v>2016</v>
      </c>
      <c r="J1079">
        <v>15700</v>
      </c>
    </row>
    <row r="1080" spans="4:10">
      <c r="D1080" t="s">
        <v>608</v>
      </c>
      <c r="E1080" t="s">
        <v>556</v>
      </c>
      <c r="F1080">
        <v>2017</v>
      </c>
      <c r="G1080">
        <v>2024</v>
      </c>
      <c r="H1080">
        <v>2004</v>
      </c>
      <c r="I1080">
        <v>2006</v>
      </c>
      <c r="J1080">
        <v>19700</v>
      </c>
    </row>
    <row r="1081" spans="4:10">
      <c r="D1081" t="s">
        <v>608</v>
      </c>
      <c r="E1081" t="s">
        <v>557</v>
      </c>
      <c r="F1081">
        <v>2004</v>
      </c>
      <c r="G1081">
        <v>2014</v>
      </c>
      <c r="H1081">
        <v>2001</v>
      </c>
      <c r="I1081">
        <v>2006</v>
      </c>
      <c r="J1081">
        <v>10700</v>
      </c>
    </row>
    <row r="1082" spans="4:10">
      <c r="D1082" t="s">
        <v>608</v>
      </c>
      <c r="E1082" t="s">
        <v>558</v>
      </c>
      <c r="F1082">
        <v>2006</v>
      </c>
      <c r="G1082">
        <v>2023</v>
      </c>
      <c r="H1082">
        <v>2006</v>
      </c>
      <c r="I1082">
        <v>2021</v>
      </c>
      <c r="J1082">
        <v>18600</v>
      </c>
    </row>
    <row r="1083" spans="4:10">
      <c r="D1083" t="s">
        <v>608</v>
      </c>
      <c r="E1083" t="s">
        <v>559</v>
      </c>
      <c r="F1083">
        <v>2022</v>
      </c>
      <c r="G1083">
        <v>2035</v>
      </c>
      <c r="H1083">
        <v>2013</v>
      </c>
      <c r="I1083">
        <v>2032</v>
      </c>
      <c r="J1083">
        <v>37000</v>
      </c>
    </row>
    <row r="1084" spans="4:10">
      <c r="D1084" t="s">
        <v>608</v>
      </c>
      <c r="E1084" t="s">
        <v>560</v>
      </c>
      <c r="F1084">
        <v>2031</v>
      </c>
      <c r="G1084">
        <v>2047</v>
      </c>
      <c r="H1084">
        <v>2026</v>
      </c>
      <c r="I1084">
        <v>2042</v>
      </c>
      <c r="J1084">
        <v>31500</v>
      </c>
    </row>
    <row r="1085" spans="4:10">
      <c r="D1085" t="s">
        <v>608</v>
      </c>
      <c r="E1085" t="s">
        <v>561</v>
      </c>
      <c r="F1085">
        <v>2041</v>
      </c>
      <c r="G1085">
        <v>2041</v>
      </c>
      <c r="H1085">
        <v>2014</v>
      </c>
      <c r="I1085">
        <v>2021</v>
      </c>
      <c r="J1085">
        <v>35000</v>
      </c>
    </row>
    <row r="1086" spans="4:10">
      <c r="D1086" t="s">
        <v>608</v>
      </c>
      <c r="E1086" t="s">
        <v>562</v>
      </c>
      <c r="F1086">
        <v>2019</v>
      </c>
      <c r="G1086">
        <v>2022</v>
      </c>
      <c r="H1086">
        <v>2008</v>
      </c>
      <c r="I1086">
        <v>2016</v>
      </c>
      <c r="J1086">
        <v>33800</v>
      </c>
    </row>
    <row r="1087" spans="4:10">
      <c r="D1087" t="s">
        <v>608</v>
      </c>
      <c r="E1087" t="s">
        <v>563</v>
      </c>
      <c r="F1087">
        <v>2017</v>
      </c>
      <c r="G1087">
        <v>2019</v>
      </c>
      <c r="H1087">
        <v>2008</v>
      </c>
      <c r="I1087">
        <v>2011</v>
      </c>
      <c r="J1087">
        <v>11800</v>
      </c>
    </row>
    <row r="1088" spans="4:10">
      <c r="D1088" t="s">
        <v>608</v>
      </c>
      <c r="E1088" t="s">
        <v>564</v>
      </c>
      <c r="F1088">
        <v>2010</v>
      </c>
      <c r="G1088">
        <v>2010</v>
      </c>
      <c r="H1088">
        <v>1997</v>
      </c>
      <c r="I1088">
        <v>2000</v>
      </c>
      <c r="J1088">
        <v>20000</v>
      </c>
    </row>
    <row r="1089" spans="4:10">
      <c r="D1089" t="s">
        <v>608</v>
      </c>
      <c r="E1089" t="s">
        <v>565</v>
      </c>
      <c r="F1089">
        <v>1999</v>
      </c>
      <c r="G1089">
        <v>2012</v>
      </c>
      <c r="H1089">
        <v>1998</v>
      </c>
      <c r="I1089">
        <v>2008</v>
      </c>
      <c r="J1089">
        <v>7400</v>
      </c>
    </row>
    <row r="1090" spans="4:10">
      <c r="D1090" t="s">
        <v>608</v>
      </c>
      <c r="E1090" t="s">
        <v>566</v>
      </c>
      <c r="F1090">
        <v>2007</v>
      </c>
      <c r="G1090">
        <v>2017</v>
      </c>
      <c r="H1090">
        <v>1998</v>
      </c>
      <c r="I1090">
        <v>2017</v>
      </c>
      <c r="J1090">
        <v>33000</v>
      </c>
    </row>
    <row r="1091" spans="4:10">
      <c r="D1091" t="s">
        <v>608</v>
      </c>
      <c r="E1091" t="s">
        <v>567</v>
      </c>
      <c r="F1091">
        <v>2019</v>
      </c>
      <c r="G1091">
        <v>2022</v>
      </c>
      <c r="H1091">
        <v>2007</v>
      </c>
      <c r="I1091">
        <v>2008</v>
      </c>
      <c r="J1091">
        <v>20000</v>
      </c>
    </row>
    <row r="1092" spans="4:10">
      <c r="D1092" t="s">
        <v>608</v>
      </c>
      <c r="E1092" t="s">
        <v>568</v>
      </c>
      <c r="F1092">
        <v>2008</v>
      </c>
      <c r="G1092">
        <v>2008</v>
      </c>
      <c r="H1092">
        <v>1999</v>
      </c>
      <c r="I1092">
        <v>2001</v>
      </c>
      <c r="J1092">
        <v>14300</v>
      </c>
    </row>
    <row r="1093" spans="4:10">
      <c r="D1093" t="s">
        <v>608</v>
      </c>
      <c r="E1093" t="s">
        <v>569</v>
      </c>
      <c r="F1093">
        <v>2002</v>
      </c>
      <c r="G1093">
        <v>2011</v>
      </c>
      <c r="H1093">
        <v>2000</v>
      </c>
      <c r="I1093">
        <v>2004</v>
      </c>
      <c r="J1093">
        <v>17300</v>
      </c>
    </row>
    <row r="1094" spans="4:10">
      <c r="D1094" t="s">
        <v>608</v>
      </c>
      <c r="E1094" t="s">
        <v>570</v>
      </c>
      <c r="F1094">
        <v>2004</v>
      </c>
      <c r="G1094">
        <v>2007</v>
      </c>
      <c r="H1094">
        <v>2000</v>
      </c>
      <c r="I1094">
        <v>2003</v>
      </c>
      <c r="J1094">
        <v>23600</v>
      </c>
    </row>
    <row r="1095" spans="4:10">
      <c r="D1095" t="s">
        <v>608</v>
      </c>
      <c r="E1095" t="s">
        <v>571</v>
      </c>
      <c r="F1095" t="s">
        <v>35</v>
      </c>
      <c r="G1095" t="s">
        <v>35</v>
      </c>
      <c r="H1095" t="s">
        <v>35</v>
      </c>
      <c r="I1095" t="s">
        <v>35</v>
      </c>
      <c r="J1095">
        <v>0</v>
      </c>
    </row>
    <row r="1096" spans="4:10">
      <c r="D1096" t="s">
        <v>608</v>
      </c>
      <c r="E1096" t="s">
        <v>572</v>
      </c>
      <c r="F1096">
        <v>1988</v>
      </c>
      <c r="G1096">
        <v>1988</v>
      </c>
      <c r="H1096">
        <v>1988</v>
      </c>
      <c r="I1096">
        <v>1988</v>
      </c>
      <c r="J1096">
        <v>110400</v>
      </c>
    </row>
    <row r="1097" spans="4:10">
      <c r="D1097" t="s">
        <v>609</v>
      </c>
      <c r="E1097" t="s">
        <v>574</v>
      </c>
      <c r="F1097">
        <v>2028</v>
      </c>
      <c r="G1097">
        <v>2084</v>
      </c>
      <c r="H1097">
        <v>2026</v>
      </c>
      <c r="I1097">
        <v>2078</v>
      </c>
      <c r="J1097">
        <v>226900</v>
      </c>
    </row>
    <row r="1098" spans="4:10">
      <c r="D1098" t="s">
        <v>609</v>
      </c>
      <c r="E1098" t="s">
        <v>575</v>
      </c>
      <c r="F1098">
        <v>2077</v>
      </c>
      <c r="G1098">
        <v>2142</v>
      </c>
      <c r="H1098">
        <v>2077</v>
      </c>
      <c r="I1098">
        <v>2103</v>
      </c>
      <c r="J1098">
        <v>258200</v>
      </c>
    </row>
    <row r="1099" spans="4:10">
      <c r="D1099" t="s">
        <v>609</v>
      </c>
      <c r="E1099" t="s">
        <v>576</v>
      </c>
      <c r="F1099">
        <v>2106</v>
      </c>
      <c r="G1099">
        <v>2117</v>
      </c>
      <c r="H1099">
        <v>2068</v>
      </c>
      <c r="I1099">
        <v>2076</v>
      </c>
      <c r="J1099">
        <v>100000</v>
      </c>
    </row>
    <row r="1100" spans="4:10">
      <c r="D1100" t="s">
        <v>609</v>
      </c>
      <c r="E1100" t="s">
        <v>577</v>
      </c>
      <c r="F1100">
        <v>2077</v>
      </c>
      <c r="G1100">
        <v>2112</v>
      </c>
      <c r="H1100">
        <v>2077</v>
      </c>
      <c r="I1100">
        <v>2112</v>
      </c>
      <c r="J1100">
        <v>102500</v>
      </c>
    </row>
    <row r="1101" spans="4:10">
      <c r="D1101" t="s">
        <v>609</v>
      </c>
      <c r="E1101" t="s">
        <v>578</v>
      </c>
      <c r="F1101">
        <v>2113</v>
      </c>
      <c r="G1101">
        <v>2143</v>
      </c>
      <c r="H1101">
        <v>2102</v>
      </c>
      <c r="I1101">
        <v>2114</v>
      </c>
      <c r="J1101">
        <v>174800</v>
      </c>
    </row>
    <row r="1102" spans="4:10">
      <c r="D1102" t="s">
        <v>609</v>
      </c>
      <c r="E1102" t="s">
        <v>579</v>
      </c>
      <c r="F1102">
        <v>2114</v>
      </c>
      <c r="G1102">
        <v>2124</v>
      </c>
      <c r="H1102">
        <v>2103</v>
      </c>
      <c r="I1102">
        <v>2115</v>
      </c>
      <c r="J1102">
        <v>47200</v>
      </c>
    </row>
    <row r="1103" spans="4:10">
      <c r="D1103" t="s">
        <v>609</v>
      </c>
      <c r="E1103" t="s">
        <v>580</v>
      </c>
      <c r="F1103">
        <v>2115</v>
      </c>
      <c r="G1103">
        <v>2127</v>
      </c>
      <c r="H1103">
        <v>2101</v>
      </c>
      <c r="I1103">
        <v>2124</v>
      </c>
      <c r="J1103">
        <v>69100</v>
      </c>
    </row>
    <row r="1104" spans="4:10">
      <c r="D1104" t="s">
        <v>609</v>
      </c>
      <c r="E1104" t="s">
        <v>581</v>
      </c>
      <c r="F1104">
        <v>2127</v>
      </c>
      <c r="G1104">
        <v>2184</v>
      </c>
      <c r="H1104">
        <v>2121</v>
      </c>
      <c r="I1104">
        <v>2181</v>
      </c>
      <c r="J1104">
        <v>202600</v>
      </c>
    </row>
    <row r="1105" spans="4:10">
      <c r="D1105" t="s">
        <v>609</v>
      </c>
      <c r="E1105" t="s">
        <v>582</v>
      </c>
      <c r="F1105">
        <v>2180</v>
      </c>
      <c r="G1105">
        <v>2182</v>
      </c>
      <c r="H1105">
        <v>2142</v>
      </c>
      <c r="I1105">
        <v>2142</v>
      </c>
      <c r="J1105">
        <v>96900</v>
      </c>
    </row>
    <row r="1106" spans="4:10">
      <c r="D1106" t="s">
        <v>609</v>
      </c>
      <c r="E1106" t="s">
        <v>583</v>
      </c>
      <c r="F1106">
        <v>2142</v>
      </c>
      <c r="G1106">
        <v>2148</v>
      </c>
      <c r="H1106">
        <v>2126</v>
      </c>
      <c r="I1106">
        <v>2139</v>
      </c>
      <c r="J1106">
        <v>70700</v>
      </c>
    </row>
    <row r="1107" spans="4:10">
      <c r="D1107" t="s">
        <v>609</v>
      </c>
      <c r="E1107" t="s">
        <v>584</v>
      </c>
      <c r="F1107">
        <v>2139</v>
      </c>
      <c r="G1107">
        <v>2155</v>
      </c>
      <c r="H1107">
        <v>2139</v>
      </c>
      <c r="I1107">
        <v>2150</v>
      </c>
      <c r="J1107">
        <v>78600</v>
      </c>
    </row>
    <row r="1108" spans="4:10">
      <c r="D1108" t="s">
        <v>609</v>
      </c>
      <c r="E1108" t="s">
        <v>585</v>
      </c>
      <c r="F1108">
        <v>2150</v>
      </c>
      <c r="G1108">
        <v>2157</v>
      </c>
      <c r="H1108">
        <v>2139</v>
      </c>
      <c r="I1108">
        <v>2143</v>
      </c>
      <c r="J1108">
        <v>45700</v>
      </c>
    </row>
    <row r="1109" spans="4:10">
      <c r="D1109" t="s">
        <v>609</v>
      </c>
      <c r="E1109" t="s">
        <v>586</v>
      </c>
      <c r="F1109">
        <v>2141</v>
      </c>
      <c r="G1109">
        <v>2142</v>
      </c>
      <c r="H1109">
        <v>2133</v>
      </c>
      <c r="I1109">
        <v>2141</v>
      </c>
      <c r="J1109">
        <v>44100</v>
      </c>
    </row>
    <row r="1110" spans="4:10">
      <c r="D1110" t="s">
        <v>609</v>
      </c>
      <c r="E1110" t="s">
        <v>587</v>
      </c>
      <c r="F1110">
        <v>2142</v>
      </c>
      <c r="G1110">
        <v>2149</v>
      </c>
      <c r="H1110">
        <v>2139</v>
      </c>
      <c r="I1110">
        <v>2143</v>
      </c>
      <c r="J1110">
        <v>29600</v>
      </c>
    </row>
    <row r="1111" spans="4:10">
      <c r="D1111" t="s">
        <v>609</v>
      </c>
      <c r="E1111" t="s">
        <v>588</v>
      </c>
      <c r="F1111">
        <v>2143</v>
      </c>
      <c r="G1111">
        <v>2143</v>
      </c>
      <c r="H1111">
        <v>2122</v>
      </c>
      <c r="I1111">
        <v>2130</v>
      </c>
      <c r="J1111">
        <v>76800</v>
      </c>
    </row>
    <row r="1112" spans="4:10">
      <c r="D1112" t="s">
        <v>609</v>
      </c>
      <c r="E1112" t="s">
        <v>589</v>
      </c>
      <c r="F1112">
        <v>2128</v>
      </c>
      <c r="G1112">
        <v>2136</v>
      </c>
      <c r="H1112">
        <v>2117</v>
      </c>
      <c r="I1112">
        <v>2126</v>
      </c>
      <c r="J1112">
        <v>51700</v>
      </c>
    </row>
    <row r="1113" spans="4:10">
      <c r="D1113" t="s">
        <v>609</v>
      </c>
      <c r="E1113" t="s">
        <v>590</v>
      </c>
      <c r="F1113">
        <v>2125</v>
      </c>
      <c r="G1113">
        <v>2127</v>
      </c>
      <c r="H1113">
        <v>2104</v>
      </c>
      <c r="I1113">
        <v>2118</v>
      </c>
      <c r="J1113">
        <v>50500</v>
      </c>
    </row>
    <row r="1114" spans="4:10">
      <c r="D1114" t="s">
        <v>609</v>
      </c>
      <c r="E1114" t="s">
        <v>591</v>
      </c>
      <c r="F1114">
        <v>2116</v>
      </c>
      <c r="G1114">
        <v>2116</v>
      </c>
      <c r="H1114">
        <v>2093</v>
      </c>
      <c r="I1114">
        <v>2096</v>
      </c>
      <c r="J1114">
        <v>69400</v>
      </c>
    </row>
    <row r="1115" spans="4:10">
      <c r="D1115" t="s">
        <v>609</v>
      </c>
      <c r="E1115" t="s">
        <v>592</v>
      </c>
      <c r="F1115">
        <v>2094</v>
      </c>
      <c r="G1115">
        <v>2105</v>
      </c>
      <c r="H1115">
        <v>2077</v>
      </c>
      <c r="I1115">
        <v>2093</v>
      </c>
      <c r="J1115">
        <v>70200</v>
      </c>
    </row>
    <row r="1116" spans="4:10">
      <c r="D1116" t="s">
        <v>609</v>
      </c>
      <c r="E1116" t="s">
        <v>593</v>
      </c>
      <c r="F1116">
        <v>2093</v>
      </c>
      <c r="G1116">
        <v>2107</v>
      </c>
      <c r="H1116">
        <v>2087</v>
      </c>
      <c r="I1116">
        <v>2106</v>
      </c>
      <c r="J1116">
        <v>34500</v>
      </c>
    </row>
    <row r="1117" spans="4:10">
      <c r="D1117" t="s">
        <v>609</v>
      </c>
      <c r="E1117" t="s">
        <v>594</v>
      </c>
      <c r="F1117">
        <v>2105</v>
      </c>
      <c r="G1117">
        <v>2125</v>
      </c>
      <c r="H1117">
        <v>2104</v>
      </c>
      <c r="I1117">
        <v>2111</v>
      </c>
      <c r="J1117">
        <v>60800</v>
      </c>
    </row>
    <row r="1118" spans="4:10">
      <c r="D1118" t="s">
        <v>609</v>
      </c>
      <c r="E1118" t="s">
        <v>595</v>
      </c>
      <c r="F1118">
        <v>2112</v>
      </c>
      <c r="G1118">
        <v>2125</v>
      </c>
      <c r="H1118">
        <v>2110</v>
      </c>
      <c r="I1118">
        <v>2121</v>
      </c>
      <c r="J1118">
        <v>36100</v>
      </c>
    </row>
    <row r="1119" spans="4:10">
      <c r="D1119" t="s">
        <v>609</v>
      </c>
      <c r="E1119" t="s">
        <v>596</v>
      </c>
      <c r="F1119">
        <v>2121</v>
      </c>
      <c r="G1119">
        <v>2145</v>
      </c>
      <c r="H1119">
        <v>2120</v>
      </c>
      <c r="I1119">
        <v>2131</v>
      </c>
      <c r="J1119">
        <v>84600</v>
      </c>
    </row>
    <row r="1120" spans="4:10">
      <c r="D1120" t="s">
        <v>609</v>
      </c>
      <c r="E1120" t="s">
        <v>597</v>
      </c>
      <c r="F1120">
        <v>2133</v>
      </c>
      <c r="G1120">
        <v>2133</v>
      </c>
      <c r="H1120">
        <v>2115</v>
      </c>
      <c r="I1120">
        <v>2125</v>
      </c>
      <c r="J1120">
        <v>33000</v>
      </c>
    </row>
    <row r="1121" spans="4:10">
      <c r="D1121" t="s">
        <v>609</v>
      </c>
      <c r="E1121" t="s">
        <v>598</v>
      </c>
      <c r="F1121">
        <v>2126</v>
      </c>
      <c r="G1121">
        <v>2130</v>
      </c>
      <c r="H1121">
        <v>2105</v>
      </c>
      <c r="I1121">
        <v>2109</v>
      </c>
      <c r="J1121">
        <v>37900</v>
      </c>
    </row>
    <row r="1122" spans="4:10">
      <c r="D1122" t="s">
        <v>609</v>
      </c>
      <c r="E1122" t="s">
        <v>599</v>
      </c>
      <c r="F1122">
        <v>2108</v>
      </c>
      <c r="G1122">
        <v>2131</v>
      </c>
      <c r="H1122">
        <v>2108</v>
      </c>
      <c r="I1122">
        <v>2128</v>
      </c>
      <c r="J1122">
        <v>38500</v>
      </c>
    </row>
    <row r="1123" spans="4:10">
      <c r="D1123" t="s">
        <v>609</v>
      </c>
      <c r="E1123" t="s">
        <v>600</v>
      </c>
      <c r="F1123">
        <v>2126</v>
      </c>
      <c r="G1123">
        <v>2129</v>
      </c>
      <c r="H1123">
        <v>2118</v>
      </c>
      <c r="I1123">
        <v>2126</v>
      </c>
      <c r="J1123">
        <v>20100</v>
      </c>
    </row>
    <row r="1124" spans="4:10">
      <c r="D1124" t="s">
        <v>609</v>
      </c>
      <c r="E1124" t="s">
        <v>601</v>
      </c>
      <c r="F1124">
        <v>2127</v>
      </c>
      <c r="G1124">
        <v>2127</v>
      </c>
      <c r="H1124">
        <v>2113</v>
      </c>
      <c r="I1124">
        <v>2118</v>
      </c>
      <c r="J1124">
        <v>19000</v>
      </c>
    </row>
    <row r="1125" spans="4:10">
      <c r="D1125" t="s">
        <v>609</v>
      </c>
      <c r="E1125" t="s">
        <v>602</v>
      </c>
      <c r="F1125">
        <v>2116</v>
      </c>
      <c r="G1125">
        <v>2118</v>
      </c>
      <c r="H1125">
        <v>2100</v>
      </c>
      <c r="I1125">
        <v>2110</v>
      </c>
      <c r="J1125">
        <v>26600</v>
      </c>
    </row>
    <row r="1126" spans="4:10">
      <c r="D1126" t="s">
        <v>609</v>
      </c>
      <c r="E1126" t="s">
        <v>603</v>
      </c>
      <c r="F1126">
        <v>2110</v>
      </c>
      <c r="G1126">
        <v>2118</v>
      </c>
      <c r="H1126">
        <v>2109</v>
      </c>
      <c r="I1126">
        <v>2113</v>
      </c>
      <c r="J1126">
        <v>19300</v>
      </c>
    </row>
    <row r="1127" spans="4:10">
      <c r="D1127" t="s">
        <v>609</v>
      </c>
      <c r="E1127" t="s">
        <v>604</v>
      </c>
      <c r="F1127">
        <v>2111</v>
      </c>
      <c r="G1127">
        <v>2111</v>
      </c>
      <c r="H1127">
        <v>2111</v>
      </c>
      <c r="I1127">
        <v>2111</v>
      </c>
      <c r="J1127">
        <v>700</v>
      </c>
    </row>
    <row r="1128" spans="4:10">
      <c r="D1128" t="s">
        <v>609</v>
      </c>
      <c r="E1128" t="s">
        <v>605</v>
      </c>
      <c r="F1128">
        <v>2111</v>
      </c>
      <c r="G1128">
        <v>2111</v>
      </c>
      <c r="H1128">
        <v>2085</v>
      </c>
      <c r="I1128">
        <v>2085</v>
      </c>
      <c r="J1128">
        <v>57400</v>
      </c>
    </row>
    <row r="1129" spans="4:10">
      <c r="D1129" t="s">
        <v>609</v>
      </c>
      <c r="E1129" t="s">
        <v>606</v>
      </c>
      <c r="F1129">
        <v>2085</v>
      </c>
      <c r="G1129">
        <v>2097</v>
      </c>
      <c r="H1129">
        <v>2079</v>
      </c>
      <c r="I1129">
        <v>2096</v>
      </c>
      <c r="J1129">
        <v>26900</v>
      </c>
    </row>
    <row r="1130" spans="4:10">
      <c r="D1130" t="s">
        <v>609</v>
      </c>
      <c r="E1130" t="s">
        <v>538</v>
      </c>
      <c r="F1130">
        <v>2096</v>
      </c>
      <c r="G1130">
        <v>2103</v>
      </c>
      <c r="H1130">
        <v>2090</v>
      </c>
      <c r="I1130">
        <v>2096</v>
      </c>
      <c r="J1130">
        <v>21200</v>
      </c>
    </row>
    <row r="1131" spans="4:10">
      <c r="D1131" t="s">
        <v>609</v>
      </c>
      <c r="E1131" t="s">
        <v>539</v>
      </c>
      <c r="F1131">
        <v>2095</v>
      </c>
      <c r="G1131">
        <v>2097</v>
      </c>
      <c r="H1131">
        <v>2088</v>
      </c>
      <c r="I1131">
        <v>2090</v>
      </c>
      <c r="J1131">
        <v>18300</v>
      </c>
    </row>
    <row r="1132" spans="4:10">
      <c r="D1132" t="s">
        <v>609</v>
      </c>
      <c r="E1132" t="s">
        <v>540</v>
      </c>
      <c r="F1132">
        <v>2089</v>
      </c>
      <c r="G1132">
        <v>2090</v>
      </c>
      <c r="H1132">
        <v>2087</v>
      </c>
      <c r="I1132">
        <v>2090</v>
      </c>
      <c r="J1132">
        <v>13400</v>
      </c>
    </row>
    <row r="1133" spans="4:10">
      <c r="D1133" t="s">
        <v>609</v>
      </c>
      <c r="E1133" t="s">
        <v>541</v>
      </c>
      <c r="F1133">
        <v>2089</v>
      </c>
      <c r="G1133">
        <v>2099</v>
      </c>
      <c r="H1133">
        <v>2082</v>
      </c>
      <c r="I1133">
        <v>2099</v>
      </c>
      <c r="J1133">
        <v>25000</v>
      </c>
    </row>
    <row r="1134" spans="4:10">
      <c r="D1134" t="s">
        <v>609</v>
      </c>
      <c r="E1134" t="s">
        <v>542</v>
      </c>
      <c r="F1134">
        <v>2097</v>
      </c>
      <c r="G1134">
        <v>2109</v>
      </c>
      <c r="H1134">
        <v>2095</v>
      </c>
      <c r="I1134">
        <v>2109</v>
      </c>
      <c r="J1134">
        <v>29800</v>
      </c>
    </row>
    <row r="1135" spans="4:10">
      <c r="D1135" t="s">
        <v>609</v>
      </c>
      <c r="E1135" t="s">
        <v>543</v>
      </c>
      <c r="F1135">
        <v>2109</v>
      </c>
      <c r="G1135">
        <v>2125</v>
      </c>
      <c r="H1135">
        <v>2107</v>
      </c>
      <c r="I1135">
        <v>2124</v>
      </c>
      <c r="J1135">
        <v>46300</v>
      </c>
    </row>
    <row r="1136" spans="4:10">
      <c r="D1136" t="s">
        <v>609</v>
      </c>
      <c r="E1136" t="s">
        <v>544</v>
      </c>
      <c r="F1136">
        <v>2124</v>
      </c>
      <c r="G1136">
        <v>2127</v>
      </c>
      <c r="H1136">
        <v>2116</v>
      </c>
      <c r="I1136">
        <v>2118</v>
      </c>
      <c r="J1136">
        <v>34300</v>
      </c>
    </row>
    <row r="1137" spans="4:10">
      <c r="D1137" t="s">
        <v>609</v>
      </c>
      <c r="E1137" t="s">
        <v>545</v>
      </c>
      <c r="F1137">
        <v>2117</v>
      </c>
      <c r="G1137">
        <v>2129</v>
      </c>
      <c r="H1137">
        <v>2113</v>
      </c>
      <c r="I1137">
        <v>2128</v>
      </c>
      <c r="J1137">
        <v>25100</v>
      </c>
    </row>
    <row r="1138" spans="4:10">
      <c r="D1138" t="s">
        <v>609</v>
      </c>
      <c r="E1138" t="s">
        <v>546</v>
      </c>
      <c r="F1138">
        <v>2128</v>
      </c>
      <c r="G1138">
        <v>2129</v>
      </c>
      <c r="H1138">
        <v>2111</v>
      </c>
      <c r="I1138">
        <v>2111</v>
      </c>
      <c r="J1138">
        <v>25600</v>
      </c>
    </row>
    <row r="1139" spans="4:10">
      <c r="D1139" t="s">
        <v>609</v>
      </c>
      <c r="E1139" t="s">
        <v>547</v>
      </c>
      <c r="F1139">
        <v>2113</v>
      </c>
      <c r="G1139">
        <v>2117</v>
      </c>
      <c r="H1139">
        <v>2105</v>
      </c>
      <c r="I1139">
        <v>2111</v>
      </c>
      <c r="J1139">
        <v>32400</v>
      </c>
    </row>
    <row r="1140" spans="4:10">
      <c r="D1140" t="s">
        <v>609</v>
      </c>
      <c r="E1140" t="s">
        <v>548</v>
      </c>
      <c r="F1140">
        <v>2111</v>
      </c>
      <c r="G1140">
        <v>2111</v>
      </c>
      <c r="H1140">
        <v>2105</v>
      </c>
      <c r="I1140">
        <v>2107</v>
      </c>
      <c r="J1140">
        <v>8000</v>
      </c>
    </row>
    <row r="1141" spans="4:10">
      <c r="D1141" t="s">
        <v>609</v>
      </c>
      <c r="E1141" t="s">
        <v>549</v>
      </c>
      <c r="F1141">
        <v>2107</v>
      </c>
      <c r="G1141">
        <v>2110</v>
      </c>
      <c r="H1141">
        <v>2105</v>
      </c>
      <c r="I1141">
        <v>2106</v>
      </c>
      <c r="J1141">
        <v>8400</v>
      </c>
    </row>
    <row r="1142" spans="4:10">
      <c r="D1142" t="s">
        <v>609</v>
      </c>
      <c r="E1142" t="s">
        <v>550</v>
      </c>
      <c r="F1142">
        <v>2106</v>
      </c>
      <c r="G1142">
        <v>2110</v>
      </c>
      <c r="H1142">
        <v>2097</v>
      </c>
      <c r="I1142">
        <v>2109</v>
      </c>
      <c r="J1142">
        <v>17500</v>
      </c>
    </row>
    <row r="1143" spans="4:10">
      <c r="D1143" t="s">
        <v>609</v>
      </c>
      <c r="E1143" t="s">
        <v>551</v>
      </c>
      <c r="F1143">
        <v>2111</v>
      </c>
      <c r="G1143">
        <v>2114</v>
      </c>
      <c r="H1143">
        <v>2100</v>
      </c>
      <c r="I1143">
        <v>2105</v>
      </c>
      <c r="J1143">
        <v>15200</v>
      </c>
    </row>
    <row r="1144" spans="4:10">
      <c r="D1144" t="s">
        <v>609</v>
      </c>
      <c r="E1144" t="s">
        <v>552</v>
      </c>
      <c r="F1144">
        <v>2105</v>
      </c>
      <c r="G1144">
        <v>2106</v>
      </c>
      <c r="H1144">
        <v>2100</v>
      </c>
      <c r="I1144">
        <v>2103</v>
      </c>
      <c r="J1144">
        <v>8300</v>
      </c>
    </row>
    <row r="1145" spans="4:10">
      <c r="D1145" t="s">
        <v>609</v>
      </c>
      <c r="E1145" t="s">
        <v>553</v>
      </c>
      <c r="F1145">
        <v>2103</v>
      </c>
      <c r="G1145">
        <v>2103</v>
      </c>
      <c r="H1145">
        <v>2100</v>
      </c>
      <c r="I1145">
        <v>2102</v>
      </c>
      <c r="J1145">
        <v>6000</v>
      </c>
    </row>
    <row r="1146" spans="4:10">
      <c r="D1146" t="s">
        <v>609</v>
      </c>
      <c r="E1146" t="s">
        <v>554</v>
      </c>
      <c r="F1146">
        <v>2100</v>
      </c>
      <c r="G1146">
        <v>2117</v>
      </c>
      <c r="H1146">
        <v>2100</v>
      </c>
      <c r="I1146">
        <v>2110</v>
      </c>
      <c r="J1146">
        <v>17600</v>
      </c>
    </row>
    <row r="1147" spans="4:10">
      <c r="D1147" t="s">
        <v>609</v>
      </c>
      <c r="E1147" t="s">
        <v>555</v>
      </c>
      <c r="F1147">
        <v>2111</v>
      </c>
      <c r="G1147">
        <v>2111</v>
      </c>
      <c r="H1147">
        <v>2099</v>
      </c>
      <c r="I1147">
        <v>2100</v>
      </c>
      <c r="J1147">
        <v>15300</v>
      </c>
    </row>
    <row r="1148" spans="4:10">
      <c r="D1148" t="s">
        <v>609</v>
      </c>
      <c r="E1148" t="s">
        <v>556</v>
      </c>
      <c r="F1148">
        <v>2099</v>
      </c>
      <c r="G1148">
        <v>2100</v>
      </c>
      <c r="H1148">
        <v>2091</v>
      </c>
      <c r="I1148">
        <v>2093</v>
      </c>
      <c r="J1148">
        <v>14900</v>
      </c>
    </row>
    <row r="1149" spans="4:10">
      <c r="D1149" t="s">
        <v>609</v>
      </c>
      <c r="E1149" t="s">
        <v>557</v>
      </c>
      <c r="F1149">
        <v>2091</v>
      </c>
      <c r="G1149">
        <v>2096</v>
      </c>
      <c r="H1149">
        <v>2090</v>
      </c>
      <c r="I1149">
        <v>2096</v>
      </c>
      <c r="J1149">
        <v>17300</v>
      </c>
    </row>
    <row r="1150" spans="4:10">
      <c r="D1150" t="s">
        <v>609</v>
      </c>
      <c r="E1150" t="s">
        <v>558</v>
      </c>
      <c r="F1150">
        <v>2096</v>
      </c>
      <c r="G1150">
        <v>2103</v>
      </c>
      <c r="H1150">
        <v>2093</v>
      </c>
      <c r="I1150">
        <v>2103</v>
      </c>
      <c r="J1150">
        <v>12400</v>
      </c>
    </row>
    <row r="1151" spans="4:10">
      <c r="D1151" t="s">
        <v>609</v>
      </c>
      <c r="E1151" t="s">
        <v>559</v>
      </c>
      <c r="F1151">
        <v>2102</v>
      </c>
      <c r="G1151">
        <v>2118</v>
      </c>
      <c r="H1151">
        <v>2102</v>
      </c>
      <c r="I1151">
        <v>2105</v>
      </c>
      <c r="J1151">
        <v>23700</v>
      </c>
    </row>
    <row r="1152" spans="4:10">
      <c r="D1152" t="s">
        <v>609</v>
      </c>
      <c r="E1152" t="s">
        <v>560</v>
      </c>
      <c r="F1152">
        <v>2106</v>
      </c>
      <c r="G1152">
        <v>2108</v>
      </c>
      <c r="H1152">
        <v>2096</v>
      </c>
      <c r="I1152">
        <v>2103</v>
      </c>
      <c r="J1152">
        <v>28300</v>
      </c>
    </row>
    <row r="1153" spans="4:10">
      <c r="D1153" t="s">
        <v>609</v>
      </c>
      <c r="E1153" t="s">
        <v>561</v>
      </c>
      <c r="F1153">
        <v>2103</v>
      </c>
      <c r="G1153">
        <v>2105</v>
      </c>
      <c r="H1153">
        <v>2099</v>
      </c>
      <c r="I1153">
        <v>2103</v>
      </c>
      <c r="J1153">
        <v>11500</v>
      </c>
    </row>
    <row r="1154" spans="4:10">
      <c r="D1154" t="s">
        <v>609</v>
      </c>
      <c r="E1154" t="s">
        <v>562</v>
      </c>
      <c r="F1154">
        <v>2104</v>
      </c>
      <c r="G1154">
        <v>2117</v>
      </c>
      <c r="H1154">
        <v>2103</v>
      </c>
      <c r="I1154">
        <v>2114</v>
      </c>
      <c r="J1154">
        <v>26500</v>
      </c>
    </row>
    <row r="1155" spans="4:10">
      <c r="D1155" t="s">
        <v>609</v>
      </c>
      <c r="E1155" t="s">
        <v>563</v>
      </c>
      <c r="F1155">
        <v>2113</v>
      </c>
      <c r="G1155">
        <v>2119</v>
      </c>
      <c r="H1155">
        <v>2107</v>
      </c>
      <c r="I1155">
        <v>2116</v>
      </c>
      <c r="J1155">
        <v>18300</v>
      </c>
    </row>
    <row r="1156" spans="4:10">
      <c r="D1156" t="s">
        <v>609</v>
      </c>
      <c r="E1156" t="s">
        <v>564</v>
      </c>
      <c r="F1156">
        <v>2117</v>
      </c>
      <c r="G1156">
        <v>2122</v>
      </c>
      <c r="H1156">
        <v>2113</v>
      </c>
      <c r="I1156">
        <v>2115</v>
      </c>
      <c r="J1156">
        <v>24000</v>
      </c>
    </row>
    <row r="1157" spans="4:10">
      <c r="D1157" t="s">
        <v>609</v>
      </c>
      <c r="E1157" t="s">
        <v>565</v>
      </c>
      <c r="F1157">
        <v>2116</v>
      </c>
      <c r="G1157">
        <v>2130</v>
      </c>
      <c r="H1157">
        <v>2116</v>
      </c>
      <c r="I1157">
        <v>2130</v>
      </c>
      <c r="J1157">
        <v>43000</v>
      </c>
    </row>
    <row r="1158" spans="4:10">
      <c r="D1158" t="s">
        <v>609</v>
      </c>
      <c r="E1158" t="s">
        <v>566</v>
      </c>
      <c r="F1158">
        <v>2130</v>
      </c>
      <c r="G1158">
        <v>2137</v>
      </c>
      <c r="H1158">
        <v>2126</v>
      </c>
      <c r="I1158">
        <v>2130</v>
      </c>
      <c r="J1158">
        <v>46900</v>
      </c>
    </row>
    <row r="1159" spans="4:10">
      <c r="D1159" t="s">
        <v>609</v>
      </c>
      <c r="E1159" t="s">
        <v>567</v>
      </c>
      <c r="F1159">
        <v>2130</v>
      </c>
      <c r="G1159">
        <v>2145</v>
      </c>
      <c r="H1159">
        <v>2130</v>
      </c>
      <c r="I1159">
        <v>2144</v>
      </c>
      <c r="J1159">
        <v>35000</v>
      </c>
    </row>
    <row r="1160" spans="4:10">
      <c r="D1160" t="s">
        <v>609</v>
      </c>
      <c r="E1160" t="s">
        <v>568</v>
      </c>
      <c r="F1160">
        <v>2145</v>
      </c>
      <c r="G1160">
        <v>2158</v>
      </c>
      <c r="H1160">
        <v>2138</v>
      </c>
      <c r="I1160">
        <v>2154</v>
      </c>
      <c r="J1160">
        <v>78500</v>
      </c>
    </row>
    <row r="1161" spans="4:10">
      <c r="D1161" t="s">
        <v>609</v>
      </c>
      <c r="E1161" t="s">
        <v>569</v>
      </c>
      <c r="F1161">
        <v>2155</v>
      </c>
      <c r="G1161">
        <v>2162</v>
      </c>
      <c r="H1161">
        <v>2150</v>
      </c>
      <c r="I1161">
        <v>2158</v>
      </c>
      <c r="J1161">
        <v>51200</v>
      </c>
    </row>
    <row r="1162" spans="4:10">
      <c r="D1162" t="s">
        <v>609</v>
      </c>
      <c r="E1162" t="s">
        <v>570</v>
      </c>
      <c r="F1162">
        <v>2157</v>
      </c>
      <c r="G1162">
        <v>2165</v>
      </c>
      <c r="H1162">
        <v>2153</v>
      </c>
      <c r="I1162">
        <v>2164</v>
      </c>
      <c r="J1162">
        <v>83800</v>
      </c>
    </row>
    <row r="1163" spans="4:10">
      <c r="D1163" t="s">
        <v>609</v>
      </c>
      <c r="E1163" t="s">
        <v>571</v>
      </c>
      <c r="F1163" t="s">
        <v>35</v>
      </c>
      <c r="G1163" t="s">
        <v>35</v>
      </c>
      <c r="H1163" t="s">
        <v>35</v>
      </c>
      <c r="I1163" t="s">
        <v>35</v>
      </c>
      <c r="J1163">
        <v>0</v>
      </c>
    </row>
    <row r="1164" spans="4:10">
      <c r="D1164" t="s">
        <v>609</v>
      </c>
      <c r="E1164" t="s">
        <v>572</v>
      </c>
      <c r="F1164">
        <v>2165</v>
      </c>
      <c r="G1164">
        <v>2165</v>
      </c>
      <c r="H1164">
        <v>2165</v>
      </c>
      <c r="I1164">
        <v>2165</v>
      </c>
      <c r="J1164">
        <v>75000</v>
      </c>
    </row>
    <row r="1165" spans="4:10">
      <c r="D1165" t="s">
        <v>610</v>
      </c>
      <c r="E1165" t="s">
        <v>574</v>
      </c>
      <c r="F1165">
        <v>2101</v>
      </c>
      <c r="G1165">
        <v>2157</v>
      </c>
      <c r="H1165">
        <v>2101</v>
      </c>
      <c r="I1165">
        <v>2110</v>
      </c>
      <c r="J1165">
        <v>191000</v>
      </c>
    </row>
    <row r="1166" spans="4:10">
      <c r="D1166" t="s">
        <v>610</v>
      </c>
      <c r="E1166" t="s">
        <v>575</v>
      </c>
      <c r="F1166">
        <v>2111</v>
      </c>
      <c r="G1166">
        <v>2139</v>
      </c>
      <c r="H1166">
        <v>2109</v>
      </c>
      <c r="I1166">
        <v>2129</v>
      </c>
      <c r="J1166">
        <v>119100</v>
      </c>
    </row>
    <row r="1167" spans="4:10">
      <c r="D1167" t="s">
        <v>610</v>
      </c>
      <c r="E1167" t="s">
        <v>576</v>
      </c>
      <c r="F1167">
        <v>2129</v>
      </c>
      <c r="G1167">
        <v>2144</v>
      </c>
      <c r="H1167">
        <v>2127</v>
      </c>
      <c r="I1167">
        <v>2141</v>
      </c>
      <c r="J1167">
        <v>70500</v>
      </c>
    </row>
    <row r="1168" spans="4:10">
      <c r="D1168" t="s">
        <v>610</v>
      </c>
      <c r="E1168" t="s">
        <v>577</v>
      </c>
      <c r="F1168">
        <v>2141</v>
      </c>
      <c r="G1168">
        <v>2153</v>
      </c>
      <c r="H1168">
        <v>2133</v>
      </c>
      <c r="I1168">
        <v>2138</v>
      </c>
      <c r="J1168">
        <v>79400</v>
      </c>
    </row>
    <row r="1169" spans="4:10">
      <c r="D1169" t="s">
        <v>610</v>
      </c>
      <c r="E1169" t="s">
        <v>578</v>
      </c>
      <c r="F1169">
        <v>2139</v>
      </c>
      <c r="G1169">
        <v>2144</v>
      </c>
      <c r="H1169">
        <v>2127</v>
      </c>
      <c r="I1169">
        <v>2127</v>
      </c>
      <c r="J1169">
        <v>64400</v>
      </c>
    </row>
    <row r="1170" spans="4:10">
      <c r="D1170" t="s">
        <v>610</v>
      </c>
      <c r="E1170" t="s">
        <v>579</v>
      </c>
      <c r="F1170">
        <v>2126</v>
      </c>
      <c r="G1170">
        <v>2135</v>
      </c>
      <c r="H1170">
        <v>2111</v>
      </c>
      <c r="I1170">
        <v>2114</v>
      </c>
      <c r="J1170">
        <v>65000</v>
      </c>
    </row>
    <row r="1171" spans="4:10">
      <c r="D1171" t="s">
        <v>610</v>
      </c>
      <c r="E1171" t="s">
        <v>580</v>
      </c>
      <c r="F1171">
        <v>2112</v>
      </c>
      <c r="G1171">
        <v>2127</v>
      </c>
      <c r="H1171">
        <v>2101</v>
      </c>
      <c r="I1171">
        <v>2123</v>
      </c>
      <c r="J1171">
        <v>60900</v>
      </c>
    </row>
    <row r="1172" spans="4:10">
      <c r="D1172" t="s">
        <v>610</v>
      </c>
      <c r="E1172" t="s">
        <v>581</v>
      </c>
      <c r="F1172">
        <v>2122</v>
      </c>
      <c r="G1172">
        <v>2122</v>
      </c>
      <c r="H1172">
        <v>2111</v>
      </c>
      <c r="I1172">
        <v>2116</v>
      </c>
      <c r="J1172">
        <v>26400</v>
      </c>
    </row>
    <row r="1173" spans="4:10">
      <c r="D1173" t="s">
        <v>610</v>
      </c>
      <c r="E1173" t="s">
        <v>582</v>
      </c>
      <c r="F1173">
        <v>2116</v>
      </c>
      <c r="G1173">
        <v>2123</v>
      </c>
      <c r="H1173">
        <v>2112</v>
      </c>
      <c r="I1173">
        <v>2120</v>
      </c>
      <c r="J1173">
        <v>26900</v>
      </c>
    </row>
    <row r="1174" spans="4:10">
      <c r="D1174" t="s">
        <v>610</v>
      </c>
      <c r="E1174" t="s">
        <v>583</v>
      </c>
      <c r="F1174">
        <v>2120</v>
      </c>
      <c r="G1174">
        <v>2129</v>
      </c>
      <c r="H1174">
        <v>2116</v>
      </c>
      <c r="I1174">
        <v>2126</v>
      </c>
      <c r="J1174">
        <v>22100</v>
      </c>
    </row>
    <row r="1175" spans="4:10">
      <c r="D1175" t="s">
        <v>610</v>
      </c>
      <c r="E1175" t="s">
        <v>584</v>
      </c>
      <c r="F1175">
        <v>2125</v>
      </c>
      <c r="G1175">
        <v>2125</v>
      </c>
      <c r="H1175">
        <v>2101</v>
      </c>
      <c r="I1175">
        <v>2103</v>
      </c>
      <c r="J1175">
        <v>49000</v>
      </c>
    </row>
    <row r="1176" spans="4:10">
      <c r="D1176" t="s">
        <v>610</v>
      </c>
      <c r="E1176" t="s">
        <v>585</v>
      </c>
      <c r="F1176">
        <v>2102</v>
      </c>
      <c r="G1176">
        <v>2109</v>
      </c>
      <c r="H1176">
        <v>2101</v>
      </c>
      <c r="I1176">
        <v>2104</v>
      </c>
      <c r="J1176">
        <v>16200</v>
      </c>
    </row>
    <row r="1177" spans="4:10">
      <c r="D1177" t="s">
        <v>610</v>
      </c>
      <c r="E1177" t="s">
        <v>586</v>
      </c>
      <c r="F1177">
        <v>2103</v>
      </c>
      <c r="G1177">
        <v>2106</v>
      </c>
      <c r="H1177">
        <v>2098</v>
      </c>
      <c r="I1177">
        <v>2098</v>
      </c>
      <c r="J1177">
        <v>44500</v>
      </c>
    </row>
    <row r="1178" spans="4:10">
      <c r="D1178" t="s">
        <v>610</v>
      </c>
      <c r="E1178" t="s">
        <v>587</v>
      </c>
      <c r="F1178">
        <v>2098</v>
      </c>
      <c r="G1178">
        <v>2110</v>
      </c>
      <c r="H1178">
        <v>2081</v>
      </c>
      <c r="I1178">
        <v>2108</v>
      </c>
      <c r="J1178">
        <v>63500</v>
      </c>
    </row>
    <row r="1179" spans="4:10">
      <c r="D1179" t="s">
        <v>610</v>
      </c>
      <c r="E1179" t="s">
        <v>588</v>
      </c>
      <c r="F1179">
        <v>2107</v>
      </c>
      <c r="G1179">
        <v>2115</v>
      </c>
      <c r="H1179">
        <v>2100</v>
      </c>
      <c r="I1179">
        <v>2109</v>
      </c>
      <c r="J1179">
        <v>37300</v>
      </c>
    </row>
    <row r="1180" spans="4:10">
      <c r="D1180" t="s">
        <v>610</v>
      </c>
      <c r="E1180" t="s">
        <v>589</v>
      </c>
      <c r="F1180">
        <v>2108</v>
      </c>
      <c r="G1180">
        <v>2113</v>
      </c>
      <c r="H1180">
        <v>2101</v>
      </c>
      <c r="I1180">
        <v>2105</v>
      </c>
      <c r="J1180">
        <v>23300</v>
      </c>
    </row>
    <row r="1181" spans="4:10">
      <c r="D1181" t="s">
        <v>610</v>
      </c>
      <c r="E1181" t="s">
        <v>590</v>
      </c>
      <c r="F1181">
        <v>2105</v>
      </c>
      <c r="G1181">
        <v>2108</v>
      </c>
      <c r="H1181">
        <v>2091</v>
      </c>
      <c r="I1181">
        <v>2102</v>
      </c>
      <c r="J1181">
        <v>24800</v>
      </c>
    </row>
    <row r="1182" spans="4:10">
      <c r="D1182" t="s">
        <v>610</v>
      </c>
      <c r="E1182" t="s">
        <v>591</v>
      </c>
      <c r="F1182">
        <v>2103</v>
      </c>
      <c r="G1182">
        <v>2106</v>
      </c>
      <c r="H1182">
        <v>2099</v>
      </c>
      <c r="I1182">
        <v>2103</v>
      </c>
      <c r="J1182">
        <v>23100</v>
      </c>
    </row>
    <row r="1183" spans="4:10">
      <c r="D1183" t="s">
        <v>610</v>
      </c>
      <c r="E1183" t="s">
        <v>592</v>
      </c>
      <c r="F1183">
        <v>2103</v>
      </c>
      <c r="G1183">
        <v>2107</v>
      </c>
      <c r="H1183">
        <v>2100</v>
      </c>
      <c r="I1183">
        <v>2102</v>
      </c>
      <c r="J1183">
        <v>12900</v>
      </c>
    </row>
    <row r="1184" spans="4:10">
      <c r="D1184" t="s">
        <v>610</v>
      </c>
      <c r="E1184" t="s">
        <v>593</v>
      </c>
      <c r="F1184">
        <v>2101</v>
      </c>
      <c r="G1184">
        <v>2105</v>
      </c>
      <c r="H1184">
        <v>2100</v>
      </c>
      <c r="I1184">
        <v>2105</v>
      </c>
      <c r="J1184">
        <v>10800</v>
      </c>
    </row>
    <row r="1185" spans="4:10">
      <c r="D1185" t="s">
        <v>610</v>
      </c>
      <c r="E1185" t="s">
        <v>594</v>
      </c>
      <c r="F1185">
        <v>2104</v>
      </c>
      <c r="G1185">
        <v>2117</v>
      </c>
      <c r="H1185">
        <v>2104</v>
      </c>
      <c r="I1185">
        <v>2115</v>
      </c>
      <c r="J1185">
        <v>24800</v>
      </c>
    </row>
    <row r="1186" spans="4:10">
      <c r="D1186" t="s">
        <v>610</v>
      </c>
      <c r="E1186" t="s">
        <v>595</v>
      </c>
      <c r="F1186">
        <v>2114</v>
      </c>
      <c r="G1186">
        <v>2124</v>
      </c>
      <c r="H1186">
        <v>2111</v>
      </c>
      <c r="I1186">
        <v>2124</v>
      </c>
      <c r="J1186">
        <v>25300</v>
      </c>
    </row>
    <row r="1187" spans="4:10">
      <c r="D1187" t="s">
        <v>610</v>
      </c>
      <c r="E1187" t="s">
        <v>596</v>
      </c>
      <c r="F1187">
        <v>2125</v>
      </c>
      <c r="G1187">
        <v>2128</v>
      </c>
      <c r="H1187">
        <v>2111</v>
      </c>
      <c r="I1187">
        <v>2118</v>
      </c>
      <c r="J1187">
        <v>32000</v>
      </c>
    </row>
    <row r="1188" spans="4:10">
      <c r="D1188" t="s">
        <v>610</v>
      </c>
      <c r="E1188" t="s">
        <v>597</v>
      </c>
      <c r="F1188">
        <v>2118</v>
      </c>
      <c r="G1188">
        <v>2118</v>
      </c>
      <c r="H1188">
        <v>2108</v>
      </c>
      <c r="I1188">
        <v>2111</v>
      </c>
      <c r="J1188">
        <v>11200</v>
      </c>
    </row>
    <row r="1189" spans="4:10">
      <c r="D1189" t="s">
        <v>610</v>
      </c>
      <c r="E1189" t="s">
        <v>598</v>
      </c>
      <c r="F1189">
        <v>2109</v>
      </c>
      <c r="G1189">
        <v>2117</v>
      </c>
      <c r="H1189">
        <v>2109</v>
      </c>
      <c r="I1189">
        <v>2112</v>
      </c>
      <c r="J1189">
        <v>7300</v>
      </c>
    </row>
    <row r="1190" spans="4:10">
      <c r="D1190" t="s">
        <v>610</v>
      </c>
      <c r="E1190" t="s">
        <v>599</v>
      </c>
      <c r="F1190">
        <v>2112</v>
      </c>
      <c r="G1190">
        <v>2123</v>
      </c>
      <c r="H1190">
        <v>2111</v>
      </c>
      <c r="I1190">
        <v>2123</v>
      </c>
      <c r="J1190">
        <v>18000</v>
      </c>
    </row>
    <row r="1191" spans="4:10">
      <c r="D1191" t="s">
        <v>610</v>
      </c>
      <c r="E1191" t="s">
        <v>600</v>
      </c>
      <c r="F1191">
        <v>2124</v>
      </c>
      <c r="G1191">
        <v>2124</v>
      </c>
      <c r="H1191">
        <v>2119</v>
      </c>
      <c r="I1191">
        <v>2122</v>
      </c>
      <c r="J1191">
        <v>9400</v>
      </c>
    </row>
    <row r="1192" spans="4:10">
      <c r="D1192" t="s">
        <v>610</v>
      </c>
      <c r="E1192" t="s">
        <v>601</v>
      </c>
      <c r="F1192">
        <v>2123</v>
      </c>
      <c r="G1192">
        <v>2128</v>
      </c>
      <c r="H1192">
        <v>2120</v>
      </c>
      <c r="I1192">
        <v>2120</v>
      </c>
      <c r="J1192">
        <v>21400</v>
      </c>
    </row>
    <row r="1193" spans="4:10">
      <c r="D1193" t="s">
        <v>610</v>
      </c>
      <c r="E1193" t="s">
        <v>602</v>
      </c>
      <c r="F1193">
        <v>2123</v>
      </c>
      <c r="G1193">
        <v>2126</v>
      </c>
      <c r="H1193">
        <v>2121</v>
      </c>
      <c r="I1193">
        <v>2123</v>
      </c>
      <c r="J1193">
        <v>16900</v>
      </c>
    </row>
    <row r="1194" spans="4:10">
      <c r="D1194" t="s">
        <v>610</v>
      </c>
      <c r="E1194" t="s">
        <v>603</v>
      </c>
      <c r="F1194">
        <v>2125</v>
      </c>
      <c r="G1194">
        <v>2136</v>
      </c>
      <c r="H1194">
        <v>2124</v>
      </c>
      <c r="I1194">
        <v>2134</v>
      </c>
      <c r="J1194">
        <v>31200</v>
      </c>
    </row>
    <row r="1195" spans="4:10">
      <c r="D1195" t="s">
        <v>610</v>
      </c>
      <c r="E1195" t="s">
        <v>604</v>
      </c>
      <c r="F1195">
        <v>2131</v>
      </c>
      <c r="G1195">
        <v>2131</v>
      </c>
      <c r="H1195">
        <v>2131</v>
      </c>
      <c r="I1195">
        <v>2131</v>
      </c>
      <c r="J1195">
        <v>1400</v>
      </c>
    </row>
    <row r="1196" spans="4:10">
      <c r="D1196" t="s">
        <v>610</v>
      </c>
      <c r="E1196" t="s">
        <v>605</v>
      </c>
      <c r="F1196">
        <v>2135</v>
      </c>
      <c r="G1196">
        <v>2158</v>
      </c>
      <c r="H1196">
        <v>2129</v>
      </c>
      <c r="I1196">
        <v>2158</v>
      </c>
      <c r="J1196">
        <v>82500</v>
      </c>
    </row>
    <row r="1197" spans="4:10">
      <c r="D1197" t="s">
        <v>610</v>
      </c>
      <c r="E1197" t="s">
        <v>606</v>
      </c>
      <c r="F1197">
        <v>2155</v>
      </c>
      <c r="G1197">
        <v>2155</v>
      </c>
      <c r="H1197">
        <v>2132</v>
      </c>
      <c r="I1197">
        <v>2136</v>
      </c>
      <c r="J1197">
        <v>32000</v>
      </c>
    </row>
    <row r="1198" spans="4:10">
      <c r="D1198" t="s">
        <v>610</v>
      </c>
      <c r="E1198" t="s">
        <v>538</v>
      </c>
      <c r="F1198">
        <v>2136</v>
      </c>
      <c r="G1198">
        <v>2136</v>
      </c>
      <c r="H1198">
        <v>2113</v>
      </c>
      <c r="I1198">
        <v>2120</v>
      </c>
      <c r="J1198">
        <v>36300</v>
      </c>
    </row>
    <row r="1199" spans="4:10">
      <c r="D1199" t="s">
        <v>610</v>
      </c>
      <c r="E1199" t="s">
        <v>539</v>
      </c>
      <c r="F1199">
        <v>2120</v>
      </c>
      <c r="G1199">
        <v>2120</v>
      </c>
      <c r="H1199">
        <v>2114</v>
      </c>
      <c r="I1199">
        <v>2115</v>
      </c>
      <c r="J1199">
        <v>22300</v>
      </c>
    </row>
    <row r="1200" spans="4:10">
      <c r="D1200" t="s">
        <v>610</v>
      </c>
      <c r="E1200" t="s">
        <v>540</v>
      </c>
      <c r="F1200">
        <v>2115</v>
      </c>
      <c r="G1200">
        <v>2115</v>
      </c>
      <c r="H1200">
        <v>2102</v>
      </c>
      <c r="I1200">
        <v>2107</v>
      </c>
      <c r="J1200">
        <v>41200</v>
      </c>
    </row>
    <row r="1201" spans="1:10">
      <c r="D1201" t="s">
        <v>610</v>
      </c>
      <c r="E1201" t="s">
        <v>541</v>
      </c>
      <c r="F1201">
        <v>2106</v>
      </c>
      <c r="G1201">
        <v>2117</v>
      </c>
      <c r="H1201">
        <v>2102</v>
      </c>
      <c r="I1201">
        <v>2114</v>
      </c>
      <c r="J1201">
        <v>20000</v>
      </c>
    </row>
    <row r="1202" spans="1:10">
      <c r="D1202" t="s">
        <v>610</v>
      </c>
      <c r="E1202" t="s">
        <v>542</v>
      </c>
      <c r="F1202">
        <v>2114</v>
      </c>
      <c r="G1202">
        <v>2124</v>
      </c>
      <c r="H1202">
        <v>2114</v>
      </c>
      <c r="I1202">
        <v>2124</v>
      </c>
      <c r="J1202">
        <v>27600</v>
      </c>
    </row>
    <row r="1203" spans="1:10">
      <c r="A1203" s="1"/>
      <c r="B1203" s="1"/>
      <c r="C1203" s="1"/>
      <c r="D1203" s="1" t="s">
        <v>610</v>
      </c>
      <c r="E1203" s="1" t="s">
        <v>543</v>
      </c>
      <c r="F1203" s="1">
        <v>2123</v>
      </c>
      <c r="G1203" s="1">
        <v>2123</v>
      </c>
      <c r="H1203" s="1">
        <v>2116</v>
      </c>
      <c r="I1203" s="1">
        <v>2117</v>
      </c>
      <c r="J1203" s="1">
        <v>11400</v>
      </c>
    </row>
    <row r="1204" spans="1:10">
      <c r="D1204" t="s">
        <v>610</v>
      </c>
      <c r="E1204" t="s">
        <v>544</v>
      </c>
      <c r="F1204">
        <v>2116</v>
      </c>
      <c r="G1204">
        <v>2118</v>
      </c>
      <c r="H1204">
        <v>2116</v>
      </c>
      <c r="I1204">
        <v>2118</v>
      </c>
      <c r="J1204">
        <v>6300</v>
      </c>
    </row>
    <row r="1205" spans="1:10">
      <c r="D1205" t="s">
        <v>610</v>
      </c>
      <c r="E1205" t="s">
        <v>545</v>
      </c>
      <c r="F1205">
        <v>2118</v>
      </c>
      <c r="G1205">
        <v>2122</v>
      </c>
      <c r="H1205">
        <v>2111</v>
      </c>
      <c r="I1205">
        <v>2113</v>
      </c>
      <c r="J1205">
        <v>15100</v>
      </c>
    </row>
    <row r="1206" spans="1:10">
      <c r="D1206" t="s">
        <v>610</v>
      </c>
      <c r="E1206" t="s">
        <v>546</v>
      </c>
      <c r="F1206">
        <v>2112</v>
      </c>
      <c r="G1206">
        <v>2116</v>
      </c>
      <c r="H1206">
        <v>2109</v>
      </c>
      <c r="I1206">
        <v>2112</v>
      </c>
      <c r="J1206">
        <v>11900</v>
      </c>
    </row>
    <row r="1207" spans="1:10">
      <c r="D1207" t="s">
        <v>610</v>
      </c>
      <c r="E1207" t="s">
        <v>547</v>
      </c>
      <c r="F1207">
        <v>2111</v>
      </c>
      <c r="G1207">
        <v>2112</v>
      </c>
      <c r="H1207">
        <v>2103</v>
      </c>
      <c r="I1207">
        <v>2103</v>
      </c>
      <c r="J1207">
        <v>18100</v>
      </c>
    </row>
    <row r="1208" spans="1:10">
      <c r="D1208" t="s">
        <v>610</v>
      </c>
      <c r="E1208" t="s">
        <v>548</v>
      </c>
      <c r="F1208">
        <v>2104</v>
      </c>
      <c r="G1208">
        <v>2108</v>
      </c>
      <c r="H1208">
        <v>2100</v>
      </c>
      <c r="I1208">
        <v>2105</v>
      </c>
      <c r="J1208">
        <v>16600</v>
      </c>
    </row>
    <row r="1209" spans="1:10">
      <c r="D1209" t="s">
        <v>610</v>
      </c>
      <c r="E1209" t="s">
        <v>549</v>
      </c>
      <c r="F1209">
        <v>2105</v>
      </c>
      <c r="G1209">
        <v>2105</v>
      </c>
      <c r="H1209">
        <v>2098</v>
      </c>
      <c r="I1209">
        <v>2101</v>
      </c>
      <c r="J1209">
        <v>29600</v>
      </c>
    </row>
    <row r="1210" spans="1:10">
      <c r="D1210" t="s">
        <v>610</v>
      </c>
      <c r="E1210" t="s">
        <v>550</v>
      </c>
      <c r="F1210">
        <v>2101</v>
      </c>
      <c r="G1210">
        <v>2116</v>
      </c>
      <c r="H1210">
        <v>2101</v>
      </c>
      <c r="I1210">
        <v>2114</v>
      </c>
      <c r="J1210">
        <v>25000</v>
      </c>
    </row>
    <row r="1211" spans="1:10">
      <c r="D1211" t="s">
        <v>610</v>
      </c>
      <c r="E1211" t="s">
        <v>551</v>
      </c>
      <c r="F1211">
        <v>2113</v>
      </c>
      <c r="G1211">
        <v>2113</v>
      </c>
      <c r="H1211">
        <v>2102</v>
      </c>
      <c r="I1211">
        <v>2105</v>
      </c>
      <c r="J1211">
        <v>16600</v>
      </c>
    </row>
    <row r="1212" spans="1:10">
      <c r="D1212" t="s">
        <v>610</v>
      </c>
      <c r="E1212" t="s">
        <v>552</v>
      </c>
      <c r="F1212">
        <v>2105</v>
      </c>
      <c r="G1212">
        <v>2107</v>
      </c>
      <c r="H1212">
        <v>2103</v>
      </c>
      <c r="I1212">
        <v>2105</v>
      </c>
      <c r="J1212">
        <v>7200</v>
      </c>
    </row>
    <row r="1213" spans="1:10">
      <c r="D1213" t="s">
        <v>610</v>
      </c>
      <c r="E1213" t="s">
        <v>553</v>
      </c>
      <c r="F1213">
        <v>2106</v>
      </c>
      <c r="G1213">
        <v>2107</v>
      </c>
      <c r="H1213">
        <v>2105</v>
      </c>
      <c r="I1213">
        <v>2105</v>
      </c>
      <c r="J1213">
        <v>6900</v>
      </c>
    </row>
    <row r="1214" spans="1:10">
      <c r="D1214" t="s">
        <v>610</v>
      </c>
      <c r="E1214" t="s">
        <v>554</v>
      </c>
      <c r="F1214">
        <v>2105</v>
      </c>
      <c r="G1214">
        <v>2110</v>
      </c>
      <c r="H1214">
        <v>2105</v>
      </c>
      <c r="I1214">
        <v>2110</v>
      </c>
      <c r="J1214">
        <v>14700</v>
      </c>
    </row>
    <row r="1215" spans="1:10">
      <c r="D1215" t="s">
        <v>610</v>
      </c>
      <c r="E1215" t="s">
        <v>555</v>
      </c>
      <c r="F1215">
        <v>2109</v>
      </c>
      <c r="G1215">
        <v>2110</v>
      </c>
      <c r="H1215">
        <v>2105</v>
      </c>
      <c r="I1215">
        <v>2105</v>
      </c>
      <c r="J1215">
        <v>7800</v>
      </c>
    </row>
    <row r="1216" spans="1:10">
      <c r="D1216" t="s">
        <v>610</v>
      </c>
      <c r="E1216" t="s">
        <v>556</v>
      </c>
      <c r="F1216">
        <v>2104</v>
      </c>
      <c r="G1216">
        <v>2104</v>
      </c>
      <c r="H1216">
        <v>2101</v>
      </c>
      <c r="I1216">
        <v>2104</v>
      </c>
      <c r="J1216">
        <v>7800</v>
      </c>
    </row>
    <row r="1217" spans="4:10">
      <c r="D1217" t="s">
        <v>610</v>
      </c>
      <c r="E1217" t="s">
        <v>557</v>
      </c>
      <c r="F1217">
        <v>2104</v>
      </c>
      <c r="G1217">
        <v>2107</v>
      </c>
      <c r="H1217">
        <v>2101</v>
      </c>
      <c r="I1217">
        <v>2101</v>
      </c>
      <c r="J1217">
        <v>5200</v>
      </c>
    </row>
    <row r="1218" spans="4:10">
      <c r="D1218" t="s">
        <v>610</v>
      </c>
      <c r="E1218" t="s">
        <v>558</v>
      </c>
      <c r="F1218">
        <v>2101</v>
      </c>
      <c r="G1218">
        <v>2105</v>
      </c>
      <c r="H1218">
        <v>2101</v>
      </c>
      <c r="I1218">
        <v>2103</v>
      </c>
      <c r="J1218">
        <v>5700</v>
      </c>
    </row>
    <row r="1219" spans="4:10">
      <c r="D1219" t="s">
        <v>610</v>
      </c>
      <c r="E1219" t="s">
        <v>559</v>
      </c>
      <c r="F1219">
        <v>2103</v>
      </c>
      <c r="G1219">
        <v>2107</v>
      </c>
      <c r="H1219">
        <v>2100</v>
      </c>
      <c r="I1219">
        <v>2107</v>
      </c>
      <c r="J1219">
        <v>8800</v>
      </c>
    </row>
    <row r="1220" spans="4:10">
      <c r="D1220" t="s">
        <v>610</v>
      </c>
      <c r="E1220" t="s">
        <v>560</v>
      </c>
      <c r="F1220">
        <v>2106</v>
      </c>
      <c r="G1220">
        <v>2109</v>
      </c>
      <c r="H1220">
        <v>2105</v>
      </c>
      <c r="I1220">
        <v>2105</v>
      </c>
      <c r="J1220">
        <v>11900</v>
      </c>
    </row>
    <row r="1221" spans="4:10">
      <c r="D1221" t="s">
        <v>610</v>
      </c>
      <c r="E1221" t="s">
        <v>561</v>
      </c>
      <c r="F1221">
        <v>2105</v>
      </c>
      <c r="G1221">
        <v>2105</v>
      </c>
      <c r="H1221">
        <v>2102</v>
      </c>
      <c r="I1221">
        <v>2102</v>
      </c>
      <c r="J1221">
        <v>4800</v>
      </c>
    </row>
    <row r="1222" spans="4:10">
      <c r="D1222" t="s">
        <v>610</v>
      </c>
      <c r="E1222" t="s">
        <v>562</v>
      </c>
      <c r="F1222">
        <v>2103</v>
      </c>
      <c r="G1222">
        <v>2103</v>
      </c>
      <c r="H1222">
        <v>2093</v>
      </c>
      <c r="I1222">
        <v>2094</v>
      </c>
      <c r="J1222">
        <v>28500</v>
      </c>
    </row>
    <row r="1223" spans="4:10">
      <c r="D1223" t="s">
        <v>610</v>
      </c>
      <c r="E1223" t="s">
        <v>563</v>
      </c>
      <c r="F1223">
        <v>2094</v>
      </c>
      <c r="G1223">
        <v>2094</v>
      </c>
      <c r="H1223">
        <v>2085</v>
      </c>
      <c r="I1223">
        <v>2087</v>
      </c>
      <c r="J1223">
        <v>28900</v>
      </c>
    </row>
    <row r="1224" spans="4:10">
      <c r="D1224" t="s">
        <v>610</v>
      </c>
      <c r="E1224" t="s">
        <v>564</v>
      </c>
      <c r="F1224">
        <v>2087</v>
      </c>
      <c r="G1224">
        <v>2092</v>
      </c>
      <c r="H1224">
        <v>2085</v>
      </c>
      <c r="I1224">
        <v>2091</v>
      </c>
      <c r="J1224">
        <v>10000</v>
      </c>
    </row>
    <row r="1225" spans="4:10">
      <c r="D1225" t="s">
        <v>610</v>
      </c>
      <c r="E1225" t="s">
        <v>565</v>
      </c>
      <c r="F1225">
        <v>2092</v>
      </c>
      <c r="G1225">
        <v>2095</v>
      </c>
      <c r="H1225">
        <v>2087</v>
      </c>
      <c r="I1225">
        <v>2093</v>
      </c>
      <c r="J1225">
        <v>14800</v>
      </c>
    </row>
    <row r="1226" spans="4:10">
      <c r="D1226" t="s">
        <v>610</v>
      </c>
      <c r="E1226" t="s">
        <v>566</v>
      </c>
      <c r="F1226">
        <v>2093</v>
      </c>
      <c r="G1226">
        <v>2095</v>
      </c>
      <c r="H1226">
        <v>2093</v>
      </c>
      <c r="I1226">
        <v>2095</v>
      </c>
      <c r="J1226">
        <v>7600</v>
      </c>
    </row>
    <row r="1227" spans="4:10">
      <c r="D1227" t="s">
        <v>610</v>
      </c>
      <c r="E1227" t="s">
        <v>567</v>
      </c>
      <c r="F1227">
        <v>2095</v>
      </c>
      <c r="G1227">
        <v>2097</v>
      </c>
      <c r="H1227">
        <v>2092</v>
      </c>
      <c r="I1227">
        <v>2092</v>
      </c>
      <c r="J1227">
        <v>7900</v>
      </c>
    </row>
    <row r="1228" spans="4:10">
      <c r="D1228" t="s">
        <v>610</v>
      </c>
      <c r="E1228" t="s">
        <v>568</v>
      </c>
      <c r="F1228">
        <v>2093</v>
      </c>
      <c r="G1228">
        <v>2094</v>
      </c>
      <c r="H1228">
        <v>2091</v>
      </c>
      <c r="I1228">
        <v>2092</v>
      </c>
      <c r="J1228">
        <v>9900</v>
      </c>
    </row>
    <row r="1229" spans="4:10">
      <c r="D1229" t="s">
        <v>610</v>
      </c>
      <c r="E1229" t="s">
        <v>569</v>
      </c>
      <c r="F1229">
        <v>2093</v>
      </c>
      <c r="G1229">
        <v>2096</v>
      </c>
      <c r="H1229">
        <v>2093</v>
      </c>
      <c r="I1229">
        <v>2095</v>
      </c>
      <c r="J1229">
        <v>14200</v>
      </c>
    </row>
    <row r="1230" spans="4:10">
      <c r="D1230" t="s">
        <v>610</v>
      </c>
      <c r="E1230" t="s">
        <v>570</v>
      </c>
      <c r="F1230">
        <v>2096</v>
      </c>
      <c r="G1230">
        <v>2096</v>
      </c>
      <c r="H1230">
        <v>2091</v>
      </c>
      <c r="I1230">
        <v>2091</v>
      </c>
      <c r="J1230">
        <v>15800</v>
      </c>
    </row>
    <row r="1231" spans="4:10">
      <c r="D1231" t="s">
        <v>610</v>
      </c>
      <c r="E1231" t="s">
        <v>571</v>
      </c>
      <c r="F1231" t="s">
        <v>35</v>
      </c>
      <c r="G1231" t="s">
        <v>35</v>
      </c>
      <c r="H1231" t="s">
        <v>35</v>
      </c>
      <c r="I1231" t="s">
        <v>35</v>
      </c>
      <c r="J1231">
        <v>0</v>
      </c>
    </row>
    <row r="1232" spans="4:10">
      <c r="D1232" t="s">
        <v>610</v>
      </c>
      <c r="E1232" t="s">
        <v>572</v>
      </c>
      <c r="F1232">
        <v>2100</v>
      </c>
      <c r="G1232">
        <v>2100</v>
      </c>
      <c r="H1232">
        <v>2100</v>
      </c>
      <c r="I1232">
        <v>2100</v>
      </c>
      <c r="J1232">
        <v>43400</v>
      </c>
    </row>
    <row r="1233" spans="4:10">
      <c r="D1233" t="s">
        <v>611</v>
      </c>
      <c r="E1233" t="s">
        <v>574</v>
      </c>
      <c r="F1233">
        <v>2062</v>
      </c>
      <c r="G1233">
        <v>2131</v>
      </c>
      <c r="H1233">
        <v>2060</v>
      </c>
      <c r="I1233">
        <v>2131</v>
      </c>
      <c r="J1233">
        <v>151900</v>
      </c>
    </row>
    <row r="1234" spans="4:10">
      <c r="D1234" t="s">
        <v>611</v>
      </c>
      <c r="E1234" t="s">
        <v>575</v>
      </c>
      <c r="F1234">
        <v>2130</v>
      </c>
      <c r="G1234">
        <v>2157</v>
      </c>
      <c r="H1234">
        <v>2120</v>
      </c>
      <c r="I1234">
        <v>2134</v>
      </c>
      <c r="J1234">
        <v>130800</v>
      </c>
    </row>
    <row r="1235" spans="4:10">
      <c r="D1235" t="s">
        <v>611</v>
      </c>
      <c r="E1235" t="s">
        <v>576</v>
      </c>
      <c r="F1235">
        <v>2132</v>
      </c>
      <c r="G1235">
        <v>2133</v>
      </c>
      <c r="H1235">
        <v>2095</v>
      </c>
      <c r="I1235">
        <v>2097</v>
      </c>
      <c r="J1235">
        <v>69500</v>
      </c>
    </row>
    <row r="1236" spans="4:10">
      <c r="D1236" t="s">
        <v>611</v>
      </c>
      <c r="E1236" t="s">
        <v>577</v>
      </c>
      <c r="F1236">
        <v>2096</v>
      </c>
      <c r="G1236">
        <v>2111</v>
      </c>
      <c r="H1236">
        <v>2095</v>
      </c>
      <c r="I1236">
        <v>2101</v>
      </c>
      <c r="J1236">
        <v>41500</v>
      </c>
    </row>
    <row r="1237" spans="4:10">
      <c r="D1237" t="s">
        <v>611</v>
      </c>
      <c r="E1237" t="s">
        <v>578</v>
      </c>
      <c r="F1237">
        <v>2101</v>
      </c>
      <c r="G1237">
        <v>2101</v>
      </c>
      <c r="H1237">
        <v>2070</v>
      </c>
      <c r="I1237">
        <v>2077</v>
      </c>
      <c r="J1237">
        <v>64300</v>
      </c>
    </row>
    <row r="1238" spans="4:10">
      <c r="D1238" t="s">
        <v>611</v>
      </c>
      <c r="E1238" t="s">
        <v>579</v>
      </c>
      <c r="F1238">
        <v>2076</v>
      </c>
      <c r="G1238">
        <v>2089</v>
      </c>
      <c r="H1238">
        <v>2070</v>
      </c>
      <c r="I1238">
        <v>2089</v>
      </c>
      <c r="J1238">
        <v>32400</v>
      </c>
    </row>
    <row r="1239" spans="4:10">
      <c r="D1239" t="s">
        <v>611</v>
      </c>
      <c r="E1239" t="s">
        <v>580</v>
      </c>
      <c r="F1239">
        <v>2090</v>
      </c>
      <c r="G1239">
        <v>2121</v>
      </c>
      <c r="H1239">
        <v>2089</v>
      </c>
      <c r="I1239">
        <v>2114</v>
      </c>
      <c r="J1239">
        <v>52300</v>
      </c>
    </row>
    <row r="1240" spans="4:10">
      <c r="D1240" t="s">
        <v>611</v>
      </c>
      <c r="E1240" t="s">
        <v>581</v>
      </c>
      <c r="F1240">
        <v>2114</v>
      </c>
      <c r="G1240">
        <v>2119</v>
      </c>
      <c r="H1240">
        <v>2109</v>
      </c>
      <c r="I1240">
        <v>2114</v>
      </c>
      <c r="J1240">
        <v>31100</v>
      </c>
    </row>
    <row r="1241" spans="4:10">
      <c r="D1241" t="s">
        <v>611</v>
      </c>
      <c r="E1241" t="s">
        <v>582</v>
      </c>
      <c r="F1241">
        <v>2113</v>
      </c>
      <c r="G1241">
        <v>2144</v>
      </c>
      <c r="H1241">
        <v>2113</v>
      </c>
      <c r="I1241">
        <v>2123</v>
      </c>
      <c r="J1241">
        <v>72100</v>
      </c>
    </row>
    <row r="1242" spans="4:10">
      <c r="D1242" t="s">
        <v>611</v>
      </c>
      <c r="E1242" t="s">
        <v>583</v>
      </c>
      <c r="F1242">
        <v>2124</v>
      </c>
      <c r="G1242">
        <v>2154</v>
      </c>
      <c r="H1242">
        <v>2118</v>
      </c>
      <c r="I1242">
        <v>2146</v>
      </c>
      <c r="J1242">
        <v>81200</v>
      </c>
    </row>
    <row r="1243" spans="4:10">
      <c r="D1243" t="s">
        <v>611</v>
      </c>
      <c r="E1243" t="s">
        <v>584</v>
      </c>
      <c r="F1243">
        <v>2147</v>
      </c>
      <c r="G1243">
        <v>2172</v>
      </c>
      <c r="H1243">
        <v>2147</v>
      </c>
      <c r="I1243">
        <v>2164</v>
      </c>
      <c r="J1243">
        <v>113300</v>
      </c>
    </row>
    <row r="1244" spans="4:10">
      <c r="D1244" t="s">
        <v>611</v>
      </c>
      <c r="E1244" t="s">
        <v>585</v>
      </c>
      <c r="F1244">
        <v>2164</v>
      </c>
      <c r="G1244">
        <v>2208</v>
      </c>
      <c r="H1244">
        <v>2162</v>
      </c>
      <c r="I1244">
        <v>2187</v>
      </c>
      <c r="J1244">
        <v>159000</v>
      </c>
    </row>
    <row r="1245" spans="4:10">
      <c r="D1245" t="s">
        <v>611</v>
      </c>
      <c r="E1245" t="s">
        <v>586</v>
      </c>
      <c r="F1245">
        <v>2188</v>
      </c>
      <c r="G1245">
        <v>2208</v>
      </c>
      <c r="H1245">
        <v>2182</v>
      </c>
      <c r="I1245">
        <v>2208</v>
      </c>
      <c r="J1245">
        <v>95400</v>
      </c>
    </row>
    <row r="1246" spans="4:10">
      <c r="D1246" t="s">
        <v>611</v>
      </c>
      <c r="E1246" t="s">
        <v>587</v>
      </c>
      <c r="F1246">
        <v>2205</v>
      </c>
      <c r="G1246">
        <v>2223</v>
      </c>
      <c r="H1246">
        <v>2190</v>
      </c>
      <c r="I1246">
        <v>2209</v>
      </c>
      <c r="J1246">
        <v>113300</v>
      </c>
    </row>
    <row r="1247" spans="4:10">
      <c r="D1247" t="s">
        <v>611</v>
      </c>
      <c r="E1247" t="s">
        <v>588</v>
      </c>
      <c r="F1247">
        <v>2211</v>
      </c>
      <c r="G1247">
        <v>2240</v>
      </c>
      <c r="H1247">
        <v>2210</v>
      </c>
      <c r="I1247">
        <v>2238</v>
      </c>
      <c r="J1247">
        <v>79900</v>
      </c>
    </row>
    <row r="1248" spans="4:10">
      <c r="D1248" t="s">
        <v>611</v>
      </c>
      <c r="E1248" t="s">
        <v>589</v>
      </c>
      <c r="F1248">
        <v>2238</v>
      </c>
      <c r="G1248">
        <v>2257</v>
      </c>
      <c r="H1248">
        <v>2218</v>
      </c>
      <c r="I1248">
        <v>2249</v>
      </c>
      <c r="J1248">
        <v>138800</v>
      </c>
    </row>
    <row r="1249" spans="4:10">
      <c r="D1249" t="s">
        <v>611</v>
      </c>
      <c r="E1249" t="s">
        <v>590</v>
      </c>
      <c r="F1249">
        <v>2250</v>
      </c>
      <c r="G1249">
        <v>2250</v>
      </c>
      <c r="H1249">
        <v>2219</v>
      </c>
      <c r="I1249">
        <v>2230</v>
      </c>
      <c r="J1249">
        <v>81000</v>
      </c>
    </row>
    <row r="1250" spans="4:10">
      <c r="D1250" t="s">
        <v>611</v>
      </c>
      <c r="E1250" t="s">
        <v>591</v>
      </c>
      <c r="F1250">
        <v>2231</v>
      </c>
      <c r="G1250">
        <v>2247</v>
      </c>
      <c r="H1250">
        <v>2223</v>
      </c>
      <c r="I1250">
        <v>2246</v>
      </c>
      <c r="J1250">
        <v>58500</v>
      </c>
    </row>
    <row r="1251" spans="4:10">
      <c r="D1251" t="s">
        <v>611</v>
      </c>
      <c r="E1251" t="s">
        <v>592</v>
      </c>
      <c r="F1251">
        <v>2245</v>
      </c>
      <c r="G1251">
        <v>2255</v>
      </c>
      <c r="H1251">
        <v>2225</v>
      </c>
      <c r="I1251">
        <v>2231</v>
      </c>
      <c r="J1251">
        <v>74900</v>
      </c>
    </row>
    <row r="1252" spans="4:10">
      <c r="D1252" t="s">
        <v>611</v>
      </c>
      <c r="E1252" t="s">
        <v>593</v>
      </c>
      <c r="F1252">
        <v>2231</v>
      </c>
      <c r="G1252">
        <v>2247</v>
      </c>
      <c r="H1252">
        <v>2216</v>
      </c>
      <c r="I1252">
        <v>2238</v>
      </c>
      <c r="J1252">
        <v>62900</v>
      </c>
    </row>
    <row r="1253" spans="4:10">
      <c r="D1253" t="s">
        <v>611</v>
      </c>
      <c r="E1253" t="s">
        <v>594</v>
      </c>
      <c r="F1253">
        <v>2238</v>
      </c>
      <c r="G1253">
        <v>2239</v>
      </c>
      <c r="H1253">
        <v>2211</v>
      </c>
      <c r="I1253">
        <v>2213</v>
      </c>
      <c r="J1253">
        <v>37300</v>
      </c>
    </row>
    <row r="1254" spans="4:10">
      <c r="D1254" t="s">
        <v>611</v>
      </c>
      <c r="E1254" t="s">
        <v>595</v>
      </c>
      <c r="F1254">
        <v>2214</v>
      </c>
      <c r="G1254">
        <v>2217</v>
      </c>
      <c r="H1254">
        <v>2193</v>
      </c>
      <c r="I1254">
        <v>2213</v>
      </c>
      <c r="J1254">
        <v>83300</v>
      </c>
    </row>
    <row r="1255" spans="4:10">
      <c r="D1255" t="s">
        <v>611</v>
      </c>
      <c r="E1255" t="s">
        <v>596</v>
      </c>
      <c r="F1255">
        <v>2215</v>
      </c>
      <c r="G1255">
        <v>2219</v>
      </c>
      <c r="H1255">
        <v>2208</v>
      </c>
      <c r="I1255">
        <v>2209</v>
      </c>
      <c r="J1255">
        <v>45600</v>
      </c>
    </row>
    <row r="1256" spans="4:10">
      <c r="D1256" t="s">
        <v>611</v>
      </c>
      <c r="E1256" t="s">
        <v>597</v>
      </c>
      <c r="F1256">
        <v>2210</v>
      </c>
      <c r="G1256">
        <v>2210</v>
      </c>
      <c r="H1256">
        <v>2187</v>
      </c>
      <c r="I1256">
        <v>2190</v>
      </c>
      <c r="J1256">
        <v>51700</v>
      </c>
    </row>
    <row r="1257" spans="4:10">
      <c r="D1257" t="s">
        <v>611</v>
      </c>
      <c r="E1257" t="s">
        <v>598</v>
      </c>
      <c r="F1257">
        <v>2193</v>
      </c>
      <c r="G1257">
        <v>2197</v>
      </c>
      <c r="H1257">
        <v>2181</v>
      </c>
      <c r="I1257">
        <v>2194</v>
      </c>
      <c r="J1257">
        <v>36200</v>
      </c>
    </row>
    <row r="1258" spans="4:10">
      <c r="D1258" t="s">
        <v>611</v>
      </c>
      <c r="E1258" t="s">
        <v>599</v>
      </c>
      <c r="F1258">
        <v>2194</v>
      </c>
      <c r="G1258">
        <v>2210</v>
      </c>
      <c r="H1258">
        <v>2188</v>
      </c>
      <c r="I1258">
        <v>2208</v>
      </c>
      <c r="J1258">
        <v>27000</v>
      </c>
    </row>
    <row r="1259" spans="4:10">
      <c r="D1259" t="s">
        <v>611</v>
      </c>
      <c r="E1259" t="s">
        <v>600</v>
      </c>
      <c r="F1259">
        <v>2210</v>
      </c>
      <c r="G1259">
        <v>2222</v>
      </c>
      <c r="H1259">
        <v>2196</v>
      </c>
      <c r="I1259">
        <v>2213</v>
      </c>
      <c r="J1259">
        <v>54500</v>
      </c>
    </row>
    <row r="1260" spans="4:10">
      <c r="D1260" t="s">
        <v>611</v>
      </c>
      <c r="E1260" t="s">
        <v>601</v>
      </c>
      <c r="F1260">
        <v>2215</v>
      </c>
      <c r="G1260">
        <v>2225</v>
      </c>
      <c r="H1260">
        <v>2214</v>
      </c>
      <c r="I1260">
        <v>2224</v>
      </c>
      <c r="J1260">
        <v>38100</v>
      </c>
    </row>
    <row r="1261" spans="4:10">
      <c r="D1261" t="s">
        <v>611</v>
      </c>
      <c r="E1261" t="s">
        <v>602</v>
      </c>
      <c r="F1261">
        <v>2223</v>
      </c>
      <c r="G1261">
        <v>2230</v>
      </c>
      <c r="H1261">
        <v>2217</v>
      </c>
      <c r="I1261">
        <v>2218</v>
      </c>
      <c r="J1261">
        <v>35800</v>
      </c>
    </row>
    <row r="1262" spans="4:10">
      <c r="D1262" t="s">
        <v>611</v>
      </c>
      <c r="E1262" t="s">
        <v>603</v>
      </c>
      <c r="F1262">
        <v>2221</v>
      </c>
      <c r="G1262">
        <v>2232</v>
      </c>
      <c r="H1262">
        <v>2215</v>
      </c>
      <c r="I1262">
        <v>2231</v>
      </c>
      <c r="J1262">
        <v>37500</v>
      </c>
    </row>
    <row r="1263" spans="4:10">
      <c r="D1263" t="s">
        <v>611</v>
      </c>
      <c r="E1263" t="s">
        <v>604</v>
      </c>
      <c r="F1263">
        <v>2232</v>
      </c>
      <c r="G1263">
        <v>2232</v>
      </c>
      <c r="H1263">
        <v>2232</v>
      </c>
      <c r="I1263">
        <v>2232</v>
      </c>
      <c r="J1263">
        <v>2600</v>
      </c>
    </row>
    <row r="1264" spans="4:10">
      <c r="D1264" t="s">
        <v>611</v>
      </c>
      <c r="E1264" t="s">
        <v>605</v>
      </c>
      <c r="F1264">
        <v>2222</v>
      </c>
      <c r="G1264">
        <v>2225</v>
      </c>
      <c r="H1264">
        <v>2191</v>
      </c>
      <c r="I1264">
        <v>2203</v>
      </c>
      <c r="J1264">
        <v>84500</v>
      </c>
    </row>
    <row r="1265" spans="4:10">
      <c r="D1265" t="s">
        <v>611</v>
      </c>
      <c r="E1265" t="s">
        <v>606</v>
      </c>
      <c r="F1265">
        <v>2203</v>
      </c>
      <c r="G1265">
        <v>2234</v>
      </c>
      <c r="H1265">
        <v>2203</v>
      </c>
      <c r="I1265">
        <v>2218</v>
      </c>
      <c r="J1265">
        <v>84200</v>
      </c>
    </row>
    <row r="1266" spans="4:10">
      <c r="D1266" t="s">
        <v>611</v>
      </c>
      <c r="E1266" t="s">
        <v>538</v>
      </c>
      <c r="F1266">
        <v>2219</v>
      </c>
      <c r="G1266">
        <v>2243</v>
      </c>
      <c r="H1266">
        <v>2219</v>
      </c>
      <c r="I1266">
        <v>2235</v>
      </c>
      <c r="J1266">
        <v>99500</v>
      </c>
    </row>
    <row r="1267" spans="4:10">
      <c r="D1267" t="s">
        <v>611</v>
      </c>
      <c r="E1267" t="s">
        <v>539</v>
      </c>
      <c r="F1267">
        <v>2234</v>
      </c>
      <c r="G1267">
        <v>2262</v>
      </c>
      <c r="H1267">
        <v>2230</v>
      </c>
      <c r="I1267">
        <v>2255</v>
      </c>
      <c r="J1267">
        <v>142200</v>
      </c>
    </row>
    <row r="1268" spans="4:10">
      <c r="D1268" t="s">
        <v>611</v>
      </c>
      <c r="E1268" t="s">
        <v>540</v>
      </c>
      <c r="F1268">
        <v>2257</v>
      </c>
      <c r="G1268">
        <v>2269</v>
      </c>
      <c r="H1268">
        <v>2244</v>
      </c>
      <c r="I1268">
        <v>2254</v>
      </c>
      <c r="J1268">
        <v>120700</v>
      </c>
    </row>
    <row r="1269" spans="4:10">
      <c r="D1269" t="s">
        <v>611</v>
      </c>
      <c r="E1269" t="s">
        <v>541</v>
      </c>
      <c r="F1269">
        <v>2254</v>
      </c>
      <c r="G1269">
        <v>2264</v>
      </c>
      <c r="H1269">
        <v>2252</v>
      </c>
      <c r="I1269">
        <v>2261</v>
      </c>
      <c r="J1269">
        <v>57400</v>
      </c>
    </row>
    <row r="1270" spans="4:10">
      <c r="D1270" t="s">
        <v>611</v>
      </c>
      <c r="E1270" t="s">
        <v>542</v>
      </c>
      <c r="F1270">
        <v>2263</v>
      </c>
      <c r="G1270">
        <v>2320</v>
      </c>
      <c r="H1270">
        <v>2261</v>
      </c>
      <c r="I1270">
        <v>2305</v>
      </c>
      <c r="J1270">
        <v>323400</v>
      </c>
    </row>
    <row r="1271" spans="4:10">
      <c r="D1271" t="s">
        <v>611</v>
      </c>
      <c r="E1271" t="s">
        <v>543</v>
      </c>
      <c r="F1271">
        <v>2304</v>
      </c>
      <c r="G1271">
        <v>2308</v>
      </c>
      <c r="H1271">
        <v>2288</v>
      </c>
      <c r="I1271">
        <v>2300</v>
      </c>
      <c r="J1271">
        <v>111200</v>
      </c>
    </row>
    <row r="1272" spans="4:10">
      <c r="D1272" t="s">
        <v>611</v>
      </c>
      <c r="E1272" t="s">
        <v>544</v>
      </c>
      <c r="F1272">
        <v>2300</v>
      </c>
      <c r="G1272">
        <v>2302</v>
      </c>
      <c r="H1272">
        <v>2285</v>
      </c>
      <c r="I1272">
        <v>2298</v>
      </c>
      <c r="J1272">
        <v>59500</v>
      </c>
    </row>
    <row r="1273" spans="4:10">
      <c r="D1273" t="s">
        <v>611</v>
      </c>
      <c r="E1273" t="s">
        <v>545</v>
      </c>
      <c r="F1273">
        <v>2300</v>
      </c>
      <c r="G1273">
        <v>2300</v>
      </c>
      <c r="H1273">
        <v>2271</v>
      </c>
      <c r="I1273">
        <v>2278</v>
      </c>
      <c r="J1273">
        <v>72500</v>
      </c>
    </row>
    <row r="1274" spans="4:10">
      <c r="D1274" t="s">
        <v>611</v>
      </c>
      <c r="E1274" t="s">
        <v>546</v>
      </c>
      <c r="F1274">
        <v>2279</v>
      </c>
      <c r="G1274">
        <v>2289</v>
      </c>
      <c r="H1274">
        <v>2275</v>
      </c>
      <c r="I1274">
        <v>2279</v>
      </c>
      <c r="J1274">
        <v>32400</v>
      </c>
    </row>
    <row r="1275" spans="4:10">
      <c r="D1275" t="s">
        <v>611</v>
      </c>
      <c r="E1275" t="s">
        <v>547</v>
      </c>
      <c r="F1275">
        <v>2278</v>
      </c>
      <c r="G1275">
        <v>2313</v>
      </c>
      <c r="H1275">
        <v>2271</v>
      </c>
      <c r="I1275">
        <v>2299</v>
      </c>
      <c r="J1275">
        <v>134600</v>
      </c>
    </row>
    <row r="1276" spans="4:10">
      <c r="D1276" t="s">
        <v>611</v>
      </c>
      <c r="E1276" t="s">
        <v>548</v>
      </c>
      <c r="F1276">
        <v>2298</v>
      </c>
      <c r="G1276">
        <v>2298</v>
      </c>
      <c r="H1276">
        <v>2286</v>
      </c>
      <c r="I1276">
        <v>2289</v>
      </c>
      <c r="J1276">
        <v>46900</v>
      </c>
    </row>
    <row r="1277" spans="4:10">
      <c r="D1277" t="s">
        <v>611</v>
      </c>
      <c r="E1277" t="s">
        <v>549</v>
      </c>
      <c r="F1277">
        <v>2289</v>
      </c>
      <c r="G1277">
        <v>2311</v>
      </c>
      <c r="H1277">
        <v>2282</v>
      </c>
      <c r="I1277">
        <v>2311</v>
      </c>
      <c r="J1277">
        <v>71900</v>
      </c>
    </row>
    <row r="1278" spans="4:10">
      <c r="D1278" t="s">
        <v>611</v>
      </c>
      <c r="E1278" t="s">
        <v>550</v>
      </c>
      <c r="F1278">
        <v>2312</v>
      </c>
      <c r="G1278">
        <v>2327</v>
      </c>
      <c r="H1278">
        <v>2303</v>
      </c>
      <c r="I1278">
        <v>2317</v>
      </c>
      <c r="J1278">
        <v>152700</v>
      </c>
    </row>
    <row r="1279" spans="4:10">
      <c r="D1279" t="s">
        <v>611</v>
      </c>
      <c r="E1279" t="s">
        <v>551</v>
      </c>
      <c r="F1279">
        <v>2317</v>
      </c>
      <c r="G1279">
        <v>2343</v>
      </c>
      <c r="H1279">
        <v>2317</v>
      </c>
      <c r="I1279">
        <v>2335</v>
      </c>
      <c r="J1279">
        <v>140200</v>
      </c>
    </row>
    <row r="1280" spans="4:10">
      <c r="D1280" t="s">
        <v>611</v>
      </c>
      <c r="E1280" t="s">
        <v>552</v>
      </c>
      <c r="F1280">
        <v>2337</v>
      </c>
      <c r="G1280">
        <v>2350</v>
      </c>
      <c r="H1280">
        <v>2314</v>
      </c>
      <c r="I1280">
        <v>2327</v>
      </c>
      <c r="J1280">
        <v>137300</v>
      </c>
    </row>
    <row r="1281" spans="4:10">
      <c r="D1281" t="s">
        <v>611</v>
      </c>
      <c r="E1281" t="s">
        <v>553</v>
      </c>
      <c r="F1281">
        <v>2328</v>
      </c>
      <c r="G1281">
        <v>2332</v>
      </c>
      <c r="H1281">
        <v>2311</v>
      </c>
      <c r="I1281">
        <v>2324</v>
      </c>
      <c r="J1281">
        <v>57800</v>
      </c>
    </row>
    <row r="1282" spans="4:10">
      <c r="D1282" t="s">
        <v>611</v>
      </c>
      <c r="E1282" t="s">
        <v>554</v>
      </c>
      <c r="F1282">
        <v>2326</v>
      </c>
      <c r="G1282">
        <v>2328</v>
      </c>
      <c r="H1282">
        <v>2315</v>
      </c>
      <c r="I1282">
        <v>2321</v>
      </c>
      <c r="J1282">
        <v>38800</v>
      </c>
    </row>
    <row r="1283" spans="4:10">
      <c r="D1283" t="s">
        <v>611</v>
      </c>
      <c r="E1283" t="s">
        <v>555</v>
      </c>
      <c r="F1283">
        <v>2325</v>
      </c>
      <c r="G1283">
        <v>2375</v>
      </c>
      <c r="H1283">
        <v>2323</v>
      </c>
      <c r="I1283">
        <v>2355</v>
      </c>
      <c r="J1283">
        <v>196800</v>
      </c>
    </row>
    <row r="1284" spans="4:10">
      <c r="D1284" t="s">
        <v>611</v>
      </c>
      <c r="E1284" t="s">
        <v>556</v>
      </c>
      <c r="F1284">
        <v>2353</v>
      </c>
      <c r="G1284">
        <v>2360</v>
      </c>
      <c r="H1284">
        <v>2348</v>
      </c>
      <c r="I1284">
        <v>2355</v>
      </c>
      <c r="J1284">
        <v>75700</v>
      </c>
    </row>
    <row r="1285" spans="4:10">
      <c r="D1285" t="s">
        <v>611</v>
      </c>
      <c r="E1285" t="s">
        <v>557</v>
      </c>
      <c r="F1285">
        <v>2355</v>
      </c>
      <c r="G1285">
        <v>2380</v>
      </c>
      <c r="H1285">
        <v>2345</v>
      </c>
      <c r="I1285">
        <v>2361</v>
      </c>
      <c r="J1285">
        <v>159600</v>
      </c>
    </row>
    <row r="1286" spans="4:10">
      <c r="D1286" t="s">
        <v>611</v>
      </c>
      <c r="E1286" t="s">
        <v>558</v>
      </c>
      <c r="F1286">
        <v>2361</v>
      </c>
      <c r="G1286">
        <v>2362</v>
      </c>
      <c r="H1286">
        <v>2346</v>
      </c>
      <c r="I1286">
        <v>2354</v>
      </c>
      <c r="J1286">
        <v>59200</v>
      </c>
    </row>
    <row r="1287" spans="4:10">
      <c r="D1287" t="s">
        <v>611</v>
      </c>
      <c r="E1287" t="s">
        <v>559</v>
      </c>
      <c r="F1287">
        <v>2355</v>
      </c>
      <c r="G1287">
        <v>2359</v>
      </c>
      <c r="H1287">
        <v>2352</v>
      </c>
      <c r="I1287">
        <v>2355</v>
      </c>
      <c r="J1287">
        <v>37400</v>
      </c>
    </row>
    <row r="1288" spans="4:10">
      <c r="D1288" t="s">
        <v>611</v>
      </c>
      <c r="E1288" t="s">
        <v>560</v>
      </c>
      <c r="F1288">
        <v>2356</v>
      </c>
      <c r="G1288">
        <v>2360</v>
      </c>
      <c r="H1288">
        <v>2341</v>
      </c>
      <c r="I1288">
        <v>2350</v>
      </c>
      <c r="J1288">
        <v>76800</v>
      </c>
    </row>
    <row r="1289" spans="4:10">
      <c r="D1289" t="s">
        <v>611</v>
      </c>
      <c r="E1289" t="s">
        <v>561</v>
      </c>
      <c r="F1289">
        <v>2350</v>
      </c>
      <c r="G1289">
        <v>2371</v>
      </c>
      <c r="H1289">
        <v>2344</v>
      </c>
      <c r="I1289">
        <v>2366</v>
      </c>
      <c r="J1289">
        <v>116900</v>
      </c>
    </row>
    <row r="1290" spans="4:10">
      <c r="D1290" t="s">
        <v>611</v>
      </c>
      <c r="E1290" t="s">
        <v>562</v>
      </c>
      <c r="F1290">
        <v>2369</v>
      </c>
      <c r="G1290">
        <v>2374</v>
      </c>
      <c r="H1290">
        <v>2350</v>
      </c>
      <c r="I1290">
        <v>2350</v>
      </c>
      <c r="J1290">
        <v>77600</v>
      </c>
    </row>
    <row r="1291" spans="4:10">
      <c r="D1291" t="s">
        <v>611</v>
      </c>
      <c r="E1291" t="s">
        <v>563</v>
      </c>
      <c r="F1291">
        <v>2352</v>
      </c>
      <c r="G1291">
        <v>2367</v>
      </c>
      <c r="H1291">
        <v>2348</v>
      </c>
      <c r="I1291">
        <v>2359</v>
      </c>
      <c r="J1291">
        <v>49300</v>
      </c>
    </row>
    <row r="1292" spans="4:10">
      <c r="D1292" t="s">
        <v>611</v>
      </c>
      <c r="E1292" t="s">
        <v>564</v>
      </c>
      <c r="F1292">
        <v>2359</v>
      </c>
      <c r="G1292">
        <v>2361</v>
      </c>
      <c r="H1292">
        <v>2350</v>
      </c>
      <c r="I1292">
        <v>2356</v>
      </c>
      <c r="J1292">
        <v>43300</v>
      </c>
    </row>
    <row r="1293" spans="4:10">
      <c r="D1293" t="s">
        <v>611</v>
      </c>
      <c r="E1293" t="s">
        <v>565</v>
      </c>
      <c r="F1293">
        <v>2355</v>
      </c>
      <c r="G1293">
        <v>2357</v>
      </c>
      <c r="H1293">
        <v>2334</v>
      </c>
      <c r="I1293">
        <v>2339</v>
      </c>
      <c r="J1293">
        <v>69900</v>
      </c>
    </row>
    <row r="1294" spans="4:10">
      <c r="D1294" t="s">
        <v>611</v>
      </c>
      <c r="E1294" t="s">
        <v>566</v>
      </c>
      <c r="F1294">
        <v>2338</v>
      </c>
      <c r="G1294">
        <v>2349</v>
      </c>
      <c r="H1294">
        <v>2325</v>
      </c>
      <c r="I1294">
        <v>2337</v>
      </c>
      <c r="J1294">
        <v>79900</v>
      </c>
    </row>
    <row r="1295" spans="4:10">
      <c r="D1295" t="s">
        <v>611</v>
      </c>
      <c r="E1295" t="s">
        <v>567</v>
      </c>
      <c r="F1295">
        <v>2336</v>
      </c>
      <c r="G1295">
        <v>2341</v>
      </c>
      <c r="H1295">
        <v>2321</v>
      </c>
      <c r="I1295">
        <v>2338</v>
      </c>
      <c r="J1295">
        <v>53300</v>
      </c>
    </row>
    <row r="1296" spans="4:10">
      <c r="D1296" t="s">
        <v>611</v>
      </c>
      <c r="E1296" t="s">
        <v>568</v>
      </c>
      <c r="F1296">
        <v>2338</v>
      </c>
      <c r="G1296">
        <v>2342</v>
      </c>
      <c r="H1296">
        <v>2329</v>
      </c>
      <c r="I1296">
        <v>2333</v>
      </c>
      <c r="J1296">
        <v>41400</v>
      </c>
    </row>
    <row r="1297" spans="4:10">
      <c r="D1297" t="s">
        <v>611</v>
      </c>
      <c r="E1297" t="s">
        <v>569</v>
      </c>
      <c r="F1297">
        <v>2332</v>
      </c>
      <c r="G1297">
        <v>2348</v>
      </c>
      <c r="H1297">
        <v>2330</v>
      </c>
      <c r="I1297">
        <v>2333</v>
      </c>
      <c r="J1297">
        <v>60700</v>
      </c>
    </row>
    <row r="1298" spans="4:10">
      <c r="D1298" t="s">
        <v>611</v>
      </c>
      <c r="E1298" t="s">
        <v>570</v>
      </c>
      <c r="F1298">
        <v>2333</v>
      </c>
      <c r="G1298">
        <v>2337</v>
      </c>
      <c r="H1298">
        <v>2319</v>
      </c>
      <c r="I1298">
        <v>2323</v>
      </c>
      <c r="J1298">
        <v>75600</v>
      </c>
    </row>
    <row r="1299" spans="4:10">
      <c r="D1299" t="s">
        <v>611</v>
      </c>
      <c r="E1299" t="s">
        <v>571</v>
      </c>
      <c r="F1299" t="s">
        <v>35</v>
      </c>
      <c r="G1299" t="s">
        <v>35</v>
      </c>
      <c r="H1299" t="s">
        <v>35</v>
      </c>
      <c r="I1299" t="s">
        <v>35</v>
      </c>
      <c r="J1299">
        <v>0</v>
      </c>
    </row>
    <row r="1300" spans="4:10">
      <c r="D1300" t="s">
        <v>611</v>
      </c>
      <c r="E1300" t="s">
        <v>572</v>
      </c>
      <c r="F1300">
        <v>2330</v>
      </c>
      <c r="G1300">
        <v>2330</v>
      </c>
      <c r="H1300">
        <v>2330</v>
      </c>
      <c r="I1300">
        <v>2330</v>
      </c>
      <c r="J1300">
        <v>95400</v>
      </c>
    </row>
    <row r="1301" spans="4:10">
      <c r="D1301" t="s">
        <v>612</v>
      </c>
      <c r="E1301" t="s">
        <v>574</v>
      </c>
      <c r="F1301">
        <v>2280</v>
      </c>
      <c r="G1301">
        <v>2350</v>
      </c>
      <c r="H1301">
        <v>2270</v>
      </c>
      <c r="I1301">
        <v>2295</v>
      </c>
      <c r="J1301">
        <v>299400</v>
      </c>
    </row>
    <row r="1302" spans="4:10">
      <c r="D1302" t="s">
        <v>612</v>
      </c>
      <c r="E1302" t="s">
        <v>575</v>
      </c>
      <c r="F1302">
        <v>2294</v>
      </c>
      <c r="G1302">
        <v>2354</v>
      </c>
      <c r="H1302">
        <v>2284</v>
      </c>
      <c r="I1302">
        <v>2341</v>
      </c>
      <c r="J1302">
        <v>148600</v>
      </c>
    </row>
    <row r="1303" spans="4:10">
      <c r="D1303" t="s">
        <v>612</v>
      </c>
      <c r="E1303" t="s">
        <v>576</v>
      </c>
      <c r="F1303">
        <v>2340</v>
      </c>
      <c r="G1303">
        <v>2364</v>
      </c>
      <c r="H1303">
        <v>2310</v>
      </c>
      <c r="I1303">
        <v>2329</v>
      </c>
      <c r="J1303">
        <v>167300</v>
      </c>
    </row>
    <row r="1304" spans="4:10">
      <c r="D1304" t="s">
        <v>612</v>
      </c>
      <c r="E1304" t="s">
        <v>577</v>
      </c>
      <c r="F1304">
        <v>2327</v>
      </c>
      <c r="G1304">
        <v>2400</v>
      </c>
      <c r="H1304">
        <v>2327</v>
      </c>
      <c r="I1304">
        <v>2395</v>
      </c>
      <c r="J1304">
        <v>237000</v>
      </c>
    </row>
    <row r="1305" spans="4:10">
      <c r="D1305" t="s">
        <v>612</v>
      </c>
      <c r="E1305" t="s">
        <v>578</v>
      </c>
      <c r="F1305">
        <v>2395</v>
      </c>
      <c r="G1305">
        <v>2455</v>
      </c>
      <c r="H1305">
        <v>2384</v>
      </c>
      <c r="I1305">
        <v>2453</v>
      </c>
      <c r="J1305">
        <v>407400</v>
      </c>
    </row>
    <row r="1306" spans="4:10">
      <c r="D1306" t="s">
        <v>612</v>
      </c>
      <c r="E1306" t="s">
        <v>579</v>
      </c>
      <c r="F1306">
        <v>2453</v>
      </c>
      <c r="G1306">
        <v>2474</v>
      </c>
      <c r="H1306">
        <v>2430</v>
      </c>
      <c r="I1306">
        <v>2468</v>
      </c>
      <c r="J1306">
        <v>271100</v>
      </c>
    </row>
    <row r="1307" spans="4:10">
      <c r="D1307" t="s">
        <v>612</v>
      </c>
      <c r="E1307" t="s">
        <v>580</v>
      </c>
      <c r="F1307">
        <v>2467</v>
      </c>
      <c r="G1307">
        <v>2532</v>
      </c>
      <c r="H1307">
        <v>2461</v>
      </c>
      <c r="I1307">
        <v>2528</v>
      </c>
      <c r="J1307">
        <v>538600</v>
      </c>
    </row>
    <row r="1308" spans="4:10">
      <c r="D1308" t="s">
        <v>612</v>
      </c>
      <c r="E1308" t="s">
        <v>581</v>
      </c>
      <c r="F1308">
        <v>2530</v>
      </c>
      <c r="G1308">
        <v>2551</v>
      </c>
      <c r="H1308">
        <v>2475</v>
      </c>
      <c r="I1308">
        <v>2489</v>
      </c>
      <c r="J1308">
        <v>482900</v>
      </c>
    </row>
    <row r="1309" spans="4:10">
      <c r="D1309" t="s">
        <v>612</v>
      </c>
      <c r="E1309" t="s">
        <v>582</v>
      </c>
      <c r="F1309">
        <v>2489</v>
      </c>
      <c r="G1309">
        <v>2519</v>
      </c>
      <c r="H1309">
        <v>2481</v>
      </c>
      <c r="I1309">
        <v>2487</v>
      </c>
      <c r="J1309">
        <v>212300</v>
      </c>
    </row>
    <row r="1310" spans="4:10">
      <c r="D1310" t="s">
        <v>612</v>
      </c>
      <c r="E1310" t="s">
        <v>583</v>
      </c>
      <c r="F1310">
        <v>2488</v>
      </c>
      <c r="G1310">
        <v>2498</v>
      </c>
      <c r="H1310">
        <v>2439</v>
      </c>
      <c r="I1310">
        <v>2458</v>
      </c>
      <c r="J1310">
        <v>261100</v>
      </c>
    </row>
    <row r="1311" spans="4:10">
      <c r="D1311" t="s">
        <v>612</v>
      </c>
      <c r="E1311" t="s">
        <v>584</v>
      </c>
      <c r="F1311">
        <v>2455</v>
      </c>
      <c r="G1311">
        <v>2480</v>
      </c>
      <c r="H1311">
        <v>2450</v>
      </c>
      <c r="I1311">
        <v>2459</v>
      </c>
      <c r="J1311">
        <v>119900</v>
      </c>
    </row>
    <row r="1312" spans="4:10">
      <c r="D1312" t="s">
        <v>612</v>
      </c>
      <c r="E1312" t="s">
        <v>585</v>
      </c>
      <c r="F1312">
        <v>2458</v>
      </c>
      <c r="G1312">
        <v>2476</v>
      </c>
      <c r="H1312">
        <v>2453</v>
      </c>
      <c r="I1312">
        <v>2453</v>
      </c>
      <c r="J1312">
        <v>81700</v>
      </c>
    </row>
    <row r="1313" spans="4:10">
      <c r="D1313" t="s">
        <v>612</v>
      </c>
      <c r="E1313" t="s">
        <v>586</v>
      </c>
      <c r="F1313">
        <v>2453</v>
      </c>
      <c r="G1313">
        <v>2456</v>
      </c>
      <c r="H1313">
        <v>2415</v>
      </c>
      <c r="I1313">
        <v>2420</v>
      </c>
      <c r="J1313">
        <v>190700</v>
      </c>
    </row>
    <row r="1314" spans="4:10">
      <c r="D1314" t="s">
        <v>612</v>
      </c>
      <c r="E1314" t="s">
        <v>587</v>
      </c>
      <c r="F1314">
        <v>2422</v>
      </c>
      <c r="G1314">
        <v>2430</v>
      </c>
      <c r="H1314">
        <v>2402</v>
      </c>
      <c r="I1314">
        <v>2411</v>
      </c>
      <c r="J1314">
        <v>96800</v>
      </c>
    </row>
    <row r="1315" spans="4:10">
      <c r="D1315" t="s">
        <v>612</v>
      </c>
      <c r="E1315" t="s">
        <v>588</v>
      </c>
      <c r="F1315">
        <v>2412</v>
      </c>
      <c r="G1315">
        <v>2441</v>
      </c>
      <c r="H1315">
        <v>2402</v>
      </c>
      <c r="I1315">
        <v>2439</v>
      </c>
      <c r="J1315">
        <v>109600</v>
      </c>
    </row>
    <row r="1316" spans="4:10">
      <c r="D1316" t="s">
        <v>612</v>
      </c>
      <c r="E1316" t="s">
        <v>589</v>
      </c>
      <c r="F1316">
        <v>2440</v>
      </c>
      <c r="G1316">
        <v>2460</v>
      </c>
      <c r="H1316">
        <v>2427</v>
      </c>
      <c r="I1316">
        <v>2440</v>
      </c>
      <c r="J1316">
        <v>144900</v>
      </c>
    </row>
    <row r="1317" spans="4:10">
      <c r="D1317" t="s">
        <v>612</v>
      </c>
      <c r="E1317" t="s">
        <v>590</v>
      </c>
      <c r="F1317">
        <v>2438</v>
      </c>
      <c r="G1317">
        <v>2469</v>
      </c>
      <c r="H1317">
        <v>2437</v>
      </c>
      <c r="I1317">
        <v>2444</v>
      </c>
      <c r="J1317">
        <v>125800</v>
      </c>
    </row>
    <row r="1318" spans="4:10">
      <c r="D1318" t="s">
        <v>612</v>
      </c>
      <c r="E1318" t="s">
        <v>591</v>
      </c>
      <c r="F1318">
        <v>2444</v>
      </c>
      <c r="G1318">
        <v>2464</v>
      </c>
      <c r="H1318">
        <v>2432</v>
      </c>
      <c r="I1318">
        <v>2460</v>
      </c>
      <c r="J1318">
        <v>90900</v>
      </c>
    </row>
    <row r="1319" spans="4:10">
      <c r="D1319" t="s">
        <v>612</v>
      </c>
      <c r="E1319" t="s">
        <v>592</v>
      </c>
      <c r="F1319">
        <v>2459</v>
      </c>
      <c r="G1319">
        <v>2474</v>
      </c>
      <c r="H1319">
        <v>2445</v>
      </c>
      <c r="I1319">
        <v>2453</v>
      </c>
      <c r="J1319">
        <v>102500</v>
      </c>
    </row>
    <row r="1320" spans="4:10">
      <c r="D1320" t="s">
        <v>612</v>
      </c>
      <c r="E1320" t="s">
        <v>593</v>
      </c>
      <c r="F1320">
        <v>2452</v>
      </c>
      <c r="G1320">
        <v>2465</v>
      </c>
      <c r="H1320">
        <v>2449</v>
      </c>
      <c r="I1320">
        <v>2457</v>
      </c>
      <c r="J1320">
        <v>48800</v>
      </c>
    </row>
    <row r="1321" spans="4:10">
      <c r="D1321" t="s">
        <v>612</v>
      </c>
      <c r="E1321" t="s">
        <v>594</v>
      </c>
      <c r="F1321">
        <v>2455</v>
      </c>
      <c r="G1321">
        <v>2455</v>
      </c>
      <c r="H1321">
        <v>2432</v>
      </c>
      <c r="I1321">
        <v>2443</v>
      </c>
      <c r="J1321">
        <v>69900</v>
      </c>
    </row>
    <row r="1322" spans="4:10">
      <c r="D1322" t="s">
        <v>612</v>
      </c>
      <c r="E1322" t="s">
        <v>595</v>
      </c>
      <c r="F1322">
        <v>2442</v>
      </c>
      <c r="G1322">
        <v>2447</v>
      </c>
      <c r="H1322">
        <v>2430</v>
      </c>
      <c r="I1322">
        <v>2440</v>
      </c>
      <c r="J1322">
        <v>52100</v>
      </c>
    </row>
    <row r="1323" spans="4:10">
      <c r="D1323" t="s">
        <v>612</v>
      </c>
      <c r="E1323" t="s">
        <v>596</v>
      </c>
      <c r="F1323">
        <v>2439</v>
      </c>
      <c r="G1323">
        <v>2440</v>
      </c>
      <c r="H1323">
        <v>2421</v>
      </c>
      <c r="I1323">
        <v>2424</v>
      </c>
      <c r="J1323">
        <v>52700</v>
      </c>
    </row>
    <row r="1324" spans="4:10">
      <c r="D1324" t="s">
        <v>612</v>
      </c>
      <c r="E1324" t="s">
        <v>597</v>
      </c>
      <c r="F1324">
        <v>2426</v>
      </c>
      <c r="G1324">
        <v>2437</v>
      </c>
      <c r="H1324">
        <v>2418</v>
      </c>
      <c r="I1324">
        <v>2436</v>
      </c>
      <c r="J1324">
        <v>37300</v>
      </c>
    </row>
    <row r="1325" spans="4:10">
      <c r="D1325" t="s">
        <v>612</v>
      </c>
      <c r="E1325" t="s">
        <v>598</v>
      </c>
      <c r="F1325">
        <v>2436</v>
      </c>
      <c r="G1325">
        <v>2437</v>
      </c>
      <c r="H1325">
        <v>2426</v>
      </c>
      <c r="I1325">
        <v>2437</v>
      </c>
      <c r="J1325">
        <v>25500</v>
      </c>
    </row>
    <row r="1326" spans="4:10">
      <c r="D1326" t="s">
        <v>612</v>
      </c>
      <c r="E1326" t="s">
        <v>599</v>
      </c>
      <c r="F1326">
        <v>2435</v>
      </c>
      <c r="G1326">
        <v>2440</v>
      </c>
      <c r="H1326">
        <v>2430</v>
      </c>
      <c r="I1326">
        <v>2438</v>
      </c>
      <c r="J1326">
        <v>27300</v>
      </c>
    </row>
    <row r="1327" spans="4:10">
      <c r="D1327" t="s">
        <v>612</v>
      </c>
      <c r="E1327" t="s">
        <v>600</v>
      </c>
      <c r="F1327">
        <v>2439</v>
      </c>
      <c r="G1327">
        <v>2448</v>
      </c>
      <c r="H1327">
        <v>2438</v>
      </c>
      <c r="I1327">
        <v>2444</v>
      </c>
      <c r="J1327">
        <v>48600</v>
      </c>
    </row>
    <row r="1328" spans="4:10">
      <c r="D1328" t="s">
        <v>612</v>
      </c>
      <c r="E1328" t="s">
        <v>601</v>
      </c>
      <c r="F1328">
        <v>2444</v>
      </c>
      <c r="G1328">
        <v>2448</v>
      </c>
      <c r="H1328">
        <v>2435</v>
      </c>
      <c r="I1328">
        <v>2446</v>
      </c>
      <c r="J1328">
        <v>28600</v>
      </c>
    </row>
    <row r="1329" spans="4:10">
      <c r="D1329" t="s">
        <v>612</v>
      </c>
      <c r="E1329" t="s">
        <v>602</v>
      </c>
      <c r="F1329">
        <v>2445</v>
      </c>
      <c r="G1329">
        <v>2464</v>
      </c>
      <c r="H1329">
        <v>2445</v>
      </c>
      <c r="I1329">
        <v>2464</v>
      </c>
      <c r="J1329">
        <v>60200</v>
      </c>
    </row>
    <row r="1330" spans="4:10">
      <c r="D1330" t="s">
        <v>612</v>
      </c>
      <c r="E1330" t="s">
        <v>603</v>
      </c>
      <c r="F1330">
        <v>2464</v>
      </c>
      <c r="G1330">
        <v>2464</v>
      </c>
      <c r="H1330">
        <v>2442</v>
      </c>
      <c r="I1330">
        <v>2448</v>
      </c>
      <c r="J1330">
        <v>44900</v>
      </c>
    </row>
    <row r="1331" spans="4:10">
      <c r="D1331" t="s">
        <v>612</v>
      </c>
      <c r="E1331" t="s">
        <v>604</v>
      </c>
      <c r="F1331">
        <v>2450</v>
      </c>
      <c r="G1331">
        <v>2450</v>
      </c>
      <c r="H1331">
        <v>2450</v>
      </c>
      <c r="I1331">
        <v>2450</v>
      </c>
      <c r="J1331">
        <v>3600</v>
      </c>
    </row>
    <row r="1332" spans="4:10">
      <c r="D1332" t="s">
        <v>612</v>
      </c>
      <c r="E1332" t="s">
        <v>605</v>
      </c>
      <c r="F1332">
        <v>2471</v>
      </c>
      <c r="G1332">
        <v>2478</v>
      </c>
      <c r="H1332">
        <v>2443</v>
      </c>
      <c r="I1332">
        <v>2450</v>
      </c>
      <c r="J1332">
        <v>161000</v>
      </c>
    </row>
    <row r="1333" spans="4:10">
      <c r="D1333" t="s">
        <v>612</v>
      </c>
      <c r="E1333" t="s">
        <v>606</v>
      </c>
      <c r="F1333">
        <v>2450</v>
      </c>
      <c r="G1333">
        <v>2450</v>
      </c>
      <c r="H1333">
        <v>2422</v>
      </c>
      <c r="I1333">
        <v>2430</v>
      </c>
      <c r="J1333">
        <v>80700</v>
      </c>
    </row>
    <row r="1334" spans="4:10">
      <c r="D1334" t="s">
        <v>612</v>
      </c>
      <c r="E1334" t="s">
        <v>538</v>
      </c>
      <c r="F1334">
        <v>2431</v>
      </c>
      <c r="G1334">
        <v>2446</v>
      </c>
      <c r="H1334">
        <v>2429</v>
      </c>
      <c r="I1334">
        <v>2445</v>
      </c>
      <c r="J1334">
        <v>32400</v>
      </c>
    </row>
    <row r="1335" spans="4:10">
      <c r="D1335" t="s">
        <v>612</v>
      </c>
      <c r="E1335" t="s">
        <v>539</v>
      </c>
      <c r="F1335">
        <v>2444</v>
      </c>
      <c r="G1335">
        <v>2445</v>
      </c>
      <c r="H1335">
        <v>2431</v>
      </c>
      <c r="I1335">
        <v>2439</v>
      </c>
      <c r="J1335">
        <v>31900</v>
      </c>
    </row>
    <row r="1336" spans="4:10">
      <c r="D1336" t="s">
        <v>612</v>
      </c>
      <c r="E1336" t="s">
        <v>540</v>
      </c>
      <c r="F1336">
        <v>2438</v>
      </c>
      <c r="G1336">
        <v>2445</v>
      </c>
      <c r="H1336">
        <v>2437</v>
      </c>
      <c r="I1336">
        <v>2439</v>
      </c>
      <c r="J1336">
        <v>26100</v>
      </c>
    </row>
    <row r="1337" spans="4:10">
      <c r="D1337" t="s">
        <v>612</v>
      </c>
      <c r="E1337" t="s">
        <v>541</v>
      </c>
      <c r="F1337">
        <v>2438</v>
      </c>
      <c r="G1337">
        <v>2442</v>
      </c>
      <c r="H1337">
        <v>2437</v>
      </c>
      <c r="I1337">
        <v>2439</v>
      </c>
      <c r="J1337">
        <v>13700</v>
      </c>
    </row>
    <row r="1338" spans="4:10">
      <c r="D1338" t="s">
        <v>612</v>
      </c>
      <c r="E1338" t="s">
        <v>542</v>
      </c>
      <c r="F1338">
        <v>2439</v>
      </c>
      <c r="G1338">
        <v>2439</v>
      </c>
      <c r="H1338">
        <v>2416</v>
      </c>
      <c r="I1338">
        <v>2428</v>
      </c>
      <c r="J1338">
        <v>51900</v>
      </c>
    </row>
    <row r="1339" spans="4:10">
      <c r="D1339" t="s">
        <v>612</v>
      </c>
      <c r="E1339" t="s">
        <v>543</v>
      </c>
      <c r="F1339">
        <v>2430</v>
      </c>
      <c r="G1339">
        <v>2432</v>
      </c>
      <c r="H1339">
        <v>2427</v>
      </c>
      <c r="I1339">
        <v>2428</v>
      </c>
      <c r="J1339">
        <v>19200</v>
      </c>
    </row>
    <row r="1340" spans="4:10">
      <c r="D1340" t="s">
        <v>612</v>
      </c>
      <c r="E1340" t="s">
        <v>544</v>
      </c>
      <c r="F1340">
        <v>2428</v>
      </c>
      <c r="G1340">
        <v>2434</v>
      </c>
      <c r="H1340">
        <v>2426</v>
      </c>
      <c r="I1340">
        <v>2429</v>
      </c>
      <c r="J1340">
        <v>22100</v>
      </c>
    </row>
    <row r="1341" spans="4:10">
      <c r="D1341" t="s">
        <v>612</v>
      </c>
      <c r="E1341" t="s">
        <v>545</v>
      </c>
      <c r="F1341">
        <v>2428</v>
      </c>
      <c r="G1341">
        <v>2430</v>
      </c>
      <c r="H1341">
        <v>2413</v>
      </c>
      <c r="I1341">
        <v>2414</v>
      </c>
      <c r="J1341">
        <v>28100</v>
      </c>
    </row>
    <row r="1342" spans="4:10">
      <c r="D1342" t="s">
        <v>612</v>
      </c>
      <c r="E1342" t="s">
        <v>546</v>
      </c>
      <c r="F1342">
        <v>2414</v>
      </c>
      <c r="G1342">
        <v>2414</v>
      </c>
      <c r="H1342">
        <v>2372</v>
      </c>
      <c r="I1342">
        <v>2373</v>
      </c>
      <c r="J1342">
        <v>134100</v>
      </c>
    </row>
    <row r="1343" spans="4:10">
      <c r="D1343" t="s">
        <v>612</v>
      </c>
      <c r="E1343" t="s">
        <v>547</v>
      </c>
      <c r="F1343">
        <v>2373</v>
      </c>
      <c r="G1343">
        <v>2400</v>
      </c>
      <c r="H1343">
        <v>2363</v>
      </c>
      <c r="I1343">
        <v>2392</v>
      </c>
      <c r="J1343">
        <v>118500</v>
      </c>
    </row>
    <row r="1344" spans="4:10">
      <c r="D1344" t="s">
        <v>612</v>
      </c>
      <c r="E1344" t="s">
        <v>548</v>
      </c>
      <c r="F1344">
        <v>2391</v>
      </c>
      <c r="G1344">
        <v>2391</v>
      </c>
      <c r="H1344">
        <v>2372</v>
      </c>
      <c r="I1344">
        <v>2372</v>
      </c>
      <c r="J1344">
        <v>57500</v>
      </c>
    </row>
    <row r="1345" spans="4:10">
      <c r="D1345" t="s">
        <v>612</v>
      </c>
      <c r="E1345" t="s">
        <v>549</v>
      </c>
      <c r="F1345">
        <v>2374</v>
      </c>
      <c r="G1345">
        <v>2374</v>
      </c>
      <c r="H1345">
        <v>2333</v>
      </c>
      <c r="I1345">
        <v>2344</v>
      </c>
      <c r="J1345">
        <v>163600</v>
      </c>
    </row>
    <row r="1346" spans="4:10">
      <c r="D1346" t="s">
        <v>612</v>
      </c>
      <c r="E1346" t="s">
        <v>550</v>
      </c>
      <c r="F1346">
        <v>2344</v>
      </c>
      <c r="G1346">
        <v>2358</v>
      </c>
      <c r="H1346">
        <v>2343</v>
      </c>
      <c r="I1346">
        <v>2351</v>
      </c>
      <c r="J1346">
        <v>91700</v>
      </c>
    </row>
    <row r="1347" spans="4:10">
      <c r="D1347" t="s">
        <v>612</v>
      </c>
      <c r="E1347" t="s">
        <v>551</v>
      </c>
      <c r="F1347">
        <v>2350</v>
      </c>
      <c r="G1347">
        <v>2351</v>
      </c>
      <c r="H1347">
        <v>2320</v>
      </c>
      <c r="I1347">
        <v>2336</v>
      </c>
      <c r="J1347">
        <v>98300</v>
      </c>
    </row>
    <row r="1348" spans="4:10">
      <c r="D1348" t="s">
        <v>612</v>
      </c>
      <c r="E1348" t="s">
        <v>552</v>
      </c>
      <c r="F1348">
        <v>2335</v>
      </c>
      <c r="G1348">
        <v>2357</v>
      </c>
      <c r="H1348">
        <v>2335</v>
      </c>
      <c r="I1348">
        <v>2353</v>
      </c>
      <c r="J1348">
        <v>46100</v>
      </c>
    </row>
    <row r="1349" spans="4:10">
      <c r="D1349" t="s">
        <v>612</v>
      </c>
      <c r="E1349" t="s">
        <v>553</v>
      </c>
      <c r="F1349">
        <v>2354</v>
      </c>
      <c r="G1349">
        <v>2371</v>
      </c>
      <c r="H1349">
        <v>2354</v>
      </c>
      <c r="I1349">
        <v>2359</v>
      </c>
      <c r="J1349">
        <v>90000</v>
      </c>
    </row>
    <row r="1350" spans="4:10">
      <c r="D1350" t="s">
        <v>612</v>
      </c>
      <c r="E1350" t="s">
        <v>554</v>
      </c>
      <c r="F1350">
        <v>2357</v>
      </c>
      <c r="G1350">
        <v>2394</v>
      </c>
      <c r="H1350">
        <v>2357</v>
      </c>
      <c r="I1350">
        <v>2391</v>
      </c>
      <c r="J1350">
        <v>78200</v>
      </c>
    </row>
    <row r="1351" spans="4:10">
      <c r="D1351" t="s">
        <v>612</v>
      </c>
      <c r="E1351" t="s">
        <v>555</v>
      </c>
      <c r="F1351">
        <v>2390</v>
      </c>
      <c r="G1351">
        <v>2390</v>
      </c>
      <c r="H1351">
        <v>2376</v>
      </c>
      <c r="I1351">
        <v>2377</v>
      </c>
      <c r="J1351">
        <v>59500</v>
      </c>
    </row>
    <row r="1352" spans="4:10">
      <c r="D1352" t="s">
        <v>612</v>
      </c>
      <c r="E1352" t="s">
        <v>556</v>
      </c>
      <c r="F1352">
        <v>2378</v>
      </c>
      <c r="G1352">
        <v>2403</v>
      </c>
      <c r="H1352">
        <v>2378</v>
      </c>
      <c r="I1352">
        <v>2403</v>
      </c>
      <c r="J1352">
        <v>74500</v>
      </c>
    </row>
    <row r="1353" spans="4:10">
      <c r="D1353" t="s">
        <v>612</v>
      </c>
      <c r="E1353" t="s">
        <v>557</v>
      </c>
      <c r="F1353">
        <v>2400</v>
      </c>
      <c r="G1353">
        <v>2417</v>
      </c>
      <c r="H1353">
        <v>2397</v>
      </c>
      <c r="I1353">
        <v>2410</v>
      </c>
      <c r="J1353">
        <v>103600</v>
      </c>
    </row>
    <row r="1354" spans="4:10">
      <c r="D1354" t="s">
        <v>612</v>
      </c>
      <c r="E1354" t="s">
        <v>558</v>
      </c>
      <c r="F1354">
        <v>2408</v>
      </c>
      <c r="G1354">
        <v>2415</v>
      </c>
      <c r="H1354">
        <v>2392</v>
      </c>
      <c r="I1354">
        <v>2413</v>
      </c>
      <c r="J1354">
        <v>74000</v>
      </c>
    </row>
    <row r="1355" spans="4:10">
      <c r="D1355" t="s">
        <v>612</v>
      </c>
      <c r="E1355" t="s">
        <v>559</v>
      </c>
      <c r="F1355">
        <v>2413</v>
      </c>
      <c r="G1355">
        <v>2424</v>
      </c>
      <c r="H1355">
        <v>2412</v>
      </c>
      <c r="I1355">
        <v>2418</v>
      </c>
      <c r="J1355">
        <v>59300</v>
      </c>
    </row>
    <row r="1356" spans="4:10">
      <c r="D1356" t="s">
        <v>612</v>
      </c>
      <c r="E1356" t="s">
        <v>560</v>
      </c>
      <c r="F1356">
        <v>2419</v>
      </c>
      <c r="G1356">
        <v>2423</v>
      </c>
      <c r="H1356">
        <v>2413</v>
      </c>
      <c r="I1356">
        <v>2416</v>
      </c>
      <c r="J1356">
        <v>29100</v>
      </c>
    </row>
    <row r="1357" spans="4:10">
      <c r="D1357" t="s">
        <v>612</v>
      </c>
      <c r="E1357" t="s">
        <v>561</v>
      </c>
      <c r="F1357">
        <v>2417</v>
      </c>
      <c r="G1357">
        <v>2418</v>
      </c>
      <c r="H1357">
        <v>2396</v>
      </c>
      <c r="I1357">
        <v>2405</v>
      </c>
      <c r="J1357">
        <v>50400</v>
      </c>
    </row>
    <row r="1358" spans="4:10">
      <c r="D1358" t="s">
        <v>612</v>
      </c>
      <c r="E1358" t="s">
        <v>562</v>
      </c>
      <c r="F1358">
        <v>2406</v>
      </c>
      <c r="G1358">
        <v>2415</v>
      </c>
      <c r="H1358">
        <v>2406</v>
      </c>
      <c r="I1358">
        <v>2413</v>
      </c>
      <c r="J1358">
        <v>21600</v>
      </c>
    </row>
    <row r="1359" spans="4:10">
      <c r="D1359" t="s">
        <v>612</v>
      </c>
      <c r="E1359" t="s">
        <v>563</v>
      </c>
      <c r="F1359">
        <v>2413</v>
      </c>
      <c r="G1359">
        <v>2430</v>
      </c>
      <c r="H1359">
        <v>2413</v>
      </c>
      <c r="I1359">
        <v>2423</v>
      </c>
      <c r="J1359">
        <v>69900</v>
      </c>
    </row>
    <row r="1360" spans="4:10">
      <c r="D1360" t="s">
        <v>612</v>
      </c>
      <c r="E1360" t="s">
        <v>564</v>
      </c>
      <c r="F1360">
        <v>2424</v>
      </c>
      <c r="G1360">
        <v>2437</v>
      </c>
      <c r="H1360">
        <v>2422</v>
      </c>
      <c r="I1360">
        <v>2432</v>
      </c>
      <c r="J1360">
        <v>66100</v>
      </c>
    </row>
    <row r="1361" spans="4:10">
      <c r="D1361" t="s">
        <v>612</v>
      </c>
      <c r="E1361" t="s">
        <v>565</v>
      </c>
      <c r="F1361">
        <v>2433</v>
      </c>
      <c r="G1361">
        <v>2442</v>
      </c>
      <c r="H1361">
        <v>2430</v>
      </c>
      <c r="I1361">
        <v>2441</v>
      </c>
      <c r="J1361">
        <v>53700</v>
      </c>
    </row>
    <row r="1362" spans="4:10">
      <c r="D1362" t="s">
        <v>612</v>
      </c>
      <c r="E1362" t="s">
        <v>566</v>
      </c>
      <c r="F1362">
        <v>2440</v>
      </c>
      <c r="G1362">
        <v>2441</v>
      </c>
      <c r="H1362">
        <v>2428</v>
      </c>
      <c r="I1362">
        <v>2430</v>
      </c>
      <c r="J1362">
        <v>30500</v>
      </c>
    </row>
    <row r="1363" spans="4:10">
      <c r="D1363" t="s">
        <v>612</v>
      </c>
      <c r="E1363" t="s">
        <v>567</v>
      </c>
      <c r="F1363">
        <v>2432</v>
      </c>
      <c r="G1363">
        <v>2448</v>
      </c>
      <c r="H1363">
        <v>2428</v>
      </c>
      <c r="I1363">
        <v>2437</v>
      </c>
      <c r="J1363">
        <v>68500</v>
      </c>
    </row>
    <row r="1364" spans="4:10">
      <c r="D1364" t="s">
        <v>612</v>
      </c>
      <c r="E1364" t="s">
        <v>568</v>
      </c>
      <c r="F1364">
        <v>2439</v>
      </c>
      <c r="G1364">
        <v>2451</v>
      </c>
      <c r="H1364">
        <v>2437</v>
      </c>
      <c r="I1364">
        <v>2439</v>
      </c>
      <c r="J1364">
        <v>61200</v>
      </c>
    </row>
    <row r="1365" spans="4:10">
      <c r="D1365" t="s">
        <v>612</v>
      </c>
      <c r="E1365" t="s">
        <v>569</v>
      </c>
      <c r="F1365">
        <v>2439</v>
      </c>
      <c r="G1365">
        <v>2451</v>
      </c>
      <c r="H1365">
        <v>2434</v>
      </c>
      <c r="I1365">
        <v>2448</v>
      </c>
      <c r="J1365">
        <v>70800</v>
      </c>
    </row>
    <row r="1366" spans="4:10">
      <c r="D1366" t="s">
        <v>612</v>
      </c>
      <c r="E1366" t="s">
        <v>570</v>
      </c>
      <c r="F1366">
        <v>2450</v>
      </c>
      <c r="G1366">
        <v>2450</v>
      </c>
      <c r="H1366">
        <v>2441</v>
      </c>
      <c r="I1366">
        <v>2447</v>
      </c>
      <c r="J1366">
        <v>52500</v>
      </c>
    </row>
    <row r="1367" spans="4:10">
      <c r="D1367" t="s">
        <v>612</v>
      </c>
      <c r="E1367" t="s">
        <v>571</v>
      </c>
      <c r="F1367" t="s">
        <v>35</v>
      </c>
      <c r="G1367" t="s">
        <v>35</v>
      </c>
      <c r="H1367" t="s">
        <v>35</v>
      </c>
      <c r="I1367" t="s">
        <v>35</v>
      </c>
      <c r="J1367">
        <v>0</v>
      </c>
    </row>
    <row r="1368" spans="4:10">
      <c r="D1368" t="s">
        <v>612</v>
      </c>
      <c r="E1368" t="s">
        <v>572</v>
      </c>
      <c r="F1368">
        <v>2452</v>
      </c>
      <c r="G1368">
        <v>2452</v>
      </c>
      <c r="H1368">
        <v>2452</v>
      </c>
      <c r="I1368">
        <v>2452</v>
      </c>
      <c r="J1368">
        <v>94500</v>
      </c>
    </row>
    <row r="1369" spans="4:10">
      <c r="D1369" t="s">
        <v>537</v>
      </c>
      <c r="E1369" t="s">
        <v>574</v>
      </c>
      <c r="F1369">
        <v>2402</v>
      </c>
      <c r="G1369">
        <v>2457</v>
      </c>
      <c r="H1369">
        <v>2392</v>
      </c>
      <c r="I1369">
        <v>2430</v>
      </c>
      <c r="J1369">
        <v>426700</v>
      </c>
    </row>
    <row r="1370" spans="4:10">
      <c r="D1370" t="s">
        <v>537</v>
      </c>
      <c r="E1370" t="s">
        <v>575</v>
      </c>
      <c r="F1370">
        <v>2428</v>
      </c>
      <c r="G1370">
        <v>2430</v>
      </c>
      <c r="H1370">
        <v>2403</v>
      </c>
      <c r="I1370">
        <v>2421</v>
      </c>
      <c r="J1370">
        <v>98200</v>
      </c>
    </row>
    <row r="1371" spans="4:10">
      <c r="D1371" t="s">
        <v>537</v>
      </c>
      <c r="E1371" t="s">
        <v>576</v>
      </c>
      <c r="F1371">
        <v>2423</v>
      </c>
      <c r="G1371">
        <v>2448</v>
      </c>
      <c r="H1371">
        <v>2389</v>
      </c>
      <c r="I1371">
        <v>2391</v>
      </c>
      <c r="J1371">
        <v>190600</v>
      </c>
    </row>
    <row r="1372" spans="4:10">
      <c r="D1372" t="s">
        <v>537</v>
      </c>
      <c r="E1372" t="s">
        <v>577</v>
      </c>
      <c r="F1372">
        <v>2394</v>
      </c>
      <c r="G1372">
        <v>2415</v>
      </c>
      <c r="H1372">
        <v>2388</v>
      </c>
      <c r="I1372">
        <v>2408</v>
      </c>
      <c r="J1372">
        <v>66400</v>
      </c>
    </row>
    <row r="1373" spans="4:10">
      <c r="D1373" t="s">
        <v>537</v>
      </c>
      <c r="E1373" t="s">
        <v>578</v>
      </c>
      <c r="F1373">
        <v>2410</v>
      </c>
      <c r="G1373">
        <v>2426</v>
      </c>
      <c r="H1373">
        <v>2394</v>
      </c>
      <c r="I1373">
        <v>2395</v>
      </c>
      <c r="J1373">
        <v>63600</v>
      </c>
    </row>
    <row r="1374" spans="4:10">
      <c r="D1374" t="s">
        <v>537</v>
      </c>
      <c r="E1374" t="s">
        <v>579</v>
      </c>
      <c r="F1374">
        <v>2398</v>
      </c>
      <c r="G1374">
        <v>2398</v>
      </c>
      <c r="H1374">
        <v>2368</v>
      </c>
      <c r="I1374">
        <v>2369</v>
      </c>
      <c r="J1374">
        <v>77600</v>
      </c>
    </row>
    <row r="1375" spans="4:10">
      <c r="D1375" t="s">
        <v>537</v>
      </c>
      <c r="E1375" t="s">
        <v>580</v>
      </c>
      <c r="F1375">
        <v>2370</v>
      </c>
      <c r="G1375">
        <v>2381</v>
      </c>
      <c r="H1375">
        <v>2362</v>
      </c>
      <c r="I1375">
        <v>2381</v>
      </c>
      <c r="J1375">
        <v>65900</v>
      </c>
    </row>
    <row r="1376" spans="4:10">
      <c r="D1376" t="s">
        <v>537</v>
      </c>
      <c r="E1376" t="s">
        <v>581</v>
      </c>
      <c r="F1376">
        <v>2383</v>
      </c>
      <c r="G1376">
        <v>2389</v>
      </c>
      <c r="H1376">
        <v>2375</v>
      </c>
      <c r="I1376">
        <v>2380</v>
      </c>
      <c r="J1376">
        <v>50900</v>
      </c>
    </row>
    <row r="1377" spans="4:10">
      <c r="D1377" t="s">
        <v>537</v>
      </c>
      <c r="E1377" t="s">
        <v>582</v>
      </c>
      <c r="F1377">
        <v>2378</v>
      </c>
      <c r="G1377">
        <v>2378</v>
      </c>
      <c r="H1377">
        <v>2364</v>
      </c>
      <c r="I1377">
        <v>2367</v>
      </c>
      <c r="J1377">
        <v>31400</v>
      </c>
    </row>
    <row r="1378" spans="4:10">
      <c r="D1378" t="s">
        <v>537</v>
      </c>
      <c r="E1378" t="s">
        <v>583</v>
      </c>
      <c r="F1378">
        <v>2367</v>
      </c>
      <c r="G1378">
        <v>2367</v>
      </c>
      <c r="H1378">
        <v>2346</v>
      </c>
      <c r="I1378">
        <v>2348</v>
      </c>
      <c r="J1378">
        <v>79700</v>
      </c>
    </row>
    <row r="1379" spans="4:10">
      <c r="D1379" t="s">
        <v>537</v>
      </c>
      <c r="E1379" t="s">
        <v>584</v>
      </c>
      <c r="F1379">
        <v>2348</v>
      </c>
      <c r="G1379">
        <v>2352</v>
      </c>
      <c r="H1379">
        <v>2325</v>
      </c>
      <c r="I1379">
        <v>2334</v>
      </c>
      <c r="J1379">
        <v>92500</v>
      </c>
    </row>
    <row r="1380" spans="4:10">
      <c r="D1380" t="s">
        <v>537</v>
      </c>
      <c r="E1380" t="s">
        <v>585</v>
      </c>
      <c r="F1380">
        <v>2335</v>
      </c>
      <c r="G1380">
        <v>2341</v>
      </c>
      <c r="H1380">
        <v>2313</v>
      </c>
      <c r="I1380">
        <v>2313</v>
      </c>
      <c r="J1380">
        <v>71900</v>
      </c>
    </row>
    <row r="1381" spans="4:10">
      <c r="D1381" t="s">
        <v>537</v>
      </c>
      <c r="E1381" t="s">
        <v>586</v>
      </c>
      <c r="F1381">
        <v>2315</v>
      </c>
      <c r="G1381">
        <v>2343</v>
      </c>
      <c r="H1381">
        <v>2311</v>
      </c>
      <c r="I1381">
        <v>2343</v>
      </c>
      <c r="J1381">
        <v>61400</v>
      </c>
    </row>
    <row r="1382" spans="4:10">
      <c r="D1382" t="s">
        <v>537</v>
      </c>
      <c r="E1382" t="s">
        <v>587</v>
      </c>
      <c r="F1382">
        <v>2343</v>
      </c>
      <c r="G1382">
        <v>2370</v>
      </c>
      <c r="H1382">
        <v>2341</v>
      </c>
      <c r="I1382">
        <v>2356</v>
      </c>
      <c r="J1382">
        <v>93200</v>
      </c>
    </row>
    <row r="1383" spans="4:10">
      <c r="D1383" t="s">
        <v>537</v>
      </c>
      <c r="E1383" t="s">
        <v>588</v>
      </c>
      <c r="F1383">
        <v>2357</v>
      </c>
      <c r="G1383">
        <v>2380</v>
      </c>
      <c r="H1383">
        <v>2355</v>
      </c>
      <c r="I1383">
        <v>2377</v>
      </c>
      <c r="J1383">
        <v>64600</v>
      </c>
    </row>
    <row r="1384" spans="4:10">
      <c r="D1384" t="s">
        <v>537</v>
      </c>
      <c r="E1384" t="s">
        <v>589</v>
      </c>
      <c r="F1384">
        <v>2379</v>
      </c>
      <c r="G1384">
        <v>2398</v>
      </c>
      <c r="H1384">
        <v>2378</v>
      </c>
      <c r="I1384">
        <v>2394</v>
      </c>
      <c r="J1384">
        <v>72500</v>
      </c>
    </row>
    <row r="1385" spans="4:10">
      <c r="D1385" t="s">
        <v>537</v>
      </c>
      <c r="E1385" t="s">
        <v>590</v>
      </c>
      <c r="F1385">
        <v>2393</v>
      </c>
      <c r="G1385">
        <v>2394</v>
      </c>
      <c r="H1385">
        <v>2367</v>
      </c>
      <c r="I1385">
        <v>2368</v>
      </c>
      <c r="J1385">
        <v>65900</v>
      </c>
    </row>
    <row r="1386" spans="4:10">
      <c r="D1386" t="s">
        <v>537</v>
      </c>
      <c r="E1386" t="s">
        <v>591</v>
      </c>
      <c r="F1386">
        <v>2369</v>
      </c>
      <c r="G1386">
        <v>2394</v>
      </c>
      <c r="H1386">
        <v>2369</v>
      </c>
      <c r="I1386">
        <v>2388</v>
      </c>
      <c r="J1386">
        <v>31600</v>
      </c>
    </row>
    <row r="1387" spans="4:10">
      <c r="D1387" t="s">
        <v>537</v>
      </c>
      <c r="E1387" t="s">
        <v>592</v>
      </c>
      <c r="F1387">
        <v>2387</v>
      </c>
      <c r="G1387">
        <v>2387</v>
      </c>
      <c r="H1387">
        <v>2371</v>
      </c>
      <c r="I1387">
        <v>2380</v>
      </c>
      <c r="J1387">
        <v>32900</v>
      </c>
    </row>
    <row r="1388" spans="4:10">
      <c r="D1388" t="s">
        <v>537</v>
      </c>
      <c r="E1388" t="s">
        <v>593</v>
      </c>
      <c r="F1388">
        <v>2377</v>
      </c>
      <c r="G1388">
        <v>2377</v>
      </c>
      <c r="H1388">
        <v>2367</v>
      </c>
      <c r="I1388">
        <v>2374</v>
      </c>
      <c r="J1388">
        <v>16600</v>
      </c>
    </row>
    <row r="1389" spans="4:10">
      <c r="D1389" t="s">
        <v>537</v>
      </c>
      <c r="E1389" t="s">
        <v>594</v>
      </c>
      <c r="F1389">
        <v>2374</v>
      </c>
      <c r="G1389">
        <v>2405</v>
      </c>
      <c r="H1389">
        <v>2368</v>
      </c>
      <c r="I1389">
        <v>2404</v>
      </c>
      <c r="J1389">
        <v>56500</v>
      </c>
    </row>
    <row r="1390" spans="4:10">
      <c r="D1390" t="s">
        <v>537</v>
      </c>
      <c r="E1390" t="s">
        <v>595</v>
      </c>
      <c r="F1390">
        <v>2403</v>
      </c>
      <c r="G1390">
        <v>2419</v>
      </c>
      <c r="H1390">
        <v>2395</v>
      </c>
      <c r="I1390">
        <v>2413</v>
      </c>
      <c r="J1390">
        <v>83800</v>
      </c>
    </row>
    <row r="1391" spans="4:10">
      <c r="D1391" t="s">
        <v>537</v>
      </c>
      <c r="E1391" t="s">
        <v>596</v>
      </c>
      <c r="F1391">
        <v>2412</v>
      </c>
      <c r="G1391">
        <v>2427</v>
      </c>
      <c r="H1391">
        <v>2405</v>
      </c>
      <c r="I1391">
        <v>2415</v>
      </c>
      <c r="J1391">
        <v>65100</v>
      </c>
    </row>
    <row r="1392" spans="4:10">
      <c r="D1392" t="s">
        <v>537</v>
      </c>
      <c r="E1392" t="s">
        <v>597</v>
      </c>
      <c r="F1392">
        <v>2415</v>
      </c>
      <c r="G1392">
        <v>2428</v>
      </c>
      <c r="H1392">
        <v>2410</v>
      </c>
      <c r="I1392">
        <v>2411</v>
      </c>
      <c r="J1392">
        <v>42100</v>
      </c>
    </row>
    <row r="1393" spans="4:10">
      <c r="D1393" t="s">
        <v>537</v>
      </c>
      <c r="E1393" t="s">
        <v>598</v>
      </c>
      <c r="F1393">
        <v>2413</v>
      </c>
      <c r="G1393">
        <v>2424</v>
      </c>
      <c r="H1393">
        <v>2402</v>
      </c>
      <c r="I1393">
        <v>2402</v>
      </c>
      <c r="J1393">
        <v>43100</v>
      </c>
    </row>
    <row r="1394" spans="4:10">
      <c r="D1394" t="s">
        <v>537</v>
      </c>
      <c r="E1394" t="s">
        <v>599</v>
      </c>
      <c r="F1394">
        <v>2402</v>
      </c>
      <c r="G1394">
        <v>2402</v>
      </c>
      <c r="H1394">
        <v>2387</v>
      </c>
      <c r="I1394">
        <v>2391</v>
      </c>
      <c r="J1394">
        <v>26500</v>
      </c>
    </row>
    <row r="1395" spans="4:10">
      <c r="D1395" t="s">
        <v>537</v>
      </c>
      <c r="E1395" t="s">
        <v>600</v>
      </c>
      <c r="F1395">
        <v>2391</v>
      </c>
      <c r="G1395">
        <v>2413</v>
      </c>
      <c r="H1395">
        <v>2391</v>
      </c>
      <c r="I1395">
        <v>2410</v>
      </c>
      <c r="J1395">
        <v>17800</v>
      </c>
    </row>
    <row r="1396" spans="4:10">
      <c r="D1396" t="s">
        <v>537</v>
      </c>
      <c r="E1396" t="s">
        <v>601</v>
      </c>
      <c r="F1396">
        <v>2410</v>
      </c>
      <c r="G1396">
        <v>2412</v>
      </c>
      <c r="H1396">
        <v>2396</v>
      </c>
      <c r="I1396">
        <v>2399</v>
      </c>
      <c r="J1396">
        <v>24500</v>
      </c>
    </row>
    <row r="1397" spans="4:10">
      <c r="D1397" t="s">
        <v>537</v>
      </c>
      <c r="E1397" t="s">
        <v>602</v>
      </c>
      <c r="F1397">
        <v>2398</v>
      </c>
      <c r="G1397">
        <v>2405</v>
      </c>
      <c r="H1397">
        <v>2398</v>
      </c>
      <c r="I1397">
        <v>2401</v>
      </c>
      <c r="J1397">
        <v>7700</v>
      </c>
    </row>
    <row r="1398" spans="4:10">
      <c r="D1398" t="s">
        <v>537</v>
      </c>
      <c r="E1398" t="s">
        <v>603</v>
      </c>
      <c r="F1398">
        <v>2400</v>
      </c>
      <c r="G1398">
        <v>2400</v>
      </c>
      <c r="H1398">
        <v>2391</v>
      </c>
      <c r="I1398">
        <v>2393</v>
      </c>
      <c r="J1398">
        <v>15500</v>
      </c>
    </row>
    <row r="1399" spans="4:10">
      <c r="D1399" t="s">
        <v>537</v>
      </c>
      <c r="E1399" t="s">
        <v>604</v>
      </c>
      <c r="F1399">
        <v>2391</v>
      </c>
      <c r="G1399">
        <v>2391</v>
      </c>
      <c r="H1399">
        <v>2391</v>
      </c>
      <c r="I1399">
        <v>2391</v>
      </c>
      <c r="J1399">
        <v>1000</v>
      </c>
    </row>
    <row r="1400" spans="4:10">
      <c r="D1400" t="s">
        <v>537</v>
      </c>
      <c r="E1400" t="s">
        <v>605</v>
      </c>
      <c r="F1400">
        <v>2392</v>
      </c>
      <c r="G1400">
        <v>2420</v>
      </c>
      <c r="H1400">
        <v>2389</v>
      </c>
      <c r="I1400">
        <v>2416</v>
      </c>
      <c r="J1400">
        <v>68000</v>
      </c>
    </row>
    <row r="1401" spans="4:10">
      <c r="D1401" t="s">
        <v>537</v>
      </c>
      <c r="E1401" t="s">
        <v>606</v>
      </c>
      <c r="F1401">
        <v>2418</v>
      </c>
      <c r="G1401">
        <v>2422</v>
      </c>
      <c r="H1401">
        <v>2405</v>
      </c>
      <c r="I1401">
        <v>2406</v>
      </c>
      <c r="J1401">
        <v>59700</v>
      </c>
    </row>
    <row r="1402" spans="4:10">
      <c r="D1402" t="s">
        <v>537</v>
      </c>
      <c r="E1402" t="s">
        <v>538</v>
      </c>
      <c r="F1402">
        <v>2407</v>
      </c>
      <c r="G1402">
        <v>2414</v>
      </c>
      <c r="H1402">
        <v>2405</v>
      </c>
      <c r="I1402">
        <v>2406</v>
      </c>
      <c r="J1402">
        <v>23100</v>
      </c>
    </row>
    <row r="1403" spans="4:10">
      <c r="D1403" t="s">
        <v>537</v>
      </c>
      <c r="E1403" t="s">
        <v>539</v>
      </c>
      <c r="F1403">
        <v>2406</v>
      </c>
      <c r="G1403">
        <v>2410</v>
      </c>
      <c r="H1403">
        <v>2406</v>
      </c>
      <c r="I1403">
        <v>2406</v>
      </c>
      <c r="J1403">
        <v>12400</v>
      </c>
    </row>
    <row r="1404" spans="4:10">
      <c r="D1404" t="s">
        <v>537</v>
      </c>
      <c r="E1404" t="s">
        <v>540</v>
      </c>
      <c r="F1404">
        <v>2408</v>
      </c>
      <c r="G1404">
        <v>2409</v>
      </c>
      <c r="H1404">
        <v>2386</v>
      </c>
      <c r="I1404">
        <v>2386</v>
      </c>
      <c r="J1404">
        <v>51300</v>
      </c>
    </row>
    <row r="1405" spans="4:10">
      <c r="D1405" t="s">
        <v>537</v>
      </c>
      <c r="E1405" t="s">
        <v>541</v>
      </c>
      <c r="F1405">
        <v>2386</v>
      </c>
      <c r="G1405">
        <v>2400</v>
      </c>
      <c r="H1405">
        <v>2385</v>
      </c>
      <c r="I1405">
        <v>2395</v>
      </c>
      <c r="J1405">
        <v>20700</v>
      </c>
    </row>
    <row r="1406" spans="4:10">
      <c r="D1406" t="s">
        <v>537</v>
      </c>
      <c r="E1406" t="s">
        <v>542</v>
      </c>
      <c r="F1406">
        <v>2394</v>
      </c>
      <c r="G1406">
        <v>2395</v>
      </c>
      <c r="H1406">
        <v>2380</v>
      </c>
      <c r="I1406">
        <v>2391</v>
      </c>
      <c r="J1406">
        <v>37300</v>
      </c>
    </row>
    <row r="1407" spans="4:10">
      <c r="D1407" t="s">
        <v>537</v>
      </c>
      <c r="E1407" t="s">
        <v>543</v>
      </c>
      <c r="F1407">
        <v>2394</v>
      </c>
      <c r="G1407">
        <v>2394</v>
      </c>
      <c r="H1407">
        <v>2385</v>
      </c>
      <c r="I1407">
        <v>2389</v>
      </c>
      <c r="J1407">
        <v>16500</v>
      </c>
    </row>
    <row r="1408" spans="4:10">
      <c r="D1408" t="s">
        <v>537</v>
      </c>
      <c r="E1408" t="s">
        <v>544</v>
      </c>
      <c r="F1408">
        <v>2389</v>
      </c>
      <c r="G1408">
        <v>2405</v>
      </c>
      <c r="H1408">
        <v>2389</v>
      </c>
      <c r="I1408">
        <v>2405</v>
      </c>
      <c r="J1408">
        <v>18200</v>
      </c>
    </row>
    <row r="1409" spans="4:10">
      <c r="D1409" t="s">
        <v>537</v>
      </c>
      <c r="E1409" t="s">
        <v>545</v>
      </c>
      <c r="F1409">
        <v>2405</v>
      </c>
      <c r="G1409">
        <v>2405</v>
      </c>
      <c r="H1409">
        <v>2400</v>
      </c>
      <c r="I1409">
        <v>2404</v>
      </c>
      <c r="J1409">
        <v>7800</v>
      </c>
    </row>
    <row r="1410" spans="4:10">
      <c r="D1410" t="s">
        <v>537</v>
      </c>
      <c r="E1410" t="s">
        <v>546</v>
      </c>
      <c r="F1410">
        <v>2403</v>
      </c>
      <c r="G1410">
        <v>2408</v>
      </c>
      <c r="H1410">
        <v>2391</v>
      </c>
      <c r="I1410">
        <v>2397</v>
      </c>
      <c r="J1410">
        <v>26500</v>
      </c>
    </row>
    <row r="1411" spans="4:10">
      <c r="D1411" t="s">
        <v>537</v>
      </c>
      <c r="E1411" t="s">
        <v>547</v>
      </c>
      <c r="F1411">
        <v>2396</v>
      </c>
      <c r="G1411">
        <v>2400</v>
      </c>
      <c r="H1411">
        <v>2387</v>
      </c>
      <c r="I1411">
        <v>2390</v>
      </c>
      <c r="J1411">
        <v>15000</v>
      </c>
    </row>
    <row r="1412" spans="4:10">
      <c r="D1412" t="s">
        <v>537</v>
      </c>
      <c r="E1412" t="s">
        <v>548</v>
      </c>
      <c r="F1412">
        <v>2390</v>
      </c>
      <c r="G1412">
        <v>2390</v>
      </c>
      <c r="H1412">
        <v>2381</v>
      </c>
      <c r="I1412">
        <v>2385</v>
      </c>
      <c r="J1412">
        <v>21300</v>
      </c>
    </row>
    <row r="1413" spans="4:10">
      <c r="D1413" t="s">
        <v>537</v>
      </c>
      <c r="E1413" t="s">
        <v>549</v>
      </c>
      <c r="F1413">
        <v>2384</v>
      </c>
      <c r="G1413">
        <v>2389</v>
      </c>
      <c r="H1413">
        <v>2380</v>
      </c>
      <c r="I1413">
        <v>2387</v>
      </c>
      <c r="J1413">
        <v>19400</v>
      </c>
    </row>
    <row r="1414" spans="4:10">
      <c r="D1414" t="s">
        <v>537</v>
      </c>
      <c r="E1414" t="s">
        <v>550</v>
      </c>
      <c r="F1414">
        <v>2386</v>
      </c>
      <c r="G1414">
        <v>2389</v>
      </c>
      <c r="H1414">
        <v>2385</v>
      </c>
      <c r="I1414">
        <v>2385</v>
      </c>
      <c r="J1414">
        <v>4800</v>
      </c>
    </row>
    <row r="1415" spans="4:10">
      <c r="D1415" t="s">
        <v>537</v>
      </c>
      <c r="E1415" t="s">
        <v>551</v>
      </c>
      <c r="F1415">
        <v>2385</v>
      </c>
      <c r="G1415">
        <v>2388</v>
      </c>
      <c r="H1415">
        <v>2385</v>
      </c>
      <c r="I1415">
        <v>2385</v>
      </c>
      <c r="J1415">
        <v>6300</v>
      </c>
    </row>
    <row r="1416" spans="4:10">
      <c r="D1416" t="s">
        <v>537</v>
      </c>
      <c r="E1416" t="s">
        <v>552</v>
      </c>
      <c r="F1416">
        <v>2386</v>
      </c>
      <c r="G1416">
        <v>2389</v>
      </c>
      <c r="H1416">
        <v>2385</v>
      </c>
      <c r="I1416">
        <v>2389</v>
      </c>
      <c r="J1416">
        <v>6700</v>
      </c>
    </row>
    <row r="1417" spans="4:10">
      <c r="D1417" t="s">
        <v>537</v>
      </c>
      <c r="E1417" t="s">
        <v>553</v>
      </c>
      <c r="F1417">
        <v>2389</v>
      </c>
      <c r="G1417">
        <v>2389</v>
      </c>
      <c r="H1417">
        <v>2385</v>
      </c>
      <c r="I1417">
        <v>2387</v>
      </c>
      <c r="J1417">
        <v>5300</v>
      </c>
    </row>
    <row r="1418" spans="4:10">
      <c r="D1418" t="s">
        <v>537</v>
      </c>
      <c r="E1418" t="s">
        <v>554</v>
      </c>
      <c r="F1418">
        <v>2388</v>
      </c>
      <c r="G1418">
        <v>2389</v>
      </c>
      <c r="H1418">
        <v>2386</v>
      </c>
      <c r="I1418">
        <v>2388</v>
      </c>
      <c r="J1418">
        <v>3900</v>
      </c>
    </row>
    <row r="1419" spans="4:10">
      <c r="D1419" t="s">
        <v>537</v>
      </c>
      <c r="E1419" t="s">
        <v>555</v>
      </c>
      <c r="F1419">
        <v>2388</v>
      </c>
      <c r="G1419">
        <v>2389</v>
      </c>
      <c r="H1419">
        <v>2385</v>
      </c>
      <c r="I1419">
        <v>2388</v>
      </c>
      <c r="J1419">
        <v>4400</v>
      </c>
    </row>
    <row r="1420" spans="4:10">
      <c r="D1420" t="s">
        <v>537</v>
      </c>
      <c r="E1420" t="s">
        <v>556</v>
      </c>
      <c r="F1420">
        <v>2389</v>
      </c>
      <c r="G1420">
        <v>2389</v>
      </c>
      <c r="H1420">
        <v>2385</v>
      </c>
      <c r="I1420">
        <v>2385</v>
      </c>
      <c r="J1420">
        <v>8400</v>
      </c>
    </row>
    <row r="1421" spans="4:10">
      <c r="D1421" t="s">
        <v>537</v>
      </c>
      <c r="E1421" t="s">
        <v>557</v>
      </c>
      <c r="F1421">
        <v>2385</v>
      </c>
      <c r="G1421">
        <v>2387</v>
      </c>
      <c r="H1421">
        <v>2385</v>
      </c>
      <c r="I1421">
        <v>2385</v>
      </c>
      <c r="J1421">
        <v>3700</v>
      </c>
    </row>
    <row r="1422" spans="4:10">
      <c r="D1422" t="s">
        <v>537</v>
      </c>
      <c r="E1422" t="s">
        <v>558</v>
      </c>
      <c r="F1422">
        <v>2386</v>
      </c>
      <c r="G1422">
        <v>2386</v>
      </c>
      <c r="H1422">
        <v>2383</v>
      </c>
      <c r="I1422">
        <v>2383</v>
      </c>
      <c r="J1422">
        <v>4300</v>
      </c>
    </row>
    <row r="1423" spans="4:10">
      <c r="D1423" t="s">
        <v>537</v>
      </c>
      <c r="E1423" t="s">
        <v>559</v>
      </c>
      <c r="F1423">
        <v>2383</v>
      </c>
      <c r="G1423">
        <v>2383</v>
      </c>
      <c r="H1423">
        <v>2372</v>
      </c>
      <c r="I1423">
        <v>2373</v>
      </c>
      <c r="J1423">
        <v>23200</v>
      </c>
    </row>
    <row r="1424" spans="4:10">
      <c r="D1424" t="s">
        <v>537</v>
      </c>
      <c r="E1424" t="s">
        <v>560</v>
      </c>
      <c r="F1424">
        <v>2374</v>
      </c>
      <c r="G1424">
        <v>2377</v>
      </c>
      <c r="H1424">
        <v>2372</v>
      </c>
      <c r="I1424">
        <v>2372</v>
      </c>
      <c r="J1424">
        <v>8000</v>
      </c>
    </row>
    <row r="1425" spans="4:10">
      <c r="D1425" t="s">
        <v>537</v>
      </c>
      <c r="E1425" t="s">
        <v>561</v>
      </c>
      <c r="F1425">
        <v>2372</v>
      </c>
      <c r="G1425">
        <v>2374</v>
      </c>
      <c r="H1425">
        <v>2362</v>
      </c>
      <c r="I1425">
        <v>2363</v>
      </c>
      <c r="J1425">
        <v>18200</v>
      </c>
    </row>
    <row r="1426" spans="4:10">
      <c r="D1426" t="s">
        <v>537</v>
      </c>
      <c r="E1426" t="s">
        <v>562</v>
      </c>
      <c r="F1426">
        <v>2363</v>
      </c>
      <c r="G1426">
        <v>2364</v>
      </c>
      <c r="H1426">
        <v>2358</v>
      </c>
      <c r="I1426">
        <v>2364</v>
      </c>
      <c r="J1426">
        <v>21700</v>
      </c>
    </row>
    <row r="1427" spans="4:10">
      <c r="D1427" t="s">
        <v>537</v>
      </c>
      <c r="E1427" t="s">
        <v>563</v>
      </c>
      <c r="F1427">
        <v>2365</v>
      </c>
      <c r="G1427">
        <v>2372</v>
      </c>
      <c r="H1427">
        <v>2362</v>
      </c>
      <c r="I1427">
        <v>2370</v>
      </c>
      <c r="J1427">
        <v>21300</v>
      </c>
    </row>
    <row r="1428" spans="4:10">
      <c r="D1428" t="s">
        <v>537</v>
      </c>
      <c r="E1428" t="s">
        <v>564</v>
      </c>
      <c r="F1428">
        <v>2371</v>
      </c>
      <c r="G1428">
        <v>2378</v>
      </c>
      <c r="H1428">
        <v>2371</v>
      </c>
      <c r="I1428">
        <v>2378</v>
      </c>
      <c r="J1428">
        <v>16500</v>
      </c>
    </row>
    <row r="1429" spans="4:10">
      <c r="D1429" t="s">
        <v>537</v>
      </c>
      <c r="E1429" t="s">
        <v>565</v>
      </c>
      <c r="F1429">
        <v>2378</v>
      </c>
      <c r="G1429">
        <v>2378</v>
      </c>
      <c r="H1429">
        <v>2375</v>
      </c>
      <c r="I1429">
        <v>2375</v>
      </c>
      <c r="J1429">
        <v>12700</v>
      </c>
    </row>
    <row r="1430" spans="4:10">
      <c r="D1430" t="s">
        <v>537</v>
      </c>
      <c r="E1430" t="s">
        <v>566</v>
      </c>
      <c r="F1430">
        <v>2376</v>
      </c>
      <c r="G1430">
        <v>2376</v>
      </c>
      <c r="H1430">
        <v>2361</v>
      </c>
      <c r="I1430">
        <v>2366</v>
      </c>
      <c r="J1430">
        <v>20400</v>
      </c>
    </row>
    <row r="1431" spans="4:10">
      <c r="D1431" t="s">
        <v>537</v>
      </c>
      <c r="E1431" t="s">
        <v>567</v>
      </c>
      <c r="F1431">
        <v>2366</v>
      </c>
      <c r="G1431">
        <v>2369</v>
      </c>
      <c r="H1431">
        <v>2364</v>
      </c>
      <c r="I1431">
        <v>2366</v>
      </c>
      <c r="J1431">
        <v>10100</v>
      </c>
    </row>
    <row r="1432" spans="4:10">
      <c r="D1432" t="s">
        <v>537</v>
      </c>
      <c r="E1432" t="s">
        <v>568</v>
      </c>
      <c r="F1432">
        <v>2368</v>
      </c>
      <c r="G1432">
        <v>2372</v>
      </c>
      <c r="H1432">
        <v>2367</v>
      </c>
      <c r="I1432">
        <v>2372</v>
      </c>
      <c r="J1432">
        <v>12900</v>
      </c>
    </row>
    <row r="1433" spans="4:10">
      <c r="D1433" t="s">
        <v>537</v>
      </c>
      <c r="E1433" t="s">
        <v>569</v>
      </c>
      <c r="F1433">
        <v>2371</v>
      </c>
      <c r="G1433">
        <v>2378</v>
      </c>
      <c r="H1433">
        <v>2370</v>
      </c>
      <c r="I1433">
        <v>2375</v>
      </c>
      <c r="J1433">
        <v>31400</v>
      </c>
    </row>
    <row r="1434" spans="4:10">
      <c r="D1434" t="s">
        <v>537</v>
      </c>
      <c r="E1434" t="s">
        <v>570</v>
      </c>
      <c r="F1434">
        <v>2375</v>
      </c>
      <c r="G1434">
        <v>2378</v>
      </c>
      <c r="H1434">
        <v>2360</v>
      </c>
      <c r="I1434">
        <v>2363</v>
      </c>
      <c r="J1434">
        <v>39800</v>
      </c>
    </row>
    <row r="1435" spans="4:10">
      <c r="D1435" t="s">
        <v>537</v>
      </c>
      <c r="E1435" t="s">
        <v>571</v>
      </c>
      <c r="F1435" t="s">
        <v>35</v>
      </c>
      <c r="G1435" t="s">
        <v>35</v>
      </c>
      <c r="H1435" t="s">
        <v>35</v>
      </c>
      <c r="I1435" t="s">
        <v>35</v>
      </c>
      <c r="J1435">
        <v>0</v>
      </c>
    </row>
    <row r="1436" spans="4:10">
      <c r="D1436" t="s">
        <v>537</v>
      </c>
      <c r="E1436" t="s">
        <v>572</v>
      </c>
      <c r="F1436">
        <v>2373</v>
      </c>
      <c r="G1436">
        <v>2373</v>
      </c>
      <c r="H1436">
        <v>2373</v>
      </c>
      <c r="I1436">
        <v>2373</v>
      </c>
      <c r="J1436">
        <v>51800</v>
      </c>
    </row>
    <row r="1437" spans="4:10">
      <c r="D1437" t="s">
        <v>573</v>
      </c>
      <c r="E1437" t="s">
        <v>574</v>
      </c>
      <c r="F1437">
        <v>2462</v>
      </c>
      <c r="G1437">
        <v>2469</v>
      </c>
      <c r="H1437">
        <v>2437</v>
      </c>
      <c r="I1437">
        <v>2445</v>
      </c>
      <c r="J1437">
        <v>173700</v>
      </c>
    </row>
    <row r="1438" spans="4:10">
      <c r="D1438" t="s">
        <v>573</v>
      </c>
      <c r="E1438" t="s">
        <v>575</v>
      </c>
      <c r="F1438">
        <v>2445</v>
      </c>
      <c r="G1438">
        <v>2450</v>
      </c>
      <c r="H1438">
        <v>2420</v>
      </c>
      <c r="I1438">
        <v>2450</v>
      </c>
      <c r="J1438">
        <v>109500</v>
      </c>
    </row>
    <row r="1439" spans="4:10">
      <c r="D1439" t="s">
        <v>573</v>
      </c>
      <c r="E1439" t="s">
        <v>576</v>
      </c>
      <c r="F1439">
        <v>2448</v>
      </c>
      <c r="G1439">
        <v>2468</v>
      </c>
      <c r="H1439">
        <v>2435</v>
      </c>
      <c r="I1439">
        <v>2441</v>
      </c>
      <c r="J1439">
        <v>158400</v>
      </c>
    </row>
    <row r="1440" spans="4:10">
      <c r="D1440" t="s">
        <v>573</v>
      </c>
      <c r="E1440" t="s">
        <v>577</v>
      </c>
      <c r="F1440">
        <v>2441</v>
      </c>
      <c r="G1440">
        <v>2456</v>
      </c>
      <c r="H1440">
        <v>2427</v>
      </c>
      <c r="I1440">
        <v>2427</v>
      </c>
      <c r="J1440">
        <v>68100</v>
      </c>
    </row>
    <row r="1441" spans="4:10">
      <c r="D1441" t="s">
        <v>573</v>
      </c>
      <c r="E1441" t="s">
        <v>578</v>
      </c>
      <c r="F1441">
        <v>2428</v>
      </c>
      <c r="G1441">
        <v>2450</v>
      </c>
      <c r="H1441">
        <v>2426</v>
      </c>
      <c r="I1441">
        <v>2448</v>
      </c>
      <c r="J1441">
        <v>71500</v>
      </c>
    </row>
    <row r="1442" spans="4:10">
      <c r="D1442" t="s">
        <v>573</v>
      </c>
      <c r="E1442" t="s">
        <v>579</v>
      </c>
      <c r="F1442">
        <v>2449</v>
      </c>
      <c r="G1442">
        <v>2450</v>
      </c>
      <c r="H1442">
        <v>2431</v>
      </c>
      <c r="I1442">
        <v>2436</v>
      </c>
      <c r="J1442">
        <v>33700</v>
      </c>
    </row>
    <row r="1443" spans="4:10">
      <c r="D1443" t="s">
        <v>573</v>
      </c>
      <c r="E1443" t="s">
        <v>580</v>
      </c>
      <c r="F1443">
        <v>2435</v>
      </c>
      <c r="G1443">
        <v>2435</v>
      </c>
      <c r="H1443">
        <v>2402</v>
      </c>
      <c r="I1443">
        <v>2406</v>
      </c>
      <c r="J1443">
        <v>63500</v>
      </c>
    </row>
    <row r="1444" spans="4:10">
      <c r="D1444" t="s">
        <v>573</v>
      </c>
      <c r="E1444" t="s">
        <v>581</v>
      </c>
      <c r="F1444">
        <v>2409</v>
      </c>
      <c r="G1444">
        <v>2416</v>
      </c>
      <c r="H1444">
        <v>2392</v>
      </c>
      <c r="I1444">
        <v>2406</v>
      </c>
      <c r="J1444">
        <v>68000</v>
      </c>
    </row>
    <row r="1445" spans="4:10">
      <c r="D1445" t="s">
        <v>573</v>
      </c>
      <c r="E1445" t="s">
        <v>582</v>
      </c>
      <c r="F1445">
        <v>2407</v>
      </c>
      <c r="G1445">
        <v>2427</v>
      </c>
      <c r="H1445">
        <v>2404</v>
      </c>
      <c r="I1445">
        <v>2416</v>
      </c>
      <c r="J1445">
        <v>49800</v>
      </c>
    </row>
    <row r="1446" spans="4:10">
      <c r="D1446" t="s">
        <v>573</v>
      </c>
      <c r="E1446" t="s">
        <v>583</v>
      </c>
      <c r="F1446">
        <v>2416</v>
      </c>
      <c r="G1446">
        <v>2435</v>
      </c>
      <c r="H1446">
        <v>2415</v>
      </c>
      <c r="I1446">
        <v>2433</v>
      </c>
      <c r="J1446">
        <v>38900</v>
      </c>
    </row>
    <row r="1447" spans="4:10">
      <c r="D1447" t="s">
        <v>573</v>
      </c>
      <c r="E1447" t="s">
        <v>584</v>
      </c>
      <c r="F1447">
        <v>2433</v>
      </c>
      <c r="G1447">
        <v>2434</v>
      </c>
      <c r="H1447">
        <v>2411</v>
      </c>
      <c r="I1447">
        <v>2411</v>
      </c>
      <c r="J1447">
        <v>32200</v>
      </c>
    </row>
    <row r="1448" spans="4:10">
      <c r="D1448" t="s">
        <v>573</v>
      </c>
      <c r="E1448" t="s">
        <v>585</v>
      </c>
      <c r="F1448">
        <v>2412</v>
      </c>
      <c r="G1448">
        <v>2414</v>
      </c>
      <c r="H1448">
        <v>2402</v>
      </c>
      <c r="I1448">
        <v>2407</v>
      </c>
      <c r="J1448">
        <v>28600</v>
      </c>
    </row>
    <row r="1449" spans="4:10">
      <c r="D1449" t="s">
        <v>573</v>
      </c>
      <c r="E1449" t="s">
        <v>586</v>
      </c>
      <c r="F1449">
        <v>2406</v>
      </c>
      <c r="G1449">
        <v>2417</v>
      </c>
      <c r="H1449">
        <v>2400</v>
      </c>
      <c r="I1449">
        <v>2417</v>
      </c>
      <c r="J1449">
        <v>27900</v>
      </c>
    </row>
    <row r="1450" spans="4:10">
      <c r="D1450" t="s">
        <v>573</v>
      </c>
      <c r="E1450" t="s">
        <v>587</v>
      </c>
      <c r="F1450">
        <v>2418</v>
      </c>
      <c r="G1450">
        <v>2432</v>
      </c>
      <c r="H1450">
        <v>2417</v>
      </c>
      <c r="I1450">
        <v>2421</v>
      </c>
      <c r="J1450">
        <v>45500</v>
      </c>
    </row>
    <row r="1451" spans="4:10">
      <c r="D1451" t="s">
        <v>573</v>
      </c>
      <c r="E1451" t="s">
        <v>588</v>
      </c>
      <c r="F1451">
        <v>2422</v>
      </c>
      <c r="G1451">
        <v>2422</v>
      </c>
      <c r="H1451">
        <v>2403</v>
      </c>
      <c r="I1451">
        <v>2411</v>
      </c>
      <c r="J1451">
        <v>28000</v>
      </c>
    </row>
    <row r="1452" spans="4:10">
      <c r="D1452" t="s">
        <v>573</v>
      </c>
      <c r="E1452" t="s">
        <v>589</v>
      </c>
      <c r="F1452">
        <v>2412</v>
      </c>
      <c r="G1452">
        <v>2415</v>
      </c>
      <c r="H1452">
        <v>2403</v>
      </c>
      <c r="I1452">
        <v>2407</v>
      </c>
      <c r="J1452">
        <v>17800</v>
      </c>
    </row>
    <row r="1453" spans="4:10">
      <c r="D1453" t="s">
        <v>573</v>
      </c>
      <c r="E1453" t="s">
        <v>590</v>
      </c>
      <c r="F1453">
        <v>2408</v>
      </c>
      <c r="G1453">
        <v>2424</v>
      </c>
      <c r="H1453">
        <v>2406</v>
      </c>
      <c r="I1453">
        <v>2420</v>
      </c>
      <c r="J1453">
        <v>36700</v>
      </c>
    </row>
    <row r="1454" spans="4:10">
      <c r="D1454" t="s">
        <v>573</v>
      </c>
      <c r="E1454" t="s">
        <v>591</v>
      </c>
      <c r="F1454">
        <v>2421</v>
      </c>
      <c r="G1454">
        <v>2428</v>
      </c>
      <c r="H1454">
        <v>2419</v>
      </c>
      <c r="I1454">
        <v>2428</v>
      </c>
      <c r="J1454">
        <v>32100</v>
      </c>
    </row>
    <row r="1455" spans="4:10">
      <c r="D1455" t="s">
        <v>573</v>
      </c>
      <c r="E1455" t="s">
        <v>592</v>
      </c>
      <c r="F1455">
        <v>2428</v>
      </c>
      <c r="G1455">
        <v>2428</v>
      </c>
      <c r="H1455">
        <v>2417</v>
      </c>
      <c r="I1455">
        <v>2424</v>
      </c>
      <c r="J1455">
        <v>19500</v>
      </c>
    </row>
    <row r="1456" spans="4:10">
      <c r="D1456" t="s">
        <v>573</v>
      </c>
      <c r="E1456" t="s">
        <v>593</v>
      </c>
      <c r="F1456">
        <v>2425</v>
      </c>
      <c r="G1456">
        <v>2433</v>
      </c>
      <c r="H1456">
        <v>2424</v>
      </c>
      <c r="I1456">
        <v>2429</v>
      </c>
      <c r="J1456">
        <v>26000</v>
      </c>
    </row>
    <row r="1457" spans="4:10">
      <c r="D1457" t="s">
        <v>573</v>
      </c>
      <c r="E1457" t="s">
        <v>594</v>
      </c>
      <c r="F1457">
        <v>2428</v>
      </c>
      <c r="G1457">
        <v>2429</v>
      </c>
      <c r="H1457">
        <v>2408</v>
      </c>
      <c r="I1457">
        <v>2411</v>
      </c>
      <c r="J1457">
        <v>36900</v>
      </c>
    </row>
    <row r="1458" spans="4:10">
      <c r="D1458" t="s">
        <v>573</v>
      </c>
      <c r="E1458" t="s">
        <v>595</v>
      </c>
      <c r="F1458">
        <v>2410</v>
      </c>
      <c r="G1458">
        <v>2420</v>
      </c>
      <c r="H1458">
        <v>2401</v>
      </c>
      <c r="I1458">
        <v>2410</v>
      </c>
      <c r="J1458">
        <v>53800</v>
      </c>
    </row>
    <row r="1459" spans="4:10">
      <c r="D1459" t="s">
        <v>573</v>
      </c>
      <c r="E1459" t="s">
        <v>596</v>
      </c>
      <c r="F1459">
        <v>2409</v>
      </c>
      <c r="G1459">
        <v>2414</v>
      </c>
      <c r="H1459">
        <v>2406</v>
      </c>
      <c r="I1459">
        <v>2414</v>
      </c>
      <c r="J1459">
        <v>13600</v>
      </c>
    </row>
    <row r="1460" spans="4:10">
      <c r="D1460" t="s">
        <v>573</v>
      </c>
      <c r="E1460" t="s">
        <v>597</v>
      </c>
      <c r="F1460">
        <v>2414</v>
      </c>
      <c r="G1460">
        <v>2415</v>
      </c>
      <c r="H1460">
        <v>2402</v>
      </c>
      <c r="I1460">
        <v>2404</v>
      </c>
      <c r="J1460">
        <v>23900</v>
      </c>
    </row>
    <row r="1461" spans="4:10">
      <c r="D1461" t="s">
        <v>573</v>
      </c>
      <c r="E1461" t="s">
        <v>598</v>
      </c>
      <c r="F1461">
        <v>2404</v>
      </c>
      <c r="G1461">
        <v>2412</v>
      </c>
      <c r="H1461">
        <v>2404</v>
      </c>
      <c r="I1461">
        <v>2412</v>
      </c>
      <c r="J1461">
        <v>14700</v>
      </c>
    </row>
    <row r="1462" spans="4:10">
      <c r="D1462" t="s">
        <v>573</v>
      </c>
      <c r="E1462" t="s">
        <v>599</v>
      </c>
      <c r="F1462">
        <v>2411</v>
      </c>
      <c r="G1462">
        <v>2414</v>
      </c>
      <c r="H1462">
        <v>2409</v>
      </c>
      <c r="I1462">
        <v>2414</v>
      </c>
      <c r="J1462">
        <v>16300</v>
      </c>
    </row>
    <row r="1463" spans="4:10">
      <c r="D1463" t="s">
        <v>573</v>
      </c>
      <c r="E1463" t="s">
        <v>600</v>
      </c>
      <c r="F1463">
        <v>2414</v>
      </c>
      <c r="G1463">
        <v>2417</v>
      </c>
      <c r="H1463">
        <v>2410</v>
      </c>
      <c r="I1463">
        <v>2414</v>
      </c>
      <c r="J1463">
        <v>12600</v>
      </c>
    </row>
    <row r="1464" spans="4:10">
      <c r="D1464" t="s">
        <v>573</v>
      </c>
      <c r="E1464" t="s">
        <v>601</v>
      </c>
      <c r="F1464">
        <v>2413</v>
      </c>
      <c r="G1464">
        <v>2417</v>
      </c>
      <c r="H1464">
        <v>2405</v>
      </c>
      <c r="I1464">
        <v>2405</v>
      </c>
      <c r="J1464">
        <v>10200</v>
      </c>
    </row>
    <row r="1465" spans="4:10">
      <c r="D1465" t="s">
        <v>573</v>
      </c>
      <c r="E1465" t="s">
        <v>602</v>
      </c>
      <c r="F1465">
        <v>2405</v>
      </c>
      <c r="G1465">
        <v>2408</v>
      </c>
      <c r="H1465">
        <v>2403</v>
      </c>
      <c r="I1465">
        <v>2408</v>
      </c>
      <c r="J1465">
        <v>8000</v>
      </c>
    </row>
    <row r="1466" spans="4:10">
      <c r="D1466" t="s">
        <v>573</v>
      </c>
      <c r="E1466" t="s">
        <v>603</v>
      </c>
      <c r="F1466">
        <v>2409</v>
      </c>
      <c r="G1466">
        <v>2412</v>
      </c>
      <c r="H1466">
        <v>2406</v>
      </c>
      <c r="I1466">
        <v>2407</v>
      </c>
      <c r="J1466">
        <v>11100</v>
      </c>
    </row>
    <row r="1467" spans="4:10">
      <c r="D1467" t="s">
        <v>573</v>
      </c>
      <c r="E1467" t="s">
        <v>604</v>
      </c>
      <c r="F1467">
        <v>2411</v>
      </c>
      <c r="G1467">
        <v>2411</v>
      </c>
      <c r="H1467">
        <v>2411</v>
      </c>
      <c r="I1467">
        <v>2411</v>
      </c>
      <c r="J1467">
        <v>600</v>
      </c>
    </row>
    <row r="1468" spans="4:10">
      <c r="D1468" t="s">
        <v>573</v>
      </c>
      <c r="E1468" t="s">
        <v>605</v>
      </c>
      <c r="F1468">
        <v>2410</v>
      </c>
      <c r="G1468">
        <v>2413</v>
      </c>
      <c r="H1468">
        <v>2405</v>
      </c>
      <c r="I1468">
        <v>2408</v>
      </c>
      <c r="J1468">
        <v>35000</v>
      </c>
    </row>
    <row r="1469" spans="4:10">
      <c r="D1469" t="s">
        <v>573</v>
      </c>
      <c r="E1469" t="s">
        <v>606</v>
      </c>
      <c r="F1469">
        <v>2407</v>
      </c>
      <c r="G1469">
        <v>2407</v>
      </c>
      <c r="H1469">
        <v>2390</v>
      </c>
      <c r="I1469">
        <v>2393</v>
      </c>
      <c r="J1469">
        <v>51200</v>
      </c>
    </row>
    <row r="1470" spans="4:10">
      <c r="D1470" t="s">
        <v>573</v>
      </c>
      <c r="E1470" t="s">
        <v>538</v>
      </c>
      <c r="F1470">
        <v>2391</v>
      </c>
      <c r="G1470">
        <v>2397</v>
      </c>
      <c r="H1470">
        <v>2375</v>
      </c>
      <c r="I1470">
        <v>2380</v>
      </c>
      <c r="J1470">
        <v>75600</v>
      </c>
    </row>
    <row r="1471" spans="4:10">
      <c r="D1471" t="s">
        <v>573</v>
      </c>
      <c r="E1471" t="s">
        <v>539</v>
      </c>
      <c r="F1471">
        <v>2380</v>
      </c>
      <c r="G1471">
        <v>2395</v>
      </c>
      <c r="H1471">
        <v>2377</v>
      </c>
      <c r="I1471">
        <v>2394</v>
      </c>
      <c r="J1471">
        <v>34700</v>
      </c>
    </row>
    <row r="1472" spans="4:10">
      <c r="D1472" t="s">
        <v>573</v>
      </c>
      <c r="E1472" t="s">
        <v>540</v>
      </c>
      <c r="F1472">
        <v>2394</v>
      </c>
      <c r="G1472">
        <v>2394</v>
      </c>
      <c r="H1472">
        <v>2381</v>
      </c>
      <c r="I1472">
        <v>2390</v>
      </c>
      <c r="J1472">
        <v>28900</v>
      </c>
    </row>
    <row r="1473" spans="4:10">
      <c r="D1473" t="s">
        <v>573</v>
      </c>
      <c r="E1473" t="s">
        <v>541</v>
      </c>
      <c r="F1473">
        <v>2387</v>
      </c>
      <c r="G1473">
        <v>2388</v>
      </c>
      <c r="H1473">
        <v>2375</v>
      </c>
      <c r="I1473">
        <v>2379</v>
      </c>
      <c r="J1473">
        <v>24000</v>
      </c>
    </row>
    <row r="1474" spans="4:10">
      <c r="D1474" t="s">
        <v>573</v>
      </c>
      <c r="E1474" t="s">
        <v>542</v>
      </c>
      <c r="F1474">
        <v>2380</v>
      </c>
      <c r="G1474">
        <v>2390</v>
      </c>
      <c r="H1474">
        <v>2379</v>
      </c>
      <c r="I1474">
        <v>2390</v>
      </c>
      <c r="J1474">
        <v>12600</v>
      </c>
    </row>
    <row r="1475" spans="4:10">
      <c r="D1475" t="s">
        <v>573</v>
      </c>
      <c r="E1475" t="s">
        <v>543</v>
      </c>
      <c r="F1475">
        <v>2389</v>
      </c>
      <c r="G1475">
        <v>2393</v>
      </c>
      <c r="H1475">
        <v>2385</v>
      </c>
      <c r="I1475">
        <v>2390</v>
      </c>
      <c r="J1475">
        <v>8700</v>
      </c>
    </row>
    <row r="1476" spans="4:10">
      <c r="D1476" t="s">
        <v>573</v>
      </c>
      <c r="E1476" t="s">
        <v>544</v>
      </c>
      <c r="F1476">
        <v>2389</v>
      </c>
      <c r="G1476">
        <v>2389</v>
      </c>
      <c r="H1476">
        <v>2375</v>
      </c>
      <c r="I1476">
        <v>2375</v>
      </c>
      <c r="J1476">
        <v>17800</v>
      </c>
    </row>
    <row r="1477" spans="4:10">
      <c r="D1477" t="s">
        <v>573</v>
      </c>
      <c r="E1477" t="s">
        <v>545</v>
      </c>
      <c r="F1477">
        <v>2376</v>
      </c>
      <c r="G1477">
        <v>2376</v>
      </c>
      <c r="H1477">
        <v>2363</v>
      </c>
      <c r="I1477">
        <v>2374</v>
      </c>
      <c r="J1477">
        <v>53600</v>
      </c>
    </row>
    <row r="1478" spans="4:10">
      <c r="D1478" t="s">
        <v>573</v>
      </c>
      <c r="E1478" t="s">
        <v>546</v>
      </c>
      <c r="F1478">
        <v>2374</v>
      </c>
      <c r="G1478">
        <v>2386</v>
      </c>
      <c r="H1478">
        <v>2374</v>
      </c>
      <c r="I1478">
        <v>2380</v>
      </c>
      <c r="J1478">
        <v>23600</v>
      </c>
    </row>
    <row r="1479" spans="4:10">
      <c r="D1479" t="s">
        <v>573</v>
      </c>
      <c r="E1479" t="s">
        <v>547</v>
      </c>
      <c r="F1479">
        <v>2380</v>
      </c>
      <c r="G1479">
        <v>2382</v>
      </c>
      <c r="H1479">
        <v>2373</v>
      </c>
      <c r="I1479">
        <v>2379</v>
      </c>
      <c r="J1479">
        <v>14900</v>
      </c>
    </row>
    <row r="1480" spans="4:10">
      <c r="D1480" t="s">
        <v>573</v>
      </c>
      <c r="E1480" t="s">
        <v>548</v>
      </c>
      <c r="F1480">
        <v>2378</v>
      </c>
      <c r="G1480">
        <v>2385</v>
      </c>
      <c r="H1480">
        <v>2370</v>
      </c>
      <c r="I1480">
        <v>2372</v>
      </c>
      <c r="J1480">
        <v>20800</v>
      </c>
    </row>
    <row r="1481" spans="4:10">
      <c r="D1481" t="s">
        <v>573</v>
      </c>
      <c r="E1481" t="s">
        <v>549</v>
      </c>
      <c r="F1481">
        <v>2371</v>
      </c>
      <c r="G1481">
        <v>2375</v>
      </c>
      <c r="H1481">
        <v>2370</v>
      </c>
      <c r="I1481">
        <v>2373</v>
      </c>
      <c r="J1481">
        <v>12200</v>
      </c>
    </row>
    <row r="1482" spans="4:10">
      <c r="D1482" t="s">
        <v>573</v>
      </c>
      <c r="E1482" t="s">
        <v>550</v>
      </c>
      <c r="F1482">
        <v>2372</v>
      </c>
      <c r="G1482">
        <v>2375</v>
      </c>
      <c r="H1482">
        <v>2370</v>
      </c>
      <c r="I1482">
        <v>2372</v>
      </c>
      <c r="J1482">
        <v>8700</v>
      </c>
    </row>
    <row r="1483" spans="4:10">
      <c r="D1483" t="s">
        <v>573</v>
      </c>
      <c r="E1483" t="s">
        <v>551</v>
      </c>
      <c r="F1483">
        <v>2371</v>
      </c>
      <c r="G1483">
        <v>2375</v>
      </c>
      <c r="H1483">
        <v>2370</v>
      </c>
      <c r="I1483">
        <v>2371</v>
      </c>
      <c r="J1483">
        <v>15400</v>
      </c>
    </row>
    <row r="1484" spans="4:10">
      <c r="D1484" t="s">
        <v>573</v>
      </c>
      <c r="E1484" t="s">
        <v>552</v>
      </c>
      <c r="F1484">
        <v>2371</v>
      </c>
      <c r="G1484">
        <v>2377</v>
      </c>
      <c r="H1484">
        <v>2370</v>
      </c>
      <c r="I1484">
        <v>2373</v>
      </c>
      <c r="J1484">
        <v>12200</v>
      </c>
    </row>
    <row r="1485" spans="4:10">
      <c r="D1485" t="s">
        <v>573</v>
      </c>
      <c r="E1485" t="s">
        <v>553</v>
      </c>
      <c r="F1485">
        <v>2375</v>
      </c>
      <c r="G1485">
        <v>2385</v>
      </c>
      <c r="H1485">
        <v>2375</v>
      </c>
      <c r="I1485">
        <v>2384</v>
      </c>
      <c r="J1485">
        <v>11400</v>
      </c>
    </row>
    <row r="1486" spans="4:10">
      <c r="D1486" t="s">
        <v>573</v>
      </c>
      <c r="E1486" t="s">
        <v>554</v>
      </c>
      <c r="F1486">
        <v>2384</v>
      </c>
      <c r="G1486">
        <v>2389</v>
      </c>
      <c r="H1486">
        <v>2382</v>
      </c>
      <c r="I1486">
        <v>2387</v>
      </c>
      <c r="J1486">
        <v>20500</v>
      </c>
    </row>
    <row r="1487" spans="4:10">
      <c r="D1487" t="s">
        <v>573</v>
      </c>
      <c r="E1487" t="s">
        <v>555</v>
      </c>
      <c r="F1487">
        <v>2386</v>
      </c>
      <c r="G1487">
        <v>2388</v>
      </c>
      <c r="H1487">
        <v>2377</v>
      </c>
      <c r="I1487">
        <v>2377</v>
      </c>
      <c r="J1487">
        <v>13000</v>
      </c>
    </row>
    <row r="1488" spans="4:10">
      <c r="D1488" t="s">
        <v>573</v>
      </c>
      <c r="E1488" t="s">
        <v>556</v>
      </c>
      <c r="F1488">
        <v>2376</v>
      </c>
      <c r="G1488">
        <v>2376</v>
      </c>
      <c r="H1488">
        <v>2368</v>
      </c>
      <c r="I1488">
        <v>2373</v>
      </c>
      <c r="J1488">
        <v>17300</v>
      </c>
    </row>
    <row r="1489" spans="1:10">
      <c r="D1489" t="s">
        <v>573</v>
      </c>
      <c r="E1489" t="s">
        <v>557</v>
      </c>
      <c r="F1489">
        <v>2372</v>
      </c>
      <c r="G1489">
        <v>2372</v>
      </c>
      <c r="H1489">
        <v>2365</v>
      </c>
      <c r="I1489">
        <v>2365</v>
      </c>
      <c r="J1489">
        <v>21800</v>
      </c>
    </row>
    <row r="1490" spans="1:10">
      <c r="D1490" t="s">
        <v>573</v>
      </c>
      <c r="E1490" t="s">
        <v>558</v>
      </c>
      <c r="F1490">
        <v>2364</v>
      </c>
      <c r="G1490">
        <v>2364</v>
      </c>
      <c r="H1490">
        <v>2350</v>
      </c>
      <c r="I1490">
        <v>2351</v>
      </c>
      <c r="J1490">
        <v>40200</v>
      </c>
    </row>
    <row r="1491" spans="1:10">
      <c r="D1491" t="s">
        <v>573</v>
      </c>
      <c r="E1491" t="s">
        <v>559</v>
      </c>
      <c r="F1491">
        <v>2351</v>
      </c>
      <c r="G1491">
        <v>2361</v>
      </c>
      <c r="H1491">
        <v>2350</v>
      </c>
      <c r="I1491">
        <v>2361</v>
      </c>
      <c r="J1491">
        <v>28100</v>
      </c>
    </row>
    <row r="1492" spans="1:10">
      <c r="D1492" t="s">
        <v>573</v>
      </c>
      <c r="E1492" t="s">
        <v>560</v>
      </c>
      <c r="F1492">
        <v>2361</v>
      </c>
      <c r="G1492">
        <v>2378</v>
      </c>
      <c r="H1492">
        <v>2360</v>
      </c>
      <c r="I1492">
        <v>2370</v>
      </c>
      <c r="J1492">
        <v>26100</v>
      </c>
    </row>
    <row r="1493" spans="1:10">
      <c r="D1493" t="s">
        <v>573</v>
      </c>
      <c r="E1493" t="s">
        <v>561</v>
      </c>
      <c r="F1493">
        <v>2372</v>
      </c>
      <c r="G1493">
        <v>2374</v>
      </c>
      <c r="H1493">
        <v>2369</v>
      </c>
      <c r="I1493">
        <v>2371</v>
      </c>
      <c r="J1493">
        <v>5800</v>
      </c>
    </row>
    <row r="1494" spans="1:10">
      <c r="D1494" t="s">
        <v>573</v>
      </c>
      <c r="E1494" t="s">
        <v>562</v>
      </c>
      <c r="F1494">
        <v>2371</v>
      </c>
      <c r="G1494">
        <v>2373</v>
      </c>
      <c r="H1494">
        <v>2370</v>
      </c>
      <c r="I1494">
        <v>2371</v>
      </c>
      <c r="J1494">
        <v>4400</v>
      </c>
    </row>
    <row r="1495" spans="1:10">
      <c r="D1495" t="s">
        <v>573</v>
      </c>
      <c r="E1495" t="s">
        <v>563</v>
      </c>
      <c r="F1495">
        <v>2371</v>
      </c>
      <c r="G1495">
        <v>2373</v>
      </c>
      <c r="H1495">
        <v>2370</v>
      </c>
      <c r="I1495">
        <v>2372</v>
      </c>
      <c r="J1495">
        <v>17500</v>
      </c>
    </row>
    <row r="1496" spans="1:10">
      <c r="D1496" t="s">
        <v>573</v>
      </c>
      <c r="E1496" t="s">
        <v>564</v>
      </c>
      <c r="F1496">
        <v>2370</v>
      </c>
      <c r="G1496">
        <v>2373</v>
      </c>
      <c r="H1496">
        <v>2369</v>
      </c>
      <c r="I1496">
        <v>2370</v>
      </c>
      <c r="J1496">
        <v>9900</v>
      </c>
    </row>
    <row r="1497" spans="1:10">
      <c r="D1497" t="s">
        <v>573</v>
      </c>
      <c r="E1497" t="s">
        <v>565</v>
      </c>
      <c r="F1497">
        <v>2370</v>
      </c>
      <c r="G1497">
        <v>2379</v>
      </c>
      <c r="H1497">
        <v>2367</v>
      </c>
      <c r="I1497">
        <v>2377</v>
      </c>
      <c r="J1497">
        <v>22200</v>
      </c>
    </row>
    <row r="1498" spans="1:10">
      <c r="D1498" t="s">
        <v>573</v>
      </c>
      <c r="E1498" t="s">
        <v>566</v>
      </c>
      <c r="F1498">
        <v>2376</v>
      </c>
      <c r="G1498">
        <v>2381</v>
      </c>
      <c r="H1498">
        <v>2373</v>
      </c>
      <c r="I1498">
        <v>2380</v>
      </c>
      <c r="J1498">
        <v>13600</v>
      </c>
    </row>
    <row r="1499" spans="1:10">
      <c r="D1499" t="s">
        <v>573</v>
      </c>
      <c r="E1499" t="s">
        <v>567</v>
      </c>
      <c r="F1499">
        <v>2380</v>
      </c>
      <c r="G1499">
        <v>2396</v>
      </c>
      <c r="H1499">
        <v>2380</v>
      </c>
      <c r="I1499">
        <v>2395</v>
      </c>
      <c r="J1499">
        <v>27400</v>
      </c>
    </row>
    <row r="1500" spans="1:10">
      <c r="D1500" t="s">
        <v>573</v>
      </c>
      <c r="E1500" t="s">
        <v>568</v>
      </c>
      <c r="F1500">
        <v>2395</v>
      </c>
      <c r="G1500">
        <v>2400</v>
      </c>
      <c r="H1500">
        <v>2387</v>
      </c>
      <c r="I1500">
        <v>2398</v>
      </c>
      <c r="J1500">
        <v>32100</v>
      </c>
    </row>
    <row r="1501" spans="1:10">
      <c r="D1501" t="s">
        <v>573</v>
      </c>
      <c r="E1501" t="s">
        <v>569</v>
      </c>
      <c r="F1501">
        <v>2398</v>
      </c>
      <c r="G1501">
        <v>2405</v>
      </c>
      <c r="H1501">
        <v>2398</v>
      </c>
      <c r="I1501">
        <v>2398</v>
      </c>
      <c r="J1501">
        <v>41400</v>
      </c>
    </row>
    <row r="1502" spans="1:10">
      <c r="D1502" t="s">
        <v>573</v>
      </c>
      <c r="E1502" t="s">
        <v>570</v>
      </c>
      <c r="F1502">
        <v>2398</v>
      </c>
      <c r="G1502">
        <v>2403</v>
      </c>
      <c r="H1502">
        <v>2398</v>
      </c>
      <c r="I1502">
        <v>2400</v>
      </c>
      <c r="J1502">
        <v>28500</v>
      </c>
    </row>
    <row r="1503" spans="1:10">
      <c r="A1503" s="1" t="s">
        <v>78</v>
      </c>
      <c r="B1503" s="1" t="s">
        <v>78</v>
      </c>
      <c r="C1503" s="1" t="s">
        <v>78</v>
      </c>
      <c r="D1503" s="1" t="s">
        <v>78</v>
      </c>
      <c r="E1503" s="1" t="s">
        <v>78</v>
      </c>
      <c r="F1503" s="1" t="s">
        <v>78</v>
      </c>
      <c r="G1503" s="1" t="s">
        <v>78</v>
      </c>
      <c r="H1503" s="1" t="s">
        <v>78</v>
      </c>
      <c r="I1503" s="1" t="s">
        <v>78</v>
      </c>
      <c r="J1503" s="1" t="s">
        <v>78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1281-99C6-48CF-B699-181E5FE64A94}">
  <dimension ref="A1:J1503"/>
  <sheetViews>
    <sheetView workbookViewId="0">
      <selection activeCell="H13" sqref="H13"/>
    </sheetView>
  </sheetViews>
  <sheetFormatPr defaultRowHeight="18.75"/>
  <sheetData>
    <row r="1" spans="1:10">
      <c r="A1" t="s">
        <v>722</v>
      </c>
    </row>
    <row r="2" spans="1:10">
      <c r="A2" t="s">
        <v>11</v>
      </c>
      <c r="B2" t="s">
        <v>13</v>
      </c>
      <c r="C2" t="s">
        <v>531</v>
      </c>
      <c r="D2" t="s">
        <v>532</v>
      </c>
      <c r="E2" t="s">
        <v>533</v>
      </c>
      <c r="F2" t="s">
        <v>519</v>
      </c>
      <c r="G2" t="s">
        <v>520</v>
      </c>
      <c r="H2" t="s">
        <v>521</v>
      </c>
      <c r="I2" t="s">
        <v>534</v>
      </c>
      <c r="J2" t="s">
        <v>522</v>
      </c>
    </row>
    <row r="3" spans="1:10">
      <c r="A3" t="s">
        <v>721</v>
      </c>
      <c r="B3" t="s">
        <v>535</v>
      </c>
      <c r="C3" t="s">
        <v>536</v>
      </c>
      <c r="D3" t="s">
        <v>625</v>
      </c>
      <c r="E3" t="s">
        <v>567</v>
      </c>
      <c r="F3">
        <v>2959.5</v>
      </c>
      <c r="G3">
        <v>2960</v>
      </c>
      <c r="H3">
        <v>2957</v>
      </c>
      <c r="I3">
        <v>2959</v>
      </c>
      <c r="J3">
        <v>279600</v>
      </c>
    </row>
    <row r="4" spans="1:10">
      <c r="D4" t="s">
        <v>625</v>
      </c>
      <c r="E4" t="s">
        <v>568</v>
      </c>
      <c r="F4">
        <v>2959</v>
      </c>
      <c r="G4">
        <v>2959.5</v>
      </c>
      <c r="H4">
        <v>2956.5</v>
      </c>
      <c r="I4">
        <v>2957.5</v>
      </c>
      <c r="J4">
        <v>364400</v>
      </c>
    </row>
    <row r="5" spans="1:10">
      <c r="D5" t="s">
        <v>625</v>
      </c>
      <c r="E5" t="s">
        <v>569</v>
      </c>
      <c r="F5">
        <v>2958</v>
      </c>
      <c r="G5">
        <v>2961.5</v>
      </c>
      <c r="H5">
        <v>2957</v>
      </c>
      <c r="I5">
        <v>2961</v>
      </c>
      <c r="J5">
        <v>406000</v>
      </c>
    </row>
    <row r="6" spans="1:10">
      <c r="D6" t="s">
        <v>625</v>
      </c>
      <c r="E6" t="s">
        <v>570</v>
      </c>
      <c r="F6">
        <v>2961.5</v>
      </c>
      <c r="G6">
        <v>2964.5</v>
      </c>
      <c r="H6">
        <v>2960</v>
      </c>
      <c r="I6">
        <v>2961</v>
      </c>
      <c r="J6">
        <v>644400</v>
      </c>
    </row>
    <row r="7" spans="1:10">
      <c r="D7" t="s">
        <v>625</v>
      </c>
      <c r="E7" t="s">
        <v>571</v>
      </c>
      <c r="F7" t="s">
        <v>35</v>
      </c>
      <c r="G7" t="s">
        <v>35</v>
      </c>
      <c r="H7" t="s">
        <v>35</v>
      </c>
      <c r="I7" t="s">
        <v>35</v>
      </c>
      <c r="J7">
        <v>0</v>
      </c>
    </row>
    <row r="8" spans="1:10">
      <c r="D8" t="s">
        <v>625</v>
      </c>
      <c r="E8" t="s">
        <v>572</v>
      </c>
      <c r="F8">
        <v>2965.5</v>
      </c>
      <c r="G8">
        <v>2965.5</v>
      </c>
      <c r="H8">
        <v>2965.5</v>
      </c>
      <c r="I8">
        <v>2965.5</v>
      </c>
      <c r="J8">
        <v>4919400</v>
      </c>
    </row>
    <row r="9" spans="1:10">
      <c r="D9" t="s">
        <v>626</v>
      </c>
      <c r="E9" t="s">
        <v>574</v>
      </c>
      <c r="F9">
        <v>2972.5</v>
      </c>
      <c r="G9">
        <v>2978</v>
      </c>
      <c r="H9">
        <v>2957</v>
      </c>
      <c r="I9">
        <v>2963</v>
      </c>
      <c r="J9">
        <v>2185000</v>
      </c>
    </row>
    <row r="10" spans="1:10">
      <c r="D10" t="s">
        <v>626</v>
      </c>
      <c r="E10" t="s">
        <v>575</v>
      </c>
      <c r="F10">
        <v>2963</v>
      </c>
      <c r="G10">
        <v>2971.5</v>
      </c>
      <c r="H10">
        <v>2961</v>
      </c>
      <c r="I10">
        <v>2970</v>
      </c>
      <c r="J10">
        <v>552700</v>
      </c>
    </row>
    <row r="11" spans="1:10">
      <c r="D11" t="s">
        <v>626</v>
      </c>
      <c r="E11" t="s">
        <v>576</v>
      </c>
      <c r="F11">
        <v>2971</v>
      </c>
      <c r="G11">
        <v>2974</v>
      </c>
      <c r="H11">
        <v>2963.5</v>
      </c>
      <c r="I11">
        <v>2972.5</v>
      </c>
      <c r="J11">
        <v>510000</v>
      </c>
    </row>
    <row r="12" spans="1:10">
      <c r="D12" t="s">
        <v>626</v>
      </c>
      <c r="E12" t="s">
        <v>577</v>
      </c>
      <c r="F12">
        <v>2973</v>
      </c>
      <c r="G12">
        <v>2983</v>
      </c>
      <c r="H12">
        <v>2972</v>
      </c>
      <c r="I12">
        <v>2980</v>
      </c>
      <c r="J12">
        <v>1178900</v>
      </c>
    </row>
    <row r="13" spans="1:10">
      <c r="D13" t="s">
        <v>626</v>
      </c>
      <c r="E13" t="s">
        <v>578</v>
      </c>
      <c r="F13">
        <v>2979.5</v>
      </c>
      <c r="G13">
        <v>2984</v>
      </c>
      <c r="H13">
        <v>2968</v>
      </c>
      <c r="I13">
        <v>2969.5</v>
      </c>
      <c r="J13">
        <v>540600</v>
      </c>
    </row>
    <row r="14" spans="1:10">
      <c r="D14" t="s">
        <v>626</v>
      </c>
      <c r="E14" t="s">
        <v>579</v>
      </c>
      <c r="F14">
        <v>2970</v>
      </c>
      <c r="G14">
        <v>2970</v>
      </c>
      <c r="H14">
        <v>2958</v>
      </c>
      <c r="I14">
        <v>2960.5</v>
      </c>
      <c r="J14">
        <v>497300</v>
      </c>
    </row>
    <row r="15" spans="1:10">
      <c r="D15" t="s">
        <v>626</v>
      </c>
      <c r="E15" t="s">
        <v>580</v>
      </c>
      <c r="F15">
        <v>2961</v>
      </c>
      <c r="G15">
        <v>2966</v>
      </c>
      <c r="H15">
        <v>2947</v>
      </c>
      <c r="I15">
        <v>2949</v>
      </c>
      <c r="J15">
        <v>667100</v>
      </c>
    </row>
    <row r="16" spans="1:10">
      <c r="D16" t="s">
        <v>626</v>
      </c>
      <c r="E16" t="s">
        <v>581</v>
      </c>
      <c r="F16">
        <v>2948.5</v>
      </c>
      <c r="G16">
        <v>2952</v>
      </c>
      <c r="H16">
        <v>2946</v>
      </c>
      <c r="I16">
        <v>2948.5</v>
      </c>
      <c r="J16">
        <v>418700</v>
      </c>
    </row>
    <row r="17" spans="4:10">
      <c r="D17" t="s">
        <v>626</v>
      </c>
      <c r="E17" t="s">
        <v>582</v>
      </c>
      <c r="F17">
        <v>2948</v>
      </c>
      <c r="G17">
        <v>2950</v>
      </c>
      <c r="H17">
        <v>2942.5</v>
      </c>
      <c r="I17">
        <v>2945</v>
      </c>
      <c r="J17">
        <v>390600</v>
      </c>
    </row>
    <row r="18" spans="4:10">
      <c r="D18" t="s">
        <v>626</v>
      </c>
      <c r="E18" t="s">
        <v>583</v>
      </c>
      <c r="F18">
        <v>2945.5</v>
      </c>
      <c r="G18">
        <v>2945.5</v>
      </c>
      <c r="H18">
        <v>2934.5</v>
      </c>
      <c r="I18">
        <v>2939.5</v>
      </c>
      <c r="J18">
        <v>518700</v>
      </c>
    </row>
    <row r="19" spans="4:10">
      <c r="D19" t="s">
        <v>626</v>
      </c>
      <c r="E19" t="s">
        <v>584</v>
      </c>
      <c r="F19">
        <v>2939.5</v>
      </c>
      <c r="G19">
        <v>2944</v>
      </c>
      <c r="H19">
        <v>2937.5</v>
      </c>
      <c r="I19">
        <v>2940.5</v>
      </c>
      <c r="J19">
        <v>237500</v>
      </c>
    </row>
    <row r="20" spans="4:10">
      <c r="D20" t="s">
        <v>626</v>
      </c>
      <c r="E20" t="s">
        <v>585</v>
      </c>
      <c r="F20">
        <v>2940.5</v>
      </c>
      <c r="G20">
        <v>2942.5</v>
      </c>
      <c r="H20">
        <v>2938</v>
      </c>
      <c r="I20">
        <v>2942</v>
      </c>
      <c r="J20">
        <v>208300</v>
      </c>
    </row>
    <row r="21" spans="4:10">
      <c r="D21" t="s">
        <v>626</v>
      </c>
      <c r="E21" t="s">
        <v>586</v>
      </c>
      <c r="F21">
        <v>2942</v>
      </c>
      <c r="G21">
        <v>2949</v>
      </c>
      <c r="H21">
        <v>2938.5</v>
      </c>
      <c r="I21">
        <v>2946.5</v>
      </c>
      <c r="J21">
        <v>318000</v>
      </c>
    </row>
    <row r="22" spans="4:10">
      <c r="D22" t="s">
        <v>626</v>
      </c>
      <c r="E22" t="s">
        <v>587</v>
      </c>
      <c r="F22">
        <v>2946.5</v>
      </c>
      <c r="G22">
        <v>2951.5</v>
      </c>
      <c r="H22">
        <v>2944.5</v>
      </c>
      <c r="I22">
        <v>2950.5</v>
      </c>
      <c r="J22">
        <v>244700</v>
      </c>
    </row>
    <row r="23" spans="4:10">
      <c r="D23" t="s">
        <v>626</v>
      </c>
      <c r="E23" t="s">
        <v>588</v>
      </c>
      <c r="F23">
        <v>2950.5</v>
      </c>
      <c r="G23">
        <v>2956.5</v>
      </c>
      <c r="H23">
        <v>2949</v>
      </c>
      <c r="I23">
        <v>2954.5</v>
      </c>
      <c r="J23">
        <v>317600</v>
      </c>
    </row>
    <row r="24" spans="4:10">
      <c r="D24" t="s">
        <v>626</v>
      </c>
      <c r="E24" t="s">
        <v>589</v>
      </c>
      <c r="F24">
        <v>2954.5</v>
      </c>
      <c r="G24">
        <v>2954.5</v>
      </c>
      <c r="H24">
        <v>2950</v>
      </c>
      <c r="I24">
        <v>2954</v>
      </c>
      <c r="J24">
        <v>193500</v>
      </c>
    </row>
    <row r="25" spans="4:10">
      <c r="D25" t="s">
        <v>626</v>
      </c>
      <c r="E25" t="s">
        <v>590</v>
      </c>
      <c r="F25">
        <v>2954</v>
      </c>
      <c r="G25">
        <v>2957</v>
      </c>
      <c r="H25">
        <v>2951.5</v>
      </c>
      <c r="I25">
        <v>2954</v>
      </c>
      <c r="J25">
        <v>198400</v>
      </c>
    </row>
    <row r="26" spans="4:10">
      <c r="D26" t="s">
        <v>626</v>
      </c>
      <c r="E26" t="s">
        <v>591</v>
      </c>
      <c r="F26">
        <v>2954</v>
      </c>
      <c r="G26">
        <v>2960.5</v>
      </c>
      <c r="H26">
        <v>2953.5</v>
      </c>
      <c r="I26">
        <v>2959</v>
      </c>
      <c r="J26">
        <v>172800</v>
      </c>
    </row>
    <row r="27" spans="4:10">
      <c r="D27" t="s">
        <v>626</v>
      </c>
      <c r="E27" t="s">
        <v>592</v>
      </c>
      <c r="F27">
        <v>2958.5</v>
      </c>
      <c r="G27">
        <v>2964.5</v>
      </c>
      <c r="H27">
        <v>2957.5</v>
      </c>
      <c r="I27">
        <v>2964.5</v>
      </c>
      <c r="J27">
        <v>193100</v>
      </c>
    </row>
    <row r="28" spans="4:10">
      <c r="D28" t="s">
        <v>626</v>
      </c>
      <c r="E28" t="s">
        <v>593</v>
      </c>
      <c r="F28">
        <v>2965</v>
      </c>
      <c r="G28">
        <v>2966</v>
      </c>
      <c r="H28">
        <v>2960</v>
      </c>
      <c r="I28">
        <v>2960.5</v>
      </c>
      <c r="J28">
        <v>222500</v>
      </c>
    </row>
    <row r="29" spans="4:10">
      <c r="D29" t="s">
        <v>626</v>
      </c>
      <c r="E29" t="s">
        <v>594</v>
      </c>
      <c r="F29">
        <v>2960</v>
      </c>
      <c r="G29">
        <v>2966</v>
      </c>
      <c r="H29">
        <v>2958.5</v>
      </c>
      <c r="I29">
        <v>2964</v>
      </c>
      <c r="J29">
        <v>289200</v>
      </c>
    </row>
    <row r="30" spans="4:10">
      <c r="D30" t="s">
        <v>626</v>
      </c>
      <c r="E30" t="s">
        <v>595</v>
      </c>
      <c r="F30">
        <v>2963.5</v>
      </c>
      <c r="G30">
        <v>2968.5</v>
      </c>
      <c r="H30">
        <v>2963</v>
      </c>
      <c r="I30">
        <v>2964.5</v>
      </c>
      <c r="J30">
        <v>201200</v>
      </c>
    </row>
    <row r="31" spans="4:10">
      <c r="D31" t="s">
        <v>626</v>
      </c>
      <c r="E31" t="s">
        <v>596</v>
      </c>
      <c r="F31">
        <v>2964.5</v>
      </c>
      <c r="G31">
        <v>2965.5</v>
      </c>
      <c r="H31">
        <v>2960</v>
      </c>
      <c r="I31">
        <v>2961</v>
      </c>
      <c r="J31">
        <v>209100</v>
      </c>
    </row>
    <row r="32" spans="4:10">
      <c r="D32" t="s">
        <v>626</v>
      </c>
      <c r="E32" t="s">
        <v>597</v>
      </c>
      <c r="F32">
        <v>2961</v>
      </c>
      <c r="G32">
        <v>2962</v>
      </c>
      <c r="H32">
        <v>2958</v>
      </c>
      <c r="I32">
        <v>2959</v>
      </c>
      <c r="J32">
        <v>144200</v>
      </c>
    </row>
    <row r="33" spans="4:10">
      <c r="D33" t="s">
        <v>626</v>
      </c>
      <c r="E33" t="s">
        <v>598</v>
      </c>
      <c r="F33">
        <v>2960</v>
      </c>
      <c r="G33">
        <v>2964.5</v>
      </c>
      <c r="H33">
        <v>2959.5</v>
      </c>
      <c r="I33">
        <v>2964.5</v>
      </c>
      <c r="J33">
        <v>147500</v>
      </c>
    </row>
    <row r="34" spans="4:10">
      <c r="D34" t="s">
        <v>626</v>
      </c>
      <c r="E34" t="s">
        <v>599</v>
      </c>
      <c r="F34">
        <v>2964</v>
      </c>
      <c r="G34">
        <v>2967.5</v>
      </c>
      <c r="H34">
        <v>2963</v>
      </c>
      <c r="I34">
        <v>2967</v>
      </c>
      <c r="J34">
        <v>186800</v>
      </c>
    </row>
    <row r="35" spans="4:10">
      <c r="D35" t="s">
        <v>626</v>
      </c>
      <c r="E35" t="s">
        <v>600</v>
      </c>
      <c r="F35">
        <v>2967</v>
      </c>
      <c r="G35">
        <v>2971</v>
      </c>
      <c r="H35">
        <v>2966.5</v>
      </c>
      <c r="I35">
        <v>2971</v>
      </c>
      <c r="J35">
        <v>250700</v>
      </c>
    </row>
    <row r="36" spans="4:10">
      <c r="D36" t="s">
        <v>626</v>
      </c>
      <c r="E36" t="s">
        <v>601</v>
      </c>
      <c r="F36">
        <v>2970.5</v>
      </c>
      <c r="G36">
        <v>2977</v>
      </c>
      <c r="H36">
        <v>2969.5</v>
      </c>
      <c r="I36">
        <v>2976.5</v>
      </c>
      <c r="J36">
        <v>325400</v>
      </c>
    </row>
    <row r="37" spans="4:10">
      <c r="D37" t="s">
        <v>626</v>
      </c>
      <c r="E37" t="s">
        <v>602</v>
      </c>
      <c r="F37">
        <v>2976.5</v>
      </c>
      <c r="G37">
        <v>2984</v>
      </c>
      <c r="H37">
        <v>2976</v>
      </c>
      <c r="I37">
        <v>2983.5</v>
      </c>
      <c r="J37">
        <v>456900</v>
      </c>
    </row>
    <row r="38" spans="4:10">
      <c r="D38" t="s">
        <v>626</v>
      </c>
      <c r="E38" t="s">
        <v>603</v>
      </c>
      <c r="F38">
        <v>2983</v>
      </c>
      <c r="G38">
        <v>2984</v>
      </c>
      <c r="H38">
        <v>2979.5</v>
      </c>
      <c r="I38">
        <v>2981</v>
      </c>
      <c r="J38">
        <v>233800</v>
      </c>
    </row>
    <row r="39" spans="4:10">
      <c r="D39" t="s">
        <v>626</v>
      </c>
      <c r="E39" t="s">
        <v>604</v>
      </c>
      <c r="F39">
        <v>2981.5</v>
      </c>
      <c r="G39">
        <v>2981.5</v>
      </c>
      <c r="H39">
        <v>2981.5</v>
      </c>
      <c r="I39">
        <v>2981.5</v>
      </c>
      <c r="J39">
        <v>45400</v>
      </c>
    </row>
    <row r="40" spans="4:10">
      <c r="D40" t="s">
        <v>626</v>
      </c>
      <c r="E40" t="s">
        <v>605</v>
      </c>
      <c r="F40">
        <v>2987</v>
      </c>
      <c r="G40">
        <v>3005</v>
      </c>
      <c r="H40">
        <v>2981</v>
      </c>
      <c r="I40">
        <v>3002</v>
      </c>
      <c r="J40">
        <v>2454700</v>
      </c>
    </row>
    <row r="41" spans="4:10">
      <c r="D41" t="s">
        <v>626</v>
      </c>
      <c r="E41" t="s">
        <v>606</v>
      </c>
      <c r="F41">
        <v>3002</v>
      </c>
      <c r="G41">
        <v>3008</v>
      </c>
      <c r="H41">
        <v>2999.5</v>
      </c>
      <c r="I41">
        <v>3007</v>
      </c>
      <c r="J41">
        <v>633800</v>
      </c>
    </row>
    <row r="42" spans="4:10">
      <c r="D42" t="s">
        <v>626</v>
      </c>
      <c r="E42" t="s">
        <v>538</v>
      </c>
      <c r="F42">
        <v>3006</v>
      </c>
      <c r="G42">
        <v>3007</v>
      </c>
      <c r="H42">
        <v>3002</v>
      </c>
      <c r="I42">
        <v>3005</v>
      </c>
      <c r="J42">
        <v>504500</v>
      </c>
    </row>
    <row r="43" spans="4:10">
      <c r="D43" t="s">
        <v>626</v>
      </c>
      <c r="E43" t="s">
        <v>539</v>
      </c>
      <c r="F43">
        <v>3006</v>
      </c>
      <c r="G43">
        <v>3010</v>
      </c>
      <c r="H43">
        <v>3003</v>
      </c>
      <c r="I43">
        <v>3008</v>
      </c>
      <c r="J43">
        <v>394300</v>
      </c>
    </row>
    <row r="44" spans="4:10">
      <c r="D44" t="s">
        <v>626</v>
      </c>
      <c r="E44" t="s">
        <v>540</v>
      </c>
      <c r="F44">
        <v>3007</v>
      </c>
      <c r="G44">
        <v>3015</v>
      </c>
      <c r="H44">
        <v>3007</v>
      </c>
      <c r="I44">
        <v>3014</v>
      </c>
      <c r="J44">
        <v>543500</v>
      </c>
    </row>
    <row r="45" spans="4:10">
      <c r="D45" t="s">
        <v>626</v>
      </c>
      <c r="E45" t="s">
        <v>541</v>
      </c>
      <c r="F45">
        <v>3014</v>
      </c>
      <c r="G45">
        <v>3014</v>
      </c>
      <c r="H45">
        <v>3009</v>
      </c>
      <c r="I45">
        <v>3013</v>
      </c>
      <c r="J45">
        <v>255900</v>
      </c>
    </row>
    <row r="46" spans="4:10">
      <c r="D46" t="s">
        <v>626</v>
      </c>
      <c r="E46" t="s">
        <v>542</v>
      </c>
      <c r="F46">
        <v>3013</v>
      </c>
      <c r="G46">
        <v>3014</v>
      </c>
      <c r="H46">
        <v>3008</v>
      </c>
      <c r="I46">
        <v>3008</v>
      </c>
      <c r="J46">
        <v>223300</v>
      </c>
    </row>
    <row r="47" spans="4:10">
      <c r="D47" t="s">
        <v>626</v>
      </c>
      <c r="E47" t="s">
        <v>543</v>
      </c>
      <c r="F47">
        <v>3008</v>
      </c>
      <c r="G47">
        <v>3010</v>
      </c>
      <c r="H47">
        <v>3004</v>
      </c>
      <c r="I47">
        <v>3005</v>
      </c>
      <c r="J47">
        <v>218600</v>
      </c>
    </row>
    <row r="48" spans="4:10">
      <c r="D48" t="s">
        <v>626</v>
      </c>
      <c r="E48" t="s">
        <v>544</v>
      </c>
      <c r="F48">
        <v>3005</v>
      </c>
      <c r="G48">
        <v>3005</v>
      </c>
      <c r="H48">
        <v>2997.5</v>
      </c>
      <c r="I48">
        <v>2998</v>
      </c>
      <c r="J48">
        <v>382900</v>
      </c>
    </row>
    <row r="49" spans="4:10">
      <c r="D49" t="s">
        <v>626</v>
      </c>
      <c r="E49" t="s">
        <v>545</v>
      </c>
      <c r="F49">
        <v>2998</v>
      </c>
      <c r="G49">
        <v>3003</v>
      </c>
      <c r="H49">
        <v>2997</v>
      </c>
      <c r="I49">
        <v>3002</v>
      </c>
      <c r="J49">
        <v>248800</v>
      </c>
    </row>
    <row r="50" spans="4:10">
      <c r="D50" t="s">
        <v>626</v>
      </c>
      <c r="E50" t="s">
        <v>546</v>
      </c>
      <c r="F50">
        <v>3002</v>
      </c>
      <c r="G50">
        <v>3005</v>
      </c>
      <c r="H50">
        <v>3000</v>
      </c>
      <c r="I50">
        <v>3003</v>
      </c>
      <c r="J50">
        <v>155900</v>
      </c>
    </row>
    <row r="51" spans="4:10">
      <c r="D51" t="s">
        <v>626</v>
      </c>
      <c r="E51" t="s">
        <v>547</v>
      </c>
      <c r="F51">
        <v>3003</v>
      </c>
      <c r="G51">
        <v>3005</v>
      </c>
      <c r="H51">
        <v>3002</v>
      </c>
      <c r="I51">
        <v>3003</v>
      </c>
      <c r="J51">
        <v>163400</v>
      </c>
    </row>
    <row r="52" spans="4:10">
      <c r="D52" t="s">
        <v>626</v>
      </c>
      <c r="E52" t="s">
        <v>548</v>
      </c>
      <c r="F52">
        <v>3003</v>
      </c>
      <c r="G52">
        <v>3004</v>
      </c>
      <c r="H52">
        <v>3001</v>
      </c>
      <c r="I52">
        <v>3002</v>
      </c>
      <c r="J52">
        <v>130500</v>
      </c>
    </row>
    <row r="53" spans="4:10">
      <c r="D53" t="s">
        <v>626</v>
      </c>
      <c r="E53" t="s">
        <v>549</v>
      </c>
      <c r="F53">
        <v>3003</v>
      </c>
      <c r="G53">
        <v>3003</v>
      </c>
      <c r="H53">
        <v>3000</v>
      </c>
      <c r="I53">
        <v>3001</v>
      </c>
      <c r="J53">
        <v>171100</v>
      </c>
    </row>
    <row r="54" spans="4:10">
      <c r="D54" t="s">
        <v>626</v>
      </c>
      <c r="E54" t="s">
        <v>550</v>
      </c>
      <c r="F54">
        <v>3000</v>
      </c>
      <c r="G54">
        <v>3002</v>
      </c>
      <c r="H54">
        <v>2999</v>
      </c>
      <c r="I54">
        <v>3002</v>
      </c>
      <c r="J54">
        <v>196200</v>
      </c>
    </row>
    <row r="55" spans="4:10">
      <c r="D55" t="s">
        <v>626</v>
      </c>
      <c r="E55" t="s">
        <v>551</v>
      </c>
      <c r="F55">
        <v>3002</v>
      </c>
      <c r="G55">
        <v>3003</v>
      </c>
      <c r="H55">
        <v>3001</v>
      </c>
      <c r="I55">
        <v>3002</v>
      </c>
      <c r="J55">
        <v>54100</v>
      </c>
    </row>
    <row r="56" spans="4:10">
      <c r="D56" t="s">
        <v>626</v>
      </c>
      <c r="E56" t="s">
        <v>552</v>
      </c>
      <c r="F56">
        <v>3001</v>
      </c>
      <c r="G56">
        <v>3002</v>
      </c>
      <c r="H56">
        <v>2999.5</v>
      </c>
      <c r="I56">
        <v>3002</v>
      </c>
      <c r="J56">
        <v>110000</v>
      </c>
    </row>
    <row r="57" spans="4:10">
      <c r="D57" t="s">
        <v>626</v>
      </c>
      <c r="E57" t="s">
        <v>553</v>
      </c>
      <c r="F57">
        <v>3001</v>
      </c>
      <c r="G57">
        <v>3002</v>
      </c>
      <c r="H57">
        <v>2993.5</v>
      </c>
      <c r="I57">
        <v>2994.5</v>
      </c>
      <c r="J57">
        <v>363900</v>
      </c>
    </row>
    <row r="58" spans="4:10">
      <c r="D58" t="s">
        <v>626</v>
      </c>
      <c r="E58" t="s">
        <v>554</v>
      </c>
      <c r="F58">
        <v>2994.5</v>
      </c>
      <c r="G58">
        <v>2996.5</v>
      </c>
      <c r="H58">
        <v>2992.5</v>
      </c>
      <c r="I58">
        <v>2995.5</v>
      </c>
      <c r="J58">
        <v>205700</v>
      </c>
    </row>
    <row r="59" spans="4:10">
      <c r="D59" t="s">
        <v>626</v>
      </c>
      <c r="E59" t="s">
        <v>555</v>
      </c>
      <c r="F59">
        <v>2995.5</v>
      </c>
      <c r="G59">
        <v>2995.5</v>
      </c>
      <c r="H59">
        <v>2993.5</v>
      </c>
      <c r="I59">
        <v>2994</v>
      </c>
      <c r="J59">
        <v>121100</v>
      </c>
    </row>
    <row r="60" spans="4:10">
      <c r="D60" t="s">
        <v>626</v>
      </c>
      <c r="E60" t="s">
        <v>556</v>
      </c>
      <c r="F60">
        <v>2993.5</v>
      </c>
      <c r="G60">
        <v>2994.5</v>
      </c>
      <c r="H60">
        <v>2992</v>
      </c>
      <c r="I60">
        <v>2993</v>
      </c>
      <c r="J60">
        <v>149300</v>
      </c>
    </row>
    <row r="61" spans="4:10">
      <c r="D61" t="s">
        <v>626</v>
      </c>
      <c r="E61" t="s">
        <v>557</v>
      </c>
      <c r="F61">
        <v>2992.5</v>
      </c>
      <c r="G61">
        <v>2995.5</v>
      </c>
      <c r="H61">
        <v>2992.5</v>
      </c>
      <c r="I61">
        <v>2993</v>
      </c>
      <c r="J61">
        <v>140100</v>
      </c>
    </row>
    <row r="62" spans="4:10">
      <c r="D62" t="s">
        <v>626</v>
      </c>
      <c r="E62" t="s">
        <v>558</v>
      </c>
      <c r="F62">
        <v>2993</v>
      </c>
      <c r="G62">
        <v>2995.5</v>
      </c>
      <c r="H62">
        <v>2992.5</v>
      </c>
      <c r="I62">
        <v>2994</v>
      </c>
      <c r="J62">
        <v>160000</v>
      </c>
    </row>
    <row r="63" spans="4:10">
      <c r="D63" t="s">
        <v>626</v>
      </c>
      <c r="E63" t="s">
        <v>559</v>
      </c>
      <c r="F63">
        <v>2994</v>
      </c>
      <c r="G63">
        <v>2995.5</v>
      </c>
      <c r="H63">
        <v>2993</v>
      </c>
      <c r="I63">
        <v>2994.5</v>
      </c>
      <c r="J63">
        <v>149900</v>
      </c>
    </row>
    <row r="64" spans="4:10">
      <c r="D64" t="s">
        <v>626</v>
      </c>
      <c r="E64" t="s">
        <v>560</v>
      </c>
      <c r="F64">
        <v>2995.5</v>
      </c>
      <c r="G64">
        <v>2996</v>
      </c>
      <c r="H64">
        <v>2991.5</v>
      </c>
      <c r="I64">
        <v>2992</v>
      </c>
      <c r="J64">
        <v>202800</v>
      </c>
    </row>
    <row r="65" spans="4:10">
      <c r="D65" t="s">
        <v>626</v>
      </c>
      <c r="E65" t="s">
        <v>561</v>
      </c>
      <c r="F65">
        <v>2991.5</v>
      </c>
      <c r="G65">
        <v>2993</v>
      </c>
      <c r="H65">
        <v>2989.5</v>
      </c>
      <c r="I65">
        <v>2992.5</v>
      </c>
      <c r="J65">
        <v>495300</v>
      </c>
    </row>
    <row r="66" spans="4:10">
      <c r="D66" t="s">
        <v>626</v>
      </c>
      <c r="E66" t="s">
        <v>562</v>
      </c>
      <c r="F66">
        <v>2992</v>
      </c>
      <c r="G66">
        <v>2997.5</v>
      </c>
      <c r="H66">
        <v>2991</v>
      </c>
      <c r="I66">
        <v>2996</v>
      </c>
      <c r="J66">
        <v>354800</v>
      </c>
    </row>
    <row r="67" spans="4:10">
      <c r="D67" t="s">
        <v>626</v>
      </c>
      <c r="E67" t="s">
        <v>563</v>
      </c>
      <c r="F67">
        <v>2996</v>
      </c>
      <c r="G67">
        <v>3000</v>
      </c>
      <c r="H67">
        <v>2994.5</v>
      </c>
      <c r="I67">
        <v>2996.5</v>
      </c>
      <c r="J67">
        <v>378500</v>
      </c>
    </row>
    <row r="68" spans="4:10">
      <c r="D68" t="s">
        <v>626</v>
      </c>
      <c r="E68" t="s">
        <v>564</v>
      </c>
      <c r="F68">
        <v>2996.5</v>
      </c>
      <c r="G68">
        <v>3000</v>
      </c>
      <c r="H68">
        <v>2996.5</v>
      </c>
      <c r="I68">
        <v>2999.5</v>
      </c>
      <c r="J68">
        <v>242500</v>
      </c>
    </row>
    <row r="69" spans="4:10">
      <c r="D69" t="s">
        <v>626</v>
      </c>
      <c r="E69" t="s">
        <v>565</v>
      </c>
      <c r="F69">
        <v>2999.5</v>
      </c>
      <c r="G69">
        <v>3003</v>
      </c>
      <c r="H69">
        <v>2999</v>
      </c>
      <c r="I69">
        <v>3001</v>
      </c>
      <c r="J69">
        <v>376400</v>
      </c>
    </row>
    <row r="70" spans="4:10">
      <c r="D70" t="s">
        <v>626</v>
      </c>
      <c r="E70" t="s">
        <v>566</v>
      </c>
      <c r="F70">
        <v>3002</v>
      </c>
      <c r="G70">
        <v>3004</v>
      </c>
      <c r="H70">
        <v>2997.5</v>
      </c>
      <c r="I70">
        <v>2998</v>
      </c>
      <c r="J70">
        <v>285200</v>
      </c>
    </row>
    <row r="71" spans="4:10">
      <c r="D71" t="s">
        <v>626</v>
      </c>
      <c r="E71" t="s">
        <v>567</v>
      </c>
      <c r="F71">
        <v>2998.5</v>
      </c>
      <c r="G71">
        <v>2999</v>
      </c>
      <c r="H71">
        <v>2997</v>
      </c>
      <c r="I71">
        <v>2998</v>
      </c>
      <c r="J71">
        <v>226400</v>
      </c>
    </row>
    <row r="72" spans="4:10">
      <c r="D72" t="s">
        <v>626</v>
      </c>
      <c r="E72" t="s">
        <v>568</v>
      </c>
      <c r="F72">
        <v>2997.5</v>
      </c>
      <c r="G72">
        <v>3004</v>
      </c>
      <c r="H72">
        <v>2997.5</v>
      </c>
      <c r="I72">
        <v>3003</v>
      </c>
      <c r="J72">
        <v>247000</v>
      </c>
    </row>
    <row r="73" spans="4:10">
      <c r="D73" t="s">
        <v>626</v>
      </c>
      <c r="E73" t="s">
        <v>569</v>
      </c>
      <c r="F73">
        <v>3004</v>
      </c>
      <c r="G73">
        <v>3011</v>
      </c>
      <c r="H73">
        <v>3003</v>
      </c>
      <c r="I73">
        <v>3008</v>
      </c>
      <c r="J73">
        <v>604500</v>
      </c>
    </row>
    <row r="74" spans="4:10">
      <c r="D74" t="s">
        <v>626</v>
      </c>
      <c r="E74" t="s">
        <v>570</v>
      </c>
      <c r="F74">
        <v>3009</v>
      </c>
      <c r="G74">
        <v>3012</v>
      </c>
      <c r="H74">
        <v>3008</v>
      </c>
      <c r="I74">
        <v>3012</v>
      </c>
      <c r="J74">
        <v>524900</v>
      </c>
    </row>
    <row r="75" spans="4:10">
      <c r="D75" t="s">
        <v>626</v>
      </c>
      <c r="E75" t="s">
        <v>571</v>
      </c>
      <c r="F75" t="s">
        <v>35</v>
      </c>
      <c r="G75" t="s">
        <v>35</v>
      </c>
      <c r="H75" t="s">
        <v>35</v>
      </c>
      <c r="I75" t="s">
        <v>35</v>
      </c>
      <c r="J75">
        <v>0</v>
      </c>
    </row>
    <row r="76" spans="4:10">
      <c r="D76" t="s">
        <v>626</v>
      </c>
      <c r="E76" t="s">
        <v>572</v>
      </c>
      <c r="F76">
        <v>3008</v>
      </c>
      <c r="G76">
        <v>3008</v>
      </c>
      <c r="H76">
        <v>3008</v>
      </c>
      <c r="I76">
        <v>3008</v>
      </c>
      <c r="J76">
        <v>6292100</v>
      </c>
    </row>
    <row r="77" spans="4:10">
      <c r="D77" t="s">
        <v>627</v>
      </c>
      <c r="E77" t="s">
        <v>574</v>
      </c>
      <c r="F77">
        <v>3085</v>
      </c>
      <c r="G77">
        <v>3115</v>
      </c>
      <c r="H77">
        <v>3077</v>
      </c>
      <c r="I77">
        <v>3115</v>
      </c>
      <c r="J77">
        <v>5217200</v>
      </c>
    </row>
    <row r="78" spans="4:10">
      <c r="D78" t="s">
        <v>627</v>
      </c>
      <c r="E78" t="s">
        <v>575</v>
      </c>
      <c r="F78">
        <v>3115</v>
      </c>
      <c r="G78">
        <v>3117</v>
      </c>
      <c r="H78">
        <v>3071</v>
      </c>
      <c r="I78">
        <v>3081</v>
      </c>
      <c r="J78">
        <v>1174900</v>
      </c>
    </row>
    <row r="79" spans="4:10">
      <c r="D79" t="s">
        <v>627</v>
      </c>
      <c r="E79" t="s">
        <v>576</v>
      </c>
      <c r="F79">
        <v>3082</v>
      </c>
      <c r="G79">
        <v>3085</v>
      </c>
      <c r="H79">
        <v>3063</v>
      </c>
      <c r="I79">
        <v>3068</v>
      </c>
      <c r="J79">
        <v>797900</v>
      </c>
    </row>
    <row r="80" spans="4:10">
      <c r="D80" t="s">
        <v>627</v>
      </c>
      <c r="E80" t="s">
        <v>577</v>
      </c>
      <c r="F80">
        <v>3068</v>
      </c>
      <c r="G80">
        <v>3075</v>
      </c>
      <c r="H80">
        <v>3060</v>
      </c>
      <c r="I80">
        <v>3064</v>
      </c>
      <c r="J80">
        <v>749100</v>
      </c>
    </row>
    <row r="81" spans="4:10">
      <c r="D81" t="s">
        <v>627</v>
      </c>
      <c r="E81" t="s">
        <v>578</v>
      </c>
      <c r="F81">
        <v>3065</v>
      </c>
      <c r="G81">
        <v>3074</v>
      </c>
      <c r="H81">
        <v>3059</v>
      </c>
      <c r="I81">
        <v>3072</v>
      </c>
      <c r="J81">
        <v>507800</v>
      </c>
    </row>
    <row r="82" spans="4:10">
      <c r="D82" t="s">
        <v>627</v>
      </c>
      <c r="E82" t="s">
        <v>579</v>
      </c>
      <c r="F82">
        <v>3072</v>
      </c>
      <c r="G82">
        <v>3083</v>
      </c>
      <c r="H82">
        <v>3070</v>
      </c>
      <c r="I82">
        <v>3081</v>
      </c>
      <c r="J82">
        <v>570300</v>
      </c>
    </row>
    <row r="83" spans="4:10">
      <c r="D83" t="s">
        <v>627</v>
      </c>
      <c r="E83" t="s">
        <v>580</v>
      </c>
      <c r="F83">
        <v>3081</v>
      </c>
      <c r="G83">
        <v>3092</v>
      </c>
      <c r="H83">
        <v>3078</v>
      </c>
      <c r="I83">
        <v>3085</v>
      </c>
      <c r="J83">
        <v>884300</v>
      </c>
    </row>
    <row r="84" spans="4:10">
      <c r="D84" t="s">
        <v>627</v>
      </c>
      <c r="E84" t="s">
        <v>581</v>
      </c>
      <c r="F84">
        <v>3085</v>
      </c>
      <c r="G84">
        <v>3096</v>
      </c>
      <c r="H84">
        <v>3082</v>
      </c>
      <c r="I84">
        <v>3096</v>
      </c>
      <c r="J84">
        <v>414200</v>
      </c>
    </row>
    <row r="85" spans="4:10">
      <c r="D85" t="s">
        <v>627</v>
      </c>
      <c r="E85" t="s">
        <v>582</v>
      </c>
      <c r="F85">
        <v>3096</v>
      </c>
      <c r="G85">
        <v>3104</v>
      </c>
      <c r="H85">
        <v>3095</v>
      </c>
      <c r="I85">
        <v>3100</v>
      </c>
      <c r="J85">
        <v>739600</v>
      </c>
    </row>
    <row r="86" spans="4:10">
      <c r="D86" t="s">
        <v>627</v>
      </c>
      <c r="E86" t="s">
        <v>583</v>
      </c>
      <c r="F86">
        <v>3101</v>
      </c>
      <c r="G86">
        <v>3103</v>
      </c>
      <c r="H86">
        <v>3091</v>
      </c>
      <c r="I86">
        <v>3096</v>
      </c>
      <c r="J86">
        <v>338300</v>
      </c>
    </row>
    <row r="87" spans="4:10">
      <c r="D87" t="s">
        <v>627</v>
      </c>
      <c r="E87" t="s">
        <v>584</v>
      </c>
      <c r="F87">
        <v>3096</v>
      </c>
      <c r="G87">
        <v>3096</v>
      </c>
      <c r="H87">
        <v>3088</v>
      </c>
      <c r="I87">
        <v>3091</v>
      </c>
      <c r="J87">
        <v>292400</v>
      </c>
    </row>
    <row r="88" spans="4:10">
      <c r="D88" t="s">
        <v>627</v>
      </c>
      <c r="E88" t="s">
        <v>585</v>
      </c>
      <c r="F88">
        <v>3092</v>
      </c>
      <c r="G88">
        <v>3105</v>
      </c>
      <c r="H88">
        <v>3088</v>
      </c>
      <c r="I88">
        <v>3104</v>
      </c>
      <c r="J88">
        <v>709300</v>
      </c>
    </row>
    <row r="89" spans="4:10">
      <c r="D89" t="s">
        <v>627</v>
      </c>
      <c r="E89" t="s">
        <v>586</v>
      </c>
      <c r="F89">
        <v>3103</v>
      </c>
      <c r="G89">
        <v>3121</v>
      </c>
      <c r="H89">
        <v>3102</v>
      </c>
      <c r="I89">
        <v>3121</v>
      </c>
      <c r="J89">
        <v>938300</v>
      </c>
    </row>
    <row r="90" spans="4:10">
      <c r="D90" t="s">
        <v>627</v>
      </c>
      <c r="E90" t="s">
        <v>587</v>
      </c>
      <c r="F90">
        <v>3120</v>
      </c>
      <c r="G90">
        <v>3123</v>
      </c>
      <c r="H90">
        <v>3113</v>
      </c>
      <c r="I90">
        <v>3114</v>
      </c>
      <c r="J90">
        <v>607600</v>
      </c>
    </row>
    <row r="91" spans="4:10">
      <c r="D91" t="s">
        <v>627</v>
      </c>
      <c r="E91" t="s">
        <v>588</v>
      </c>
      <c r="F91">
        <v>3114</v>
      </c>
      <c r="G91">
        <v>3118</v>
      </c>
      <c r="H91">
        <v>3112</v>
      </c>
      <c r="I91">
        <v>3116</v>
      </c>
      <c r="J91">
        <v>340900</v>
      </c>
    </row>
    <row r="92" spans="4:10">
      <c r="D92" t="s">
        <v>627</v>
      </c>
      <c r="E92" t="s">
        <v>589</v>
      </c>
      <c r="F92">
        <v>3115</v>
      </c>
      <c r="G92">
        <v>3119</v>
      </c>
      <c r="H92">
        <v>3112</v>
      </c>
      <c r="I92">
        <v>3115</v>
      </c>
      <c r="J92">
        <v>1033500</v>
      </c>
    </row>
    <row r="93" spans="4:10">
      <c r="D93" t="s">
        <v>627</v>
      </c>
      <c r="E93" t="s">
        <v>590</v>
      </c>
      <c r="F93">
        <v>3115</v>
      </c>
      <c r="G93">
        <v>3128</v>
      </c>
      <c r="H93">
        <v>3114</v>
      </c>
      <c r="I93">
        <v>3126</v>
      </c>
      <c r="J93">
        <v>635700</v>
      </c>
    </row>
    <row r="94" spans="4:10">
      <c r="D94" t="s">
        <v>627</v>
      </c>
      <c r="E94" t="s">
        <v>591</v>
      </c>
      <c r="F94">
        <v>3126</v>
      </c>
      <c r="G94">
        <v>3132</v>
      </c>
      <c r="H94">
        <v>3122</v>
      </c>
      <c r="I94">
        <v>3127</v>
      </c>
      <c r="J94">
        <v>682400</v>
      </c>
    </row>
    <row r="95" spans="4:10">
      <c r="D95" t="s">
        <v>627</v>
      </c>
      <c r="E95" t="s">
        <v>592</v>
      </c>
      <c r="F95">
        <v>3126</v>
      </c>
      <c r="G95">
        <v>3130</v>
      </c>
      <c r="H95">
        <v>3124</v>
      </c>
      <c r="I95">
        <v>3128</v>
      </c>
      <c r="J95">
        <v>421600</v>
      </c>
    </row>
    <row r="96" spans="4:10">
      <c r="D96" t="s">
        <v>627</v>
      </c>
      <c r="E96" t="s">
        <v>593</v>
      </c>
      <c r="F96">
        <v>3127</v>
      </c>
      <c r="G96">
        <v>3131</v>
      </c>
      <c r="H96">
        <v>3125</v>
      </c>
      <c r="I96">
        <v>3126</v>
      </c>
      <c r="J96">
        <v>523200</v>
      </c>
    </row>
    <row r="97" spans="4:10">
      <c r="D97" t="s">
        <v>627</v>
      </c>
      <c r="E97" t="s">
        <v>594</v>
      </c>
      <c r="F97">
        <v>3126</v>
      </c>
      <c r="G97">
        <v>3136</v>
      </c>
      <c r="H97">
        <v>3124</v>
      </c>
      <c r="I97">
        <v>3135</v>
      </c>
      <c r="J97">
        <v>664300</v>
      </c>
    </row>
    <row r="98" spans="4:10">
      <c r="D98" t="s">
        <v>627</v>
      </c>
      <c r="E98" t="s">
        <v>595</v>
      </c>
      <c r="F98">
        <v>3135</v>
      </c>
      <c r="G98">
        <v>3139</v>
      </c>
      <c r="H98">
        <v>3135</v>
      </c>
      <c r="I98">
        <v>3137</v>
      </c>
      <c r="J98">
        <v>357600</v>
      </c>
    </row>
    <row r="99" spans="4:10">
      <c r="D99" t="s">
        <v>627</v>
      </c>
      <c r="E99" t="s">
        <v>596</v>
      </c>
      <c r="F99">
        <v>3136</v>
      </c>
      <c r="G99">
        <v>3150</v>
      </c>
      <c r="H99">
        <v>3136</v>
      </c>
      <c r="I99">
        <v>3150</v>
      </c>
      <c r="J99">
        <v>711100</v>
      </c>
    </row>
    <row r="100" spans="4:10">
      <c r="D100" t="s">
        <v>627</v>
      </c>
      <c r="E100" t="s">
        <v>597</v>
      </c>
      <c r="F100">
        <v>3149</v>
      </c>
      <c r="G100">
        <v>3155</v>
      </c>
      <c r="H100">
        <v>3148</v>
      </c>
      <c r="I100">
        <v>3150</v>
      </c>
      <c r="J100">
        <v>909400</v>
      </c>
    </row>
    <row r="101" spans="4:10">
      <c r="D101" t="s">
        <v>627</v>
      </c>
      <c r="E101" t="s">
        <v>598</v>
      </c>
      <c r="F101">
        <v>3150</v>
      </c>
      <c r="G101">
        <v>3152</v>
      </c>
      <c r="H101">
        <v>3145</v>
      </c>
      <c r="I101">
        <v>3150</v>
      </c>
      <c r="J101">
        <v>500200</v>
      </c>
    </row>
    <row r="102" spans="4:10">
      <c r="D102" t="s">
        <v>627</v>
      </c>
      <c r="E102" t="s">
        <v>599</v>
      </c>
      <c r="F102">
        <v>3150</v>
      </c>
      <c r="G102">
        <v>3165</v>
      </c>
      <c r="H102">
        <v>3145</v>
      </c>
      <c r="I102">
        <v>3156</v>
      </c>
      <c r="J102">
        <v>1071200</v>
      </c>
    </row>
    <row r="103" spans="4:10">
      <c r="D103" t="s">
        <v>627</v>
      </c>
      <c r="E103" t="s">
        <v>600</v>
      </c>
      <c r="F103">
        <v>3157</v>
      </c>
      <c r="G103">
        <v>3168</v>
      </c>
      <c r="H103">
        <v>3156</v>
      </c>
      <c r="I103">
        <v>3164</v>
      </c>
      <c r="J103">
        <v>632600</v>
      </c>
    </row>
    <row r="104" spans="4:10">
      <c r="D104" t="s">
        <v>627</v>
      </c>
      <c r="E104" t="s">
        <v>601</v>
      </c>
      <c r="F104">
        <v>3164</v>
      </c>
      <c r="G104">
        <v>3167</v>
      </c>
      <c r="H104">
        <v>3163</v>
      </c>
      <c r="I104">
        <v>3165</v>
      </c>
      <c r="J104">
        <v>486400</v>
      </c>
    </row>
    <row r="105" spans="4:10">
      <c r="D105" t="s">
        <v>627</v>
      </c>
      <c r="E105" t="s">
        <v>602</v>
      </c>
      <c r="F105">
        <v>3165</v>
      </c>
      <c r="G105">
        <v>3181</v>
      </c>
      <c r="H105">
        <v>3165</v>
      </c>
      <c r="I105">
        <v>3175</v>
      </c>
      <c r="J105">
        <v>1849100</v>
      </c>
    </row>
    <row r="106" spans="4:10">
      <c r="D106" t="s">
        <v>627</v>
      </c>
      <c r="E106" t="s">
        <v>603</v>
      </c>
      <c r="F106">
        <v>3176</v>
      </c>
      <c r="G106">
        <v>3181</v>
      </c>
      <c r="H106">
        <v>3173</v>
      </c>
      <c r="I106">
        <v>3177</v>
      </c>
      <c r="J106">
        <v>900300</v>
      </c>
    </row>
    <row r="107" spans="4:10">
      <c r="D107" t="s">
        <v>627</v>
      </c>
      <c r="E107" t="s">
        <v>604</v>
      </c>
      <c r="F107">
        <v>3180</v>
      </c>
      <c r="G107">
        <v>3180</v>
      </c>
      <c r="H107">
        <v>3180</v>
      </c>
      <c r="I107">
        <v>3180</v>
      </c>
      <c r="J107">
        <v>194400</v>
      </c>
    </row>
    <row r="108" spans="4:10">
      <c r="D108" t="s">
        <v>627</v>
      </c>
      <c r="E108" t="s">
        <v>605</v>
      </c>
      <c r="F108">
        <v>3183</v>
      </c>
      <c r="G108">
        <v>3183</v>
      </c>
      <c r="H108">
        <v>3167</v>
      </c>
      <c r="I108">
        <v>3181</v>
      </c>
      <c r="J108">
        <v>2470800</v>
      </c>
    </row>
    <row r="109" spans="4:10">
      <c r="D109" t="s">
        <v>627</v>
      </c>
      <c r="E109" t="s">
        <v>606</v>
      </c>
      <c r="F109">
        <v>3180</v>
      </c>
      <c r="G109">
        <v>3184</v>
      </c>
      <c r="H109">
        <v>3175</v>
      </c>
      <c r="I109">
        <v>3178</v>
      </c>
      <c r="J109">
        <v>953500</v>
      </c>
    </row>
    <row r="110" spans="4:10">
      <c r="D110" t="s">
        <v>627</v>
      </c>
      <c r="E110" t="s">
        <v>538</v>
      </c>
      <c r="F110">
        <v>3178</v>
      </c>
      <c r="G110">
        <v>3180</v>
      </c>
      <c r="H110">
        <v>3167</v>
      </c>
      <c r="I110">
        <v>3171</v>
      </c>
      <c r="J110">
        <v>726700</v>
      </c>
    </row>
    <row r="111" spans="4:10">
      <c r="D111" t="s">
        <v>627</v>
      </c>
      <c r="E111" t="s">
        <v>539</v>
      </c>
      <c r="F111">
        <v>3172</v>
      </c>
      <c r="G111">
        <v>3173</v>
      </c>
      <c r="H111">
        <v>3165</v>
      </c>
      <c r="I111">
        <v>3169</v>
      </c>
      <c r="J111">
        <v>457900</v>
      </c>
    </row>
    <row r="112" spans="4:10">
      <c r="D112" t="s">
        <v>627</v>
      </c>
      <c r="E112" t="s">
        <v>540</v>
      </c>
      <c r="F112">
        <v>3168</v>
      </c>
      <c r="G112">
        <v>3176</v>
      </c>
      <c r="H112">
        <v>3168</v>
      </c>
      <c r="I112">
        <v>3174</v>
      </c>
      <c r="J112">
        <v>412300</v>
      </c>
    </row>
    <row r="113" spans="4:10">
      <c r="D113" t="s">
        <v>627</v>
      </c>
      <c r="E113" t="s">
        <v>541</v>
      </c>
      <c r="F113">
        <v>3174</v>
      </c>
      <c r="G113">
        <v>3183</v>
      </c>
      <c r="H113">
        <v>3171</v>
      </c>
      <c r="I113">
        <v>3183</v>
      </c>
      <c r="J113">
        <v>824100</v>
      </c>
    </row>
    <row r="114" spans="4:10">
      <c r="D114" t="s">
        <v>627</v>
      </c>
      <c r="E114" t="s">
        <v>542</v>
      </c>
      <c r="F114">
        <v>3182</v>
      </c>
      <c r="G114">
        <v>3193</v>
      </c>
      <c r="H114">
        <v>3181</v>
      </c>
      <c r="I114">
        <v>3193</v>
      </c>
      <c r="J114">
        <v>1094800</v>
      </c>
    </row>
    <row r="115" spans="4:10">
      <c r="D115" t="s">
        <v>627</v>
      </c>
      <c r="E115" t="s">
        <v>543</v>
      </c>
      <c r="F115">
        <v>3194</v>
      </c>
      <c r="G115">
        <v>3204</v>
      </c>
      <c r="H115">
        <v>3191</v>
      </c>
      <c r="I115">
        <v>3203</v>
      </c>
      <c r="J115">
        <v>2165200</v>
      </c>
    </row>
    <row r="116" spans="4:10">
      <c r="D116" t="s">
        <v>627</v>
      </c>
      <c r="E116" t="s">
        <v>544</v>
      </c>
      <c r="F116">
        <v>3203</v>
      </c>
      <c r="G116">
        <v>3209</v>
      </c>
      <c r="H116">
        <v>3199</v>
      </c>
      <c r="I116">
        <v>3208</v>
      </c>
      <c r="J116">
        <v>1517500</v>
      </c>
    </row>
    <row r="117" spans="4:10">
      <c r="D117" t="s">
        <v>627</v>
      </c>
      <c r="E117" t="s">
        <v>545</v>
      </c>
      <c r="F117">
        <v>3208</v>
      </c>
      <c r="G117">
        <v>3220</v>
      </c>
      <c r="H117">
        <v>3206</v>
      </c>
      <c r="I117">
        <v>3217</v>
      </c>
      <c r="J117">
        <v>1657500</v>
      </c>
    </row>
    <row r="118" spans="4:10">
      <c r="D118" t="s">
        <v>627</v>
      </c>
      <c r="E118" t="s">
        <v>546</v>
      </c>
      <c r="F118">
        <v>3217</v>
      </c>
      <c r="G118">
        <v>3224</v>
      </c>
      <c r="H118">
        <v>3213</v>
      </c>
      <c r="I118">
        <v>3214</v>
      </c>
      <c r="J118">
        <v>1485000</v>
      </c>
    </row>
    <row r="119" spans="4:10">
      <c r="D119" t="s">
        <v>627</v>
      </c>
      <c r="E119" t="s">
        <v>547</v>
      </c>
      <c r="F119">
        <v>3214</v>
      </c>
      <c r="G119">
        <v>3219</v>
      </c>
      <c r="H119">
        <v>3196</v>
      </c>
      <c r="I119">
        <v>3198</v>
      </c>
      <c r="J119">
        <v>750000</v>
      </c>
    </row>
    <row r="120" spans="4:10">
      <c r="D120" t="s">
        <v>627</v>
      </c>
      <c r="E120" t="s">
        <v>548</v>
      </c>
      <c r="F120">
        <v>3199</v>
      </c>
      <c r="G120">
        <v>3206</v>
      </c>
      <c r="H120">
        <v>3198</v>
      </c>
      <c r="I120">
        <v>3200</v>
      </c>
      <c r="J120">
        <v>420000</v>
      </c>
    </row>
    <row r="121" spans="4:10">
      <c r="D121" t="s">
        <v>627</v>
      </c>
      <c r="E121" t="s">
        <v>549</v>
      </c>
      <c r="F121">
        <v>3199</v>
      </c>
      <c r="G121">
        <v>3200</v>
      </c>
      <c r="H121">
        <v>3190</v>
      </c>
      <c r="I121">
        <v>3192</v>
      </c>
      <c r="J121">
        <v>457500</v>
      </c>
    </row>
    <row r="122" spans="4:10">
      <c r="D122" t="s">
        <v>627</v>
      </c>
      <c r="E122" t="s">
        <v>550</v>
      </c>
      <c r="F122">
        <v>3193</v>
      </c>
      <c r="G122">
        <v>3201</v>
      </c>
      <c r="H122">
        <v>3189</v>
      </c>
      <c r="I122">
        <v>3199</v>
      </c>
      <c r="J122">
        <v>541600</v>
      </c>
    </row>
    <row r="123" spans="4:10">
      <c r="D123" t="s">
        <v>627</v>
      </c>
      <c r="E123" t="s">
        <v>551</v>
      </c>
      <c r="F123">
        <v>3200</v>
      </c>
      <c r="G123">
        <v>3203</v>
      </c>
      <c r="H123">
        <v>3197</v>
      </c>
      <c r="I123">
        <v>3202</v>
      </c>
      <c r="J123">
        <v>369700</v>
      </c>
    </row>
    <row r="124" spans="4:10">
      <c r="D124" t="s">
        <v>627</v>
      </c>
      <c r="E124" t="s">
        <v>552</v>
      </c>
      <c r="F124">
        <v>3202</v>
      </c>
      <c r="G124">
        <v>3206</v>
      </c>
      <c r="H124">
        <v>3198</v>
      </c>
      <c r="I124">
        <v>3200</v>
      </c>
      <c r="J124">
        <v>648800</v>
      </c>
    </row>
    <row r="125" spans="4:10">
      <c r="D125" t="s">
        <v>627</v>
      </c>
      <c r="E125" t="s">
        <v>553</v>
      </c>
      <c r="F125">
        <v>3201</v>
      </c>
      <c r="G125">
        <v>3203</v>
      </c>
      <c r="H125">
        <v>3192</v>
      </c>
      <c r="I125">
        <v>3196</v>
      </c>
      <c r="J125">
        <v>656700</v>
      </c>
    </row>
    <row r="126" spans="4:10">
      <c r="D126" t="s">
        <v>627</v>
      </c>
      <c r="E126" t="s">
        <v>554</v>
      </c>
      <c r="F126">
        <v>3196</v>
      </c>
      <c r="G126">
        <v>3199</v>
      </c>
      <c r="H126">
        <v>3192</v>
      </c>
      <c r="I126">
        <v>3195</v>
      </c>
      <c r="J126">
        <v>343300</v>
      </c>
    </row>
    <row r="127" spans="4:10">
      <c r="D127" t="s">
        <v>627</v>
      </c>
      <c r="E127" t="s">
        <v>555</v>
      </c>
      <c r="F127">
        <v>3194</v>
      </c>
      <c r="G127">
        <v>3200</v>
      </c>
      <c r="H127">
        <v>3194</v>
      </c>
      <c r="I127">
        <v>3199</v>
      </c>
      <c r="J127">
        <v>339500</v>
      </c>
    </row>
    <row r="128" spans="4:10">
      <c r="D128" t="s">
        <v>627</v>
      </c>
      <c r="E128" t="s">
        <v>556</v>
      </c>
      <c r="F128">
        <v>3199</v>
      </c>
      <c r="G128">
        <v>3203</v>
      </c>
      <c r="H128">
        <v>3199</v>
      </c>
      <c r="I128">
        <v>3202</v>
      </c>
      <c r="J128">
        <v>310100</v>
      </c>
    </row>
    <row r="129" spans="4:10">
      <c r="D129" t="s">
        <v>627</v>
      </c>
      <c r="E129" t="s">
        <v>557</v>
      </c>
      <c r="F129">
        <v>3202</v>
      </c>
      <c r="G129">
        <v>3212</v>
      </c>
      <c r="H129">
        <v>3202</v>
      </c>
      <c r="I129">
        <v>3206</v>
      </c>
      <c r="J129">
        <v>558900</v>
      </c>
    </row>
    <row r="130" spans="4:10">
      <c r="D130" t="s">
        <v>627</v>
      </c>
      <c r="E130" t="s">
        <v>558</v>
      </c>
      <c r="F130">
        <v>3206</v>
      </c>
      <c r="G130">
        <v>3211</v>
      </c>
      <c r="H130">
        <v>3206</v>
      </c>
      <c r="I130">
        <v>3208</v>
      </c>
      <c r="J130">
        <v>283000</v>
      </c>
    </row>
    <row r="131" spans="4:10">
      <c r="D131" t="s">
        <v>627</v>
      </c>
      <c r="E131" t="s">
        <v>559</v>
      </c>
      <c r="F131">
        <v>3209</v>
      </c>
      <c r="G131">
        <v>3209</v>
      </c>
      <c r="H131">
        <v>3206</v>
      </c>
      <c r="I131">
        <v>3208</v>
      </c>
      <c r="J131">
        <v>290500</v>
      </c>
    </row>
    <row r="132" spans="4:10">
      <c r="D132" t="s">
        <v>627</v>
      </c>
      <c r="E132" t="s">
        <v>560</v>
      </c>
      <c r="F132">
        <v>3207</v>
      </c>
      <c r="G132">
        <v>3210</v>
      </c>
      <c r="H132">
        <v>3205</v>
      </c>
      <c r="I132">
        <v>3206</v>
      </c>
      <c r="J132">
        <v>240700</v>
      </c>
    </row>
    <row r="133" spans="4:10">
      <c r="D133" t="s">
        <v>627</v>
      </c>
      <c r="E133" t="s">
        <v>561</v>
      </c>
      <c r="F133">
        <v>3206</v>
      </c>
      <c r="G133">
        <v>3212</v>
      </c>
      <c r="H133">
        <v>3203</v>
      </c>
      <c r="I133">
        <v>3204</v>
      </c>
      <c r="J133">
        <v>443900</v>
      </c>
    </row>
    <row r="134" spans="4:10">
      <c r="D134" t="s">
        <v>627</v>
      </c>
      <c r="E134" t="s">
        <v>562</v>
      </c>
      <c r="F134">
        <v>3203</v>
      </c>
      <c r="G134">
        <v>3211</v>
      </c>
      <c r="H134">
        <v>3202</v>
      </c>
      <c r="I134">
        <v>3210</v>
      </c>
      <c r="J134">
        <v>449200</v>
      </c>
    </row>
    <row r="135" spans="4:10">
      <c r="D135" t="s">
        <v>627</v>
      </c>
      <c r="E135" t="s">
        <v>563</v>
      </c>
      <c r="F135">
        <v>3211</v>
      </c>
      <c r="G135">
        <v>3213</v>
      </c>
      <c r="H135">
        <v>3207</v>
      </c>
      <c r="I135">
        <v>3208</v>
      </c>
      <c r="J135">
        <v>415600</v>
      </c>
    </row>
    <row r="136" spans="4:10">
      <c r="D136" t="s">
        <v>627</v>
      </c>
      <c r="E136" t="s">
        <v>564</v>
      </c>
      <c r="F136">
        <v>3208</v>
      </c>
      <c r="G136">
        <v>3214</v>
      </c>
      <c r="H136">
        <v>3206</v>
      </c>
      <c r="I136">
        <v>3211</v>
      </c>
      <c r="J136">
        <v>534100</v>
      </c>
    </row>
    <row r="137" spans="4:10">
      <c r="D137" t="s">
        <v>627</v>
      </c>
      <c r="E137" t="s">
        <v>565</v>
      </c>
      <c r="F137">
        <v>3212</v>
      </c>
      <c r="G137">
        <v>3224</v>
      </c>
      <c r="H137">
        <v>3207</v>
      </c>
      <c r="I137">
        <v>3222</v>
      </c>
      <c r="J137">
        <v>854000</v>
      </c>
    </row>
    <row r="138" spans="4:10">
      <c r="D138" t="s">
        <v>627</v>
      </c>
      <c r="E138" t="s">
        <v>566</v>
      </c>
      <c r="F138">
        <v>3222</v>
      </c>
      <c r="G138">
        <v>3226</v>
      </c>
      <c r="H138">
        <v>3220</v>
      </c>
      <c r="I138">
        <v>3223</v>
      </c>
      <c r="J138">
        <v>678100</v>
      </c>
    </row>
    <row r="139" spans="4:10">
      <c r="D139" t="s">
        <v>627</v>
      </c>
      <c r="E139" t="s">
        <v>567</v>
      </c>
      <c r="F139">
        <v>3224</v>
      </c>
      <c r="G139">
        <v>3225</v>
      </c>
      <c r="H139">
        <v>3218</v>
      </c>
      <c r="I139">
        <v>3218</v>
      </c>
      <c r="J139">
        <v>646700</v>
      </c>
    </row>
    <row r="140" spans="4:10">
      <c r="D140" t="s">
        <v>627</v>
      </c>
      <c r="E140" t="s">
        <v>568</v>
      </c>
      <c r="F140">
        <v>3219</v>
      </c>
      <c r="G140">
        <v>3226</v>
      </c>
      <c r="H140">
        <v>3216</v>
      </c>
      <c r="I140">
        <v>3224</v>
      </c>
      <c r="J140">
        <v>665100</v>
      </c>
    </row>
    <row r="141" spans="4:10">
      <c r="D141" t="s">
        <v>627</v>
      </c>
      <c r="E141" t="s">
        <v>569</v>
      </c>
      <c r="F141">
        <v>3225</v>
      </c>
      <c r="G141">
        <v>3232</v>
      </c>
      <c r="H141">
        <v>3224</v>
      </c>
      <c r="I141">
        <v>3232</v>
      </c>
      <c r="J141">
        <v>980900</v>
      </c>
    </row>
    <row r="142" spans="4:10">
      <c r="D142" t="s">
        <v>627</v>
      </c>
      <c r="E142" t="s">
        <v>570</v>
      </c>
      <c r="F142">
        <v>3232</v>
      </c>
      <c r="G142">
        <v>3233</v>
      </c>
      <c r="H142">
        <v>3223</v>
      </c>
      <c r="I142">
        <v>3227</v>
      </c>
      <c r="J142">
        <v>1012600</v>
      </c>
    </row>
    <row r="143" spans="4:10">
      <c r="D143" t="s">
        <v>627</v>
      </c>
      <c r="E143" t="s">
        <v>571</v>
      </c>
      <c r="F143" t="s">
        <v>35</v>
      </c>
      <c r="G143" t="s">
        <v>35</v>
      </c>
      <c r="H143" t="s">
        <v>35</v>
      </c>
      <c r="I143" t="s">
        <v>35</v>
      </c>
      <c r="J143">
        <v>0</v>
      </c>
    </row>
    <row r="144" spans="4:10">
      <c r="D144" t="s">
        <v>627</v>
      </c>
      <c r="E144" t="s">
        <v>572</v>
      </c>
      <c r="F144">
        <v>3224</v>
      </c>
      <c r="G144">
        <v>3224</v>
      </c>
      <c r="H144">
        <v>3224</v>
      </c>
      <c r="I144">
        <v>3224</v>
      </c>
      <c r="J144">
        <v>8895400</v>
      </c>
    </row>
    <row r="145" spans="4:10">
      <c r="D145" t="s">
        <v>628</v>
      </c>
      <c r="E145" t="s">
        <v>574</v>
      </c>
      <c r="F145">
        <v>3181</v>
      </c>
      <c r="G145">
        <v>3192</v>
      </c>
      <c r="H145">
        <v>3156</v>
      </c>
      <c r="I145">
        <v>3159</v>
      </c>
      <c r="J145">
        <v>3361500</v>
      </c>
    </row>
    <row r="146" spans="4:10">
      <c r="D146" t="s">
        <v>628</v>
      </c>
      <c r="E146" t="s">
        <v>575</v>
      </c>
      <c r="F146">
        <v>3159</v>
      </c>
      <c r="G146">
        <v>3168</v>
      </c>
      <c r="H146">
        <v>3142</v>
      </c>
      <c r="I146">
        <v>3165</v>
      </c>
      <c r="J146">
        <v>1285100</v>
      </c>
    </row>
    <row r="147" spans="4:10">
      <c r="D147" t="s">
        <v>628</v>
      </c>
      <c r="E147" t="s">
        <v>576</v>
      </c>
      <c r="F147">
        <v>3163</v>
      </c>
      <c r="G147">
        <v>3168</v>
      </c>
      <c r="H147">
        <v>3146</v>
      </c>
      <c r="I147">
        <v>3147</v>
      </c>
      <c r="J147">
        <v>701100</v>
      </c>
    </row>
    <row r="148" spans="4:10">
      <c r="D148" t="s">
        <v>628</v>
      </c>
      <c r="E148" t="s">
        <v>577</v>
      </c>
      <c r="F148">
        <v>3146</v>
      </c>
      <c r="G148">
        <v>3152</v>
      </c>
      <c r="H148">
        <v>3140</v>
      </c>
      <c r="I148">
        <v>3147</v>
      </c>
      <c r="J148">
        <v>698900</v>
      </c>
    </row>
    <row r="149" spans="4:10">
      <c r="D149" t="s">
        <v>628</v>
      </c>
      <c r="E149" t="s">
        <v>578</v>
      </c>
      <c r="F149">
        <v>3147</v>
      </c>
      <c r="G149">
        <v>3150</v>
      </c>
      <c r="H149">
        <v>3138</v>
      </c>
      <c r="I149">
        <v>3140</v>
      </c>
      <c r="J149">
        <v>662200</v>
      </c>
    </row>
    <row r="150" spans="4:10">
      <c r="D150" t="s">
        <v>628</v>
      </c>
      <c r="E150" t="s">
        <v>579</v>
      </c>
      <c r="F150">
        <v>3140</v>
      </c>
      <c r="G150">
        <v>3140</v>
      </c>
      <c r="H150">
        <v>3130</v>
      </c>
      <c r="I150">
        <v>3138</v>
      </c>
      <c r="J150">
        <v>538600</v>
      </c>
    </row>
    <row r="151" spans="4:10">
      <c r="D151" t="s">
        <v>628</v>
      </c>
      <c r="E151" t="s">
        <v>580</v>
      </c>
      <c r="F151">
        <v>3139</v>
      </c>
      <c r="G151">
        <v>3149</v>
      </c>
      <c r="H151">
        <v>3114</v>
      </c>
      <c r="I151">
        <v>3117</v>
      </c>
      <c r="J151">
        <v>736900</v>
      </c>
    </row>
    <row r="152" spans="4:10">
      <c r="D152" t="s">
        <v>628</v>
      </c>
      <c r="E152" t="s">
        <v>581</v>
      </c>
      <c r="F152">
        <v>3118</v>
      </c>
      <c r="G152">
        <v>3121</v>
      </c>
      <c r="H152">
        <v>3106</v>
      </c>
      <c r="I152">
        <v>3113</v>
      </c>
      <c r="J152">
        <v>634600</v>
      </c>
    </row>
    <row r="153" spans="4:10">
      <c r="D153" t="s">
        <v>628</v>
      </c>
      <c r="E153" t="s">
        <v>582</v>
      </c>
      <c r="F153">
        <v>3113</v>
      </c>
      <c r="G153">
        <v>3115</v>
      </c>
      <c r="H153">
        <v>3108</v>
      </c>
      <c r="I153">
        <v>3109</v>
      </c>
      <c r="J153">
        <v>445700</v>
      </c>
    </row>
    <row r="154" spans="4:10">
      <c r="D154" t="s">
        <v>628</v>
      </c>
      <c r="E154" t="s">
        <v>583</v>
      </c>
      <c r="F154">
        <v>3110</v>
      </c>
      <c r="G154">
        <v>3141</v>
      </c>
      <c r="H154">
        <v>3110</v>
      </c>
      <c r="I154">
        <v>3140</v>
      </c>
      <c r="J154">
        <v>438400</v>
      </c>
    </row>
    <row r="155" spans="4:10">
      <c r="D155" t="s">
        <v>628</v>
      </c>
      <c r="E155" t="s">
        <v>584</v>
      </c>
      <c r="F155">
        <v>3140</v>
      </c>
      <c r="G155">
        <v>3149</v>
      </c>
      <c r="H155">
        <v>3133</v>
      </c>
      <c r="I155">
        <v>3145</v>
      </c>
      <c r="J155">
        <v>425400</v>
      </c>
    </row>
    <row r="156" spans="4:10">
      <c r="D156" t="s">
        <v>628</v>
      </c>
      <c r="E156" t="s">
        <v>585</v>
      </c>
      <c r="F156">
        <v>3144</v>
      </c>
      <c r="G156">
        <v>3153</v>
      </c>
      <c r="H156">
        <v>3139</v>
      </c>
      <c r="I156">
        <v>3151</v>
      </c>
      <c r="J156">
        <v>297400</v>
      </c>
    </row>
    <row r="157" spans="4:10">
      <c r="D157" t="s">
        <v>628</v>
      </c>
      <c r="E157" t="s">
        <v>586</v>
      </c>
      <c r="F157">
        <v>3152</v>
      </c>
      <c r="G157">
        <v>3160</v>
      </c>
      <c r="H157">
        <v>3146</v>
      </c>
      <c r="I157">
        <v>3150</v>
      </c>
      <c r="J157">
        <v>424000</v>
      </c>
    </row>
    <row r="158" spans="4:10">
      <c r="D158" t="s">
        <v>628</v>
      </c>
      <c r="E158" t="s">
        <v>587</v>
      </c>
      <c r="F158">
        <v>3151</v>
      </c>
      <c r="G158">
        <v>3158</v>
      </c>
      <c r="H158">
        <v>3146</v>
      </c>
      <c r="I158">
        <v>3152</v>
      </c>
      <c r="J158">
        <v>385100</v>
      </c>
    </row>
    <row r="159" spans="4:10">
      <c r="D159" t="s">
        <v>628</v>
      </c>
      <c r="E159" t="s">
        <v>588</v>
      </c>
      <c r="F159">
        <v>3152</v>
      </c>
      <c r="G159">
        <v>3153</v>
      </c>
      <c r="H159">
        <v>3140</v>
      </c>
      <c r="I159">
        <v>3145</v>
      </c>
      <c r="J159">
        <v>367400</v>
      </c>
    </row>
    <row r="160" spans="4:10">
      <c r="D160" t="s">
        <v>628</v>
      </c>
      <c r="E160" t="s">
        <v>589</v>
      </c>
      <c r="F160">
        <v>3145</v>
      </c>
      <c r="G160">
        <v>3154</v>
      </c>
      <c r="H160">
        <v>3145</v>
      </c>
      <c r="I160">
        <v>3153</v>
      </c>
      <c r="J160">
        <v>256100</v>
      </c>
    </row>
    <row r="161" spans="4:10">
      <c r="D161" t="s">
        <v>628</v>
      </c>
      <c r="E161" t="s">
        <v>590</v>
      </c>
      <c r="F161">
        <v>3153</v>
      </c>
      <c r="G161">
        <v>3167</v>
      </c>
      <c r="H161">
        <v>3151</v>
      </c>
      <c r="I161">
        <v>3164</v>
      </c>
      <c r="J161">
        <v>463200</v>
      </c>
    </row>
    <row r="162" spans="4:10">
      <c r="D162" t="s">
        <v>628</v>
      </c>
      <c r="E162" t="s">
        <v>591</v>
      </c>
      <c r="F162">
        <v>3164</v>
      </c>
      <c r="G162">
        <v>3171</v>
      </c>
      <c r="H162">
        <v>3164</v>
      </c>
      <c r="I162">
        <v>3166</v>
      </c>
      <c r="J162">
        <v>365700</v>
      </c>
    </row>
    <row r="163" spans="4:10">
      <c r="D163" t="s">
        <v>628</v>
      </c>
      <c r="E163" t="s">
        <v>592</v>
      </c>
      <c r="F163">
        <v>3166</v>
      </c>
      <c r="G163">
        <v>3170</v>
      </c>
      <c r="H163">
        <v>3162</v>
      </c>
      <c r="I163">
        <v>3163</v>
      </c>
      <c r="J163">
        <v>265300</v>
      </c>
    </row>
    <row r="164" spans="4:10">
      <c r="D164" t="s">
        <v>628</v>
      </c>
      <c r="E164" t="s">
        <v>593</v>
      </c>
      <c r="F164">
        <v>3164</v>
      </c>
      <c r="G164">
        <v>3175</v>
      </c>
      <c r="H164">
        <v>3163</v>
      </c>
      <c r="I164">
        <v>3175</v>
      </c>
      <c r="J164">
        <v>328100</v>
      </c>
    </row>
    <row r="165" spans="4:10">
      <c r="D165" t="s">
        <v>628</v>
      </c>
      <c r="E165" t="s">
        <v>594</v>
      </c>
      <c r="F165">
        <v>3176</v>
      </c>
      <c r="G165">
        <v>3179</v>
      </c>
      <c r="H165">
        <v>3169</v>
      </c>
      <c r="I165">
        <v>3172</v>
      </c>
      <c r="J165">
        <v>308400</v>
      </c>
    </row>
    <row r="166" spans="4:10">
      <c r="D166" t="s">
        <v>628</v>
      </c>
      <c r="E166" t="s">
        <v>595</v>
      </c>
      <c r="F166">
        <v>3171</v>
      </c>
      <c r="G166">
        <v>3175</v>
      </c>
      <c r="H166">
        <v>3170</v>
      </c>
      <c r="I166">
        <v>3175</v>
      </c>
      <c r="J166">
        <v>268400</v>
      </c>
    </row>
    <row r="167" spans="4:10">
      <c r="D167" t="s">
        <v>628</v>
      </c>
      <c r="E167" t="s">
        <v>596</v>
      </c>
      <c r="F167">
        <v>3175</v>
      </c>
      <c r="G167">
        <v>3177</v>
      </c>
      <c r="H167">
        <v>3172</v>
      </c>
      <c r="I167">
        <v>3173</v>
      </c>
      <c r="J167">
        <v>166800</v>
      </c>
    </row>
    <row r="168" spans="4:10">
      <c r="D168" t="s">
        <v>628</v>
      </c>
      <c r="E168" t="s">
        <v>597</v>
      </c>
      <c r="F168">
        <v>3173</v>
      </c>
      <c r="G168">
        <v>3178</v>
      </c>
      <c r="H168">
        <v>3173</v>
      </c>
      <c r="I168">
        <v>3176</v>
      </c>
      <c r="J168">
        <v>257900</v>
      </c>
    </row>
    <row r="169" spans="4:10">
      <c r="D169" t="s">
        <v>628</v>
      </c>
      <c r="E169" t="s">
        <v>598</v>
      </c>
      <c r="F169">
        <v>3177</v>
      </c>
      <c r="G169">
        <v>3182</v>
      </c>
      <c r="H169">
        <v>3175</v>
      </c>
      <c r="I169">
        <v>3175</v>
      </c>
      <c r="J169">
        <v>381500</v>
      </c>
    </row>
    <row r="170" spans="4:10">
      <c r="D170" t="s">
        <v>628</v>
      </c>
      <c r="E170" t="s">
        <v>599</v>
      </c>
      <c r="F170">
        <v>3176</v>
      </c>
      <c r="G170">
        <v>3179</v>
      </c>
      <c r="H170">
        <v>3173</v>
      </c>
      <c r="I170">
        <v>3177</v>
      </c>
      <c r="J170">
        <v>293400</v>
      </c>
    </row>
    <row r="171" spans="4:10">
      <c r="D171" t="s">
        <v>628</v>
      </c>
      <c r="E171" t="s">
        <v>600</v>
      </c>
      <c r="F171">
        <v>3177</v>
      </c>
      <c r="G171">
        <v>3177</v>
      </c>
      <c r="H171">
        <v>3169</v>
      </c>
      <c r="I171">
        <v>3169</v>
      </c>
      <c r="J171">
        <v>192000</v>
      </c>
    </row>
    <row r="172" spans="4:10">
      <c r="D172" t="s">
        <v>628</v>
      </c>
      <c r="E172" t="s">
        <v>601</v>
      </c>
      <c r="F172">
        <v>3169</v>
      </c>
      <c r="G172">
        <v>3173</v>
      </c>
      <c r="H172">
        <v>3164</v>
      </c>
      <c r="I172">
        <v>3172</v>
      </c>
      <c r="J172">
        <v>445400</v>
      </c>
    </row>
    <row r="173" spans="4:10">
      <c r="D173" t="s">
        <v>628</v>
      </c>
      <c r="E173" t="s">
        <v>602</v>
      </c>
      <c r="F173">
        <v>3172</v>
      </c>
      <c r="G173">
        <v>3175</v>
      </c>
      <c r="H173">
        <v>3169</v>
      </c>
      <c r="I173">
        <v>3173</v>
      </c>
      <c r="J173">
        <v>208400</v>
      </c>
    </row>
    <row r="174" spans="4:10">
      <c r="D174" t="s">
        <v>628</v>
      </c>
      <c r="E174" t="s">
        <v>603</v>
      </c>
      <c r="F174">
        <v>3173</v>
      </c>
      <c r="G174">
        <v>3174</v>
      </c>
      <c r="H174">
        <v>3166</v>
      </c>
      <c r="I174">
        <v>3168</v>
      </c>
      <c r="J174">
        <v>184200</v>
      </c>
    </row>
    <row r="175" spans="4:10">
      <c r="D175" t="s">
        <v>628</v>
      </c>
      <c r="E175" t="s">
        <v>604</v>
      </c>
      <c r="F175">
        <v>3169</v>
      </c>
      <c r="G175">
        <v>3169</v>
      </c>
      <c r="H175">
        <v>3169</v>
      </c>
      <c r="I175">
        <v>3169</v>
      </c>
      <c r="J175">
        <v>40800</v>
      </c>
    </row>
    <row r="176" spans="4:10">
      <c r="D176" t="s">
        <v>628</v>
      </c>
      <c r="E176" t="s">
        <v>605</v>
      </c>
      <c r="F176">
        <v>3150</v>
      </c>
      <c r="G176">
        <v>3158</v>
      </c>
      <c r="H176">
        <v>3145</v>
      </c>
      <c r="I176">
        <v>3153</v>
      </c>
      <c r="J176">
        <v>1022100</v>
      </c>
    </row>
    <row r="177" spans="4:10">
      <c r="D177" t="s">
        <v>628</v>
      </c>
      <c r="E177" t="s">
        <v>606</v>
      </c>
      <c r="F177">
        <v>3152</v>
      </c>
      <c r="G177">
        <v>3163</v>
      </c>
      <c r="H177">
        <v>3151</v>
      </c>
      <c r="I177">
        <v>3161</v>
      </c>
      <c r="J177">
        <v>514700</v>
      </c>
    </row>
    <row r="178" spans="4:10">
      <c r="D178" t="s">
        <v>628</v>
      </c>
      <c r="E178" t="s">
        <v>538</v>
      </c>
      <c r="F178">
        <v>3160</v>
      </c>
      <c r="G178">
        <v>3170</v>
      </c>
      <c r="H178">
        <v>3158</v>
      </c>
      <c r="I178">
        <v>3169</v>
      </c>
      <c r="J178">
        <v>315200</v>
      </c>
    </row>
    <row r="179" spans="4:10">
      <c r="D179" t="s">
        <v>628</v>
      </c>
      <c r="E179" t="s">
        <v>539</v>
      </c>
      <c r="F179">
        <v>3169</v>
      </c>
      <c r="G179">
        <v>3176</v>
      </c>
      <c r="H179">
        <v>3168</v>
      </c>
      <c r="I179">
        <v>3173</v>
      </c>
      <c r="J179">
        <v>436800</v>
      </c>
    </row>
    <row r="180" spans="4:10">
      <c r="D180" t="s">
        <v>628</v>
      </c>
      <c r="E180" t="s">
        <v>540</v>
      </c>
      <c r="F180">
        <v>3173</v>
      </c>
      <c r="G180">
        <v>3183</v>
      </c>
      <c r="H180">
        <v>3173</v>
      </c>
      <c r="I180">
        <v>3183</v>
      </c>
      <c r="J180">
        <v>407100</v>
      </c>
    </row>
    <row r="181" spans="4:10">
      <c r="D181" t="s">
        <v>628</v>
      </c>
      <c r="E181" t="s">
        <v>541</v>
      </c>
      <c r="F181">
        <v>3183</v>
      </c>
      <c r="G181">
        <v>3184</v>
      </c>
      <c r="H181">
        <v>3178</v>
      </c>
      <c r="I181">
        <v>3180</v>
      </c>
      <c r="J181">
        <v>238000</v>
      </c>
    </row>
    <row r="182" spans="4:10">
      <c r="D182" t="s">
        <v>628</v>
      </c>
      <c r="E182" t="s">
        <v>542</v>
      </c>
      <c r="F182">
        <v>3180</v>
      </c>
      <c r="G182">
        <v>3182</v>
      </c>
      <c r="H182">
        <v>3173</v>
      </c>
      <c r="I182">
        <v>3175</v>
      </c>
      <c r="J182">
        <v>261700</v>
      </c>
    </row>
    <row r="183" spans="4:10">
      <c r="D183" t="s">
        <v>628</v>
      </c>
      <c r="E183" t="s">
        <v>543</v>
      </c>
      <c r="F183">
        <v>3174</v>
      </c>
      <c r="G183">
        <v>3180</v>
      </c>
      <c r="H183">
        <v>3173</v>
      </c>
      <c r="I183">
        <v>3176</v>
      </c>
      <c r="J183">
        <v>248900</v>
      </c>
    </row>
    <row r="184" spans="4:10">
      <c r="D184" t="s">
        <v>628</v>
      </c>
      <c r="E184" t="s">
        <v>544</v>
      </c>
      <c r="F184">
        <v>3177</v>
      </c>
      <c r="G184">
        <v>3178</v>
      </c>
      <c r="H184">
        <v>3175</v>
      </c>
      <c r="I184">
        <v>3177</v>
      </c>
      <c r="J184">
        <v>186900</v>
      </c>
    </row>
    <row r="185" spans="4:10">
      <c r="D185" t="s">
        <v>628</v>
      </c>
      <c r="E185" t="s">
        <v>545</v>
      </c>
      <c r="F185">
        <v>3177</v>
      </c>
      <c r="G185">
        <v>3185</v>
      </c>
      <c r="H185">
        <v>3175</v>
      </c>
      <c r="I185">
        <v>3185</v>
      </c>
      <c r="J185">
        <v>327400</v>
      </c>
    </row>
    <row r="186" spans="4:10">
      <c r="D186" t="s">
        <v>628</v>
      </c>
      <c r="E186" t="s">
        <v>546</v>
      </c>
      <c r="F186">
        <v>3185</v>
      </c>
      <c r="G186">
        <v>3185</v>
      </c>
      <c r="H186">
        <v>3180</v>
      </c>
      <c r="I186">
        <v>3183</v>
      </c>
      <c r="J186">
        <v>241600</v>
      </c>
    </row>
    <row r="187" spans="4:10">
      <c r="D187" t="s">
        <v>628</v>
      </c>
      <c r="E187" t="s">
        <v>547</v>
      </c>
      <c r="F187">
        <v>3183</v>
      </c>
      <c r="G187">
        <v>3184</v>
      </c>
      <c r="H187">
        <v>3180</v>
      </c>
      <c r="I187">
        <v>3183</v>
      </c>
      <c r="J187">
        <v>232200</v>
      </c>
    </row>
    <row r="188" spans="4:10">
      <c r="D188" t="s">
        <v>628</v>
      </c>
      <c r="E188" t="s">
        <v>548</v>
      </c>
      <c r="F188">
        <v>3183</v>
      </c>
      <c r="G188">
        <v>3184</v>
      </c>
      <c r="H188">
        <v>3177</v>
      </c>
      <c r="I188">
        <v>3183</v>
      </c>
      <c r="J188">
        <v>282500</v>
      </c>
    </row>
    <row r="189" spans="4:10">
      <c r="D189" t="s">
        <v>628</v>
      </c>
      <c r="E189" t="s">
        <v>549</v>
      </c>
      <c r="F189">
        <v>3183</v>
      </c>
      <c r="G189">
        <v>3189</v>
      </c>
      <c r="H189">
        <v>3182</v>
      </c>
      <c r="I189">
        <v>3185</v>
      </c>
      <c r="J189">
        <v>292700</v>
      </c>
    </row>
    <row r="190" spans="4:10">
      <c r="D190" t="s">
        <v>628</v>
      </c>
      <c r="E190" t="s">
        <v>550</v>
      </c>
      <c r="F190">
        <v>3184</v>
      </c>
      <c r="G190">
        <v>3186</v>
      </c>
      <c r="H190">
        <v>3180</v>
      </c>
      <c r="I190">
        <v>3182</v>
      </c>
      <c r="J190">
        <v>200500</v>
      </c>
    </row>
    <row r="191" spans="4:10">
      <c r="D191" t="s">
        <v>628</v>
      </c>
      <c r="E191" t="s">
        <v>551</v>
      </c>
      <c r="F191">
        <v>3182</v>
      </c>
      <c r="G191">
        <v>3186</v>
      </c>
      <c r="H191">
        <v>3181</v>
      </c>
      <c r="I191">
        <v>3184</v>
      </c>
      <c r="J191">
        <v>207900</v>
      </c>
    </row>
    <row r="192" spans="4:10">
      <c r="D192" t="s">
        <v>628</v>
      </c>
      <c r="E192" t="s">
        <v>552</v>
      </c>
      <c r="F192">
        <v>3184</v>
      </c>
      <c r="G192">
        <v>3184</v>
      </c>
      <c r="H192">
        <v>3180</v>
      </c>
      <c r="I192">
        <v>3180</v>
      </c>
      <c r="J192">
        <v>202300</v>
      </c>
    </row>
    <row r="193" spans="4:10">
      <c r="D193" t="s">
        <v>628</v>
      </c>
      <c r="E193" t="s">
        <v>553</v>
      </c>
      <c r="F193">
        <v>3180</v>
      </c>
      <c r="G193">
        <v>3181</v>
      </c>
      <c r="H193">
        <v>3177</v>
      </c>
      <c r="I193">
        <v>3178</v>
      </c>
      <c r="J193">
        <v>212100</v>
      </c>
    </row>
    <row r="194" spans="4:10">
      <c r="D194" t="s">
        <v>628</v>
      </c>
      <c r="E194" t="s">
        <v>554</v>
      </c>
      <c r="F194">
        <v>3178</v>
      </c>
      <c r="G194">
        <v>3180</v>
      </c>
      <c r="H194">
        <v>3173</v>
      </c>
      <c r="I194">
        <v>3174</v>
      </c>
      <c r="J194">
        <v>267400</v>
      </c>
    </row>
    <row r="195" spans="4:10">
      <c r="D195" t="s">
        <v>628</v>
      </c>
      <c r="E195" t="s">
        <v>555</v>
      </c>
      <c r="F195">
        <v>3174</v>
      </c>
      <c r="G195">
        <v>3175</v>
      </c>
      <c r="H195">
        <v>3170</v>
      </c>
      <c r="I195">
        <v>3174</v>
      </c>
      <c r="J195">
        <v>276700</v>
      </c>
    </row>
    <row r="196" spans="4:10">
      <c r="D196" t="s">
        <v>628</v>
      </c>
      <c r="E196" t="s">
        <v>556</v>
      </c>
      <c r="F196">
        <v>3173</v>
      </c>
      <c r="G196">
        <v>3176</v>
      </c>
      <c r="H196">
        <v>3170</v>
      </c>
      <c r="I196">
        <v>3175</v>
      </c>
      <c r="J196">
        <v>260700</v>
      </c>
    </row>
    <row r="197" spans="4:10">
      <c r="D197" t="s">
        <v>628</v>
      </c>
      <c r="E197" t="s">
        <v>557</v>
      </c>
      <c r="F197">
        <v>3175</v>
      </c>
      <c r="G197">
        <v>3184</v>
      </c>
      <c r="H197">
        <v>3174</v>
      </c>
      <c r="I197">
        <v>3184</v>
      </c>
      <c r="J197">
        <v>276500</v>
      </c>
    </row>
    <row r="198" spans="4:10">
      <c r="D198" t="s">
        <v>628</v>
      </c>
      <c r="E198" t="s">
        <v>558</v>
      </c>
      <c r="F198">
        <v>3184</v>
      </c>
      <c r="G198">
        <v>3187</v>
      </c>
      <c r="H198">
        <v>3184</v>
      </c>
      <c r="I198">
        <v>3185</v>
      </c>
      <c r="J198">
        <v>236600</v>
      </c>
    </row>
    <row r="199" spans="4:10">
      <c r="D199" t="s">
        <v>628</v>
      </c>
      <c r="E199" t="s">
        <v>559</v>
      </c>
      <c r="F199">
        <v>3186</v>
      </c>
      <c r="G199">
        <v>3186</v>
      </c>
      <c r="H199">
        <v>3181</v>
      </c>
      <c r="I199">
        <v>3182</v>
      </c>
      <c r="J199">
        <v>235400</v>
      </c>
    </row>
    <row r="200" spans="4:10">
      <c r="D200" t="s">
        <v>628</v>
      </c>
      <c r="E200" t="s">
        <v>560</v>
      </c>
      <c r="F200">
        <v>3181</v>
      </c>
      <c r="G200">
        <v>3184</v>
      </c>
      <c r="H200">
        <v>3180</v>
      </c>
      <c r="I200">
        <v>3183</v>
      </c>
      <c r="J200">
        <v>361000</v>
      </c>
    </row>
    <row r="201" spans="4:10">
      <c r="D201" t="s">
        <v>628</v>
      </c>
      <c r="E201" t="s">
        <v>561</v>
      </c>
      <c r="F201">
        <v>3183</v>
      </c>
      <c r="G201">
        <v>3183</v>
      </c>
      <c r="H201">
        <v>3180</v>
      </c>
      <c r="I201">
        <v>3181</v>
      </c>
      <c r="J201">
        <v>265300</v>
      </c>
    </row>
    <row r="202" spans="4:10">
      <c r="D202" t="s">
        <v>628</v>
      </c>
      <c r="E202" t="s">
        <v>562</v>
      </c>
      <c r="F202">
        <v>3181</v>
      </c>
      <c r="G202">
        <v>3184</v>
      </c>
      <c r="H202">
        <v>3178</v>
      </c>
      <c r="I202">
        <v>3179</v>
      </c>
      <c r="J202">
        <v>259000</v>
      </c>
    </row>
    <row r="203" spans="4:10">
      <c r="D203" t="s">
        <v>628</v>
      </c>
      <c r="E203" t="s">
        <v>563</v>
      </c>
      <c r="F203">
        <v>3180</v>
      </c>
      <c r="G203">
        <v>3185</v>
      </c>
      <c r="H203">
        <v>3178</v>
      </c>
      <c r="I203">
        <v>3181</v>
      </c>
      <c r="J203">
        <v>322500</v>
      </c>
    </row>
    <row r="204" spans="4:10">
      <c r="D204" t="s">
        <v>628</v>
      </c>
      <c r="E204" t="s">
        <v>564</v>
      </c>
      <c r="F204">
        <v>3180</v>
      </c>
      <c r="G204">
        <v>3181</v>
      </c>
      <c r="H204">
        <v>3174</v>
      </c>
      <c r="I204">
        <v>3174</v>
      </c>
      <c r="J204">
        <v>290900</v>
      </c>
    </row>
    <row r="205" spans="4:10">
      <c r="D205" t="s">
        <v>628</v>
      </c>
      <c r="E205" t="s">
        <v>565</v>
      </c>
      <c r="F205">
        <v>3174</v>
      </c>
      <c r="G205">
        <v>3177</v>
      </c>
      <c r="H205">
        <v>3173</v>
      </c>
      <c r="I205">
        <v>3175</v>
      </c>
      <c r="J205">
        <v>214900</v>
      </c>
    </row>
    <row r="206" spans="4:10">
      <c r="D206" t="s">
        <v>628</v>
      </c>
      <c r="E206" t="s">
        <v>566</v>
      </c>
      <c r="F206">
        <v>3174</v>
      </c>
      <c r="G206">
        <v>3176</v>
      </c>
      <c r="H206">
        <v>3173</v>
      </c>
      <c r="I206">
        <v>3176</v>
      </c>
      <c r="J206">
        <v>203200</v>
      </c>
    </row>
    <row r="207" spans="4:10">
      <c r="D207" t="s">
        <v>628</v>
      </c>
      <c r="E207" t="s">
        <v>567</v>
      </c>
      <c r="F207">
        <v>3176</v>
      </c>
      <c r="G207">
        <v>3177</v>
      </c>
      <c r="H207">
        <v>3172</v>
      </c>
      <c r="I207">
        <v>3174</v>
      </c>
      <c r="J207">
        <v>306400</v>
      </c>
    </row>
    <row r="208" spans="4:10">
      <c r="D208" t="s">
        <v>628</v>
      </c>
      <c r="E208" t="s">
        <v>568</v>
      </c>
      <c r="F208">
        <v>3174</v>
      </c>
      <c r="G208">
        <v>3175</v>
      </c>
      <c r="H208">
        <v>3168</v>
      </c>
      <c r="I208">
        <v>3169</v>
      </c>
      <c r="J208">
        <v>478800</v>
      </c>
    </row>
    <row r="209" spans="4:10">
      <c r="D209" t="s">
        <v>628</v>
      </c>
      <c r="E209" t="s">
        <v>569</v>
      </c>
      <c r="F209">
        <v>3169</v>
      </c>
      <c r="G209">
        <v>3170</v>
      </c>
      <c r="H209">
        <v>3142</v>
      </c>
      <c r="I209">
        <v>3144</v>
      </c>
      <c r="J209">
        <v>1003100</v>
      </c>
    </row>
    <row r="210" spans="4:10">
      <c r="D210" t="s">
        <v>628</v>
      </c>
      <c r="E210" t="s">
        <v>570</v>
      </c>
      <c r="F210">
        <v>3145</v>
      </c>
      <c r="G210">
        <v>3145</v>
      </c>
      <c r="H210">
        <v>3128</v>
      </c>
      <c r="I210">
        <v>3137</v>
      </c>
      <c r="J210">
        <v>1708300</v>
      </c>
    </row>
    <row r="211" spans="4:10">
      <c r="D211" t="s">
        <v>628</v>
      </c>
      <c r="E211" t="s">
        <v>571</v>
      </c>
      <c r="F211" t="s">
        <v>35</v>
      </c>
      <c r="G211" t="s">
        <v>35</v>
      </c>
      <c r="H211" t="s">
        <v>35</v>
      </c>
      <c r="I211" t="s">
        <v>35</v>
      </c>
      <c r="J211">
        <v>0</v>
      </c>
    </row>
    <row r="212" spans="4:10">
      <c r="D212" t="s">
        <v>628</v>
      </c>
      <c r="E212" t="s">
        <v>572</v>
      </c>
      <c r="F212">
        <v>3126</v>
      </c>
      <c r="G212">
        <v>3126</v>
      </c>
      <c r="H212">
        <v>3126</v>
      </c>
      <c r="I212">
        <v>3126</v>
      </c>
      <c r="J212">
        <v>73462600</v>
      </c>
    </row>
    <row r="213" spans="4:10">
      <c r="D213" t="s">
        <v>629</v>
      </c>
      <c r="E213" t="s">
        <v>574</v>
      </c>
      <c r="F213">
        <v>3032</v>
      </c>
      <c r="G213">
        <v>3057</v>
      </c>
      <c r="H213">
        <v>3021</v>
      </c>
      <c r="I213">
        <v>3054</v>
      </c>
      <c r="J213">
        <v>2834900</v>
      </c>
    </row>
    <row r="214" spans="4:10">
      <c r="D214" t="s">
        <v>629</v>
      </c>
      <c r="E214" t="s">
        <v>575</v>
      </c>
      <c r="F214">
        <v>3054</v>
      </c>
      <c r="G214">
        <v>3054</v>
      </c>
      <c r="H214">
        <v>3035</v>
      </c>
      <c r="I214">
        <v>3046</v>
      </c>
      <c r="J214">
        <v>846900</v>
      </c>
    </row>
    <row r="215" spans="4:10">
      <c r="D215" t="s">
        <v>629</v>
      </c>
      <c r="E215" t="s">
        <v>576</v>
      </c>
      <c r="F215">
        <v>3047</v>
      </c>
      <c r="G215">
        <v>3056</v>
      </c>
      <c r="H215">
        <v>3042</v>
      </c>
      <c r="I215">
        <v>3056</v>
      </c>
      <c r="J215">
        <v>659500</v>
      </c>
    </row>
    <row r="216" spans="4:10">
      <c r="D216" t="s">
        <v>629</v>
      </c>
      <c r="E216" t="s">
        <v>577</v>
      </c>
      <c r="F216">
        <v>3056</v>
      </c>
      <c r="G216">
        <v>3060</v>
      </c>
      <c r="H216">
        <v>3044</v>
      </c>
      <c r="I216">
        <v>3045</v>
      </c>
      <c r="J216">
        <v>818300</v>
      </c>
    </row>
    <row r="217" spans="4:10">
      <c r="D217" t="s">
        <v>629</v>
      </c>
      <c r="E217" t="s">
        <v>578</v>
      </c>
      <c r="F217">
        <v>3044</v>
      </c>
      <c r="G217">
        <v>3055</v>
      </c>
      <c r="H217">
        <v>3028</v>
      </c>
      <c r="I217">
        <v>3055</v>
      </c>
      <c r="J217">
        <v>821400</v>
      </c>
    </row>
    <row r="218" spans="4:10">
      <c r="D218" t="s">
        <v>629</v>
      </c>
      <c r="E218" t="s">
        <v>579</v>
      </c>
      <c r="F218">
        <v>3054</v>
      </c>
      <c r="G218">
        <v>3076</v>
      </c>
      <c r="H218">
        <v>3052</v>
      </c>
      <c r="I218">
        <v>3074</v>
      </c>
      <c r="J218">
        <v>428900</v>
      </c>
    </row>
    <row r="219" spans="4:10">
      <c r="D219" t="s">
        <v>629</v>
      </c>
      <c r="E219" t="s">
        <v>580</v>
      </c>
      <c r="F219">
        <v>3074</v>
      </c>
      <c r="G219">
        <v>3084</v>
      </c>
      <c r="H219">
        <v>3072</v>
      </c>
      <c r="I219">
        <v>3082</v>
      </c>
      <c r="J219">
        <v>520400</v>
      </c>
    </row>
    <row r="220" spans="4:10">
      <c r="D220" t="s">
        <v>629</v>
      </c>
      <c r="E220" t="s">
        <v>581</v>
      </c>
      <c r="F220">
        <v>3082</v>
      </c>
      <c r="G220">
        <v>3091</v>
      </c>
      <c r="H220">
        <v>3080</v>
      </c>
      <c r="I220">
        <v>3086</v>
      </c>
      <c r="J220">
        <v>479200</v>
      </c>
    </row>
    <row r="221" spans="4:10">
      <c r="D221" t="s">
        <v>629</v>
      </c>
      <c r="E221" t="s">
        <v>582</v>
      </c>
      <c r="F221">
        <v>3085</v>
      </c>
      <c r="G221">
        <v>3089</v>
      </c>
      <c r="H221">
        <v>3074</v>
      </c>
      <c r="I221">
        <v>3084</v>
      </c>
      <c r="J221">
        <v>508300</v>
      </c>
    </row>
    <row r="222" spans="4:10">
      <c r="D222" t="s">
        <v>629</v>
      </c>
      <c r="E222" t="s">
        <v>583</v>
      </c>
      <c r="F222">
        <v>3084</v>
      </c>
      <c r="G222">
        <v>3092</v>
      </c>
      <c r="H222">
        <v>3082</v>
      </c>
      <c r="I222">
        <v>3089</v>
      </c>
      <c r="J222">
        <v>417200</v>
      </c>
    </row>
    <row r="223" spans="4:10">
      <c r="D223" t="s">
        <v>629</v>
      </c>
      <c r="E223" t="s">
        <v>584</v>
      </c>
      <c r="F223">
        <v>3090</v>
      </c>
      <c r="G223">
        <v>3103</v>
      </c>
      <c r="H223">
        <v>3085</v>
      </c>
      <c r="I223">
        <v>3097</v>
      </c>
      <c r="J223">
        <v>511000</v>
      </c>
    </row>
    <row r="224" spans="4:10">
      <c r="D224" t="s">
        <v>629</v>
      </c>
      <c r="E224" t="s">
        <v>585</v>
      </c>
      <c r="F224">
        <v>3097</v>
      </c>
      <c r="G224">
        <v>3115</v>
      </c>
      <c r="H224">
        <v>3096</v>
      </c>
      <c r="I224">
        <v>3113</v>
      </c>
      <c r="J224">
        <v>429600</v>
      </c>
    </row>
    <row r="225" spans="4:10">
      <c r="D225" t="s">
        <v>629</v>
      </c>
      <c r="E225" t="s">
        <v>586</v>
      </c>
      <c r="F225">
        <v>3113</v>
      </c>
      <c r="G225">
        <v>3119</v>
      </c>
      <c r="H225">
        <v>3100</v>
      </c>
      <c r="I225">
        <v>3106</v>
      </c>
      <c r="J225">
        <v>465400</v>
      </c>
    </row>
    <row r="226" spans="4:10">
      <c r="D226" t="s">
        <v>629</v>
      </c>
      <c r="E226" t="s">
        <v>587</v>
      </c>
      <c r="F226">
        <v>3107</v>
      </c>
      <c r="G226">
        <v>3111</v>
      </c>
      <c r="H226">
        <v>3101</v>
      </c>
      <c r="I226">
        <v>3108</v>
      </c>
      <c r="J226">
        <v>440300</v>
      </c>
    </row>
    <row r="227" spans="4:10">
      <c r="D227" t="s">
        <v>629</v>
      </c>
      <c r="E227" t="s">
        <v>588</v>
      </c>
      <c r="F227">
        <v>3108</v>
      </c>
      <c r="G227">
        <v>3110</v>
      </c>
      <c r="H227">
        <v>3097</v>
      </c>
      <c r="I227">
        <v>3098</v>
      </c>
      <c r="J227">
        <v>323700</v>
      </c>
    </row>
    <row r="228" spans="4:10">
      <c r="D228" t="s">
        <v>629</v>
      </c>
      <c r="E228" t="s">
        <v>589</v>
      </c>
      <c r="F228">
        <v>3099</v>
      </c>
      <c r="G228">
        <v>3108</v>
      </c>
      <c r="H228">
        <v>3093</v>
      </c>
      <c r="I228">
        <v>3103</v>
      </c>
      <c r="J228">
        <v>353300</v>
      </c>
    </row>
    <row r="229" spans="4:10">
      <c r="D229" t="s">
        <v>629</v>
      </c>
      <c r="E229" t="s">
        <v>590</v>
      </c>
      <c r="F229">
        <v>3105</v>
      </c>
      <c r="G229">
        <v>3107</v>
      </c>
      <c r="H229">
        <v>3100</v>
      </c>
      <c r="I229">
        <v>3100</v>
      </c>
      <c r="J229">
        <v>214800</v>
      </c>
    </row>
    <row r="230" spans="4:10">
      <c r="D230" t="s">
        <v>629</v>
      </c>
      <c r="E230" t="s">
        <v>591</v>
      </c>
      <c r="F230">
        <v>3100</v>
      </c>
      <c r="G230">
        <v>3100</v>
      </c>
      <c r="H230">
        <v>3094</v>
      </c>
      <c r="I230">
        <v>3099</v>
      </c>
      <c r="J230">
        <v>322000</v>
      </c>
    </row>
    <row r="231" spans="4:10">
      <c r="D231" t="s">
        <v>629</v>
      </c>
      <c r="E231" t="s">
        <v>592</v>
      </c>
      <c r="F231">
        <v>3098</v>
      </c>
      <c r="G231">
        <v>3107</v>
      </c>
      <c r="H231">
        <v>3098</v>
      </c>
      <c r="I231">
        <v>3105</v>
      </c>
      <c r="J231">
        <v>265400</v>
      </c>
    </row>
    <row r="232" spans="4:10">
      <c r="D232" t="s">
        <v>629</v>
      </c>
      <c r="E232" t="s">
        <v>593</v>
      </c>
      <c r="F232">
        <v>3106</v>
      </c>
      <c r="G232">
        <v>3107</v>
      </c>
      <c r="H232">
        <v>3099</v>
      </c>
      <c r="I232">
        <v>3101</v>
      </c>
      <c r="J232">
        <v>201400</v>
      </c>
    </row>
    <row r="233" spans="4:10">
      <c r="D233" t="s">
        <v>629</v>
      </c>
      <c r="E233" t="s">
        <v>594</v>
      </c>
      <c r="F233">
        <v>3100</v>
      </c>
      <c r="G233">
        <v>3102</v>
      </c>
      <c r="H233">
        <v>3093</v>
      </c>
      <c r="I233">
        <v>3095</v>
      </c>
      <c r="J233">
        <v>219300</v>
      </c>
    </row>
    <row r="234" spans="4:10">
      <c r="D234" t="s">
        <v>629</v>
      </c>
      <c r="E234" t="s">
        <v>595</v>
      </c>
      <c r="F234">
        <v>3095</v>
      </c>
      <c r="G234">
        <v>3095</v>
      </c>
      <c r="H234">
        <v>3080</v>
      </c>
      <c r="I234">
        <v>3081</v>
      </c>
      <c r="J234">
        <v>332100</v>
      </c>
    </row>
    <row r="235" spans="4:10">
      <c r="D235" t="s">
        <v>629</v>
      </c>
      <c r="E235" t="s">
        <v>596</v>
      </c>
      <c r="F235">
        <v>3081</v>
      </c>
      <c r="G235">
        <v>3087</v>
      </c>
      <c r="H235">
        <v>3079</v>
      </c>
      <c r="I235">
        <v>3084</v>
      </c>
      <c r="J235">
        <v>262200</v>
      </c>
    </row>
    <row r="236" spans="4:10">
      <c r="D236" t="s">
        <v>629</v>
      </c>
      <c r="E236" t="s">
        <v>597</v>
      </c>
      <c r="F236">
        <v>3084</v>
      </c>
      <c r="G236">
        <v>3086</v>
      </c>
      <c r="H236">
        <v>3080</v>
      </c>
      <c r="I236">
        <v>3083</v>
      </c>
      <c r="J236">
        <v>206500</v>
      </c>
    </row>
    <row r="237" spans="4:10">
      <c r="D237" t="s">
        <v>629</v>
      </c>
      <c r="E237" t="s">
        <v>598</v>
      </c>
      <c r="F237">
        <v>3083</v>
      </c>
      <c r="G237">
        <v>3089</v>
      </c>
      <c r="H237">
        <v>3083</v>
      </c>
      <c r="I237">
        <v>3085</v>
      </c>
      <c r="J237">
        <v>172800</v>
      </c>
    </row>
    <row r="238" spans="4:10">
      <c r="D238" t="s">
        <v>629</v>
      </c>
      <c r="E238" t="s">
        <v>599</v>
      </c>
      <c r="F238">
        <v>3085</v>
      </c>
      <c r="G238">
        <v>3091</v>
      </c>
      <c r="H238">
        <v>3085</v>
      </c>
      <c r="I238">
        <v>3088</v>
      </c>
      <c r="J238">
        <v>160900</v>
      </c>
    </row>
    <row r="239" spans="4:10">
      <c r="D239" t="s">
        <v>629</v>
      </c>
      <c r="E239" t="s">
        <v>600</v>
      </c>
      <c r="F239">
        <v>3088</v>
      </c>
      <c r="G239">
        <v>3088</v>
      </c>
      <c r="H239">
        <v>3081</v>
      </c>
      <c r="I239">
        <v>3082</v>
      </c>
      <c r="J239">
        <v>196000</v>
      </c>
    </row>
    <row r="240" spans="4:10">
      <c r="D240" t="s">
        <v>629</v>
      </c>
      <c r="E240" t="s">
        <v>601</v>
      </c>
      <c r="F240">
        <v>3081</v>
      </c>
      <c r="G240">
        <v>3084</v>
      </c>
      <c r="H240">
        <v>3078</v>
      </c>
      <c r="I240">
        <v>3078</v>
      </c>
      <c r="J240">
        <v>251600</v>
      </c>
    </row>
    <row r="241" spans="4:10">
      <c r="D241" t="s">
        <v>629</v>
      </c>
      <c r="E241" t="s">
        <v>602</v>
      </c>
      <c r="F241">
        <v>3078</v>
      </c>
      <c r="G241">
        <v>3078</v>
      </c>
      <c r="H241">
        <v>3060</v>
      </c>
      <c r="I241">
        <v>3064</v>
      </c>
      <c r="J241">
        <v>527800</v>
      </c>
    </row>
    <row r="242" spans="4:10">
      <c r="D242" t="s">
        <v>629</v>
      </c>
      <c r="E242" t="s">
        <v>603</v>
      </c>
      <c r="F242">
        <v>3064</v>
      </c>
      <c r="G242">
        <v>3069</v>
      </c>
      <c r="H242">
        <v>3062</v>
      </c>
      <c r="I242">
        <v>3066</v>
      </c>
      <c r="J242">
        <v>294200</v>
      </c>
    </row>
    <row r="243" spans="4:10">
      <c r="D243" t="s">
        <v>629</v>
      </c>
      <c r="E243" t="s">
        <v>604</v>
      </c>
      <c r="F243">
        <v>3066</v>
      </c>
      <c r="G243">
        <v>3066</v>
      </c>
      <c r="H243">
        <v>3066</v>
      </c>
      <c r="I243">
        <v>3066</v>
      </c>
      <c r="J243">
        <v>164400</v>
      </c>
    </row>
    <row r="244" spans="4:10">
      <c r="D244" t="s">
        <v>629</v>
      </c>
      <c r="E244" t="s">
        <v>605</v>
      </c>
      <c r="F244">
        <v>3055</v>
      </c>
      <c r="G244">
        <v>3067</v>
      </c>
      <c r="H244">
        <v>3052</v>
      </c>
      <c r="I244">
        <v>3053</v>
      </c>
      <c r="J244">
        <v>1134900</v>
      </c>
    </row>
    <row r="245" spans="4:10">
      <c r="D245" t="s">
        <v>629</v>
      </c>
      <c r="E245" t="s">
        <v>606</v>
      </c>
      <c r="F245">
        <v>3053</v>
      </c>
      <c r="G245">
        <v>3057</v>
      </c>
      <c r="H245">
        <v>3046</v>
      </c>
      <c r="I245">
        <v>3053</v>
      </c>
      <c r="J245">
        <v>657400</v>
      </c>
    </row>
    <row r="246" spans="4:10">
      <c r="D246" t="s">
        <v>629</v>
      </c>
      <c r="E246" t="s">
        <v>538</v>
      </c>
      <c r="F246">
        <v>3054</v>
      </c>
      <c r="G246">
        <v>3055</v>
      </c>
      <c r="H246">
        <v>3046</v>
      </c>
      <c r="I246">
        <v>3049</v>
      </c>
      <c r="J246">
        <v>391000</v>
      </c>
    </row>
    <row r="247" spans="4:10">
      <c r="D247" t="s">
        <v>629</v>
      </c>
      <c r="E247" t="s">
        <v>539</v>
      </c>
      <c r="F247">
        <v>3048</v>
      </c>
      <c r="G247">
        <v>3051</v>
      </c>
      <c r="H247">
        <v>3045</v>
      </c>
      <c r="I247">
        <v>3048</v>
      </c>
      <c r="J247">
        <v>315300</v>
      </c>
    </row>
    <row r="248" spans="4:10">
      <c r="D248" t="s">
        <v>629</v>
      </c>
      <c r="E248" t="s">
        <v>540</v>
      </c>
      <c r="F248">
        <v>3048</v>
      </c>
      <c r="G248">
        <v>3055</v>
      </c>
      <c r="H248">
        <v>3047</v>
      </c>
      <c r="I248">
        <v>3055</v>
      </c>
      <c r="J248">
        <v>241000</v>
      </c>
    </row>
    <row r="249" spans="4:10">
      <c r="D249" t="s">
        <v>629</v>
      </c>
      <c r="E249" t="s">
        <v>541</v>
      </c>
      <c r="F249">
        <v>3054</v>
      </c>
      <c r="G249">
        <v>3054</v>
      </c>
      <c r="H249">
        <v>3047</v>
      </c>
      <c r="I249">
        <v>3051</v>
      </c>
      <c r="J249">
        <v>290400</v>
      </c>
    </row>
    <row r="250" spans="4:10">
      <c r="D250" t="s">
        <v>629</v>
      </c>
      <c r="E250" t="s">
        <v>542</v>
      </c>
      <c r="F250">
        <v>3052</v>
      </c>
      <c r="G250">
        <v>3054</v>
      </c>
      <c r="H250">
        <v>3047</v>
      </c>
      <c r="I250">
        <v>3052</v>
      </c>
      <c r="J250">
        <v>541700</v>
      </c>
    </row>
    <row r="251" spans="4:10">
      <c r="D251" t="s">
        <v>629</v>
      </c>
      <c r="E251" t="s">
        <v>543</v>
      </c>
      <c r="F251">
        <v>3052</v>
      </c>
      <c r="G251">
        <v>3057</v>
      </c>
      <c r="H251">
        <v>3051</v>
      </c>
      <c r="I251">
        <v>3056</v>
      </c>
      <c r="J251">
        <v>229300</v>
      </c>
    </row>
    <row r="252" spans="4:10">
      <c r="D252" t="s">
        <v>629</v>
      </c>
      <c r="E252" t="s">
        <v>544</v>
      </c>
      <c r="F252">
        <v>3056</v>
      </c>
      <c r="G252">
        <v>3058</v>
      </c>
      <c r="H252">
        <v>3051</v>
      </c>
      <c r="I252">
        <v>3051</v>
      </c>
      <c r="J252">
        <v>200800</v>
      </c>
    </row>
    <row r="253" spans="4:10">
      <c r="D253" t="s">
        <v>629</v>
      </c>
      <c r="E253" t="s">
        <v>545</v>
      </c>
      <c r="F253">
        <v>3052</v>
      </c>
      <c r="G253">
        <v>3052</v>
      </c>
      <c r="H253">
        <v>3046</v>
      </c>
      <c r="I253">
        <v>3048</v>
      </c>
      <c r="J253">
        <v>310600</v>
      </c>
    </row>
    <row r="254" spans="4:10">
      <c r="D254" t="s">
        <v>629</v>
      </c>
      <c r="E254" t="s">
        <v>546</v>
      </c>
      <c r="F254">
        <v>3047</v>
      </c>
      <c r="G254">
        <v>3048</v>
      </c>
      <c r="H254">
        <v>3040</v>
      </c>
      <c r="I254">
        <v>3043</v>
      </c>
      <c r="J254">
        <v>461400</v>
      </c>
    </row>
    <row r="255" spans="4:10">
      <c r="D255" t="s">
        <v>629</v>
      </c>
      <c r="E255" t="s">
        <v>547</v>
      </c>
      <c r="F255">
        <v>3043</v>
      </c>
      <c r="G255">
        <v>3052</v>
      </c>
      <c r="H255">
        <v>3043</v>
      </c>
      <c r="I255">
        <v>3051</v>
      </c>
      <c r="J255">
        <v>441200</v>
      </c>
    </row>
    <row r="256" spans="4:10">
      <c r="D256" t="s">
        <v>629</v>
      </c>
      <c r="E256" t="s">
        <v>548</v>
      </c>
      <c r="F256">
        <v>3051</v>
      </c>
      <c r="G256">
        <v>3053</v>
      </c>
      <c r="H256">
        <v>3045</v>
      </c>
      <c r="I256">
        <v>3049</v>
      </c>
      <c r="J256">
        <v>249800</v>
      </c>
    </row>
    <row r="257" spans="4:10">
      <c r="D257" t="s">
        <v>629</v>
      </c>
      <c r="E257" t="s">
        <v>549</v>
      </c>
      <c r="F257">
        <v>3048</v>
      </c>
      <c r="G257">
        <v>3049</v>
      </c>
      <c r="H257">
        <v>3046</v>
      </c>
      <c r="I257">
        <v>3047</v>
      </c>
      <c r="J257">
        <v>265500</v>
      </c>
    </row>
    <row r="258" spans="4:10">
      <c r="D258" t="s">
        <v>629</v>
      </c>
      <c r="E258" t="s">
        <v>550</v>
      </c>
      <c r="F258">
        <v>3047</v>
      </c>
      <c r="G258">
        <v>3050</v>
      </c>
      <c r="H258">
        <v>3046</v>
      </c>
      <c r="I258">
        <v>3048</v>
      </c>
      <c r="J258">
        <v>286300</v>
      </c>
    </row>
    <row r="259" spans="4:10">
      <c r="D259" t="s">
        <v>629</v>
      </c>
      <c r="E259" t="s">
        <v>551</v>
      </c>
      <c r="F259">
        <v>3049</v>
      </c>
      <c r="G259">
        <v>3052</v>
      </c>
      <c r="H259">
        <v>3048</v>
      </c>
      <c r="I259">
        <v>3051</v>
      </c>
      <c r="J259">
        <v>176600</v>
      </c>
    </row>
    <row r="260" spans="4:10">
      <c r="D260" t="s">
        <v>629</v>
      </c>
      <c r="E260" t="s">
        <v>552</v>
      </c>
      <c r="F260">
        <v>3051</v>
      </c>
      <c r="G260">
        <v>3051</v>
      </c>
      <c r="H260">
        <v>3045</v>
      </c>
      <c r="I260">
        <v>3048</v>
      </c>
      <c r="J260">
        <v>210100</v>
      </c>
    </row>
    <row r="261" spans="4:10">
      <c r="D261" t="s">
        <v>629</v>
      </c>
      <c r="E261" t="s">
        <v>553</v>
      </c>
      <c r="F261">
        <v>3048</v>
      </c>
      <c r="G261">
        <v>3050</v>
      </c>
      <c r="H261">
        <v>3047</v>
      </c>
      <c r="I261">
        <v>3047</v>
      </c>
      <c r="J261">
        <v>165100</v>
      </c>
    </row>
    <row r="262" spans="4:10">
      <c r="D262" t="s">
        <v>629</v>
      </c>
      <c r="E262" t="s">
        <v>554</v>
      </c>
      <c r="F262">
        <v>3047</v>
      </c>
      <c r="G262">
        <v>3048</v>
      </c>
      <c r="H262">
        <v>3043</v>
      </c>
      <c r="I262">
        <v>3045</v>
      </c>
      <c r="J262">
        <v>237500</v>
      </c>
    </row>
    <row r="263" spans="4:10">
      <c r="D263" t="s">
        <v>629</v>
      </c>
      <c r="E263" t="s">
        <v>555</v>
      </c>
      <c r="F263">
        <v>3045</v>
      </c>
      <c r="G263">
        <v>3046</v>
      </c>
      <c r="H263">
        <v>3039</v>
      </c>
      <c r="I263">
        <v>3040</v>
      </c>
      <c r="J263">
        <v>279000</v>
      </c>
    </row>
    <row r="264" spans="4:10">
      <c r="D264" t="s">
        <v>629</v>
      </c>
      <c r="E264" t="s">
        <v>556</v>
      </c>
      <c r="F264">
        <v>3040</v>
      </c>
      <c r="G264">
        <v>3043</v>
      </c>
      <c r="H264">
        <v>3039</v>
      </c>
      <c r="I264">
        <v>3042</v>
      </c>
      <c r="J264">
        <v>291000</v>
      </c>
    </row>
    <row r="265" spans="4:10">
      <c r="D265" t="s">
        <v>629</v>
      </c>
      <c r="E265" t="s">
        <v>557</v>
      </c>
      <c r="F265">
        <v>3043</v>
      </c>
      <c r="G265">
        <v>3048</v>
      </c>
      <c r="H265">
        <v>3042</v>
      </c>
      <c r="I265">
        <v>3048</v>
      </c>
      <c r="J265">
        <v>242600</v>
      </c>
    </row>
    <row r="266" spans="4:10">
      <c r="D266" t="s">
        <v>629</v>
      </c>
      <c r="E266" t="s">
        <v>558</v>
      </c>
      <c r="F266">
        <v>3048</v>
      </c>
      <c r="G266">
        <v>3055</v>
      </c>
      <c r="H266">
        <v>3048</v>
      </c>
      <c r="I266">
        <v>3051</v>
      </c>
      <c r="J266">
        <v>308200</v>
      </c>
    </row>
    <row r="267" spans="4:10">
      <c r="D267" t="s">
        <v>629</v>
      </c>
      <c r="E267" t="s">
        <v>559</v>
      </c>
      <c r="F267">
        <v>3051</v>
      </c>
      <c r="G267">
        <v>3051</v>
      </c>
      <c r="H267">
        <v>3048</v>
      </c>
      <c r="I267">
        <v>3049</v>
      </c>
      <c r="J267">
        <v>402200</v>
      </c>
    </row>
    <row r="268" spans="4:10">
      <c r="D268" t="s">
        <v>629</v>
      </c>
      <c r="E268" t="s">
        <v>560</v>
      </c>
      <c r="F268">
        <v>3048</v>
      </c>
      <c r="G268">
        <v>3051</v>
      </c>
      <c r="H268">
        <v>3047</v>
      </c>
      <c r="I268">
        <v>3050</v>
      </c>
      <c r="J268">
        <v>412000</v>
      </c>
    </row>
    <row r="269" spans="4:10">
      <c r="D269" t="s">
        <v>629</v>
      </c>
      <c r="E269" t="s">
        <v>561</v>
      </c>
      <c r="F269">
        <v>3050</v>
      </c>
      <c r="G269">
        <v>3052</v>
      </c>
      <c r="H269">
        <v>3048</v>
      </c>
      <c r="I269">
        <v>3051</v>
      </c>
      <c r="J269">
        <v>222500</v>
      </c>
    </row>
    <row r="270" spans="4:10">
      <c r="D270" t="s">
        <v>629</v>
      </c>
      <c r="E270" t="s">
        <v>562</v>
      </c>
      <c r="F270">
        <v>3052</v>
      </c>
      <c r="G270">
        <v>3056</v>
      </c>
      <c r="H270">
        <v>3051</v>
      </c>
      <c r="I270">
        <v>3054</v>
      </c>
      <c r="J270">
        <v>345100</v>
      </c>
    </row>
    <row r="271" spans="4:10">
      <c r="D271" t="s">
        <v>629</v>
      </c>
      <c r="E271" t="s">
        <v>563</v>
      </c>
      <c r="F271">
        <v>3054</v>
      </c>
      <c r="G271">
        <v>3056</v>
      </c>
      <c r="H271">
        <v>3050</v>
      </c>
      <c r="I271">
        <v>3055</v>
      </c>
      <c r="J271">
        <v>239100</v>
      </c>
    </row>
    <row r="272" spans="4:10">
      <c r="D272" t="s">
        <v>629</v>
      </c>
      <c r="E272" t="s">
        <v>564</v>
      </c>
      <c r="F272">
        <v>3055</v>
      </c>
      <c r="G272">
        <v>3058</v>
      </c>
      <c r="H272">
        <v>3053</v>
      </c>
      <c r="I272">
        <v>3058</v>
      </c>
      <c r="J272">
        <v>295200</v>
      </c>
    </row>
    <row r="273" spans="4:10">
      <c r="D273" t="s">
        <v>629</v>
      </c>
      <c r="E273" t="s">
        <v>565</v>
      </c>
      <c r="F273">
        <v>3057</v>
      </c>
      <c r="G273">
        <v>3064</v>
      </c>
      <c r="H273">
        <v>3057</v>
      </c>
      <c r="I273">
        <v>3064</v>
      </c>
      <c r="J273">
        <v>338200</v>
      </c>
    </row>
    <row r="274" spans="4:10">
      <c r="D274" t="s">
        <v>629</v>
      </c>
      <c r="E274" t="s">
        <v>566</v>
      </c>
      <c r="F274">
        <v>3063</v>
      </c>
      <c r="G274">
        <v>3068</v>
      </c>
      <c r="H274">
        <v>3063</v>
      </c>
      <c r="I274">
        <v>3065</v>
      </c>
      <c r="J274">
        <v>330600</v>
      </c>
    </row>
    <row r="275" spans="4:10">
      <c r="D275" t="s">
        <v>629</v>
      </c>
      <c r="E275" t="s">
        <v>567</v>
      </c>
      <c r="F275">
        <v>3065</v>
      </c>
      <c r="G275">
        <v>3068</v>
      </c>
      <c r="H275">
        <v>3060</v>
      </c>
      <c r="I275">
        <v>3060</v>
      </c>
      <c r="J275">
        <v>286200</v>
      </c>
    </row>
    <row r="276" spans="4:10">
      <c r="D276" t="s">
        <v>629</v>
      </c>
      <c r="E276" t="s">
        <v>568</v>
      </c>
      <c r="F276">
        <v>3061</v>
      </c>
      <c r="G276">
        <v>3061</v>
      </c>
      <c r="H276">
        <v>3052</v>
      </c>
      <c r="I276">
        <v>3055</v>
      </c>
      <c r="J276">
        <v>388400</v>
      </c>
    </row>
    <row r="277" spans="4:10">
      <c r="D277" t="s">
        <v>629</v>
      </c>
      <c r="E277" t="s">
        <v>569</v>
      </c>
      <c r="F277">
        <v>3056</v>
      </c>
      <c r="G277">
        <v>3057</v>
      </c>
      <c r="H277">
        <v>3053</v>
      </c>
      <c r="I277">
        <v>3055</v>
      </c>
      <c r="J277">
        <v>571000</v>
      </c>
    </row>
    <row r="278" spans="4:10">
      <c r="D278" t="s">
        <v>629</v>
      </c>
      <c r="E278" t="s">
        <v>570</v>
      </c>
      <c r="F278">
        <v>3055</v>
      </c>
      <c r="G278">
        <v>3067</v>
      </c>
      <c r="H278">
        <v>3055</v>
      </c>
      <c r="I278">
        <v>3065</v>
      </c>
      <c r="J278">
        <v>447800</v>
      </c>
    </row>
    <row r="279" spans="4:10">
      <c r="D279" t="s">
        <v>629</v>
      </c>
      <c r="E279" t="s">
        <v>571</v>
      </c>
      <c r="F279" t="s">
        <v>35</v>
      </c>
      <c r="G279" t="s">
        <v>35</v>
      </c>
      <c r="H279" t="s">
        <v>35</v>
      </c>
      <c r="I279" t="s">
        <v>35</v>
      </c>
      <c r="J279">
        <v>0</v>
      </c>
    </row>
    <row r="280" spans="4:10">
      <c r="D280" t="s">
        <v>629</v>
      </c>
      <c r="E280" t="s">
        <v>572</v>
      </c>
      <c r="F280">
        <v>3067</v>
      </c>
      <c r="G280">
        <v>3067</v>
      </c>
      <c r="H280">
        <v>3067</v>
      </c>
      <c r="I280">
        <v>3067</v>
      </c>
      <c r="J280">
        <v>10487800</v>
      </c>
    </row>
    <row r="281" spans="4:10">
      <c r="D281" t="s">
        <v>621</v>
      </c>
      <c r="E281" t="s">
        <v>574</v>
      </c>
      <c r="F281">
        <v>2999</v>
      </c>
      <c r="G281">
        <v>2999</v>
      </c>
      <c r="H281">
        <v>2918.5</v>
      </c>
      <c r="I281">
        <v>2924.5</v>
      </c>
      <c r="J281">
        <v>5249200</v>
      </c>
    </row>
    <row r="282" spans="4:10">
      <c r="D282" t="s">
        <v>621</v>
      </c>
      <c r="E282" t="s">
        <v>575</v>
      </c>
      <c r="F282">
        <v>2923.5</v>
      </c>
      <c r="G282">
        <v>2937</v>
      </c>
      <c r="H282">
        <v>2918.5</v>
      </c>
      <c r="I282">
        <v>2934</v>
      </c>
      <c r="J282">
        <v>1314100</v>
      </c>
    </row>
    <row r="283" spans="4:10">
      <c r="D283" t="s">
        <v>621</v>
      </c>
      <c r="E283" t="s">
        <v>576</v>
      </c>
      <c r="F283">
        <v>2933.5</v>
      </c>
      <c r="G283">
        <v>2943.5</v>
      </c>
      <c r="H283">
        <v>2927.5</v>
      </c>
      <c r="I283">
        <v>2940</v>
      </c>
      <c r="J283">
        <v>1108700</v>
      </c>
    </row>
    <row r="284" spans="4:10">
      <c r="D284" t="s">
        <v>621</v>
      </c>
      <c r="E284" t="s">
        <v>577</v>
      </c>
      <c r="F284">
        <v>2939</v>
      </c>
      <c r="G284">
        <v>2948.5</v>
      </c>
      <c r="H284">
        <v>2925.5</v>
      </c>
      <c r="I284">
        <v>2926</v>
      </c>
      <c r="J284">
        <v>1316300</v>
      </c>
    </row>
    <row r="285" spans="4:10">
      <c r="D285" t="s">
        <v>621</v>
      </c>
      <c r="E285" t="s">
        <v>578</v>
      </c>
      <c r="F285">
        <v>2925.5</v>
      </c>
      <c r="G285">
        <v>2928.5</v>
      </c>
      <c r="H285">
        <v>2918.5</v>
      </c>
      <c r="I285">
        <v>2921.5</v>
      </c>
      <c r="J285">
        <v>1230100</v>
      </c>
    </row>
    <row r="286" spans="4:10">
      <c r="D286" t="s">
        <v>621</v>
      </c>
      <c r="E286" t="s">
        <v>579</v>
      </c>
      <c r="F286">
        <v>2921.5</v>
      </c>
      <c r="G286">
        <v>2922</v>
      </c>
      <c r="H286">
        <v>2910</v>
      </c>
      <c r="I286">
        <v>2911.5</v>
      </c>
      <c r="J286">
        <v>1305100</v>
      </c>
    </row>
    <row r="287" spans="4:10">
      <c r="D287" t="s">
        <v>621</v>
      </c>
      <c r="E287" t="s">
        <v>580</v>
      </c>
      <c r="F287">
        <v>2912</v>
      </c>
      <c r="G287">
        <v>2915.5</v>
      </c>
      <c r="H287">
        <v>2901.5</v>
      </c>
      <c r="I287">
        <v>2903.5</v>
      </c>
      <c r="J287">
        <v>1136500</v>
      </c>
    </row>
    <row r="288" spans="4:10">
      <c r="D288" t="s">
        <v>621</v>
      </c>
      <c r="E288" t="s">
        <v>581</v>
      </c>
      <c r="F288">
        <v>2904</v>
      </c>
      <c r="G288">
        <v>2912.5</v>
      </c>
      <c r="H288">
        <v>2901.5</v>
      </c>
      <c r="I288">
        <v>2909</v>
      </c>
      <c r="J288">
        <v>735300</v>
      </c>
    </row>
    <row r="289" spans="4:10">
      <c r="D289" t="s">
        <v>621</v>
      </c>
      <c r="E289" t="s">
        <v>582</v>
      </c>
      <c r="F289">
        <v>2909</v>
      </c>
      <c r="G289">
        <v>2910.5</v>
      </c>
      <c r="H289">
        <v>2902.5</v>
      </c>
      <c r="I289">
        <v>2903</v>
      </c>
      <c r="J289">
        <v>635300</v>
      </c>
    </row>
    <row r="290" spans="4:10">
      <c r="D290" t="s">
        <v>621</v>
      </c>
      <c r="E290" t="s">
        <v>583</v>
      </c>
      <c r="F290">
        <v>2903</v>
      </c>
      <c r="G290">
        <v>2914.5</v>
      </c>
      <c r="H290">
        <v>2902</v>
      </c>
      <c r="I290">
        <v>2914.5</v>
      </c>
      <c r="J290">
        <v>600300</v>
      </c>
    </row>
    <row r="291" spans="4:10">
      <c r="D291" t="s">
        <v>621</v>
      </c>
      <c r="E291" t="s">
        <v>584</v>
      </c>
      <c r="F291">
        <v>2914</v>
      </c>
      <c r="G291">
        <v>2914.5</v>
      </c>
      <c r="H291">
        <v>2905.5</v>
      </c>
      <c r="I291">
        <v>2909</v>
      </c>
      <c r="J291">
        <v>574500</v>
      </c>
    </row>
    <row r="292" spans="4:10">
      <c r="D292" t="s">
        <v>621</v>
      </c>
      <c r="E292" t="s">
        <v>585</v>
      </c>
      <c r="F292">
        <v>2909.5</v>
      </c>
      <c r="G292">
        <v>2910</v>
      </c>
      <c r="H292">
        <v>2899</v>
      </c>
      <c r="I292">
        <v>2903.5</v>
      </c>
      <c r="J292">
        <v>1538800</v>
      </c>
    </row>
    <row r="293" spans="4:10">
      <c r="D293" t="s">
        <v>621</v>
      </c>
      <c r="E293" t="s">
        <v>586</v>
      </c>
      <c r="F293">
        <v>2903.5</v>
      </c>
      <c r="G293">
        <v>2903.5</v>
      </c>
      <c r="H293">
        <v>2894</v>
      </c>
      <c r="I293">
        <v>2896.5</v>
      </c>
      <c r="J293">
        <v>715400</v>
      </c>
    </row>
    <row r="294" spans="4:10">
      <c r="D294" t="s">
        <v>621</v>
      </c>
      <c r="E294" t="s">
        <v>587</v>
      </c>
      <c r="F294">
        <v>2897</v>
      </c>
      <c r="G294">
        <v>2901</v>
      </c>
      <c r="H294">
        <v>2889</v>
      </c>
      <c r="I294">
        <v>2889</v>
      </c>
      <c r="J294">
        <v>694300</v>
      </c>
    </row>
    <row r="295" spans="4:10">
      <c r="D295" t="s">
        <v>621</v>
      </c>
      <c r="E295" t="s">
        <v>588</v>
      </c>
      <c r="F295">
        <v>2889</v>
      </c>
      <c r="G295">
        <v>2894.5</v>
      </c>
      <c r="H295">
        <v>2885.5</v>
      </c>
      <c r="I295">
        <v>2894</v>
      </c>
      <c r="J295">
        <v>610600</v>
      </c>
    </row>
    <row r="296" spans="4:10">
      <c r="D296" t="s">
        <v>621</v>
      </c>
      <c r="E296" t="s">
        <v>589</v>
      </c>
      <c r="F296">
        <v>2894</v>
      </c>
      <c r="G296">
        <v>2907.5</v>
      </c>
      <c r="H296">
        <v>2892</v>
      </c>
      <c r="I296">
        <v>2905.5</v>
      </c>
      <c r="J296">
        <v>479600</v>
      </c>
    </row>
    <row r="297" spans="4:10">
      <c r="D297" t="s">
        <v>621</v>
      </c>
      <c r="E297" t="s">
        <v>590</v>
      </c>
      <c r="F297">
        <v>2905</v>
      </c>
      <c r="G297">
        <v>2915</v>
      </c>
      <c r="H297">
        <v>2904</v>
      </c>
      <c r="I297">
        <v>2913.5</v>
      </c>
      <c r="J297">
        <v>448200</v>
      </c>
    </row>
    <row r="298" spans="4:10">
      <c r="D298" t="s">
        <v>621</v>
      </c>
      <c r="E298" t="s">
        <v>591</v>
      </c>
      <c r="F298">
        <v>2913</v>
      </c>
      <c r="G298">
        <v>2917</v>
      </c>
      <c r="H298">
        <v>2910.5</v>
      </c>
      <c r="I298">
        <v>2915.5</v>
      </c>
      <c r="J298">
        <v>342600</v>
      </c>
    </row>
    <row r="299" spans="4:10">
      <c r="D299" t="s">
        <v>621</v>
      </c>
      <c r="E299" t="s">
        <v>592</v>
      </c>
      <c r="F299">
        <v>2915.5</v>
      </c>
      <c r="G299">
        <v>2921</v>
      </c>
      <c r="H299">
        <v>2915</v>
      </c>
      <c r="I299">
        <v>2921</v>
      </c>
      <c r="J299">
        <v>385000</v>
      </c>
    </row>
    <row r="300" spans="4:10">
      <c r="D300" t="s">
        <v>621</v>
      </c>
      <c r="E300" t="s">
        <v>593</v>
      </c>
      <c r="F300">
        <v>2921</v>
      </c>
      <c r="G300">
        <v>2929</v>
      </c>
      <c r="H300">
        <v>2920.5</v>
      </c>
      <c r="I300">
        <v>2927</v>
      </c>
      <c r="J300">
        <v>490000</v>
      </c>
    </row>
    <row r="301" spans="4:10">
      <c r="D301" t="s">
        <v>621</v>
      </c>
      <c r="E301" t="s">
        <v>594</v>
      </c>
      <c r="F301">
        <v>2927</v>
      </c>
      <c r="G301">
        <v>2927.5</v>
      </c>
      <c r="H301">
        <v>2919</v>
      </c>
      <c r="I301">
        <v>2925.5</v>
      </c>
      <c r="J301">
        <v>388100</v>
      </c>
    </row>
    <row r="302" spans="4:10">
      <c r="D302" t="s">
        <v>621</v>
      </c>
      <c r="E302" t="s">
        <v>595</v>
      </c>
      <c r="F302">
        <v>2925.5</v>
      </c>
      <c r="G302">
        <v>2925.5</v>
      </c>
      <c r="H302">
        <v>2919</v>
      </c>
      <c r="I302">
        <v>2919</v>
      </c>
      <c r="J302">
        <v>287800</v>
      </c>
    </row>
    <row r="303" spans="4:10">
      <c r="D303" t="s">
        <v>621</v>
      </c>
      <c r="E303" t="s">
        <v>596</v>
      </c>
      <c r="F303">
        <v>2919.5</v>
      </c>
      <c r="G303">
        <v>2926</v>
      </c>
      <c r="H303">
        <v>2916.5</v>
      </c>
      <c r="I303">
        <v>2924</v>
      </c>
      <c r="J303">
        <v>512700</v>
      </c>
    </row>
    <row r="304" spans="4:10">
      <c r="D304" t="s">
        <v>621</v>
      </c>
      <c r="E304" t="s">
        <v>597</v>
      </c>
      <c r="F304">
        <v>2924.5</v>
      </c>
      <c r="G304">
        <v>2938.5</v>
      </c>
      <c r="H304">
        <v>2924</v>
      </c>
      <c r="I304">
        <v>2933.5</v>
      </c>
      <c r="J304">
        <v>560900</v>
      </c>
    </row>
    <row r="305" spans="4:10">
      <c r="D305" t="s">
        <v>621</v>
      </c>
      <c r="E305" t="s">
        <v>598</v>
      </c>
      <c r="F305">
        <v>2934</v>
      </c>
      <c r="G305">
        <v>2942</v>
      </c>
      <c r="H305">
        <v>2931.5</v>
      </c>
      <c r="I305">
        <v>2941.5</v>
      </c>
      <c r="J305">
        <v>423500</v>
      </c>
    </row>
    <row r="306" spans="4:10">
      <c r="D306" t="s">
        <v>621</v>
      </c>
      <c r="E306" t="s">
        <v>599</v>
      </c>
      <c r="F306">
        <v>2941</v>
      </c>
      <c r="G306">
        <v>2947.5</v>
      </c>
      <c r="H306">
        <v>2939</v>
      </c>
      <c r="I306">
        <v>2944.5</v>
      </c>
      <c r="J306">
        <v>328200</v>
      </c>
    </row>
    <row r="307" spans="4:10">
      <c r="D307" t="s">
        <v>621</v>
      </c>
      <c r="E307" t="s">
        <v>600</v>
      </c>
      <c r="F307">
        <v>2944.5</v>
      </c>
      <c r="G307">
        <v>2945.5</v>
      </c>
      <c r="H307">
        <v>2933</v>
      </c>
      <c r="I307">
        <v>2934.5</v>
      </c>
      <c r="J307">
        <v>201200</v>
      </c>
    </row>
    <row r="308" spans="4:10">
      <c r="D308" t="s">
        <v>621</v>
      </c>
      <c r="E308" t="s">
        <v>601</v>
      </c>
      <c r="F308">
        <v>2934.5</v>
      </c>
      <c r="G308">
        <v>2938.5</v>
      </c>
      <c r="H308">
        <v>2930</v>
      </c>
      <c r="I308">
        <v>2936.5</v>
      </c>
      <c r="J308">
        <v>237100</v>
      </c>
    </row>
    <row r="309" spans="4:10">
      <c r="D309" t="s">
        <v>621</v>
      </c>
      <c r="E309" t="s">
        <v>602</v>
      </c>
      <c r="F309">
        <v>2937</v>
      </c>
      <c r="G309">
        <v>2938.5</v>
      </c>
      <c r="H309">
        <v>2932.5</v>
      </c>
      <c r="I309">
        <v>2934</v>
      </c>
      <c r="J309">
        <v>381200</v>
      </c>
    </row>
    <row r="310" spans="4:10">
      <c r="D310" t="s">
        <v>621</v>
      </c>
      <c r="E310" t="s">
        <v>603</v>
      </c>
      <c r="F310">
        <v>2934</v>
      </c>
      <c r="G310">
        <v>2934</v>
      </c>
      <c r="H310">
        <v>2926</v>
      </c>
      <c r="I310">
        <v>2926.5</v>
      </c>
      <c r="J310">
        <v>461700</v>
      </c>
    </row>
    <row r="311" spans="4:10">
      <c r="D311" t="s">
        <v>621</v>
      </c>
      <c r="E311" t="s">
        <v>604</v>
      </c>
      <c r="F311">
        <v>2926</v>
      </c>
      <c r="G311">
        <v>2926</v>
      </c>
      <c r="H311">
        <v>2926</v>
      </c>
      <c r="I311">
        <v>2926</v>
      </c>
      <c r="J311">
        <v>133100</v>
      </c>
    </row>
    <row r="312" spans="4:10">
      <c r="D312" t="s">
        <v>621</v>
      </c>
      <c r="E312" t="s">
        <v>605</v>
      </c>
      <c r="F312">
        <v>2926</v>
      </c>
      <c r="G312">
        <v>2947.5</v>
      </c>
      <c r="H312">
        <v>2926</v>
      </c>
      <c r="I312">
        <v>2937</v>
      </c>
      <c r="J312">
        <v>1418600</v>
      </c>
    </row>
    <row r="313" spans="4:10">
      <c r="D313" t="s">
        <v>621</v>
      </c>
      <c r="E313" t="s">
        <v>606</v>
      </c>
      <c r="F313">
        <v>2936.5</v>
      </c>
      <c r="G313">
        <v>2943</v>
      </c>
      <c r="H313">
        <v>2933</v>
      </c>
      <c r="I313">
        <v>2943</v>
      </c>
      <c r="J313">
        <v>578600</v>
      </c>
    </row>
    <row r="314" spans="4:10">
      <c r="D314" t="s">
        <v>621</v>
      </c>
      <c r="E314" t="s">
        <v>538</v>
      </c>
      <c r="F314">
        <v>2943</v>
      </c>
      <c r="G314">
        <v>2948.5</v>
      </c>
      <c r="H314">
        <v>2942.5</v>
      </c>
      <c r="I314">
        <v>2944.5</v>
      </c>
      <c r="J314">
        <v>434700</v>
      </c>
    </row>
    <row r="315" spans="4:10">
      <c r="D315" t="s">
        <v>621</v>
      </c>
      <c r="E315" t="s">
        <v>539</v>
      </c>
      <c r="F315">
        <v>2944.5</v>
      </c>
      <c r="G315">
        <v>2944.5</v>
      </c>
      <c r="H315">
        <v>2941</v>
      </c>
      <c r="I315">
        <v>2941.5</v>
      </c>
      <c r="J315">
        <v>244000</v>
      </c>
    </row>
    <row r="316" spans="4:10">
      <c r="D316" t="s">
        <v>621</v>
      </c>
      <c r="E316" t="s">
        <v>540</v>
      </c>
      <c r="F316">
        <v>2941.5</v>
      </c>
      <c r="G316">
        <v>2947</v>
      </c>
      <c r="H316">
        <v>2940.5</v>
      </c>
      <c r="I316">
        <v>2946.5</v>
      </c>
      <c r="J316">
        <v>353500</v>
      </c>
    </row>
    <row r="317" spans="4:10">
      <c r="D317" t="s">
        <v>621</v>
      </c>
      <c r="E317" t="s">
        <v>541</v>
      </c>
      <c r="F317">
        <v>2947</v>
      </c>
      <c r="G317">
        <v>2951.5</v>
      </c>
      <c r="H317">
        <v>2942</v>
      </c>
      <c r="I317">
        <v>2942.5</v>
      </c>
      <c r="J317">
        <v>458500</v>
      </c>
    </row>
    <row r="318" spans="4:10">
      <c r="D318" t="s">
        <v>621</v>
      </c>
      <c r="E318" t="s">
        <v>542</v>
      </c>
      <c r="F318">
        <v>2942</v>
      </c>
      <c r="G318">
        <v>2943.5</v>
      </c>
      <c r="H318">
        <v>2940</v>
      </c>
      <c r="I318">
        <v>2942</v>
      </c>
      <c r="J318">
        <v>251800</v>
      </c>
    </row>
    <row r="319" spans="4:10">
      <c r="D319" t="s">
        <v>621</v>
      </c>
      <c r="E319" t="s">
        <v>543</v>
      </c>
      <c r="F319">
        <v>2942.5</v>
      </c>
      <c r="G319">
        <v>2945.5</v>
      </c>
      <c r="H319">
        <v>2941</v>
      </c>
      <c r="I319">
        <v>2944.5</v>
      </c>
      <c r="J319">
        <v>222400</v>
      </c>
    </row>
    <row r="320" spans="4:10">
      <c r="D320" t="s">
        <v>621</v>
      </c>
      <c r="E320" t="s">
        <v>544</v>
      </c>
      <c r="F320">
        <v>2944</v>
      </c>
      <c r="G320">
        <v>2949</v>
      </c>
      <c r="H320">
        <v>2944</v>
      </c>
      <c r="I320">
        <v>2948</v>
      </c>
      <c r="J320">
        <v>606300</v>
      </c>
    </row>
    <row r="321" spans="4:10">
      <c r="D321" t="s">
        <v>621</v>
      </c>
      <c r="E321" t="s">
        <v>545</v>
      </c>
      <c r="F321">
        <v>2947.5</v>
      </c>
      <c r="G321">
        <v>2951.5</v>
      </c>
      <c r="H321">
        <v>2945.5</v>
      </c>
      <c r="I321">
        <v>2950</v>
      </c>
      <c r="J321">
        <v>282500</v>
      </c>
    </row>
    <row r="322" spans="4:10">
      <c r="D322" t="s">
        <v>621</v>
      </c>
      <c r="E322" t="s">
        <v>546</v>
      </c>
      <c r="F322">
        <v>2950</v>
      </c>
      <c r="G322">
        <v>2951</v>
      </c>
      <c r="H322">
        <v>2947.5</v>
      </c>
      <c r="I322">
        <v>2949.5</v>
      </c>
      <c r="J322">
        <v>197800</v>
      </c>
    </row>
    <row r="323" spans="4:10">
      <c r="D323" t="s">
        <v>621</v>
      </c>
      <c r="E323" t="s">
        <v>547</v>
      </c>
      <c r="F323">
        <v>2949</v>
      </c>
      <c r="G323">
        <v>2951</v>
      </c>
      <c r="H323">
        <v>2949</v>
      </c>
      <c r="I323">
        <v>2950.5</v>
      </c>
      <c r="J323">
        <v>201100</v>
      </c>
    </row>
    <row r="324" spans="4:10">
      <c r="D324" t="s">
        <v>621</v>
      </c>
      <c r="E324" t="s">
        <v>548</v>
      </c>
      <c r="F324">
        <v>2951</v>
      </c>
      <c r="G324">
        <v>2956.5</v>
      </c>
      <c r="H324">
        <v>2950.5</v>
      </c>
      <c r="I324">
        <v>2955.5</v>
      </c>
      <c r="J324">
        <v>264300</v>
      </c>
    </row>
    <row r="325" spans="4:10">
      <c r="D325" t="s">
        <v>621</v>
      </c>
      <c r="E325" t="s">
        <v>549</v>
      </c>
      <c r="F325">
        <v>2955.5</v>
      </c>
      <c r="G325">
        <v>2956</v>
      </c>
      <c r="H325">
        <v>2947.5</v>
      </c>
      <c r="I325">
        <v>2949</v>
      </c>
      <c r="J325">
        <v>235300</v>
      </c>
    </row>
    <row r="326" spans="4:10">
      <c r="D326" t="s">
        <v>621</v>
      </c>
      <c r="E326" t="s">
        <v>550</v>
      </c>
      <c r="F326">
        <v>2949</v>
      </c>
      <c r="G326">
        <v>2950.5</v>
      </c>
      <c r="H326">
        <v>2946.5</v>
      </c>
      <c r="I326">
        <v>2946.5</v>
      </c>
      <c r="J326">
        <v>178700</v>
      </c>
    </row>
    <row r="327" spans="4:10">
      <c r="D327" t="s">
        <v>621</v>
      </c>
      <c r="E327" t="s">
        <v>551</v>
      </c>
      <c r="F327">
        <v>2946.5</v>
      </c>
      <c r="G327">
        <v>2949.5</v>
      </c>
      <c r="H327">
        <v>2945</v>
      </c>
      <c r="I327">
        <v>2947.5</v>
      </c>
      <c r="J327">
        <v>237900</v>
      </c>
    </row>
    <row r="328" spans="4:10">
      <c r="D328" t="s">
        <v>621</v>
      </c>
      <c r="E328" t="s">
        <v>552</v>
      </c>
      <c r="F328">
        <v>2947.5</v>
      </c>
      <c r="G328">
        <v>2949</v>
      </c>
      <c r="H328">
        <v>2945</v>
      </c>
      <c r="I328">
        <v>2945</v>
      </c>
      <c r="J328">
        <v>144100</v>
      </c>
    </row>
    <row r="329" spans="4:10">
      <c r="D329" t="s">
        <v>621</v>
      </c>
      <c r="E329" t="s">
        <v>553</v>
      </c>
      <c r="F329">
        <v>2945</v>
      </c>
      <c r="G329">
        <v>2949.5</v>
      </c>
      <c r="H329">
        <v>2944.5</v>
      </c>
      <c r="I329">
        <v>2947</v>
      </c>
      <c r="J329">
        <v>253800</v>
      </c>
    </row>
    <row r="330" spans="4:10">
      <c r="D330" t="s">
        <v>621</v>
      </c>
      <c r="E330" t="s">
        <v>554</v>
      </c>
      <c r="F330">
        <v>2947</v>
      </c>
      <c r="G330">
        <v>2955</v>
      </c>
      <c r="H330">
        <v>2947</v>
      </c>
      <c r="I330">
        <v>2952.5</v>
      </c>
      <c r="J330">
        <v>360200</v>
      </c>
    </row>
    <row r="331" spans="4:10">
      <c r="D331" t="s">
        <v>621</v>
      </c>
      <c r="E331" t="s">
        <v>555</v>
      </c>
      <c r="F331">
        <v>2953</v>
      </c>
      <c r="G331">
        <v>2956.5</v>
      </c>
      <c r="H331">
        <v>2948.5</v>
      </c>
      <c r="I331">
        <v>2956.5</v>
      </c>
      <c r="J331">
        <v>292100</v>
      </c>
    </row>
    <row r="332" spans="4:10">
      <c r="D332" t="s">
        <v>621</v>
      </c>
      <c r="E332" t="s">
        <v>556</v>
      </c>
      <c r="F332">
        <v>2957</v>
      </c>
      <c r="G332">
        <v>2957</v>
      </c>
      <c r="H332">
        <v>2952.5</v>
      </c>
      <c r="I332">
        <v>2955.5</v>
      </c>
      <c r="J332">
        <v>212100</v>
      </c>
    </row>
    <row r="333" spans="4:10">
      <c r="D333" t="s">
        <v>621</v>
      </c>
      <c r="E333" t="s">
        <v>557</v>
      </c>
      <c r="F333">
        <v>2955.5</v>
      </c>
      <c r="G333">
        <v>2958</v>
      </c>
      <c r="H333">
        <v>2953</v>
      </c>
      <c r="I333">
        <v>2956</v>
      </c>
      <c r="J333">
        <v>228000</v>
      </c>
    </row>
    <row r="334" spans="4:10">
      <c r="D334" t="s">
        <v>621</v>
      </c>
      <c r="E334" t="s">
        <v>558</v>
      </c>
      <c r="F334">
        <v>2956</v>
      </c>
      <c r="G334">
        <v>2957</v>
      </c>
      <c r="H334">
        <v>2954</v>
      </c>
      <c r="I334">
        <v>2956</v>
      </c>
      <c r="J334">
        <v>222000</v>
      </c>
    </row>
    <row r="335" spans="4:10">
      <c r="D335" t="s">
        <v>621</v>
      </c>
      <c r="E335" t="s">
        <v>559</v>
      </c>
      <c r="F335">
        <v>2955.5</v>
      </c>
      <c r="G335">
        <v>2955.5</v>
      </c>
      <c r="H335">
        <v>2951.5</v>
      </c>
      <c r="I335">
        <v>2952.5</v>
      </c>
      <c r="J335">
        <v>245800</v>
      </c>
    </row>
    <row r="336" spans="4:10">
      <c r="D336" t="s">
        <v>621</v>
      </c>
      <c r="E336" t="s">
        <v>560</v>
      </c>
      <c r="F336">
        <v>2952.5</v>
      </c>
      <c r="G336">
        <v>2954</v>
      </c>
      <c r="H336">
        <v>2950</v>
      </c>
      <c r="I336">
        <v>2952</v>
      </c>
      <c r="J336">
        <v>346800</v>
      </c>
    </row>
    <row r="337" spans="4:10">
      <c r="D337" t="s">
        <v>621</v>
      </c>
      <c r="E337" t="s">
        <v>561</v>
      </c>
      <c r="F337">
        <v>2952</v>
      </c>
      <c r="G337">
        <v>2954</v>
      </c>
      <c r="H337">
        <v>2950.5</v>
      </c>
      <c r="I337">
        <v>2950.5</v>
      </c>
      <c r="J337">
        <v>204000</v>
      </c>
    </row>
    <row r="338" spans="4:10">
      <c r="D338" t="s">
        <v>621</v>
      </c>
      <c r="E338" t="s">
        <v>562</v>
      </c>
      <c r="F338">
        <v>2951</v>
      </c>
      <c r="G338">
        <v>2951</v>
      </c>
      <c r="H338">
        <v>2947.5</v>
      </c>
      <c r="I338">
        <v>2949.5</v>
      </c>
      <c r="J338">
        <v>295300</v>
      </c>
    </row>
    <row r="339" spans="4:10">
      <c r="D339" t="s">
        <v>621</v>
      </c>
      <c r="E339" t="s">
        <v>563</v>
      </c>
      <c r="F339">
        <v>2949.5</v>
      </c>
      <c r="G339">
        <v>2951.5</v>
      </c>
      <c r="H339">
        <v>2948</v>
      </c>
      <c r="I339">
        <v>2949.5</v>
      </c>
      <c r="J339">
        <v>372100</v>
      </c>
    </row>
    <row r="340" spans="4:10">
      <c r="D340" t="s">
        <v>621</v>
      </c>
      <c r="E340" t="s">
        <v>564</v>
      </c>
      <c r="F340">
        <v>2949.5</v>
      </c>
      <c r="G340">
        <v>2950.5</v>
      </c>
      <c r="H340">
        <v>2946</v>
      </c>
      <c r="I340">
        <v>2946</v>
      </c>
      <c r="J340">
        <v>273100</v>
      </c>
    </row>
    <row r="341" spans="4:10">
      <c r="D341" t="s">
        <v>621</v>
      </c>
      <c r="E341" t="s">
        <v>565</v>
      </c>
      <c r="F341">
        <v>2946.5</v>
      </c>
      <c r="G341">
        <v>2947.5</v>
      </c>
      <c r="H341">
        <v>2943.5</v>
      </c>
      <c r="I341">
        <v>2943.5</v>
      </c>
      <c r="J341">
        <v>391300</v>
      </c>
    </row>
    <row r="342" spans="4:10">
      <c r="D342" t="s">
        <v>621</v>
      </c>
      <c r="E342" t="s">
        <v>566</v>
      </c>
      <c r="F342">
        <v>2943.5</v>
      </c>
      <c r="G342">
        <v>2946.5</v>
      </c>
      <c r="H342">
        <v>2940</v>
      </c>
      <c r="I342">
        <v>2946.5</v>
      </c>
      <c r="J342">
        <v>397800</v>
      </c>
    </row>
    <row r="343" spans="4:10">
      <c r="D343" t="s">
        <v>621</v>
      </c>
      <c r="E343" t="s">
        <v>567</v>
      </c>
      <c r="F343">
        <v>2947</v>
      </c>
      <c r="G343">
        <v>2949</v>
      </c>
      <c r="H343">
        <v>2946.5</v>
      </c>
      <c r="I343">
        <v>2949</v>
      </c>
      <c r="J343">
        <v>288900</v>
      </c>
    </row>
    <row r="344" spans="4:10">
      <c r="D344" t="s">
        <v>621</v>
      </c>
      <c r="E344" t="s">
        <v>568</v>
      </c>
      <c r="F344">
        <v>2949.5</v>
      </c>
      <c r="G344">
        <v>2949.5</v>
      </c>
      <c r="H344">
        <v>2943</v>
      </c>
      <c r="I344">
        <v>2943.5</v>
      </c>
      <c r="J344">
        <v>289500</v>
      </c>
    </row>
    <row r="345" spans="4:10">
      <c r="D345" t="s">
        <v>621</v>
      </c>
      <c r="E345" t="s">
        <v>569</v>
      </c>
      <c r="F345">
        <v>2943.5</v>
      </c>
      <c r="G345">
        <v>2947</v>
      </c>
      <c r="H345">
        <v>2943</v>
      </c>
      <c r="I345">
        <v>2946.5</v>
      </c>
      <c r="J345">
        <v>449600</v>
      </c>
    </row>
    <row r="346" spans="4:10">
      <c r="D346" t="s">
        <v>621</v>
      </c>
      <c r="E346" t="s">
        <v>570</v>
      </c>
      <c r="F346">
        <v>2946</v>
      </c>
      <c r="G346">
        <v>2949</v>
      </c>
      <c r="H346">
        <v>2945</v>
      </c>
      <c r="I346">
        <v>2948</v>
      </c>
      <c r="J346">
        <v>539300</v>
      </c>
    </row>
    <row r="347" spans="4:10">
      <c r="D347" t="s">
        <v>621</v>
      </c>
      <c r="E347" t="s">
        <v>571</v>
      </c>
      <c r="F347" t="s">
        <v>35</v>
      </c>
      <c r="G347" t="s">
        <v>35</v>
      </c>
      <c r="H347" t="s">
        <v>35</v>
      </c>
      <c r="I347" t="s">
        <v>35</v>
      </c>
      <c r="J347">
        <v>0</v>
      </c>
    </row>
    <row r="348" spans="4:10">
      <c r="D348" t="s">
        <v>621</v>
      </c>
      <c r="E348" t="s">
        <v>572</v>
      </c>
      <c r="F348">
        <v>2963.5</v>
      </c>
      <c r="G348">
        <v>2963.5</v>
      </c>
      <c r="H348">
        <v>2963.5</v>
      </c>
      <c r="I348">
        <v>2963.5</v>
      </c>
      <c r="J348">
        <v>6862200</v>
      </c>
    </row>
    <row r="349" spans="4:10">
      <c r="D349" t="s">
        <v>622</v>
      </c>
      <c r="E349" t="s">
        <v>574</v>
      </c>
      <c r="F349">
        <v>2948</v>
      </c>
      <c r="G349">
        <v>2953.5</v>
      </c>
      <c r="H349">
        <v>2932</v>
      </c>
      <c r="I349">
        <v>2940.5</v>
      </c>
      <c r="J349">
        <v>2139600</v>
      </c>
    </row>
    <row r="350" spans="4:10">
      <c r="D350" t="s">
        <v>622</v>
      </c>
      <c r="E350" t="s">
        <v>575</v>
      </c>
      <c r="F350">
        <v>2940.5</v>
      </c>
      <c r="G350">
        <v>2943.5</v>
      </c>
      <c r="H350">
        <v>2922</v>
      </c>
      <c r="I350">
        <v>2924.5</v>
      </c>
      <c r="J350">
        <v>835700</v>
      </c>
    </row>
    <row r="351" spans="4:10">
      <c r="D351" t="s">
        <v>622</v>
      </c>
      <c r="E351" t="s">
        <v>576</v>
      </c>
      <c r="F351">
        <v>2924</v>
      </c>
      <c r="G351">
        <v>2933.5</v>
      </c>
      <c r="H351">
        <v>2921</v>
      </c>
      <c r="I351">
        <v>2930</v>
      </c>
      <c r="J351">
        <v>524000</v>
      </c>
    </row>
    <row r="352" spans="4:10">
      <c r="D352" t="s">
        <v>622</v>
      </c>
      <c r="E352" t="s">
        <v>577</v>
      </c>
      <c r="F352">
        <v>2930.5</v>
      </c>
      <c r="G352">
        <v>2930.5</v>
      </c>
      <c r="H352">
        <v>2917</v>
      </c>
      <c r="I352">
        <v>2927.5</v>
      </c>
      <c r="J352">
        <v>881900</v>
      </c>
    </row>
    <row r="353" spans="4:10">
      <c r="D353" t="s">
        <v>622</v>
      </c>
      <c r="E353" t="s">
        <v>578</v>
      </c>
      <c r="F353">
        <v>2927.5</v>
      </c>
      <c r="G353">
        <v>2939.5</v>
      </c>
      <c r="H353">
        <v>2926</v>
      </c>
      <c r="I353">
        <v>2933</v>
      </c>
      <c r="J353">
        <v>481000</v>
      </c>
    </row>
    <row r="354" spans="4:10">
      <c r="D354" t="s">
        <v>622</v>
      </c>
      <c r="E354" t="s">
        <v>579</v>
      </c>
      <c r="F354">
        <v>2933.5</v>
      </c>
      <c r="G354">
        <v>2938.5</v>
      </c>
      <c r="H354">
        <v>2928.5</v>
      </c>
      <c r="I354">
        <v>2930</v>
      </c>
      <c r="J354">
        <v>471500</v>
      </c>
    </row>
    <row r="355" spans="4:10">
      <c r="D355" t="s">
        <v>622</v>
      </c>
      <c r="E355" t="s">
        <v>580</v>
      </c>
      <c r="F355">
        <v>2930.5</v>
      </c>
      <c r="G355">
        <v>2944</v>
      </c>
      <c r="H355">
        <v>2930.5</v>
      </c>
      <c r="I355">
        <v>2943.5</v>
      </c>
      <c r="J355">
        <v>604000</v>
      </c>
    </row>
    <row r="356" spans="4:10">
      <c r="D356" t="s">
        <v>622</v>
      </c>
      <c r="E356" t="s">
        <v>581</v>
      </c>
      <c r="F356">
        <v>2943.5</v>
      </c>
      <c r="G356">
        <v>2948</v>
      </c>
      <c r="H356">
        <v>2937.5</v>
      </c>
      <c r="I356">
        <v>2941.5</v>
      </c>
      <c r="J356">
        <v>463200</v>
      </c>
    </row>
    <row r="357" spans="4:10">
      <c r="D357" t="s">
        <v>622</v>
      </c>
      <c r="E357" t="s">
        <v>582</v>
      </c>
      <c r="F357">
        <v>2941</v>
      </c>
      <c r="G357">
        <v>2946.5</v>
      </c>
      <c r="H357">
        <v>2939.5</v>
      </c>
      <c r="I357">
        <v>2942</v>
      </c>
      <c r="J357">
        <v>345300</v>
      </c>
    </row>
    <row r="358" spans="4:10">
      <c r="D358" t="s">
        <v>622</v>
      </c>
      <c r="E358" t="s">
        <v>583</v>
      </c>
      <c r="F358">
        <v>2942</v>
      </c>
      <c r="G358">
        <v>2950</v>
      </c>
      <c r="H358">
        <v>2940</v>
      </c>
      <c r="I358">
        <v>2942</v>
      </c>
      <c r="J358">
        <v>456800</v>
      </c>
    </row>
    <row r="359" spans="4:10">
      <c r="D359" t="s">
        <v>622</v>
      </c>
      <c r="E359" t="s">
        <v>584</v>
      </c>
      <c r="F359">
        <v>2942.5</v>
      </c>
      <c r="G359">
        <v>2942.5</v>
      </c>
      <c r="H359">
        <v>2932</v>
      </c>
      <c r="I359">
        <v>2932</v>
      </c>
      <c r="J359">
        <v>430500</v>
      </c>
    </row>
    <row r="360" spans="4:10">
      <c r="D360" t="s">
        <v>622</v>
      </c>
      <c r="E360" t="s">
        <v>585</v>
      </c>
      <c r="F360">
        <v>2932.5</v>
      </c>
      <c r="G360">
        <v>2937</v>
      </c>
      <c r="H360">
        <v>2930.5</v>
      </c>
      <c r="I360">
        <v>2935.5</v>
      </c>
      <c r="J360">
        <v>357900</v>
      </c>
    </row>
    <row r="361" spans="4:10">
      <c r="D361" t="s">
        <v>622</v>
      </c>
      <c r="E361" t="s">
        <v>586</v>
      </c>
      <c r="F361">
        <v>2935.5</v>
      </c>
      <c r="G361">
        <v>2937</v>
      </c>
      <c r="H361">
        <v>2932.5</v>
      </c>
      <c r="I361">
        <v>2935.5</v>
      </c>
      <c r="J361">
        <v>259400</v>
      </c>
    </row>
    <row r="362" spans="4:10">
      <c r="D362" t="s">
        <v>622</v>
      </c>
      <c r="E362" t="s">
        <v>587</v>
      </c>
      <c r="F362">
        <v>2935.5</v>
      </c>
      <c r="G362">
        <v>2940.5</v>
      </c>
      <c r="H362">
        <v>2934.5</v>
      </c>
      <c r="I362">
        <v>2939.5</v>
      </c>
      <c r="J362">
        <v>201800</v>
      </c>
    </row>
    <row r="363" spans="4:10">
      <c r="D363" t="s">
        <v>622</v>
      </c>
      <c r="E363" t="s">
        <v>588</v>
      </c>
      <c r="F363">
        <v>2939.5</v>
      </c>
      <c r="G363">
        <v>2939.5</v>
      </c>
      <c r="H363">
        <v>2928</v>
      </c>
      <c r="I363">
        <v>2929.5</v>
      </c>
      <c r="J363">
        <v>493400</v>
      </c>
    </row>
    <row r="364" spans="4:10">
      <c r="D364" t="s">
        <v>622</v>
      </c>
      <c r="E364" t="s">
        <v>589</v>
      </c>
      <c r="F364">
        <v>2929.5</v>
      </c>
      <c r="G364">
        <v>2931</v>
      </c>
      <c r="H364">
        <v>2925.5</v>
      </c>
      <c r="I364">
        <v>2928.5</v>
      </c>
      <c r="J364">
        <v>360300</v>
      </c>
    </row>
    <row r="365" spans="4:10">
      <c r="D365" t="s">
        <v>622</v>
      </c>
      <c r="E365" t="s">
        <v>590</v>
      </c>
      <c r="F365">
        <v>2928</v>
      </c>
      <c r="G365">
        <v>2935</v>
      </c>
      <c r="H365">
        <v>2928</v>
      </c>
      <c r="I365">
        <v>2934</v>
      </c>
      <c r="J365">
        <v>231400</v>
      </c>
    </row>
    <row r="366" spans="4:10">
      <c r="D366" t="s">
        <v>622</v>
      </c>
      <c r="E366" t="s">
        <v>591</v>
      </c>
      <c r="F366">
        <v>2933.5</v>
      </c>
      <c r="G366">
        <v>2936</v>
      </c>
      <c r="H366">
        <v>2930</v>
      </c>
      <c r="I366">
        <v>2935.5</v>
      </c>
      <c r="J366">
        <v>208400</v>
      </c>
    </row>
    <row r="367" spans="4:10">
      <c r="D367" t="s">
        <v>622</v>
      </c>
      <c r="E367" t="s">
        <v>592</v>
      </c>
      <c r="F367">
        <v>2936</v>
      </c>
      <c r="G367">
        <v>2940.5</v>
      </c>
      <c r="H367">
        <v>2934.5</v>
      </c>
      <c r="I367">
        <v>2940</v>
      </c>
      <c r="J367">
        <v>232300</v>
      </c>
    </row>
    <row r="368" spans="4:10">
      <c r="D368" t="s">
        <v>622</v>
      </c>
      <c r="E368" t="s">
        <v>593</v>
      </c>
      <c r="F368">
        <v>2940</v>
      </c>
      <c r="G368">
        <v>2945</v>
      </c>
      <c r="H368">
        <v>2936</v>
      </c>
      <c r="I368">
        <v>2936.5</v>
      </c>
      <c r="J368">
        <v>283400</v>
      </c>
    </row>
    <row r="369" spans="4:10">
      <c r="D369" t="s">
        <v>622</v>
      </c>
      <c r="E369" t="s">
        <v>594</v>
      </c>
      <c r="F369">
        <v>2936.5</v>
      </c>
      <c r="G369">
        <v>2938</v>
      </c>
      <c r="H369">
        <v>2930</v>
      </c>
      <c r="I369">
        <v>2933</v>
      </c>
      <c r="J369">
        <v>379300</v>
      </c>
    </row>
    <row r="370" spans="4:10">
      <c r="D370" t="s">
        <v>622</v>
      </c>
      <c r="E370" t="s">
        <v>595</v>
      </c>
      <c r="F370">
        <v>2932.5</v>
      </c>
      <c r="G370">
        <v>2937.5</v>
      </c>
      <c r="H370">
        <v>2930.5</v>
      </c>
      <c r="I370">
        <v>2937</v>
      </c>
      <c r="J370">
        <v>310000</v>
      </c>
    </row>
    <row r="371" spans="4:10">
      <c r="D371" t="s">
        <v>622</v>
      </c>
      <c r="E371" t="s">
        <v>596</v>
      </c>
      <c r="F371">
        <v>2937</v>
      </c>
      <c r="G371">
        <v>2939</v>
      </c>
      <c r="H371">
        <v>2931.5</v>
      </c>
      <c r="I371">
        <v>2938</v>
      </c>
      <c r="J371">
        <v>221900</v>
      </c>
    </row>
    <row r="372" spans="4:10">
      <c r="D372" t="s">
        <v>622</v>
      </c>
      <c r="E372" t="s">
        <v>597</v>
      </c>
      <c r="F372">
        <v>2938.5</v>
      </c>
      <c r="G372">
        <v>2940</v>
      </c>
      <c r="H372">
        <v>2935</v>
      </c>
      <c r="I372">
        <v>2936</v>
      </c>
      <c r="J372">
        <v>194400</v>
      </c>
    </row>
    <row r="373" spans="4:10">
      <c r="D373" t="s">
        <v>622</v>
      </c>
      <c r="E373" t="s">
        <v>598</v>
      </c>
      <c r="F373">
        <v>2936.5</v>
      </c>
      <c r="G373">
        <v>2936.5</v>
      </c>
      <c r="H373">
        <v>2929</v>
      </c>
      <c r="I373">
        <v>2931.5</v>
      </c>
      <c r="J373">
        <v>210100</v>
      </c>
    </row>
    <row r="374" spans="4:10">
      <c r="D374" t="s">
        <v>622</v>
      </c>
      <c r="E374" t="s">
        <v>599</v>
      </c>
      <c r="F374">
        <v>2930.5</v>
      </c>
      <c r="G374">
        <v>2934</v>
      </c>
      <c r="H374">
        <v>2929</v>
      </c>
      <c r="I374">
        <v>2931.5</v>
      </c>
      <c r="J374">
        <v>227300</v>
      </c>
    </row>
    <row r="375" spans="4:10">
      <c r="D375" t="s">
        <v>622</v>
      </c>
      <c r="E375" t="s">
        <v>600</v>
      </c>
      <c r="F375">
        <v>2931</v>
      </c>
      <c r="G375">
        <v>2933.5</v>
      </c>
      <c r="H375">
        <v>2928.5</v>
      </c>
      <c r="I375">
        <v>2931</v>
      </c>
      <c r="J375">
        <v>231200</v>
      </c>
    </row>
    <row r="376" spans="4:10">
      <c r="D376" t="s">
        <v>622</v>
      </c>
      <c r="E376" t="s">
        <v>601</v>
      </c>
      <c r="F376">
        <v>2931</v>
      </c>
      <c r="G376">
        <v>2934.5</v>
      </c>
      <c r="H376">
        <v>2930</v>
      </c>
      <c r="I376">
        <v>2932</v>
      </c>
      <c r="J376">
        <v>145100</v>
      </c>
    </row>
    <row r="377" spans="4:10">
      <c r="D377" t="s">
        <v>622</v>
      </c>
      <c r="E377" t="s">
        <v>602</v>
      </c>
      <c r="F377">
        <v>2932</v>
      </c>
      <c r="G377">
        <v>2939</v>
      </c>
      <c r="H377">
        <v>2930</v>
      </c>
      <c r="I377">
        <v>2935</v>
      </c>
      <c r="J377">
        <v>278300</v>
      </c>
    </row>
    <row r="378" spans="4:10">
      <c r="D378" t="s">
        <v>622</v>
      </c>
      <c r="E378" t="s">
        <v>603</v>
      </c>
      <c r="F378">
        <v>2935</v>
      </c>
      <c r="G378">
        <v>2937.5</v>
      </c>
      <c r="H378">
        <v>2932.5</v>
      </c>
      <c r="I378">
        <v>2933</v>
      </c>
      <c r="J378">
        <v>204100</v>
      </c>
    </row>
    <row r="379" spans="4:10">
      <c r="D379" t="s">
        <v>622</v>
      </c>
      <c r="E379" t="s">
        <v>604</v>
      </c>
      <c r="F379">
        <v>2932.5</v>
      </c>
      <c r="G379">
        <v>2932.5</v>
      </c>
      <c r="H379">
        <v>2932.5</v>
      </c>
      <c r="I379">
        <v>2932.5</v>
      </c>
      <c r="J379">
        <v>126800</v>
      </c>
    </row>
    <row r="380" spans="4:10">
      <c r="D380" t="s">
        <v>622</v>
      </c>
      <c r="E380" t="s">
        <v>605</v>
      </c>
      <c r="F380">
        <v>2936</v>
      </c>
      <c r="G380">
        <v>2944.5</v>
      </c>
      <c r="H380">
        <v>2932</v>
      </c>
      <c r="I380">
        <v>2937</v>
      </c>
      <c r="J380">
        <v>955900</v>
      </c>
    </row>
    <row r="381" spans="4:10">
      <c r="D381" t="s">
        <v>622</v>
      </c>
      <c r="E381" t="s">
        <v>606</v>
      </c>
      <c r="F381">
        <v>2937</v>
      </c>
      <c r="G381">
        <v>2940</v>
      </c>
      <c r="H381">
        <v>2934</v>
      </c>
      <c r="I381">
        <v>2936</v>
      </c>
      <c r="J381">
        <v>268500</v>
      </c>
    </row>
    <row r="382" spans="4:10">
      <c r="D382" t="s">
        <v>622</v>
      </c>
      <c r="E382" t="s">
        <v>538</v>
      </c>
      <c r="F382">
        <v>2936</v>
      </c>
      <c r="G382">
        <v>2940</v>
      </c>
      <c r="H382">
        <v>2933.5</v>
      </c>
      <c r="I382">
        <v>2935</v>
      </c>
      <c r="J382">
        <v>231900</v>
      </c>
    </row>
    <row r="383" spans="4:10">
      <c r="D383" t="s">
        <v>622</v>
      </c>
      <c r="E383" t="s">
        <v>539</v>
      </c>
      <c r="F383">
        <v>2935</v>
      </c>
      <c r="G383">
        <v>2935</v>
      </c>
      <c r="H383">
        <v>2921.5</v>
      </c>
      <c r="I383">
        <v>2929</v>
      </c>
      <c r="J383">
        <v>834900</v>
      </c>
    </row>
    <row r="384" spans="4:10">
      <c r="D384" t="s">
        <v>622</v>
      </c>
      <c r="E384" t="s">
        <v>540</v>
      </c>
      <c r="F384">
        <v>2929.5</v>
      </c>
      <c r="G384">
        <v>2931.5</v>
      </c>
      <c r="H384">
        <v>2923</v>
      </c>
      <c r="I384">
        <v>2924</v>
      </c>
      <c r="J384">
        <v>290300</v>
      </c>
    </row>
    <row r="385" spans="4:10">
      <c r="D385" t="s">
        <v>622</v>
      </c>
      <c r="E385" t="s">
        <v>541</v>
      </c>
      <c r="F385">
        <v>2924</v>
      </c>
      <c r="G385">
        <v>2927.5</v>
      </c>
      <c r="H385">
        <v>2923</v>
      </c>
      <c r="I385">
        <v>2924</v>
      </c>
      <c r="J385">
        <v>270700</v>
      </c>
    </row>
    <row r="386" spans="4:10">
      <c r="D386" t="s">
        <v>622</v>
      </c>
      <c r="E386" t="s">
        <v>542</v>
      </c>
      <c r="F386">
        <v>2924</v>
      </c>
      <c r="G386">
        <v>2932</v>
      </c>
      <c r="H386">
        <v>2923.5</v>
      </c>
      <c r="I386">
        <v>2931</v>
      </c>
      <c r="J386">
        <v>357000</v>
      </c>
    </row>
    <row r="387" spans="4:10">
      <c r="D387" t="s">
        <v>622</v>
      </c>
      <c r="E387" t="s">
        <v>543</v>
      </c>
      <c r="F387">
        <v>2931</v>
      </c>
      <c r="G387">
        <v>2934</v>
      </c>
      <c r="H387">
        <v>2930</v>
      </c>
      <c r="I387">
        <v>2930</v>
      </c>
      <c r="J387">
        <v>294100</v>
      </c>
    </row>
    <row r="388" spans="4:10">
      <c r="D388" t="s">
        <v>622</v>
      </c>
      <c r="E388" t="s">
        <v>544</v>
      </c>
      <c r="F388">
        <v>2929.5</v>
      </c>
      <c r="G388">
        <v>2931.5</v>
      </c>
      <c r="H388">
        <v>2927</v>
      </c>
      <c r="I388">
        <v>2931.5</v>
      </c>
      <c r="J388">
        <v>228100</v>
      </c>
    </row>
    <row r="389" spans="4:10">
      <c r="D389" t="s">
        <v>622</v>
      </c>
      <c r="E389" t="s">
        <v>545</v>
      </c>
      <c r="F389">
        <v>2931</v>
      </c>
      <c r="G389">
        <v>2938</v>
      </c>
      <c r="H389">
        <v>2930.5</v>
      </c>
      <c r="I389">
        <v>2937.5</v>
      </c>
      <c r="J389">
        <v>281900</v>
      </c>
    </row>
    <row r="390" spans="4:10">
      <c r="D390" t="s">
        <v>622</v>
      </c>
      <c r="E390" t="s">
        <v>546</v>
      </c>
      <c r="F390">
        <v>2938</v>
      </c>
      <c r="G390">
        <v>2938.5</v>
      </c>
      <c r="H390">
        <v>2932</v>
      </c>
      <c r="I390">
        <v>2935</v>
      </c>
      <c r="J390">
        <v>281500</v>
      </c>
    </row>
    <row r="391" spans="4:10">
      <c r="D391" t="s">
        <v>622</v>
      </c>
      <c r="E391" t="s">
        <v>547</v>
      </c>
      <c r="F391">
        <v>2935.5</v>
      </c>
      <c r="G391">
        <v>2936.5</v>
      </c>
      <c r="H391">
        <v>2931.5</v>
      </c>
      <c r="I391">
        <v>2932</v>
      </c>
      <c r="J391">
        <v>221100</v>
      </c>
    </row>
    <row r="392" spans="4:10">
      <c r="D392" t="s">
        <v>622</v>
      </c>
      <c r="E392" t="s">
        <v>548</v>
      </c>
      <c r="F392">
        <v>2932.5</v>
      </c>
      <c r="G392">
        <v>2934</v>
      </c>
      <c r="H392">
        <v>2925.5</v>
      </c>
      <c r="I392">
        <v>2928</v>
      </c>
      <c r="J392">
        <v>346900</v>
      </c>
    </row>
    <row r="393" spans="4:10">
      <c r="D393" t="s">
        <v>622</v>
      </c>
      <c r="E393" t="s">
        <v>549</v>
      </c>
      <c r="F393">
        <v>2928</v>
      </c>
      <c r="G393">
        <v>2932.5</v>
      </c>
      <c r="H393">
        <v>2927.5</v>
      </c>
      <c r="I393">
        <v>2929</v>
      </c>
      <c r="J393">
        <v>311000</v>
      </c>
    </row>
    <row r="394" spans="4:10">
      <c r="D394" t="s">
        <v>622</v>
      </c>
      <c r="E394" t="s">
        <v>550</v>
      </c>
      <c r="F394">
        <v>2929.5</v>
      </c>
      <c r="G394">
        <v>2931</v>
      </c>
      <c r="H394">
        <v>2925.5</v>
      </c>
      <c r="I394">
        <v>2927.5</v>
      </c>
      <c r="J394">
        <v>404300</v>
      </c>
    </row>
    <row r="395" spans="4:10">
      <c r="D395" t="s">
        <v>622</v>
      </c>
      <c r="E395" t="s">
        <v>551</v>
      </c>
      <c r="F395">
        <v>2927</v>
      </c>
      <c r="G395">
        <v>2939</v>
      </c>
      <c r="H395">
        <v>2926</v>
      </c>
      <c r="I395">
        <v>2937</v>
      </c>
      <c r="J395">
        <v>645200</v>
      </c>
    </row>
    <row r="396" spans="4:10">
      <c r="D396" t="s">
        <v>622</v>
      </c>
      <c r="E396" t="s">
        <v>552</v>
      </c>
      <c r="F396">
        <v>2937</v>
      </c>
      <c r="G396">
        <v>2945</v>
      </c>
      <c r="H396">
        <v>2932</v>
      </c>
      <c r="I396">
        <v>2943.5</v>
      </c>
      <c r="J396">
        <v>789200</v>
      </c>
    </row>
    <row r="397" spans="4:10">
      <c r="D397" t="s">
        <v>622</v>
      </c>
      <c r="E397" t="s">
        <v>553</v>
      </c>
      <c r="F397">
        <v>2943.5</v>
      </c>
      <c r="G397">
        <v>2954</v>
      </c>
      <c r="H397">
        <v>2939</v>
      </c>
      <c r="I397">
        <v>2950</v>
      </c>
      <c r="J397">
        <v>1302000</v>
      </c>
    </row>
    <row r="398" spans="4:10">
      <c r="D398" t="s">
        <v>622</v>
      </c>
      <c r="E398" t="s">
        <v>554</v>
      </c>
      <c r="F398">
        <v>2950.5</v>
      </c>
      <c r="G398">
        <v>3028</v>
      </c>
      <c r="H398">
        <v>2908</v>
      </c>
      <c r="I398">
        <v>2962</v>
      </c>
      <c r="J398">
        <v>10580400</v>
      </c>
    </row>
    <row r="399" spans="4:10">
      <c r="D399" t="s">
        <v>622</v>
      </c>
      <c r="E399" t="s">
        <v>555</v>
      </c>
      <c r="F399">
        <v>2962</v>
      </c>
      <c r="G399">
        <v>2988.5</v>
      </c>
      <c r="H399">
        <v>2943</v>
      </c>
      <c r="I399">
        <v>2953</v>
      </c>
      <c r="J399">
        <v>5052000</v>
      </c>
    </row>
    <row r="400" spans="4:10">
      <c r="D400" t="s">
        <v>622</v>
      </c>
      <c r="E400" t="s">
        <v>556</v>
      </c>
      <c r="F400">
        <v>2953</v>
      </c>
      <c r="G400">
        <v>2960.5</v>
      </c>
      <c r="H400">
        <v>2895.5</v>
      </c>
      <c r="I400">
        <v>2924</v>
      </c>
      <c r="J400">
        <v>6331600</v>
      </c>
    </row>
    <row r="401" spans="4:10">
      <c r="D401" t="s">
        <v>622</v>
      </c>
      <c r="E401" t="s">
        <v>557</v>
      </c>
      <c r="F401">
        <v>2924</v>
      </c>
      <c r="G401">
        <v>2933.5</v>
      </c>
      <c r="H401">
        <v>2898</v>
      </c>
      <c r="I401">
        <v>2921</v>
      </c>
      <c r="J401">
        <v>3192800</v>
      </c>
    </row>
    <row r="402" spans="4:10">
      <c r="D402" t="s">
        <v>622</v>
      </c>
      <c r="E402" t="s">
        <v>558</v>
      </c>
      <c r="F402">
        <v>2921</v>
      </c>
      <c r="G402">
        <v>2927.5</v>
      </c>
      <c r="H402">
        <v>2905</v>
      </c>
      <c r="I402">
        <v>2926.5</v>
      </c>
      <c r="J402">
        <v>1879200</v>
      </c>
    </row>
    <row r="403" spans="4:10">
      <c r="D403" t="s">
        <v>622</v>
      </c>
      <c r="E403" t="s">
        <v>559</v>
      </c>
      <c r="F403">
        <v>2926.5</v>
      </c>
      <c r="G403">
        <v>2929.5</v>
      </c>
      <c r="H403">
        <v>2871</v>
      </c>
      <c r="I403">
        <v>2881</v>
      </c>
      <c r="J403">
        <v>4529900</v>
      </c>
    </row>
    <row r="404" spans="4:10">
      <c r="D404" t="s">
        <v>622</v>
      </c>
      <c r="E404" t="s">
        <v>560</v>
      </c>
      <c r="F404">
        <v>2881</v>
      </c>
      <c r="G404">
        <v>2903</v>
      </c>
      <c r="H404">
        <v>2871.5</v>
      </c>
      <c r="I404">
        <v>2902.5</v>
      </c>
      <c r="J404">
        <v>2335500</v>
      </c>
    </row>
    <row r="405" spans="4:10">
      <c r="D405" t="s">
        <v>622</v>
      </c>
      <c r="E405" t="s">
        <v>561</v>
      </c>
      <c r="F405">
        <v>2903</v>
      </c>
      <c r="G405">
        <v>2915.5</v>
      </c>
      <c r="H405">
        <v>2896.5</v>
      </c>
      <c r="I405">
        <v>2897.5</v>
      </c>
      <c r="J405">
        <v>1337300</v>
      </c>
    </row>
    <row r="406" spans="4:10">
      <c r="D406" t="s">
        <v>622</v>
      </c>
      <c r="E406" t="s">
        <v>562</v>
      </c>
      <c r="F406">
        <v>2897</v>
      </c>
      <c r="G406">
        <v>2919</v>
      </c>
      <c r="H406">
        <v>2896.5</v>
      </c>
      <c r="I406">
        <v>2912</v>
      </c>
      <c r="J406">
        <v>849700</v>
      </c>
    </row>
    <row r="407" spans="4:10">
      <c r="D407" t="s">
        <v>622</v>
      </c>
      <c r="E407" t="s">
        <v>563</v>
      </c>
      <c r="F407">
        <v>2912.5</v>
      </c>
      <c r="G407">
        <v>2915</v>
      </c>
      <c r="H407">
        <v>2901</v>
      </c>
      <c r="I407">
        <v>2905.5</v>
      </c>
      <c r="J407">
        <v>742700</v>
      </c>
    </row>
    <row r="408" spans="4:10">
      <c r="D408" t="s">
        <v>622</v>
      </c>
      <c r="E408" t="s">
        <v>564</v>
      </c>
      <c r="F408">
        <v>2906</v>
      </c>
      <c r="G408">
        <v>2910</v>
      </c>
      <c r="H408">
        <v>2902</v>
      </c>
      <c r="I408">
        <v>2909</v>
      </c>
      <c r="J408">
        <v>440900</v>
      </c>
    </row>
    <row r="409" spans="4:10">
      <c r="D409" t="s">
        <v>622</v>
      </c>
      <c r="E409" t="s">
        <v>565</v>
      </c>
      <c r="F409">
        <v>2908.5</v>
      </c>
      <c r="G409">
        <v>2909.5</v>
      </c>
      <c r="H409">
        <v>2902</v>
      </c>
      <c r="I409">
        <v>2903</v>
      </c>
      <c r="J409">
        <v>485400</v>
      </c>
    </row>
    <row r="410" spans="4:10">
      <c r="D410" t="s">
        <v>622</v>
      </c>
      <c r="E410" t="s">
        <v>566</v>
      </c>
      <c r="F410">
        <v>2903</v>
      </c>
      <c r="G410">
        <v>2929</v>
      </c>
      <c r="H410">
        <v>2902</v>
      </c>
      <c r="I410">
        <v>2919.5</v>
      </c>
      <c r="J410">
        <v>847700</v>
      </c>
    </row>
    <row r="411" spans="4:10">
      <c r="D411" t="s">
        <v>622</v>
      </c>
      <c r="E411" t="s">
        <v>567</v>
      </c>
      <c r="F411">
        <v>2919.5</v>
      </c>
      <c r="G411">
        <v>2919.5</v>
      </c>
      <c r="H411">
        <v>2909</v>
      </c>
      <c r="I411">
        <v>2911</v>
      </c>
      <c r="J411">
        <v>617000</v>
      </c>
    </row>
    <row r="412" spans="4:10">
      <c r="D412" t="s">
        <v>622</v>
      </c>
      <c r="E412" t="s">
        <v>568</v>
      </c>
      <c r="F412">
        <v>2910.5</v>
      </c>
      <c r="G412">
        <v>2914</v>
      </c>
      <c r="H412">
        <v>2908</v>
      </c>
      <c r="I412">
        <v>2909.5</v>
      </c>
      <c r="J412">
        <v>708000</v>
      </c>
    </row>
    <row r="413" spans="4:10">
      <c r="D413" t="s">
        <v>622</v>
      </c>
      <c r="E413" t="s">
        <v>569</v>
      </c>
      <c r="F413">
        <v>2909.5</v>
      </c>
      <c r="G413">
        <v>2911.5</v>
      </c>
      <c r="H413">
        <v>2903</v>
      </c>
      <c r="I413">
        <v>2903</v>
      </c>
      <c r="J413">
        <v>825000</v>
      </c>
    </row>
    <row r="414" spans="4:10">
      <c r="D414" t="s">
        <v>622</v>
      </c>
      <c r="E414" t="s">
        <v>570</v>
      </c>
      <c r="F414">
        <v>2903.5</v>
      </c>
      <c r="G414">
        <v>2906.5</v>
      </c>
      <c r="H414">
        <v>2898</v>
      </c>
      <c r="I414">
        <v>2904</v>
      </c>
      <c r="J414">
        <v>1046800</v>
      </c>
    </row>
    <row r="415" spans="4:10">
      <c r="D415" t="s">
        <v>622</v>
      </c>
      <c r="E415" t="s">
        <v>571</v>
      </c>
      <c r="F415" t="s">
        <v>35</v>
      </c>
      <c r="G415" t="s">
        <v>35</v>
      </c>
      <c r="H415" t="s">
        <v>35</v>
      </c>
      <c r="I415" t="s">
        <v>35</v>
      </c>
      <c r="J415">
        <v>0</v>
      </c>
    </row>
    <row r="416" spans="4:10">
      <c r="D416" t="s">
        <v>622</v>
      </c>
      <c r="E416" t="s">
        <v>572</v>
      </c>
      <c r="F416">
        <v>2918.5</v>
      </c>
      <c r="G416">
        <v>2918.5</v>
      </c>
      <c r="H416">
        <v>2918.5</v>
      </c>
      <c r="I416">
        <v>2918.5</v>
      </c>
      <c r="J416">
        <v>7104800</v>
      </c>
    </row>
    <row r="417" spans="4:10">
      <c r="D417" t="s">
        <v>623</v>
      </c>
      <c r="E417" t="s">
        <v>574</v>
      </c>
      <c r="F417">
        <v>2903</v>
      </c>
      <c r="G417">
        <v>2913.5</v>
      </c>
      <c r="H417">
        <v>2870.5</v>
      </c>
      <c r="I417">
        <v>2887</v>
      </c>
      <c r="J417">
        <v>6507300</v>
      </c>
    </row>
    <row r="418" spans="4:10">
      <c r="D418" t="s">
        <v>623</v>
      </c>
      <c r="E418" t="s">
        <v>575</v>
      </c>
      <c r="F418">
        <v>2887</v>
      </c>
      <c r="G418">
        <v>2898</v>
      </c>
      <c r="H418">
        <v>2869.5</v>
      </c>
      <c r="I418">
        <v>2889.5</v>
      </c>
      <c r="J418">
        <v>2238300</v>
      </c>
    </row>
    <row r="419" spans="4:10">
      <c r="D419" t="s">
        <v>623</v>
      </c>
      <c r="E419" t="s">
        <v>576</v>
      </c>
      <c r="F419">
        <v>2890</v>
      </c>
      <c r="G419">
        <v>2900.5</v>
      </c>
      <c r="H419">
        <v>2886</v>
      </c>
      <c r="I419">
        <v>2898</v>
      </c>
      <c r="J419">
        <v>1153500</v>
      </c>
    </row>
    <row r="420" spans="4:10">
      <c r="D420" t="s">
        <v>623</v>
      </c>
      <c r="E420" t="s">
        <v>577</v>
      </c>
      <c r="F420">
        <v>2897.5</v>
      </c>
      <c r="G420">
        <v>2906.5</v>
      </c>
      <c r="H420">
        <v>2892.5</v>
      </c>
      <c r="I420">
        <v>2896.5</v>
      </c>
      <c r="J420">
        <v>1349500</v>
      </c>
    </row>
    <row r="421" spans="4:10">
      <c r="D421" t="s">
        <v>623</v>
      </c>
      <c r="E421" t="s">
        <v>578</v>
      </c>
      <c r="F421">
        <v>2896.5</v>
      </c>
      <c r="G421">
        <v>2904</v>
      </c>
      <c r="H421">
        <v>2892</v>
      </c>
      <c r="I421">
        <v>2896</v>
      </c>
      <c r="J421">
        <v>713000</v>
      </c>
    </row>
    <row r="422" spans="4:10">
      <c r="D422" t="s">
        <v>623</v>
      </c>
      <c r="E422" t="s">
        <v>579</v>
      </c>
      <c r="F422">
        <v>2896</v>
      </c>
      <c r="G422">
        <v>2896</v>
      </c>
      <c r="H422">
        <v>2888.5</v>
      </c>
      <c r="I422">
        <v>2890.5</v>
      </c>
      <c r="J422">
        <v>706900</v>
      </c>
    </row>
    <row r="423" spans="4:10">
      <c r="D423" t="s">
        <v>623</v>
      </c>
      <c r="E423" t="s">
        <v>580</v>
      </c>
      <c r="F423">
        <v>2890</v>
      </c>
      <c r="G423">
        <v>2901.5</v>
      </c>
      <c r="H423">
        <v>2890</v>
      </c>
      <c r="I423">
        <v>2892</v>
      </c>
      <c r="J423">
        <v>1039700</v>
      </c>
    </row>
    <row r="424" spans="4:10">
      <c r="D424" t="s">
        <v>623</v>
      </c>
      <c r="E424" t="s">
        <v>581</v>
      </c>
      <c r="F424">
        <v>2892.5</v>
      </c>
      <c r="G424">
        <v>2904.5</v>
      </c>
      <c r="H424">
        <v>2889</v>
      </c>
      <c r="I424">
        <v>2901.5</v>
      </c>
      <c r="J424">
        <v>736600</v>
      </c>
    </row>
    <row r="425" spans="4:10">
      <c r="D425" t="s">
        <v>623</v>
      </c>
      <c r="E425" t="s">
        <v>582</v>
      </c>
      <c r="F425">
        <v>2902</v>
      </c>
      <c r="G425">
        <v>2915</v>
      </c>
      <c r="H425">
        <v>2895.5</v>
      </c>
      <c r="I425">
        <v>2910.5</v>
      </c>
      <c r="J425">
        <v>986900</v>
      </c>
    </row>
    <row r="426" spans="4:10">
      <c r="D426" t="s">
        <v>623</v>
      </c>
      <c r="E426" t="s">
        <v>583</v>
      </c>
      <c r="F426">
        <v>2910.5</v>
      </c>
      <c r="G426">
        <v>2917.5</v>
      </c>
      <c r="H426">
        <v>2909</v>
      </c>
      <c r="I426">
        <v>2916.5</v>
      </c>
      <c r="J426">
        <v>976200</v>
      </c>
    </row>
    <row r="427" spans="4:10">
      <c r="D427" t="s">
        <v>623</v>
      </c>
      <c r="E427" t="s">
        <v>584</v>
      </c>
      <c r="F427">
        <v>2916.5</v>
      </c>
      <c r="G427">
        <v>2917.5</v>
      </c>
      <c r="H427">
        <v>2901</v>
      </c>
      <c r="I427">
        <v>2904</v>
      </c>
      <c r="J427">
        <v>544000</v>
      </c>
    </row>
    <row r="428" spans="4:10">
      <c r="D428" t="s">
        <v>623</v>
      </c>
      <c r="E428" t="s">
        <v>585</v>
      </c>
      <c r="F428">
        <v>2904.5</v>
      </c>
      <c r="G428">
        <v>2904.5</v>
      </c>
      <c r="H428">
        <v>2894.5</v>
      </c>
      <c r="I428">
        <v>2896.5</v>
      </c>
      <c r="J428">
        <v>656900</v>
      </c>
    </row>
    <row r="429" spans="4:10">
      <c r="D429" t="s">
        <v>623</v>
      </c>
      <c r="E429" t="s">
        <v>586</v>
      </c>
      <c r="F429">
        <v>2896.5</v>
      </c>
      <c r="G429">
        <v>2905.5</v>
      </c>
      <c r="H429">
        <v>2896</v>
      </c>
      <c r="I429">
        <v>2898.5</v>
      </c>
      <c r="J429">
        <v>449100</v>
      </c>
    </row>
    <row r="430" spans="4:10">
      <c r="D430" t="s">
        <v>623</v>
      </c>
      <c r="E430" t="s">
        <v>587</v>
      </c>
      <c r="F430">
        <v>2898.5</v>
      </c>
      <c r="G430">
        <v>2900.5</v>
      </c>
      <c r="H430">
        <v>2892.5</v>
      </c>
      <c r="I430">
        <v>2897</v>
      </c>
      <c r="J430">
        <v>493600</v>
      </c>
    </row>
    <row r="431" spans="4:10">
      <c r="D431" t="s">
        <v>623</v>
      </c>
      <c r="E431" t="s">
        <v>588</v>
      </c>
      <c r="F431">
        <v>2897</v>
      </c>
      <c r="G431">
        <v>2905.5</v>
      </c>
      <c r="H431">
        <v>2897</v>
      </c>
      <c r="I431">
        <v>2898</v>
      </c>
      <c r="J431">
        <v>539200</v>
      </c>
    </row>
    <row r="432" spans="4:10">
      <c r="D432" t="s">
        <v>623</v>
      </c>
      <c r="E432" t="s">
        <v>589</v>
      </c>
      <c r="F432">
        <v>2898.5</v>
      </c>
      <c r="G432">
        <v>2898.5</v>
      </c>
      <c r="H432">
        <v>2892.5</v>
      </c>
      <c r="I432">
        <v>2894</v>
      </c>
      <c r="J432">
        <v>385000</v>
      </c>
    </row>
    <row r="433" spans="4:10">
      <c r="D433" t="s">
        <v>623</v>
      </c>
      <c r="E433" t="s">
        <v>590</v>
      </c>
      <c r="F433">
        <v>2894</v>
      </c>
      <c r="G433">
        <v>2897</v>
      </c>
      <c r="H433">
        <v>2893</v>
      </c>
      <c r="I433">
        <v>2895</v>
      </c>
      <c r="J433">
        <v>315000</v>
      </c>
    </row>
    <row r="434" spans="4:10">
      <c r="D434" t="s">
        <v>623</v>
      </c>
      <c r="E434" t="s">
        <v>591</v>
      </c>
      <c r="F434">
        <v>2896</v>
      </c>
      <c r="G434">
        <v>2899</v>
      </c>
      <c r="H434">
        <v>2893</v>
      </c>
      <c r="I434">
        <v>2894.5</v>
      </c>
      <c r="J434">
        <v>276500</v>
      </c>
    </row>
    <row r="435" spans="4:10">
      <c r="D435" t="s">
        <v>623</v>
      </c>
      <c r="E435" t="s">
        <v>592</v>
      </c>
      <c r="F435">
        <v>2894.5</v>
      </c>
      <c r="G435">
        <v>2896.5</v>
      </c>
      <c r="H435">
        <v>2893.5</v>
      </c>
      <c r="I435">
        <v>2896.5</v>
      </c>
      <c r="J435">
        <v>173800</v>
      </c>
    </row>
    <row r="436" spans="4:10">
      <c r="D436" t="s">
        <v>623</v>
      </c>
      <c r="E436" t="s">
        <v>593</v>
      </c>
      <c r="F436">
        <v>2896.5</v>
      </c>
      <c r="G436">
        <v>2897.5</v>
      </c>
      <c r="H436">
        <v>2891.5</v>
      </c>
      <c r="I436">
        <v>2892</v>
      </c>
      <c r="J436">
        <v>260700</v>
      </c>
    </row>
    <row r="437" spans="4:10">
      <c r="D437" t="s">
        <v>623</v>
      </c>
      <c r="E437" t="s">
        <v>594</v>
      </c>
      <c r="F437">
        <v>2892.5</v>
      </c>
      <c r="G437">
        <v>2892.5</v>
      </c>
      <c r="H437">
        <v>2885.5</v>
      </c>
      <c r="I437">
        <v>2885.5</v>
      </c>
      <c r="J437">
        <v>752100</v>
      </c>
    </row>
    <row r="438" spans="4:10">
      <c r="D438" t="s">
        <v>623</v>
      </c>
      <c r="E438" t="s">
        <v>595</v>
      </c>
      <c r="F438">
        <v>2885.5</v>
      </c>
      <c r="G438">
        <v>2886.5</v>
      </c>
      <c r="H438">
        <v>2883</v>
      </c>
      <c r="I438">
        <v>2885.5</v>
      </c>
      <c r="J438">
        <v>333100</v>
      </c>
    </row>
    <row r="439" spans="4:10">
      <c r="D439" t="s">
        <v>623</v>
      </c>
      <c r="E439" t="s">
        <v>596</v>
      </c>
      <c r="F439">
        <v>2885</v>
      </c>
      <c r="G439">
        <v>2887</v>
      </c>
      <c r="H439">
        <v>2884</v>
      </c>
      <c r="I439">
        <v>2886.5</v>
      </c>
      <c r="J439">
        <v>320700</v>
      </c>
    </row>
    <row r="440" spans="4:10">
      <c r="D440" t="s">
        <v>623</v>
      </c>
      <c r="E440" t="s">
        <v>597</v>
      </c>
      <c r="F440">
        <v>2886.5</v>
      </c>
      <c r="G440">
        <v>2888</v>
      </c>
      <c r="H440">
        <v>2878</v>
      </c>
      <c r="I440">
        <v>2885</v>
      </c>
      <c r="J440">
        <v>1026900</v>
      </c>
    </row>
    <row r="441" spans="4:10">
      <c r="D441" t="s">
        <v>623</v>
      </c>
      <c r="E441" t="s">
        <v>598</v>
      </c>
      <c r="F441">
        <v>2885</v>
      </c>
      <c r="G441">
        <v>2888</v>
      </c>
      <c r="H441">
        <v>2878</v>
      </c>
      <c r="I441">
        <v>2879.5</v>
      </c>
      <c r="J441">
        <v>493300</v>
      </c>
    </row>
    <row r="442" spans="4:10">
      <c r="D442" t="s">
        <v>623</v>
      </c>
      <c r="E442" t="s">
        <v>599</v>
      </c>
      <c r="F442">
        <v>2880</v>
      </c>
      <c r="G442">
        <v>2883</v>
      </c>
      <c r="H442">
        <v>2878.5</v>
      </c>
      <c r="I442">
        <v>2881</v>
      </c>
      <c r="J442">
        <v>217500</v>
      </c>
    </row>
    <row r="443" spans="4:10">
      <c r="D443" t="s">
        <v>623</v>
      </c>
      <c r="E443" t="s">
        <v>600</v>
      </c>
      <c r="F443">
        <v>2881</v>
      </c>
      <c r="G443">
        <v>2883.5</v>
      </c>
      <c r="H443">
        <v>2880.5</v>
      </c>
      <c r="I443">
        <v>2880.5</v>
      </c>
      <c r="J443">
        <v>189500</v>
      </c>
    </row>
    <row r="444" spans="4:10">
      <c r="D444" t="s">
        <v>623</v>
      </c>
      <c r="E444" t="s">
        <v>601</v>
      </c>
      <c r="F444">
        <v>2880.5</v>
      </c>
      <c r="G444">
        <v>2881.5</v>
      </c>
      <c r="H444">
        <v>2877</v>
      </c>
      <c r="I444">
        <v>2879</v>
      </c>
      <c r="J444">
        <v>432100</v>
      </c>
    </row>
    <row r="445" spans="4:10">
      <c r="D445" t="s">
        <v>623</v>
      </c>
      <c r="E445" t="s">
        <v>602</v>
      </c>
      <c r="F445">
        <v>2878.5</v>
      </c>
      <c r="G445">
        <v>2879</v>
      </c>
      <c r="H445">
        <v>2875.5</v>
      </c>
      <c r="I445">
        <v>2879</v>
      </c>
      <c r="J445">
        <v>502300</v>
      </c>
    </row>
    <row r="446" spans="4:10">
      <c r="D446" t="s">
        <v>623</v>
      </c>
      <c r="E446" t="s">
        <v>603</v>
      </c>
      <c r="F446">
        <v>2879</v>
      </c>
      <c r="G446">
        <v>2879</v>
      </c>
      <c r="H446">
        <v>2875.5</v>
      </c>
      <c r="I446">
        <v>2876.5</v>
      </c>
      <c r="J446">
        <v>194800</v>
      </c>
    </row>
    <row r="447" spans="4:10">
      <c r="D447" t="s">
        <v>623</v>
      </c>
      <c r="E447" t="s">
        <v>604</v>
      </c>
      <c r="F447">
        <v>2876</v>
      </c>
      <c r="G447">
        <v>2876</v>
      </c>
      <c r="H447">
        <v>2876</v>
      </c>
      <c r="I447">
        <v>2876</v>
      </c>
      <c r="J447">
        <v>66900</v>
      </c>
    </row>
    <row r="448" spans="4:10">
      <c r="D448" t="s">
        <v>623</v>
      </c>
      <c r="E448" t="s">
        <v>605</v>
      </c>
      <c r="F448">
        <v>2874.5</v>
      </c>
      <c r="G448">
        <v>2882.5</v>
      </c>
      <c r="H448">
        <v>2874</v>
      </c>
      <c r="I448">
        <v>2875.5</v>
      </c>
      <c r="J448">
        <v>1550600</v>
      </c>
    </row>
    <row r="449" spans="4:10">
      <c r="D449" t="s">
        <v>623</v>
      </c>
      <c r="E449" t="s">
        <v>606</v>
      </c>
      <c r="F449">
        <v>2875.5</v>
      </c>
      <c r="G449">
        <v>2877</v>
      </c>
      <c r="H449">
        <v>2873</v>
      </c>
      <c r="I449">
        <v>2875.5</v>
      </c>
      <c r="J449">
        <v>530600</v>
      </c>
    </row>
    <row r="450" spans="4:10">
      <c r="D450" t="s">
        <v>623</v>
      </c>
      <c r="E450" t="s">
        <v>538</v>
      </c>
      <c r="F450">
        <v>2875.5</v>
      </c>
      <c r="G450">
        <v>2880</v>
      </c>
      <c r="H450">
        <v>2875.5</v>
      </c>
      <c r="I450">
        <v>2879.5</v>
      </c>
      <c r="J450">
        <v>320600</v>
      </c>
    </row>
    <row r="451" spans="4:10">
      <c r="D451" t="s">
        <v>623</v>
      </c>
      <c r="E451" t="s">
        <v>539</v>
      </c>
      <c r="F451">
        <v>2879.5</v>
      </c>
      <c r="G451">
        <v>2881.5</v>
      </c>
      <c r="H451">
        <v>2879</v>
      </c>
      <c r="I451">
        <v>2879.5</v>
      </c>
      <c r="J451">
        <v>387200</v>
      </c>
    </row>
    <row r="452" spans="4:10">
      <c r="D452" t="s">
        <v>623</v>
      </c>
      <c r="E452" t="s">
        <v>540</v>
      </c>
      <c r="F452">
        <v>2880</v>
      </c>
      <c r="G452">
        <v>2885.5</v>
      </c>
      <c r="H452">
        <v>2879.5</v>
      </c>
      <c r="I452">
        <v>2885</v>
      </c>
      <c r="J452">
        <v>562700</v>
      </c>
    </row>
    <row r="453" spans="4:10">
      <c r="D453" t="s">
        <v>623</v>
      </c>
      <c r="E453" t="s">
        <v>541</v>
      </c>
      <c r="F453">
        <v>2885</v>
      </c>
      <c r="G453">
        <v>2890.5</v>
      </c>
      <c r="H453">
        <v>2885</v>
      </c>
      <c r="I453">
        <v>2888.5</v>
      </c>
      <c r="J453">
        <v>589500</v>
      </c>
    </row>
    <row r="454" spans="4:10">
      <c r="D454" t="s">
        <v>623</v>
      </c>
      <c r="E454" t="s">
        <v>542</v>
      </c>
      <c r="F454">
        <v>2887.5</v>
      </c>
      <c r="G454">
        <v>2892</v>
      </c>
      <c r="H454">
        <v>2886</v>
      </c>
      <c r="I454">
        <v>2891.5</v>
      </c>
      <c r="J454">
        <v>547300</v>
      </c>
    </row>
    <row r="455" spans="4:10">
      <c r="D455" t="s">
        <v>623</v>
      </c>
      <c r="E455" t="s">
        <v>543</v>
      </c>
      <c r="F455">
        <v>2891.5</v>
      </c>
      <c r="G455">
        <v>2895.5</v>
      </c>
      <c r="H455">
        <v>2890</v>
      </c>
      <c r="I455">
        <v>2894</v>
      </c>
      <c r="J455">
        <v>452000</v>
      </c>
    </row>
    <row r="456" spans="4:10">
      <c r="D456" t="s">
        <v>623</v>
      </c>
      <c r="E456" t="s">
        <v>544</v>
      </c>
      <c r="F456">
        <v>2894</v>
      </c>
      <c r="G456">
        <v>2896</v>
      </c>
      <c r="H456">
        <v>2891.5</v>
      </c>
      <c r="I456">
        <v>2894</v>
      </c>
      <c r="J456">
        <v>323500</v>
      </c>
    </row>
    <row r="457" spans="4:10">
      <c r="D457" t="s">
        <v>623</v>
      </c>
      <c r="E457" t="s">
        <v>545</v>
      </c>
      <c r="F457">
        <v>2893.5</v>
      </c>
      <c r="G457">
        <v>2898.5</v>
      </c>
      <c r="H457">
        <v>2893.5</v>
      </c>
      <c r="I457">
        <v>2896</v>
      </c>
      <c r="J457">
        <v>471600</v>
      </c>
    </row>
    <row r="458" spans="4:10">
      <c r="D458" t="s">
        <v>623</v>
      </c>
      <c r="E458" t="s">
        <v>546</v>
      </c>
      <c r="F458">
        <v>2896</v>
      </c>
      <c r="G458">
        <v>2910</v>
      </c>
      <c r="H458">
        <v>2896</v>
      </c>
      <c r="I458">
        <v>2900.5</v>
      </c>
      <c r="J458">
        <v>732300</v>
      </c>
    </row>
    <row r="459" spans="4:10">
      <c r="D459" t="s">
        <v>623</v>
      </c>
      <c r="E459" t="s">
        <v>547</v>
      </c>
      <c r="F459">
        <v>2900.5</v>
      </c>
      <c r="G459">
        <v>2908</v>
      </c>
      <c r="H459">
        <v>2900</v>
      </c>
      <c r="I459">
        <v>2907.5</v>
      </c>
      <c r="J459">
        <v>337100</v>
      </c>
    </row>
    <row r="460" spans="4:10">
      <c r="D460" t="s">
        <v>623</v>
      </c>
      <c r="E460" t="s">
        <v>548</v>
      </c>
      <c r="F460">
        <v>2907.5</v>
      </c>
      <c r="G460">
        <v>2908</v>
      </c>
      <c r="H460">
        <v>2903.5</v>
      </c>
      <c r="I460">
        <v>2905.5</v>
      </c>
      <c r="J460">
        <v>315100</v>
      </c>
    </row>
    <row r="461" spans="4:10">
      <c r="D461" t="s">
        <v>623</v>
      </c>
      <c r="E461" t="s">
        <v>549</v>
      </c>
      <c r="F461">
        <v>2905.5</v>
      </c>
      <c r="G461">
        <v>2911</v>
      </c>
      <c r="H461">
        <v>2905.5</v>
      </c>
      <c r="I461">
        <v>2909</v>
      </c>
      <c r="J461">
        <v>319100</v>
      </c>
    </row>
    <row r="462" spans="4:10">
      <c r="D462" t="s">
        <v>623</v>
      </c>
      <c r="E462" t="s">
        <v>550</v>
      </c>
      <c r="F462">
        <v>2909</v>
      </c>
      <c r="G462">
        <v>2909.5</v>
      </c>
      <c r="H462">
        <v>2904.5</v>
      </c>
      <c r="I462">
        <v>2908.5</v>
      </c>
      <c r="J462">
        <v>441400</v>
      </c>
    </row>
    <row r="463" spans="4:10">
      <c r="D463" t="s">
        <v>623</v>
      </c>
      <c r="E463" t="s">
        <v>551</v>
      </c>
      <c r="F463">
        <v>2909</v>
      </c>
      <c r="G463">
        <v>2915.5</v>
      </c>
      <c r="H463">
        <v>2906.5</v>
      </c>
      <c r="I463">
        <v>2915</v>
      </c>
      <c r="J463">
        <v>493000</v>
      </c>
    </row>
    <row r="464" spans="4:10">
      <c r="D464" t="s">
        <v>623</v>
      </c>
      <c r="E464" t="s">
        <v>552</v>
      </c>
      <c r="F464">
        <v>2915</v>
      </c>
      <c r="G464">
        <v>2916</v>
      </c>
      <c r="H464">
        <v>2909</v>
      </c>
      <c r="I464">
        <v>2910</v>
      </c>
      <c r="J464">
        <v>345400</v>
      </c>
    </row>
    <row r="465" spans="4:10">
      <c r="D465" t="s">
        <v>623</v>
      </c>
      <c r="E465" t="s">
        <v>553</v>
      </c>
      <c r="F465">
        <v>2910</v>
      </c>
      <c r="G465">
        <v>2912</v>
      </c>
      <c r="H465">
        <v>2907.5</v>
      </c>
      <c r="I465">
        <v>2911</v>
      </c>
      <c r="J465">
        <v>255800</v>
      </c>
    </row>
    <row r="466" spans="4:10">
      <c r="D466" t="s">
        <v>623</v>
      </c>
      <c r="E466" t="s">
        <v>554</v>
      </c>
      <c r="F466">
        <v>2910.5</v>
      </c>
      <c r="G466">
        <v>2911.5</v>
      </c>
      <c r="H466">
        <v>2908</v>
      </c>
      <c r="I466">
        <v>2911</v>
      </c>
      <c r="J466">
        <v>252700</v>
      </c>
    </row>
    <row r="467" spans="4:10">
      <c r="D467" t="s">
        <v>623</v>
      </c>
      <c r="E467" t="s">
        <v>555</v>
      </c>
      <c r="F467">
        <v>2911</v>
      </c>
      <c r="G467">
        <v>2921.5</v>
      </c>
      <c r="H467">
        <v>2910</v>
      </c>
      <c r="I467">
        <v>2920</v>
      </c>
      <c r="J467">
        <v>622300</v>
      </c>
    </row>
    <row r="468" spans="4:10">
      <c r="D468" t="s">
        <v>623</v>
      </c>
      <c r="E468" t="s">
        <v>556</v>
      </c>
      <c r="F468">
        <v>2920.5</v>
      </c>
      <c r="G468">
        <v>2924.5</v>
      </c>
      <c r="H468">
        <v>2917</v>
      </c>
      <c r="I468">
        <v>2920.5</v>
      </c>
      <c r="J468">
        <v>334100</v>
      </c>
    </row>
    <row r="469" spans="4:10">
      <c r="D469" t="s">
        <v>623</v>
      </c>
      <c r="E469" t="s">
        <v>557</v>
      </c>
      <c r="F469">
        <v>2921</v>
      </c>
      <c r="G469">
        <v>2921.5</v>
      </c>
      <c r="H469">
        <v>2918</v>
      </c>
      <c r="I469">
        <v>2919.5</v>
      </c>
      <c r="J469">
        <v>288300</v>
      </c>
    </row>
    <row r="470" spans="4:10">
      <c r="D470" t="s">
        <v>623</v>
      </c>
      <c r="E470" t="s">
        <v>558</v>
      </c>
      <c r="F470">
        <v>2919</v>
      </c>
      <c r="G470">
        <v>2920</v>
      </c>
      <c r="H470">
        <v>2916</v>
      </c>
      <c r="I470">
        <v>2916.5</v>
      </c>
      <c r="J470">
        <v>167700</v>
      </c>
    </row>
    <row r="471" spans="4:10">
      <c r="D471" t="s">
        <v>623</v>
      </c>
      <c r="E471" t="s">
        <v>559</v>
      </c>
      <c r="F471">
        <v>2916.5</v>
      </c>
      <c r="G471">
        <v>2916.5</v>
      </c>
      <c r="H471">
        <v>2911</v>
      </c>
      <c r="I471">
        <v>2912</v>
      </c>
      <c r="J471">
        <v>337800</v>
      </c>
    </row>
    <row r="472" spans="4:10">
      <c r="D472" t="s">
        <v>623</v>
      </c>
      <c r="E472" t="s">
        <v>560</v>
      </c>
      <c r="F472">
        <v>2912</v>
      </c>
      <c r="G472">
        <v>2914</v>
      </c>
      <c r="H472">
        <v>2909</v>
      </c>
      <c r="I472">
        <v>2911</v>
      </c>
      <c r="J472">
        <v>372500</v>
      </c>
    </row>
    <row r="473" spans="4:10">
      <c r="D473" t="s">
        <v>623</v>
      </c>
      <c r="E473" t="s">
        <v>561</v>
      </c>
      <c r="F473">
        <v>2911</v>
      </c>
      <c r="G473">
        <v>2912</v>
      </c>
      <c r="H473">
        <v>2909</v>
      </c>
      <c r="I473">
        <v>2909</v>
      </c>
      <c r="J473">
        <v>171800</v>
      </c>
    </row>
    <row r="474" spans="4:10">
      <c r="D474" t="s">
        <v>623</v>
      </c>
      <c r="E474" t="s">
        <v>562</v>
      </c>
      <c r="F474">
        <v>2909.5</v>
      </c>
      <c r="G474">
        <v>2910.5</v>
      </c>
      <c r="H474">
        <v>2903.5</v>
      </c>
      <c r="I474">
        <v>2904</v>
      </c>
      <c r="J474">
        <v>358300</v>
      </c>
    </row>
    <row r="475" spans="4:10">
      <c r="D475" t="s">
        <v>623</v>
      </c>
      <c r="E475" t="s">
        <v>563</v>
      </c>
      <c r="F475">
        <v>2904</v>
      </c>
      <c r="G475">
        <v>2904.5</v>
      </c>
      <c r="H475">
        <v>2901.5</v>
      </c>
      <c r="I475">
        <v>2903.5</v>
      </c>
      <c r="J475">
        <v>250800</v>
      </c>
    </row>
    <row r="476" spans="4:10">
      <c r="D476" t="s">
        <v>623</v>
      </c>
      <c r="E476" t="s">
        <v>564</v>
      </c>
      <c r="F476">
        <v>2903.5</v>
      </c>
      <c r="G476">
        <v>2906</v>
      </c>
      <c r="H476">
        <v>2901</v>
      </c>
      <c r="I476">
        <v>2905.5</v>
      </c>
      <c r="J476">
        <v>255300</v>
      </c>
    </row>
    <row r="477" spans="4:10">
      <c r="D477" t="s">
        <v>623</v>
      </c>
      <c r="E477" t="s">
        <v>565</v>
      </c>
      <c r="F477">
        <v>2905.5</v>
      </c>
      <c r="G477">
        <v>2908</v>
      </c>
      <c r="H477">
        <v>2904.5</v>
      </c>
      <c r="I477">
        <v>2905.5</v>
      </c>
      <c r="J477">
        <v>235400</v>
      </c>
    </row>
    <row r="478" spans="4:10">
      <c r="D478" t="s">
        <v>623</v>
      </c>
      <c r="E478" t="s">
        <v>566</v>
      </c>
      <c r="F478">
        <v>2906</v>
      </c>
      <c r="G478">
        <v>2910</v>
      </c>
      <c r="H478">
        <v>2905.5</v>
      </c>
      <c r="I478">
        <v>2907.5</v>
      </c>
      <c r="J478">
        <v>276200</v>
      </c>
    </row>
    <row r="479" spans="4:10">
      <c r="D479" t="s">
        <v>623</v>
      </c>
      <c r="E479" t="s">
        <v>567</v>
      </c>
      <c r="F479">
        <v>2907</v>
      </c>
      <c r="G479">
        <v>2908</v>
      </c>
      <c r="H479">
        <v>2903.5</v>
      </c>
      <c r="I479">
        <v>2904</v>
      </c>
      <c r="J479">
        <v>326300</v>
      </c>
    </row>
    <row r="480" spans="4:10">
      <c r="D480" t="s">
        <v>623</v>
      </c>
      <c r="E480" t="s">
        <v>568</v>
      </c>
      <c r="F480">
        <v>2904</v>
      </c>
      <c r="G480">
        <v>2909.5</v>
      </c>
      <c r="H480">
        <v>2902.5</v>
      </c>
      <c r="I480">
        <v>2908.5</v>
      </c>
      <c r="J480">
        <v>384900</v>
      </c>
    </row>
    <row r="481" spans="4:10">
      <c r="D481" t="s">
        <v>623</v>
      </c>
      <c r="E481" t="s">
        <v>569</v>
      </c>
      <c r="F481">
        <v>2908.5</v>
      </c>
      <c r="G481">
        <v>2914.5</v>
      </c>
      <c r="H481">
        <v>2908</v>
      </c>
      <c r="I481">
        <v>2914</v>
      </c>
      <c r="J481">
        <v>507000</v>
      </c>
    </row>
    <row r="482" spans="4:10">
      <c r="D482" t="s">
        <v>623</v>
      </c>
      <c r="E482" t="s">
        <v>570</v>
      </c>
      <c r="F482">
        <v>2914</v>
      </c>
      <c r="G482">
        <v>2919.5</v>
      </c>
      <c r="H482">
        <v>2913</v>
      </c>
      <c r="I482">
        <v>2918</v>
      </c>
      <c r="J482">
        <v>604900</v>
      </c>
    </row>
    <row r="483" spans="4:10">
      <c r="D483" t="s">
        <v>623</v>
      </c>
      <c r="E483" t="s">
        <v>571</v>
      </c>
      <c r="F483" t="s">
        <v>35</v>
      </c>
      <c r="G483" t="s">
        <v>35</v>
      </c>
      <c r="H483" t="s">
        <v>35</v>
      </c>
      <c r="I483" t="s">
        <v>35</v>
      </c>
      <c r="J483">
        <v>0</v>
      </c>
    </row>
    <row r="484" spans="4:10">
      <c r="D484" t="s">
        <v>623</v>
      </c>
      <c r="E484" t="s">
        <v>572</v>
      </c>
      <c r="F484">
        <v>2914.5</v>
      </c>
      <c r="G484">
        <v>2914.5</v>
      </c>
      <c r="H484">
        <v>2914.5</v>
      </c>
      <c r="I484">
        <v>2914.5</v>
      </c>
      <c r="J484">
        <v>8251400</v>
      </c>
    </row>
    <row r="485" spans="4:10">
      <c r="D485" t="s">
        <v>615</v>
      </c>
      <c r="E485" t="s">
        <v>574</v>
      </c>
      <c r="F485">
        <v>2930</v>
      </c>
      <c r="G485">
        <v>2942</v>
      </c>
      <c r="H485">
        <v>2918</v>
      </c>
      <c r="I485">
        <v>2939.5</v>
      </c>
      <c r="J485">
        <v>3674000</v>
      </c>
    </row>
    <row r="486" spans="4:10">
      <c r="D486" t="s">
        <v>615</v>
      </c>
      <c r="E486" t="s">
        <v>575</v>
      </c>
      <c r="F486">
        <v>2939</v>
      </c>
      <c r="G486">
        <v>2949.5</v>
      </c>
      <c r="H486">
        <v>2929</v>
      </c>
      <c r="I486">
        <v>2933</v>
      </c>
      <c r="J486">
        <v>989600</v>
      </c>
    </row>
    <row r="487" spans="4:10">
      <c r="D487" t="s">
        <v>615</v>
      </c>
      <c r="E487" t="s">
        <v>576</v>
      </c>
      <c r="F487">
        <v>2932.5</v>
      </c>
      <c r="G487">
        <v>2952</v>
      </c>
      <c r="H487">
        <v>2929</v>
      </c>
      <c r="I487">
        <v>2949</v>
      </c>
      <c r="J487">
        <v>1192500</v>
      </c>
    </row>
    <row r="488" spans="4:10">
      <c r="D488" t="s">
        <v>615</v>
      </c>
      <c r="E488" t="s">
        <v>577</v>
      </c>
      <c r="F488">
        <v>2948.5</v>
      </c>
      <c r="G488">
        <v>2965</v>
      </c>
      <c r="H488">
        <v>2947.5</v>
      </c>
      <c r="I488">
        <v>2964</v>
      </c>
      <c r="J488">
        <v>1140800</v>
      </c>
    </row>
    <row r="489" spans="4:10">
      <c r="D489" t="s">
        <v>615</v>
      </c>
      <c r="E489" t="s">
        <v>578</v>
      </c>
      <c r="F489">
        <v>2963.5</v>
      </c>
      <c r="G489">
        <v>2974</v>
      </c>
      <c r="H489">
        <v>2962</v>
      </c>
      <c r="I489">
        <v>2963.5</v>
      </c>
      <c r="J489">
        <v>840500</v>
      </c>
    </row>
    <row r="490" spans="4:10">
      <c r="D490" t="s">
        <v>615</v>
      </c>
      <c r="E490" t="s">
        <v>579</v>
      </c>
      <c r="F490">
        <v>2964</v>
      </c>
      <c r="G490">
        <v>2973</v>
      </c>
      <c r="H490">
        <v>2962</v>
      </c>
      <c r="I490">
        <v>2967</v>
      </c>
      <c r="J490">
        <v>489000</v>
      </c>
    </row>
    <row r="491" spans="4:10">
      <c r="D491" t="s">
        <v>615</v>
      </c>
      <c r="E491" t="s">
        <v>580</v>
      </c>
      <c r="F491">
        <v>2967</v>
      </c>
      <c r="G491">
        <v>2967.5</v>
      </c>
      <c r="H491">
        <v>2957</v>
      </c>
      <c r="I491">
        <v>2961</v>
      </c>
      <c r="J491">
        <v>407100</v>
      </c>
    </row>
    <row r="492" spans="4:10">
      <c r="D492" t="s">
        <v>615</v>
      </c>
      <c r="E492" t="s">
        <v>581</v>
      </c>
      <c r="F492">
        <v>2961.5</v>
      </c>
      <c r="G492">
        <v>2962</v>
      </c>
      <c r="H492">
        <v>2954</v>
      </c>
      <c r="I492">
        <v>2957.5</v>
      </c>
      <c r="J492">
        <v>446100</v>
      </c>
    </row>
    <row r="493" spans="4:10">
      <c r="D493" t="s">
        <v>615</v>
      </c>
      <c r="E493" t="s">
        <v>582</v>
      </c>
      <c r="F493">
        <v>2957.5</v>
      </c>
      <c r="G493">
        <v>2958</v>
      </c>
      <c r="H493">
        <v>2948.5</v>
      </c>
      <c r="I493">
        <v>2952.5</v>
      </c>
      <c r="J493">
        <v>413300</v>
      </c>
    </row>
    <row r="494" spans="4:10">
      <c r="D494" t="s">
        <v>615</v>
      </c>
      <c r="E494" t="s">
        <v>583</v>
      </c>
      <c r="F494">
        <v>2952.5</v>
      </c>
      <c r="G494">
        <v>2952.5</v>
      </c>
      <c r="H494">
        <v>2944.5</v>
      </c>
      <c r="I494">
        <v>2949</v>
      </c>
      <c r="J494">
        <v>441200</v>
      </c>
    </row>
    <row r="495" spans="4:10">
      <c r="D495" t="s">
        <v>615</v>
      </c>
      <c r="E495" t="s">
        <v>584</v>
      </c>
      <c r="F495">
        <v>2949</v>
      </c>
      <c r="G495">
        <v>2961</v>
      </c>
      <c r="H495">
        <v>2949</v>
      </c>
      <c r="I495">
        <v>2960</v>
      </c>
      <c r="J495">
        <v>534200</v>
      </c>
    </row>
    <row r="496" spans="4:10">
      <c r="D496" t="s">
        <v>615</v>
      </c>
      <c r="E496" t="s">
        <v>585</v>
      </c>
      <c r="F496">
        <v>2960</v>
      </c>
      <c r="G496">
        <v>2965</v>
      </c>
      <c r="H496">
        <v>2955</v>
      </c>
      <c r="I496">
        <v>2963.5</v>
      </c>
      <c r="J496">
        <v>384900</v>
      </c>
    </row>
    <row r="497" spans="4:10">
      <c r="D497" t="s">
        <v>615</v>
      </c>
      <c r="E497" t="s">
        <v>586</v>
      </c>
      <c r="F497">
        <v>2963.5</v>
      </c>
      <c r="G497">
        <v>2964.5</v>
      </c>
      <c r="H497">
        <v>2957</v>
      </c>
      <c r="I497">
        <v>2959.5</v>
      </c>
      <c r="J497">
        <v>318600</v>
      </c>
    </row>
    <row r="498" spans="4:10">
      <c r="D498" t="s">
        <v>615</v>
      </c>
      <c r="E498" t="s">
        <v>587</v>
      </c>
      <c r="F498">
        <v>2960</v>
      </c>
      <c r="G498">
        <v>2963</v>
      </c>
      <c r="H498">
        <v>2959</v>
      </c>
      <c r="I498">
        <v>2960</v>
      </c>
      <c r="J498">
        <v>162400</v>
      </c>
    </row>
    <row r="499" spans="4:10">
      <c r="D499" t="s">
        <v>615</v>
      </c>
      <c r="E499" t="s">
        <v>588</v>
      </c>
      <c r="F499">
        <v>2959.5</v>
      </c>
      <c r="G499">
        <v>2967</v>
      </c>
      <c r="H499">
        <v>2956</v>
      </c>
      <c r="I499">
        <v>2963</v>
      </c>
      <c r="J499">
        <v>469000</v>
      </c>
    </row>
    <row r="500" spans="4:10">
      <c r="D500" t="s">
        <v>615</v>
      </c>
      <c r="E500" t="s">
        <v>589</v>
      </c>
      <c r="F500">
        <v>2963</v>
      </c>
      <c r="G500">
        <v>2973.5</v>
      </c>
      <c r="H500">
        <v>2962.5</v>
      </c>
      <c r="I500">
        <v>2971</v>
      </c>
      <c r="J500">
        <v>540600</v>
      </c>
    </row>
    <row r="501" spans="4:10">
      <c r="D501" t="s">
        <v>615</v>
      </c>
      <c r="E501" t="s">
        <v>590</v>
      </c>
      <c r="F501">
        <v>2971</v>
      </c>
      <c r="G501">
        <v>2973.5</v>
      </c>
      <c r="H501">
        <v>2969.5</v>
      </c>
      <c r="I501">
        <v>2972</v>
      </c>
      <c r="J501">
        <v>284100</v>
      </c>
    </row>
    <row r="502" spans="4:10">
      <c r="D502" t="s">
        <v>615</v>
      </c>
      <c r="E502" t="s">
        <v>591</v>
      </c>
      <c r="F502">
        <v>2972</v>
      </c>
      <c r="G502">
        <v>2972</v>
      </c>
      <c r="H502">
        <v>2968</v>
      </c>
      <c r="I502">
        <v>2969.5</v>
      </c>
      <c r="J502">
        <v>194300</v>
      </c>
    </row>
    <row r="503" spans="4:10">
      <c r="D503" t="s">
        <v>615</v>
      </c>
      <c r="E503" t="s">
        <v>592</v>
      </c>
      <c r="F503">
        <v>2969.5</v>
      </c>
      <c r="G503">
        <v>2976</v>
      </c>
      <c r="H503">
        <v>2968.5</v>
      </c>
      <c r="I503">
        <v>2975</v>
      </c>
      <c r="J503">
        <v>421800</v>
      </c>
    </row>
    <row r="504" spans="4:10">
      <c r="D504" t="s">
        <v>615</v>
      </c>
      <c r="E504" t="s">
        <v>593</v>
      </c>
      <c r="F504">
        <v>2975</v>
      </c>
      <c r="G504">
        <v>2975</v>
      </c>
      <c r="H504">
        <v>2968.5</v>
      </c>
      <c r="I504">
        <v>2969.5</v>
      </c>
      <c r="J504">
        <v>263400</v>
      </c>
    </row>
    <row r="505" spans="4:10">
      <c r="D505" t="s">
        <v>615</v>
      </c>
      <c r="E505" t="s">
        <v>594</v>
      </c>
      <c r="F505">
        <v>2969</v>
      </c>
      <c r="G505">
        <v>2969</v>
      </c>
      <c r="H505">
        <v>2959</v>
      </c>
      <c r="I505">
        <v>2962.5</v>
      </c>
      <c r="J505">
        <v>340800</v>
      </c>
    </row>
    <row r="506" spans="4:10">
      <c r="D506" t="s">
        <v>615</v>
      </c>
      <c r="E506" t="s">
        <v>595</v>
      </c>
      <c r="F506">
        <v>2963</v>
      </c>
      <c r="G506">
        <v>2963.5</v>
      </c>
      <c r="H506">
        <v>2957</v>
      </c>
      <c r="I506">
        <v>2959</v>
      </c>
      <c r="J506">
        <v>233600</v>
      </c>
    </row>
    <row r="507" spans="4:10">
      <c r="D507" t="s">
        <v>615</v>
      </c>
      <c r="E507" t="s">
        <v>596</v>
      </c>
      <c r="F507">
        <v>2958.5</v>
      </c>
      <c r="G507">
        <v>2959</v>
      </c>
      <c r="H507">
        <v>2951</v>
      </c>
      <c r="I507">
        <v>2956.5</v>
      </c>
      <c r="J507">
        <v>339800</v>
      </c>
    </row>
    <row r="508" spans="4:10">
      <c r="D508" t="s">
        <v>615</v>
      </c>
      <c r="E508" t="s">
        <v>597</v>
      </c>
      <c r="F508">
        <v>2956</v>
      </c>
      <c r="G508">
        <v>2956</v>
      </c>
      <c r="H508">
        <v>2952</v>
      </c>
      <c r="I508">
        <v>2955.5</v>
      </c>
      <c r="J508">
        <v>210100</v>
      </c>
    </row>
    <row r="509" spans="4:10">
      <c r="D509" t="s">
        <v>615</v>
      </c>
      <c r="E509" t="s">
        <v>598</v>
      </c>
      <c r="F509">
        <v>2955.5</v>
      </c>
      <c r="G509">
        <v>2960.5</v>
      </c>
      <c r="H509">
        <v>2954.5</v>
      </c>
      <c r="I509">
        <v>2960.5</v>
      </c>
      <c r="J509">
        <v>191100</v>
      </c>
    </row>
    <row r="510" spans="4:10">
      <c r="D510" t="s">
        <v>615</v>
      </c>
      <c r="E510" t="s">
        <v>599</v>
      </c>
      <c r="F510">
        <v>2960</v>
      </c>
      <c r="G510">
        <v>2962.5</v>
      </c>
      <c r="H510">
        <v>2956</v>
      </c>
      <c r="I510">
        <v>2958</v>
      </c>
      <c r="J510">
        <v>193500</v>
      </c>
    </row>
    <row r="511" spans="4:10">
      <c r="D511" t="s">
        <v>615</v>
      </c>
      <c r="E511" t="s">
        <v>600</v>
      </c>
      <c r="F511">
        <v>2958.5</v>
      </c>
      <c r="G511">
        <v>2968</v>
      </c>
      <c r="H511">
        <v>2957</v>
      </c>
      <c r="I511">
        <v>2967.5</v>
      </c>
      <c r="J511">
        <v>431900</v>
      </c>
    </row>
    <row r="512" spans="4:10">
      <c r="D512" t="s">
        <v>615</v>
      </c>
      <c r="E512" t="s">
        <v>601</v>
      </c>
      <c r="F512">
        <v>2968</v>
      </c>
      <c r="G512">
        <v>2969</v>
      </c>
      <c r="H512">
        <v>2965</v>
      </c>
      <c r="I512">
        <v>2968.5</v>
      </c>
      <c r="J512">
        <v>227300</v>
      </c>
    </row>
    <row r="513" spans="4:10">
      <c r="D513" t="s">
        <v>615</v>
      </c>
      <c r="E513" t="s">
        <v>602</v>
      </c>
      <c r="F513">
        <v>2968.5</v>
      </c>
      <c r="G513">
        <v>2972</v>
      </c>
      <c r="H513">
        <v>2963</v>
      </c>
      <c r="I513">
        <v>2964</v>
      </c>
      <c r="J513">
        <v>190000</v>
      </c>
    </row>
    <row r="514" spans="4:10">
      <c r="D514" t="s">
        <v>615</v>
      </c>
      <c r="E514" t="s">
        <v>603</v>
      </c>
      <c r="F514">
        <v>2964</v>
      </c>
      <c r="G514">
        <v>2965</v>
      </c>
      <c r="H514">
        <v>2961</v>
      </c>
      <c r="I514">
        <v>2963</v>
      </c>
      <c r="J514">
        <v>408600</v>
      </c>
    </row>
    <row r="515" spans="4:10">
      <c r="D515" t="s">
        <v>615</v>
      </c>
      <c r="E515" t="s">
        <v>604</v>
      </c>
      <c r="F515">
        <v>2963</v>
      </c>
      <c r="G515">
        <v>2963</v>
      </c>
      <c r="H515">
        <v>2963</v>
      </c>
      <c r="I515">
        <v>2963</v>
      </c>
      <c r="J515">
        <v>108500</v>
      </c>
    </row>
    <row r="516" spans="4:10">
      <c r="D516" t="s">
        <v>615</v>
      </c>
      <c r="E516" t="s">
        <v>605</v>
      </c>
      <c r="F516">
        <v>2967</v>
      </c>
      <c r="G516">
        <v>2972.5</v>
      </c>
      <c r="H516">
        <v>2961</v>
      </c>
      <c r="I516">
        <v>2962.5</v>
      </c>
      <c r="J516">
        <v>733300</v>
      </c>
    </row>
    <row r="517" spans="4:10">
      <c r="D517" t="s">
        <v>615</v>
      </c>
      <c r="E517" t="s">
        <v>606</v>
      </c>
      <c r="F517">
        <v>2963</v>
      </c>
      <c r="G517">
        <v>2963.5</v>
      </c>
      <c r="H517">
        <v>2956.5</v>
      </c>
      <c r="I517">
        <v>2957</v>
      </c>
      <c r="J517">
        <v>404200</v>
      </c>
    </row>
    <row r="518" spans="4:10">
      <c r="D518" t="s">
        <v>615</v>
      </c>
      <c r="E518" t="s">
        <v>538</v>
      </c>
      <c r="F518">
        <v>2957</v>
      </c>
      <c r="G518">
        <v>2969</v>
      </c>
      <c r="H518">
        <v>2956</v>
      </c>
      <c r="I518">
        <v>2967.5</v>
      </c>
      <c r="J518">
        <v>410100</v>
      </c>
    </row>
    <row r="519" spans="4:10">
      <c r="D519" t="s">
        <v>615</v>
      </c>
      <c r="E519" t="s">
        <v>539</v>
      </c>
      <c r="F519">
        <v>2967</v>
      </c>
      <c r="G519">
        <v>2969</v>
      </c>
      <c r="H519">
        <v>2967</v>
      </c>
      <c r="I519">
        <v>2968</v>
      </c>
      <c r="J519">
        <v>181400</v>
      </c>
    </row>
    <row r="520" spans="4:10">
      <c r="D520" t="s">
        <v>615</v>
      </c>
      <c r="E520" t="s">
        <v>540</v>
      </c>
      <c r="F520">
        <v>2967.5</v>
      </c>
      <c r="G520">
        <v>2973</v>
      </c>
      <c r="H520">
        <v>2965</v>
      </c>
      <c r="I520">
        <v>2970.5</v>
      </c>
      <c r="J520">
        <v>212100</v>
      </c>
    </row>
    <row r="521" spans="4:10">
      <c r="D521" t="s">
        <v>615</v>
      </c>
      <c r="E521" t="s">
        <v>541</v>
      </c>
      <c r="F521">
        <v>2970.5</v>
      </c>
      <c r="G521">
        <v>2974</v>
      </c>
      <c r="H521">
        <v>2970</v>
      </c>
      <c r="I521">
        <v>2973.5</v>
      </c>
      <c r="J521">
        <v>161300</v>
      </c>
    </row>
    <row r="522" spans="4:10">
      <c r="D522" t="s">
        <v>615</v>
      </c>
      <c r="E522" t="s">
        <v>542</v>
      </c>
      <c r="F522">
        <v>2973.5</v>
      </c>
      <c r="G522">
        <v>2975</v>
      </c>
      <c r="H522">
        <v>2972</v>
      </c>
      <c r="I522">
        <v>2974</v>
      </c>
      <c r="J522">
        <v>163900</v>
      </c>
    </row>
    <row r="523" spans="4:10">
      <c r="D523" t="s">
        <v>615</v>
      </c>
      <c r="E523" t="s">
        <v>543</v>
      </c>
      <c r="F523">
        <v>2974</v>
      </c>
      <c r="G523">
        <v>2975</v>
      </c>
      <c r="H523">
        <v>2969.5</v>
      </c>
      <c r="I523">
        <v>2972</v>
      </c>
      <c r="J523">
        <v>201500</v>
      </c>
    </row>
    <row r="524" spans="4:10">
      <c r="D524" t="s">
        <v>615</v>
      </c>
      <c r="E524" t="s">
        <v>544</v>
      </c>
      <c r="F524">
        <v>2972</v>
      </c>
      <c r="G524">
        <v>2974.5</v>
      </c>
      <c r="H524">
        <v>2971</v>
      </c>
      <c r="I524">
        <v>2972</v>
      </c>
      <c r="J524">
        <v>119100</v>
      </c>
    </row>
    <row r="525" spans="4:10">
      <c r="D525" t="s">
        <v>615</v>
      </c>
      <c r="E525" t="s">
        <v>545</v>
      </c>
      <c r="F525">
        <v>2972</v>
      </c>
      <c r="G525">
        <v>2972.5</v>
      </c>
      <c r="H525">
        <v>2967</v>
      </c>
      <c r="I525">
        <v>2970</v>
      </c>
      <c r="J525">
        <v>98400</v>
      </c>
    </row>
    <row r="526" spans="4:10">
      <c r="D526" t="s">
        <v>615</v>
      </c>
      <c r="E526" t="s">
        <v>546</v>
      </c>
      <c r="F526">
        <v>2970</v>
      </c>
      <c r="G526">
        <v>2970.5</v>
      </c>
      <c r="H526">
        <v>2968.5</v>
      </c>
      <c r="I526">
        <v>2970</v>
      </c>
      <c r="J526">
        <v>133000</v>
      </c>
    </row>
    <row r="527" spans="4:10">
      <c r="D527" t="s">
        <v>615</v>
      </c>
      <c r="E527" t="s">
        <v>547</v>
      </c>
      <c r="F527">
        <v>2970</v>
      </c>
      <c r="G527">
        <v>2970</v>
      </c>
      <c r="H527">
        <v>2968</v>
      </c>
      <c r="I527">
        <v>2969</v>
      </c>
      <c r="J527">
        <v>88300</v>
      </c>
    </row>
    <row r="528" spans="4:10">
      <c r="D528" t="s">
        <v>615</v>
      </c>
      <c r="E528" t="s">
        <v>548</v>
      </c>
      <c r="F528">
        <v>2969.5</v>
      </c>
      <c r="G528">
        <v>2970.5</v>
      </c>
      <c r="H528">
        <v>2967.5</v>
      </c>
      <c r="I528">
        <v>2968</v>
      </c>
      <c r="J528">
        <v>79700</v>
      </c>
    </row>
    <row r="529" spans="4:10">
      <c r="D529" t="s">
        <v>615</v>
      </c>
      <c r="E529" t="s">
        <v>549</v>
      </c>
      <c r="F529">
        <v>2968</v>
      </c>
      <c r="G529">
        <v>2969.5</v>
      </c>
      <c r="H529">
        <v>2967</v>
      </c>
      <c r="I529">
        <v>2969</v>
      </c>
      <c r="J529">
        <v>87900</v>
      </c>
    </row>
    <row r="530" spans="4:10">
      <c r="D530" t="s">
        <v>615</v>
      </c>
      <c r="E530" t="s">
        <v>550</v>
      </c>
      <c r="F530">
        <v>2969</v>
      </c>
      <c r="G530">
        <v>2969.5</v>
      </c>
      <c r="H530">
        <v>2967.5</v>
      </c>
      <c r="I530">
        <v>2968.5</v>
      </c>
      <c r="J530">
        <v>72700</v>
      </c>
    </row>
    <row r="531" spans="4:10">
      <c r="D531" t="s">
        <v>615</v>
      </c>
      <c r="E531" t="s">
        <v>551</v>
      </c>
      <c r="F531">
        <v>2968.5</v>
      </c>
      <c r="G531">
        <v>2969.5</v>
      </c>
      <c r="H531">
        <v>2965.5</v>
      </c>
      <c r="I531">
        <v>2967</v>
      </c>
      <c r="J531">
        <v>165300</v>
      </c>
    </row>
    <row r="532" spans="4:10">
      <c r="D532" t="s">
        <v>615</v>
      </c>
      <c r="E532" t="s">
        <v>552</v>
      </c>
      <c r="F532">
        <v>2967</v>
      </c>
      <c r="G532">
        <v>2967</v>
      </c>
      <c r="H532">
        <v>2964.5</v>
      </c>
      <c r="I532">
        <v>2966</v>
      </c>
      <c r="J532">
        <v>117000</v>
      </c>
    </row>
    <row r="533" spans="4:10">
      <c r="D533" t="s">
        <v>615</v>
      </c>
      <c r="E533" t="s">
        <v>553</v>
      </c>
      <c r="F533">
        <v>2966</v>
      </c>
      <c r="G533">
        <v>2968</v>
      </c>
      <c r="H533">
        <v>2965</v>
      </c>
      <c r="I533">
        <v>2966.5</v>
      </c>
      <c r="J533">
        <v>75300</v>
      </c>
    </row>
    <row r="534" spans="4:10">
      <c r="D534" t="s">
        <v>615</v>
      </c>
      <c r="E534" t="s">
        <v>554</v>
      </c>
      <c r="F534">
        <v>2967</v>
      </c>
      <c r="G534">
        <v>2967</v>
      </c>
      <c r="H534">
        <v>2961.5</v>
      </c>
      <c r="I534">
        <v>2963</v>
      </c>
      <c r="J534">
        <v>180300</v>
      </c>
    </row>
    <row r="535" spans="4:10">
      <c r="D535" t="s">
        <v>615</v>
      </c>
      <c r="E535" t="s">
        <v>555</v>
      </c>
      <c r="F535">
        <v>2963.5</v>
      </c>
      <c r="G535">
        <v>2964.5</v>
      </c>
      <c r="H535">
        <v>2961.5</v>
      </c>
      <c r="I535">
        <v>2962</v>
      </c>
      <c r="J535">
        <v>79600</v>
      </c>
    </row>
    <row r="536" spans="4:10">
      <c r="D536" t="s">
        <v>615</v>
      </c>
      <c r="E536" t="s">
        <v>556</v>
      </c>
      <c r="F536">
        <v>2961.5</v>
      </c>
      <c r="G536">
        <v>2963</v>
      </c>
      <c r="H536">
        <v>2959</v>
      </c>
      <c r="I536">
        <v>2962</v>
      </c>
      <c r="J536">
        <v>136900</v>
      </c>
    </row>
    <row r="537" spans="4:10">
      <c r="D537" t="s">
        <v>615</v>
      </c>
      <c r="E537" t="s">
        <v>557</v>
      </c>
      <c r="F537">
        <v>2962</v>
      </c>
      <c r="G537">
        <v>2967</v>
      </c>
      <c r="H537">
        <v>2961.5</v>
      </c>
      <c r="I537">
        <v>2966.5</v>
      </c>
      <c r="J537">
        <v>134600</v>
      </c>
    </row>
    <row r="538" spans="4:10">
      <c r="D538" t="s">
        <v>615</v>
      </c>
      <c r="E538" t="s">
        <v>558</v>
      </c>
      <c r="F538">
        <v>2967</v>
      </c>
      <c r="G538">
        <v>2973</v>
      </c>
      <c r="H538">
        <v>2967</v>
      </c>
      <c r="I538">
        <v>2969.5</v>
      </c>
      <c r="J538">
        <v>189300</v>
      </c>
    </row>
    <row r="539" spans="4:10">
      <c r="D539" t="s">
        <v>615</v>
      </c>
      <c r="E539" t="s">
        <v>559</v>
      </c>
      <c r="F539">
        <v>2970.5</v>
      </c>
      <c r="G539">
        <v>2972</v>
      </c>
      <c r="H539">
        <v>2968</v>
      </c>
      <c r="I539">
        <v>2971</v>
      </c>
      <c r="J539">
        <v>109400</v>
      </c>
    </row>
    <row r="540" spans="4:10">
      <c r="D540" t="s">
        <v>615</v>
      </c>
      <c r="E540" t="s">
        <v>560</v>
      </c>
      <c r="F540">
        <v>2970.5</v>
      </c>
      <c r="G540">
        <v>2972</v>
      </c>
      <c r="H540">
        <v>2968.5</v>
      </c>
      <c r="I540">
        <v>2970</v>
      </c>
      <c r="J540">
        <v>87200</v>
      </c>
    </row>
    <row r="541" spans="4:10">
      <c r="D541" t="s">
        <v>615</v>
      </c>
      <c r="E541" t="s">
        <v>561</v>
      </c>
      <c r="F541">
        <v>2970</v>
      </c>
      <c r="G541">
        <v>2972</v>
      </c>
      <c r="H541">
        <v>2969</v>
      </c>
      <c r="I541">
        <v>2969</v>
      </c>
      <c r="J541">
        <v>157500</v>
      </c>
    </row>
    <row r="542" spans="4:10">
      <c r="D542" t="s">
        <v>615</v>
      </c>
      <c r="E542" t="s">
        <v>562</v>
      </c>
      <c r="F542">
        <v>2969</v>
      </c>
      <c r="G542">
        <v>2972</v>
      </c>
      <c r="H542">
        <v>2968</v>
      </c>
      <c r="I542">
        <v>2971.5</v>
      </c>
      <c r="J542">
        <v>105100</v>
      </c>
    </row>
    <row r="543" spans="4:10">
      <c r="D543" t="s">
        <v>615</v>
      </c>
      <c r="E543" t="s">
        <v>563</v>
      </c>
      <c r="F543">
        <v>2971.5</v>
      </c>
      <c r="G543">
        <v>2973</v>
      </c>
      <c r="H543">
        <v>2970.5</v>
      </c>
      <c r="I543">
        <v>2972</v>
      </c>
      <c r="J543">
        <v>138000</v>
      </c>
    </row>
    <row r="544" spans="4:10">
      <c r="D544" t="s">
        <v>615</v>
      </c>
      <c r="E544" t="s">
        <v>564</v>
      </c>
      <c r="F544">
        <v>2972</v>
      </c>
      <c r="G544">
        <v>2975</v>
      </c>
      <c r="H544">
        <v>2971.5</v>
      </c>
      <c r="I544">
        <v>2974.5</v>
      </c>
      <c r="J544">
        <v>196000</v>
      </c>
    </row>
    <row r="545" spans="4:10">
      <c r="D545" t="s">
        <v>615</v>
      </c>
      <c r="E545" t="s">
        <v>565</v>
      </c>
      <c r="F545">
        <v>2974.5</v>
      </c>
      <c r="G545">
        <v>2983.5</v>
      </c>
      <c r="H545">
        <v>2974</v>
      </c>
      <c r="I545">
        <v>2982</v>
      </c>
      <c r="J545">
        <v>673500</v>
      </c>
    </row>
    <row r="546" spans="4:10">
      <c r="D546" t="s">
        <v>615</v>
      </c>
      <c r="E546" t="s">
        <v>566</v>
      </c>
      <c r="F546">
        <v>2982</v>
      </c>
      <c r="G546">
        <v>2985.5</v>
      </c>
      <c r="H546">
        <v>2980.5</v>
      </c>
      <c r="I546">
        <v>2983.5</v>
      </c>
      <c r="J546">
        <v>314800</v>
      </c>
    </row>
    <row r="547" spans="4:10">
      <c r="D547" t="s">
        <v>615</v>
      </c>
      <c r="E547" t="s">
        <v>567</v>
      </c>
      <c r="F547">
        <v>2983.5</v>
      </c>
      <c r="G547">
        <v>2984.5</v>
      </c>
      <c r="H547">
        <v>2979</v>
      </c>
      <c r="I547">
        <v>2980.5</v>
      </c>
      <c r="J547">
        <v>344900</v>
      </c>
    </row>
    <row r="548" spans="4:10">
      <c r="D548" t="s">
        <v>615</v>
      </c>
      <c r="E548" t="s">
        <v>568</v>
      </c>
      <c r="F548">
        <v>2980</v>
      </c>
      <c r="G548">
        <v>2986</v>
      </c>
      <c r="H548">
        <v>2979.5</v>
      </c>
      <c r="I548">
        <v>2982.5</v>
      </c>
      <c r="J548">
        <v>396800</v>
      </c>
    </row>
    <row r="549" spans="4:10">
      <c r="D549" t="s">
        <v>615</v>
      </c>
      <c r="E549" t="s">
        <v>569</v>
      </c>
      <c r="F549">
        <v>2983</v>
      </c>
      <c r="G549">
        <v>2987.5</v>
      </c>
      <c r="H549">
        <v>2981.5</v>
      </c>
      <c r="I549">
        <v>2986.5</v>
      </c>
      <c r="J549">
        <v>389100</v>
      </c>
    </row>
    <row r="550" spans="4:10">
      <c r="D550" t="s">
        <v>615</v>
      </c>
      <c r="E550" t="s">
        <v>570</v>
      </c>
      <c r="F550">
        <v>2987</v>
      </c>
      <c r="G550">
        <v>2993.5</v>
      </c>
      <c r="H550">
        <v>2985</v>
      </c>
      <c r="I550">
        <v>2990</v>
      </c>
      <c r="J550">
        <v>763800</v>
      </c>
    </row>
    <row r="551" spans="4:10">
      <c r="D551" t="s">
        <v>615</v>
      </c>
      <c r="E551" t="s">
        <v>571</v>
      </c>
      <c r="F551" t="s">
        <v>35</v>
      </c>
      <c r="G551" t="s">
        <v>35</v>
      </c>
      <c r="H551" t="s">
        <v>35</v>
      </c>
      <c r="I551" t="s">
        <v>35</v>
      </c>
      <c r="J551">
        <v>0</v>
      </c>
    </row>
    <row r="552" spans="4:10">
      <c r="D552" t="s">
        <v>615</v>
      </c>
      <c r="E552" t="s">
        <v>572</v>
      </c>
      <c r="F552">
        <v>2983.5</v>
      </c>
      <c r="G552">
        <v>2983.5</v>
      </c>
      <c r="H552">
        <v>2983.5</v>
      </c>
      <c r="I552">
        <v>2983.5</v>
      </c>
      <c r="J552">
        <v>7586000</v>
      </c>
    </row>
    <row r="553" spans="4:10">
      <c r="D553" t="s">
        <v>616</v>
      </c>
      <c r="E553" t="s">
        <v>574</v>
      </c>
      <c r="F553">
        <v>2995</v>
      </c>
      <c r="G553">
        <v>2996</v>
      </c>
      <c r="H553">
        <v>2970</v>
      </c>
      <c r="I553">
        <v>2984</v>
      </c>
      <c r="J553">
        <v>2051600</v>
      </c>
    </row>
    <row r="554" spans="4:10">
      <c r="D554" t="s">
        <v>616</v>
      </c>
      <c r="E554" t="s">
        <v>575</v>
      </c>
      <c r="F554">
        <v>2984</v>
      </c>
      <c r="G554">
        <v>2992.5</v>
      </c>
      <c r="H554">
        <v>2980.5</v>
      </c>
      <c r="I554">
        <v>2983</v>
      </c>
      <c r="J554">
        <v>525000</v>
      </c>
    </row>
    <row r="555" spans="4:10">
      <c r="D555" t="s">
        <v>616</v>
      </c>
      <c r="E555" t="s">
        <v>576</v>
      </c>
      <c r="F555">
        <v>2982.5</v>
      </c>
      <c r="G555">
        <v>2985</v>
      </c>
      <c r="H555">
        <v>2975</v>
      </c>
      <c r="I555">
        <v>2977.5</v>
      </c>
      <c r="J555">
        <v>424900</v>
      </c>
    </row>
    <row r="556" spans="4:10">
      <c r="D556" t="s">
        <v>616</v>
      </c>
      <c r="E556" t="s">
        <v>577</v>
      </c>
      <c r="F556">
        <v>2978</v>
      </c>
      <c r="G556">
        <v>2981</v>
      </c>
      <c r="H556">
        <v>2970</v>
      </c>
      <c r="I556">
        <v>2977.5</v>
      </c>
      <c r="J556">
        <v>452100</v>
      </c>
    </row>
    <row r="557" spans="4:10">
      <c r="D557" t="s">
        <v>616</v>
      </c>
      <c r="E557" t="s">
        <v>578</v>
      </c>
      <c r="F557">
        <v>2977</v>
      </c>
      <c r="G557">
        <v>3002</v>
      </c>
      <c r="H557">
        <v>2976</v>
      </c>
      <c r="I557">
        <v>3001</v>
      </c>
      <c r="J557">
        <v>996500</v>
      </c>
    </row>
    <row r="558" spans="4:10">
      <c r="D558" t="s">
        <v>616</v>
      </c>
      <c r="E558" t="s">
        <v>579</v>
      </c>
      <c r="F558">
        <v>3001</v>
      </c>
      <c r="G558">
        <v>3003</v>
      </c>
      <c r="H558">
        <v>2996</v>
      </c>
      <c r="I558">
        <v>2998.5</v>
      </c>
      <c r="J558">
        <v>359800</v>
      </c>
    </row>
    <row r="559" spans="4:10">
      <c r="D559" t="s">
        <v>616</v>
      </c>
      <c r="E559" t="s">
        <v>580</v>
      </c>
      <c r="F559">
        <v>2998.5</v>
      </c>
      <c r="G559">
        <v>3001</v>
      </c>
      <c r="H559">
        <v>2995.5</v>
      </c>
      <c r="I559">
        <v>2996.5</v>
      </c>
      <c r="J559">
        <v>290300</v>
      </c>
    </row>
    <row r="560" spans="4:10">
      <c r="D560" t="s">
        <v>616</v>
      </c>
      <c r="E560" t="s">
        <v>581</v>
      </c>
      <c r="F560">
        <v>2996.5</v>
      </c>
      <c r="G560">
        <v>3007</v>
      </c>
      <c r="H560">
        <v>2995</v>
      </c>
      <c r="I560">
        <v>3006</v>
      </c>
      <c r="J560">
        <v>367700</v>
      </c>
    </row>
    <row r="561" spans="4:10">
      <c r="D561" t="s">
        <v>616</v>
      </c>
      <c r="E561" t="s">
        <v>582</v>
      </c>
      <c r="F561">
        <v>3006</v>
      </c>
      <c r="G561">
        <v>3017</v>
      </c>
      <c r="H561">
        <v>3006</v>
      </c>
      <c r="I561">
        <v>3015</v>
      </c>
      <c r="J561">
        <v>528500</v>
      </c>
    </row>
    <row r="562" spans="4:10">
      <c r="D562" t="s">
        <v>616</v>
      </c>
      <c r="E562" t="s">
        <v>583</v>
      </c>
      <c r="F562">
        <v>3016</v>
      </c>
      <c r="G562">
        <v>3017</v>
      </c>
      <c r="H562">
        <v>3008</v>
      </c>
      <c r="I562">
        <v>3016</v>
      </c>
      <c r="J562">
        <v>397800</v>
      </c>
    </row>
    <row r="563" spans="4:10">
      <c r="D563" t="s">
        <v>616</v>
      </c>
      <c r="E563" t="s">
        <v>584</v>
      </c>
      <c r="F563">
        <v>3016</v>
      </c>
      <c r="G563">
        <v>3016</v>
      </c>
      <c r="H563">
        <v>3010</v>
      </c>
      <c r="I563">
        <v>3013</v>
      </c>
      <c r="J563">
        <v>267100</v>
      </c>
    </row>
    <row r="564" spans="4:10">
      <c r="D564" t="s">
        <v>616</v>
      </c>
      <c r="E564" t="s">
        <v>585</v>
      </c>
      <c r="F564">
        <v>3013</v>
      </c>
      <c r="G564">
        <v>3014</v>
      </c>
      <c r="H564">
        <v>3010</v>
      </c>
      <c r="I564">
        <v>3012</v>
      </c>
      <c r="J564">
        <v>195400</v>
      </c>
    </row>
    <row r="565" spans="4:10">
      <c r="D565" t="s">
        <v>616</v>
      </c>
      <c r="E565" t="s">
        <v>586</v>
      </c>
      <c r="F565">
        <v>3012</v>
      </c>
      <c r="G565">
        <v>3013</v>
      </c>
      <c r="H565">
        <v>3008</v>
      </c>
      <c r="I565">
        <v>3008</v>
      </c>
      <c r="J565">
        <v>212000</v>
      </c>
    </row>
    <row r="566" spans="4:10">
      <c r="D566" t="s">
        <v>616</v>
      </c>
      <c r="E566" t="s">
        <v>587</v>
      </c>
      <c r="F566">
        <v>3008</v>
      </c>
      <c r="G566">
        <v>3012</v>
      </c>
      <c r="H566">
        <v>3002</v>
      </c>
      <c r="I566">
        <v>3003</v>
      </c>
      <c r="J566">
        <v>226100</v>
      </c>
    </row>
    <row r="567" spans="4:10">
      <c r="D567" t="s">
        <v>616</v>
      </c>
      <c r="E567" t="s">
        <v>588</v>
      </c>
      <c r="F567">
        <v>3003</v>
      </c>
      <c r="G567">
        <v>3011</v>
      </c>
      <c r="H567">
        <v>3002</v>
      </c>
      <c r="I567">
        <v>3011</v>
      </c>
      <c r="J567">
        <v>229900</v>
      </c>
    </row>
    <row r="568" spans="4:10">
      <c r="D568" t="s">
        <v>616</v>
      </c>
      <c r="E568" t="s">
        <v>589</v>
      </c>
      <c r="F568">
        <v>3011</v>
      </c>
      <c r="G568">
        <v>3022</v>
      </c>
      <c r="H568">
        <v>3011</v>
      </c>
      <c r="I568">
        <v>3016</v>
      </c>
      <c r="J568">
        <v>565100</v>
      </c>
    </row>
    <row r="569" spans="4:10">
      <c r="D569" t="s">
        <v>616</v>
      </c>
      <c r="E569" t="s">
        <v>590</v>
      </c>
      <c r="F569">
        <v>3016</v>
      </c>
      <c r="G569">
        <v>3017</v>
      </c>
      <c r="H569">
        <v>3007</v>
      </c>
      <c r="I569">
        <v>3008</v>
      </c>
      <c r="J569">
        <v>199700</v>
      </c>
    </row>
    <row r="570" spans="4:10">
      <c r="D570" t="s">
        <v>616</v>
      </c>
      <c r="E570" t="s">
        <v>591</v>
      </c>
      <c r="F570">
        <v>3008</v>
      </c>
      <c r="G570">
        <v>3017</v>
      </c>
      <c r="H570">
        <v>3006</v>
      </c>
      <c r="I570">
        <v>3016</v>
      </c>
      <c r="J570">
        <v>192500</v>
      </c>
    </row>
    <row r="571" spans="4:10">
      <c r="D571" t="s">
        <v>616</v>
      </c>
      <c r="E571" t="s">
        <v>592</v>
      </c>
      <c r="F571">
        <v>3017</v>
      </c>
      <c r="G571">
        <v>3018</v>
      </c>
      <c r="H571">
        <v>3014</v>
      </c>
      <c r="I571">
        <v>3015</v>
      </c>
      <c r="J571">
        <v>130700</v>
      </c>
    </row>
    <row r="572" spans="4:10">
      <c r="D572" t="s">
        <v>616</v>
      </c>
      <c r="E572" t="s">
        <v>593</v>
      </c>
      <c r="F572">
        <v>3015</v>
      </c>
      <c r="G572">
        <v>3015</v>
      </c>
      <c r="H572">
        <v>3003</v>
      </c>
      <c r="I572">
        <v>3004</v>
      </c>
      <c r="J572">
        <v>203000</v>
      </c>
    </row>
    <row r="573" spans="4:10">
      <c r="D573" t="s">
        <v>616</v>
      </c>
      <c r="E573" t="s">
        <v>594</v>
      </c>
      <c r="F573">
        <v>3003</v>
      </c>
      <c r="G573">
        <v>3004</v>
      </c>
      <c r="H573">
        <v>2997.5</v>
      </c>
      <c r="I573">
        <v>3001</v>
      </c>
      <c r="J573">
        <v>293100</v>
      </c>
    </row>
    <row r="574" spans="4:10">
      <c r="D574" t="s">
        <v>616</v>
      </c>
      <c r="E574" t="s">
        <v>595</v>
      </c>
      <c r="F574">
        <v>3001</v>
      </c>
      <c r="G574">
        <v>3002</v>
      </c>
      <c r="H574">
        <v>2997.5</v>
      </c>
      <c r="I574">
        <v>3000</v>
      </c>
      <c r="J574">
        <v>165400</v>
      </c>
    </row>
    <row r="575" spans="4:10">
      <c r="D575" t="s">
        <v>616</v>
      </c>
      <c r="E575" t="s">
        <v>596</v>
      </c>
      <c r="F575">
        <v>3001</v>
      </c>
      <c r="G575">
        <v>3001</v>
      </c>
      <c r="H575">
        <v>2997.5</v>
      </c>
      <c r="I575">
        <v>2998.5</v>
      </c>
      <c r="J575">
        <v>121500</v>
      </c>
    </row>
    <row r="576" spans="4:10">
      <c r="D576" t="s">
        <v>616</v>
      </c>
      <c r="E576" t="s">
        <v>597</v>
      </c>
      <c r="F576">
        <v>2998.5</v>
      </c>
      <c r="G576">
        <v>3002</v>
      </c>
      <c r="H576">
        <v>2995.5</v>
      </c>
      <c r="I576">
        <v>2995.5</v>
      </c>
      <c r="J576">
        <v>227700</v>
      </c>
    </row>
    <row r="577" spans="4:10">
      <c r="D577" t="s">
        <v>616</v>
      </c>
      <c r="E577" t="s">
        <v>598</v>
      </c>
      <c r="F577">
        <v>2995</v>
      </c>
      <c r="G577">
        <v>2995</v>
      </c>
      <c r="H577">
        <v>2986.5</v>
      </c>
      <c r="I577">
        <v>2987</v>
      </c>
      <c r="J577">
        <v>228200</v>
      </c>
    </row>
    <row r="578" spans="4:10">
      <c r="D578" t="s">
        <v>616</v>
      </c>
      <c r="E578" t="s">
        <v>599</v>
      </c>
      <c r="F578">
        <v>2987.5</v>
      </c>
      <c r="G578">
        <v>2987.5</v>
      </c>
      <c r="H578">
        <v>2978</v>
      </c>
      <c r="I578">
        <v>2979.5</v>
      </c>
      <c r="J578">
        <v>384500</v>
      </c>
    </row>
    <row r="579" spans="4:10">
      <c r="D579" t="s">
        <v>616</v>
      </c>
      <c r="E579" t="s">
        <v>600</v>
      </c>
      <c r="F579">
        <v>2979.5</v>
      </c>
      <c r="G579">
        <v>2986</v>
      </c>
      <c r="H579">
        <v>2979.5</v>
      </c>
      <c r="I579">
        <v>2981.5</v>
      </c>
      <c r="J579">
        <v>179200</v>
      </c>
    </row>
    <row r="580" spans="4:10">
      <c r="D580" t="s">
        <v>616</v>
      </c>
      <c r="E580" t="s">
        <v>601</v>
      </c>
      <c r="F580">
        <v>2981.5</v>
      </c>
      <c r="G580">
        <v>2982</v>
      </c>
      <c r="H580">
        <v>2976</v>
      </c>
      <c r="I580">
        <v>2977.5</v>
      </c>
      <c r="J580">
        <v>282700</v>
      </c>
    </row>
    <row r="581" spans="4:10">
      <c r="D581" t="s">
        <v>616</v>
      </c>
      <c r="E581" t="s">
        <v>602</v>
      </c>
      <c r="F581">
        <v>2978</v>
      </c>
      <c r="G581">
        <v>2980.5</v>
      </c>
      <c r="H581">
        <v>2977</v>
      </c>
      <c r="I581">
        <v>2978.5</v>
      </c>
      <c r="J581">
        <v>282300</v>
      </c>
    </row>
    <row r="582" spans="4:10">
      <c r="D582" t="s">
        <v>616</v>
      </c>
      <c r="E582" t="s">
        <v>603</v>
      </c>
      <c r="F582">
        <v>2978.5</v>
      </c>
      <c r="G582">
        <v>2982</v>
      </c>
      <c r="H582">
        <v>2977.5</v>
      </c>
      <c r="I582">
        <v>2981.5</v>
      </c>
      <c r="J582">
        <v>210200</v>
      </c>
    </row>
    <row r="583" spans="4:10">
      <c r="D583" t="s">
        <v>616</v>
      </c>
      <c r="E583" t="s">
        <v>604</v>
      </c>
      <c r="F583">
        <v>2982</v>
      </c>
      <c r="G583">
        <v>2982</v>
      </c>
      <c r="H583">
        <v>2982</v>
      </c>
      <c r="I583">
        <v>2982</v>
      </c>
      <c r="J583">
        <v>23200</v>
      </c>
    </row>
    <row r="584" spans="4:10">
      <c r="D584" t="s">
        <v>616</v>
      </c>
      <c r="E584" t="s">
        <v>605</v>
      </c>
      <c r="F584">
        <v>2982</v>
      </c>
      <c r="G584">
        <v>2985.5</v>
      </c>
      <c r="H584">
        <v>2979.5</v>
      </c>
      <c r="I584">
        <v>2983</v>
      </c>
      <c r="J584">
        <v>698800</v>
      </c>
    </row>
    <row r="585" spans="4:10">
      <c r="D585" t="s">
        <v>616</v>
      </c>
      <c r="E585" t="s">
        <v>606</v>
      </c>
      <c r="F585">
        <v>2982</v>
      </c>
      <c r="G585">
        <v>2983.5</v>
      </c>
      <c r="H585">
        <v>2978</v>
      </c>
      <c r="I585">
        <v>2979</v>
      </c>
      <c r="J585">
        <v>228200</v>
      </c>
    </row>
    <row r="586" spans="4:10">
      <c r="D586" t="s">
        <v>616</v>
      </c>
      <c r="E586" t="s">
        <v>538</v>
      </c>
      <c r="F586">
        <v>2979.5</v>
      </c>
      <c r="G586">
        <v>2980</v>
      </c>
      <c r="H586">
        <v>2972.5</v>
      </c>
      <c r="I586">
        <v>2976.5</v>
      </c>
      <c r="J586">
        <v>354200</v>
      </c>
    </row>
    <row r="587" spans="4:10">
      <c r="D587" t="s">
        <v>616</v>
      </c>
      <c r="E587" t="s">
        <v>539</v>
      </c>
      <c r="F587">
        <v>2976.5</v>
      </c>
      <c r="G587">
        <v>2980.5</v>
      </c>
      <c r="H587">
        <v>2976.5</v>
      </c>
      <c r="I587">
        <v>2979</v>
      </c>
      <c r="J587">
        <v>160400</v>
      </c>
    </row>
    <row r="588" spans="4:10">
      <c r="D588" t="s">
        <v>616</v>
      </c>
      <c r="E588" t="s">
        <v>540</v>
      </c>
      <c r="F588">
        <v>2979</v>
      </c>
      <c r="G588">
        <v>2984</v>
      </c>
      <c r="H588">
        <v>2977.5</v>
      </c>
      <c r="I588">
        <v>2984</v>
      </c>
      <c r="J588">
        <v>213900</v>
      </c>
    </row>
    <row r="589" spans="4:10">
      <c r="D589" t="s">
        <v>616</v>
      </c>
      <c r="E589" t="s">
        <v>541</v>
      </c>
      <c r="F589">
        <v>2983.5</v>
      </c>
      <c r="G589">
        <v>2984</v>
      </c>
      <c r="H589">
        <v>2980.5</v>
      </c>
      <c r="I589">
        <v>2981.5</v>
      </c>
      <c r="J589">
        <v>138100</v>
      </c>
    </row>
    <row r="590" spans="4:10">
      <c r="D590" t="s">
        <v>616</v>
      </c>
      <c r="E590" t="s">
        <v>542</v>
      </c>
      <c r="F590">
        <v>2981.5</v>
      </c>
      <c r="G590">
        <v>2985</v>
      </c>
      <c r="H590">
        <v>2978.5</v>
      </c>
      <c r="I590">
        <v>2984</v>
      </c>
      <c r="J590">
        <v>235600</v>
      </c>
    </row>
    <row r="591" spans="4:10">
      <c r="D591" t="s">
        <v>616</v>
      </c>
      <c r="E591" t="s">
        <v>543</v>
      </c>
      <c r="F591">
        <v>2984</v>
      </c>
      <c r="G591">
        <v>2986.5</v>
      </c>
      <c r="H591">
        <v>2979</v>
      </c>
      <c r="I591">
        <v>2979.5</v>
      </c>
      <c r="J591">
        <v>284900</v>
      </c>
    </row>
    <row r="592" spans="4:10">
      <c r="D592" t="s">
        <v>616</v>
      </c>
      <c r="E592" t="s">
        <v>544</v>
      </c>
      <c r="F592">
        <v>2980</v>
      </c>
      <c r="G592">
        <v>2981.5</v>
      </c>
      <c r="H592">
        <v>2978</v>
      </c>
      <c r="I592">
        <v>2979</v>
      </c>
      <c r="J592">
        <v>160400</v>
      </c>
    </row>
    <row r="593" spans="4:10">
      <c r="D593" t="s">
        <v>616</v>
      </c>
      <c r="E593" t="s">
        <v>545</v>
      </c>
      <c r="F593">
        <v>2979</v>
      </c>
      <c r="G593">
        <v>2980</v>
      </c>
      <c r="H593">
        <v>2978</v>
      </c>
      <c r="I593">
        <v>2978.5</v>
      </c>
      <c r="J593">
        <v>97800</v>
      </c>
    </row>
    <row r="594" spans="4:10">
      <c r="D594" t="s">
        <v>616</v>
      </c>
      <c r="E594" t="s">
        <v>546</v>
      </c>
      <c r="F594">
        <v>2978.5</v>
      </c>
      <c r="G594">
        <v>2982</v>
      </c>
      <c r="H594">
        <v>2978.5</v>
      </c>
      <c r="I594">
        <v>2982</v>
      </c>
      <c r="J594">
        <v>191000</v>
      </c>
    </row>
    <row r="595" spans="4:10">
      <c r="D595" t="s">
        <v>616</v>
      </c>
      <c r="E595" t="s">
        <v>547</v>
      </c>
      <c r="F595">
        <v>2982</v>
      </c>
      <c r="G595">
        <v>2982.5</v>
      </c>
      <c r="H595">
        <v>2979</v>
      </c>
      <c r="I595">
        <v>2979</v>
      </c>
      <c r="J595">
        <v>110500</v>
      </c>
    </row>
    <row r="596" spans="4:10">
      <c r="D596" t="s">
        <v>616</v>
      </c>
      <c r="E596" t="s">
        <v>548</v>
      </c>
      <c r="F596">
        <v>2979.5</v>
      </c>
      <c r="G596">
        <v>2980</v>
      </c>
      <c r="H596">
        <v>2976</v>
      </c>
      <c r="I596">
        <v>2976</v>
      </c>
      <c r="J596">
        <v>193800</v>
      </c>
    </row>
    <row r="597" spans="4:10">
      <c r="D597" t="s">
        <v>616</v>
      </c>
      <c r="E597" t="s">
        <v>549</v>
      </c>
      <c r="F597">
        <v>2975.5</v>
      </c>
      <c r="G597">
        <v>2976.5</v>
      </c>
      <c r="H597">
        <v>2972.5</v>
      </c>
      <c r="I597">
        <v>2973</v>
      </c>
      <c r="J597">
        <v>209000</v>
      </c>
    </row>
    <row r="598" spans="4:10">
      <c r="D598" t="s">
        <v>616</v>
      </c>
      <c r="E598" t="s">
        <v>550</v>
      </c>
      <c r="F598">
        <v>2973.5</v>
      </c>
      <c r="G598">
        <v>2974</v>
      </c>
      <c r="H598">
        <v>2972</v>
      </c>
      <c r="I598">
        <v>2973.5</v>
      </c>
      <c r="J598">
        <v>101400</v>
      </c>
    </row>
    <row r="599" spans="4:10">
      <c r="D599" t="s">
        <v>616</v>
      </c>
      <c r="E599" t="s">
        <v>551</v>
      </c>
      <c r="F599">
        <v>2973.5</v>
      </c>
      <c r="G599">
        <v>2974</v>
      </c>
      <c r="H599">
        <v>2971</v>
      </c>
      <c r="I599">
        <v>2971</v>
      </c>
      <c r="J599">
        <v>192200</v>
      </c>
    </row>
    <row r="600" spans="4:10">
      <c r="D600" t="s">
        <v>616</v>
      </c>
      <c r="E600" t="s">
        <v>552</v>
      </c>
      <c r="F600">
        <v>2971</v>
      </c>
      <c r="G600">
        <v>2973</v>
      </c>
      <c r="H600">
        <v>2970</v>
      </c>
      <c r="I600">
        <v>2970.5</v>
      </c>
      <c r="J600">
        <v>148600</v>
      </c>
    </row>
    <row r="601" spans="4:10">
      <c r="D601" t="s">
        <v>616</v>
      </c>
      <c r="E601" t="s">
        <v>553</v>
      </c>
      <c r="F601">
        <v>2970</v>
      </c>
      <c r="G601">
        <v>2971.5</v>
      </c>
      <c r="H601">
        <v>2967.5</v>
      </c>
      <c r="I601">
        <v>2971.5</v>
      </c>
      <c r="J601">
        <v>292200</v>
      </c>
    </row>
    <row r="602" spans="4:10">
      <c r="D602" t="s">
        <v>616</v>
      </c>
      <c r="E602" t="s">
        <v>554</v>
      </c>
      <c r="F602">
        <v>2971</v>
      </c>
      <c r="G602">
        <v>2971.5</v>
      </c>
      <c r="H602">
        <v>2965.5</v>
      </c>
      <c r="I602">
        <v>2966</v>
      </c>
      <c r="J602">
        <v>301900</v>
      </c>
    </row>
    <row r="603" spans="4:10">
      <c r="D603" t="s">
        <v>616</v>
      </c>
      <c r="E603" t="s">
        <v>555</v>
      </c>
      <c r="F603">
        <v>2966</v>
      </c>
      <c r="G603">
        <v>2968</v>
      </c>
      <c r="H603">
        <v>2964.5</v>
      </c>
      <c r="I603">
        <v>2967.5</v>
      </c>
      <c r="J603">
        <v>194900</v>
      </c>
    </row>
    <row r="604" spans="4:10">
      <c r="D604" t="s">
        <v>616</v>
      </c>
      <c r="E604" t="s">
        <v>556</v>
      </c>
      <c r="F604">
        <v>2967.5</v>
      </c>
      <c r="G604">
        <v>2970</v>
      </c>
      <c r="H604">
        <v>2967</v>
      </c>
      <c r="I604">
        <v>2969.5</v>
      </c>
      <c r="J604">
        <v>123200</v>
      </c>
    </row>
    <row r="605" spans="4:10">
      <c r="D605" t="s">
        <v>616</v>
      </c>
      <c r="E605" t="s">
        <v>557</v>
      </c>
      <c r="F605">
        <v>2969</v>
      </c>
      <c r="G605">
        <v>2969.5</v>
      </c>
      <c r="H605">
        <v>2966</v>
      </c>
      <c r="I605">
        <v>2967</v>
      </c>
      <c r="J605">
        <v>175000</v>
      </c>
    </row>
    <row r="606" spans="4:10">
      <c r="D606" t="s">
        <v>616</v>
      </c>
      <c r="E606" t="s">
        <v>558</v>
      </c>
      <c r="F606">
        <v>2967</v>
      </c>
      <c r="G606">
        <v>2970</v>
      </c>
      <c r="H606">
        <v>2965</v>
      </c>
      <c r="I606">
        <v>2970</v>
      </c>
      <c r="J606">
        <v>205900</v>
      </c>
    </row>
    <row r="607" spans="4:10">
      <c r="D607" t="s">
        <v>616</v>
      </c>
      <c r="E607" t="s">
        <v>559</v>
      </c>
      <c r="F607">
        <v>2970</v>
      </c>
      <c r="G607">
        <v>2972.5</v>
      </c>
      <c r="H607">
        <v>2968.5</v>
      </c>
      <c r="I607">
        <v>2970</v>
      </c>
      <c r="J607">
        <v>231700</v>
      </c>
    </row>
    <row r="608" spans="4:10">
      <c r="D608" t="s">
        <v>616</v>
      </c>
      <c r="E608" t="s">
        <v>560</v>
      </c>
      <c r="F608">
        <v>2970</v>
      </c>
      <c r="G608">
        <v>2973</v>
      </c>
      <c r="H608">
        <v>2969.5</v>
      </c>
      <c r="I608">
        <v>2972</v>
      </c>
      <c r="J608">
        <v>320900</v>
      </c>
    </row>
    <row r="609" spans="4:10">
      <c r="D609" t="s">
        <v>616</v>
      </c>
      <c r="E609" t="s">
        <v>561</v>
      </c>
      <c r="F609">
        <v>2972</v>
      </c>
      <c r="G609">
        <v>2973.5</v>
      </c>
      <c r="H609">
        <v>2970.5</v>
      </c>
      <c r="I609">
        <v>2972.5</v>
      </c>
      <c r="J609">
        <v>161000</v>
      </c>
    </row>
    <row r="610" spans="4:10">
      <c r="D610" t="s">
        <v>616</v>
      </c>
      <c r="E610" t="s">
        <v>562</v>
      </c>
      <c r="F610">
        <v>2972.5</v>
      </c>
      <c r="G610">
        <v>2974.5</v>
      </c>
      <c r="H610">
        <v>2972</v>
      </c>
      <c r="I610">
        <v>2974</v>
      </c>
      <c r="J610">
        <v>186100</v>
      </c>
    </row>
    <row r="611" spans="4:10">
      <c r="D611" t="s">
        <v>616</v>
      </c>
      <c r="E611" t="s">
        <v>563</v>
      </c>
      <c r="F611">
        <v>2974</v>
      </c>
      <c r="G611">
        <v>2976</v>
      </c>
      <c r="H611">
        <v>2973.5</v>
      </c>
      <c r="I611">
        <v>2974</v>
      </c>
      <c r="J611">
        <v>165100</v>
      </c>
    </row>
    <row r="612" spans="4:10">
      <c r="D612" t="s">
        <v>616</v>
      </c>
      <c r="E612" t="s">
        <v>564</v>
      </c>
      <c r="F612">
        <v>2974</v>
      </c>
      <c r="G612">
        <v>2975</v>
      </c>
      <c r="H612">
        <v>2973.5</v>
      </c>
      <c r="I612">
        <v>2974.5</v>
      </c>
      <c r="J612">
        <v>163800</v>
      </c>
    </row>
    <row r="613" spans="4:10">
      <c r="D613" t="s">
        <v>616</v>
      </c>
      <c r="E613" t="s">
        <v>565</v>
      </c>
      <c r="F613">
        <v>2975</v>
      </c>
      <c r="G613">
        <v>2977</v>
      </c>
      <c r="H613">
        <v>2973</v>
      </c>
      <c r="I613">
        <v>2977</v>
      </c>
      <c r="J613">
        <v>213500</v>
      </c>
    </row>
    <row r="614" spans="4:10">
      <c r="D614" t="s">
        <v>616</v>
      </c>
      <c r="E614" t="s">
        <v>566</v>
      </c>
      <c r="F614">
        <v>2977</v>
      </c>
      <c r="G614">
        <v>2977</v>
      </c>
      <c r="H614">
        <v>2974</v>
      </c>
      <c r="I614">
        <v>2975</v>
      </c>
      <c r="J614">
        <v>186200</v>
      </c>
    </row>
    <row r="615" spans="4:10">
      <c r="D615" t="s">
        <v>616</v>
      </c>
      <c r="E615" t="s">
        <v>567</v>
      </c>
      <c r="F615">
        <v>2974.5</v>
      </c>
      <c r="G615">
        <v>2975.5</v>
      </c>
      <c r="H615">
        <v>2972.5</v>
      </c>
      <c r="I615">
        <v>2973</v>
      </c>
      <c r="J615">
        <v>268900</v>
      </c>
    </row>
    <row r="616" spans="4:10">
      <c r="D616" t="s">
        <v>616</v>
      </c>
      <c r="E616" t="s">
        <v>568</v>
      </c>
      <c r="F616">
        <v>2972.5</v>
      </c>
      <c r="G616">
        <v>2975.5</v>
      </c>
      <c r="H616">
        <v>2972</v>
      </c>
      <c r="I616">
        <v>2975</v>
      </c>
      <c r="J616">
        <v>212200</v>
      </c>
    </row>
    <row r="617" spans="4:10">
      <c r="D617" t="s">
        <v>616</v>
      </c>
      <c r="E617" t="s">
        <v>569</v>
      </c>
      <c r="F617">
        <v>2975.5</v>
      </c>
      <c r="G617">
        <v>2977.5</v>
      </c>
      <c r="H617">
        <v>2975</v>
      </c>
      <c r="I617">
        <v>2977</v>
      </c>
      <c r="J617">
        <v>277400</v>
      </c>
    </row>
    <row r="618" spans="4:10">
      <c r="D618" t="s">
        <v>616</v>
      </c>
      <c r="E618" t="s">
        <v>570</v>
      </c>
      <c r="F618">
        <v>2977</v>
      </c>
      <c r="G618">
        <v>2977.5</v>
      </c>
      <c r="H618">
        <v>2974.5</v>
      </c>
      <c r="I618">
        <v>2976</v>
      </c>
      <c r="J618">
        <v>381000</v>
      </c>
    </row>
    <row r="619" spans="4:10">
      <c r="D619" t="s">
        <v>616</v>
      </c>
      <c r="E619" t="s">
        <v>571</v>
      </c>
      <c r="F619" t="s">
        <v>35</v>
      </c>
      <c r="G619" t="s">
        <v>35</v>
      </c>
      <c r="H619" t="s">
        <v>35</v>
      </c>
      <c r="I619" t="s">
        <v>35</v>
      </c>
      <c r="J619">
        <v>0</v>
      </c>
    </row>
    <row r="620" spans="4:10">
      <c r="D620" t="s">
        <v>616</v>
      </c>
      <c r="E620" t="s">
        <v>572</v>
      </c>
      <c r="F620">
        <v>2980</v>
      </c>
      <c r="G620">
        <v>2980</v>
      </c>
      <c r="H620">
        <v>2980</v>
      </c>
      <c r="I620">
        <v>2980</v>
      </c>
      <c r="J620">
        <v>5570500</v>
      </c>
    </row>
    <row r="621" spans="4:10">
      <c r="D621" t="s">
        <v>617</v>
      </c>
      <c r="E621" t="s">
        <v>574</v>
      </c>
      <c r="F621">
        <v>2989.5</v>
      </c>
      <c r="G621">
        <v>2989.5</v>
      </c>
      <c r="H621">
        <v>2943.5</v>
      </c>
      <c r="I621">
        <v>2945.5</v>
      </c>
      <c r="J621">
        <v>2571400</v>
      </c>
    </row>
    <row r="622" spans="4:10">
      <c r="D622" t="s">
        <v>617</v>
      </c>
      <c r="E622" t="s">
        <v>575</v>
      </c>
      <c r="F622">
        <v>2945.5</v>
      </c>
      <c r="G622">
        <v>2962.5</v>
      </c>
      <c r="H622">
        <v>2939.5</v>
      </c>
      <c r="I622">
        <v>2962.5</v>
      </c>
      <c r="J622">
        <v>899700</v>
      </c>
    </row>
    <row r="623" spans="4:10">
      <c r="D623" t="s">
        <v>617</v>
      </c>
      <c r="E623" t="s">
        <v>576</v>
      </c>
      <c r="F623">
        <v>2962.5</v>
      </c>
      <c r="G623">
        <v>2973.5</v>
      </c>
      <c r="H623">
        <v>2958.5</v>
      </c>
      <c r="I623">
        <v>2969</v>
      </c>
      <c r="J623">
        <v>501500</v>
      </c>
    </row>
    <row r="624" spans="4:10">
      <c r="D624" t="s">
        <v>617</v>
      </c>
      <c r="E624" t="s">
        <v>577</v>
      </c>
      <c r="F624">
        <v>2969.5</v>
      </c>
      <c r="G624">
        <v>2974.5</v>
      </c>
      <c r="H624">
        <v>2961.5</v>
      </c>
      <c r="I624">
        <v>2963.5</v>
      </c>
      <c r="J624">
        <v>525800</v>
      </c>
    </row>
    <row r="625" spans="4:10">
      <c r="D625" t="s">
        <v>617</v>
      </c>
      <c r="E625" t="s">
        <v>578</v>
      </c>
      <c r="F625">
        <v>2964</v>
      </c>
      <c r="G625">
        <v>2974.5</v>
      </c>
      <c r="H625">
        <v>2961.5</v>
      </c>
      <c r="I625">
        <v>2973.5</v>
      </c>
      <c r="J625">
        <v>240100</v>
      </c>
    </row>
    <row r="626" spans="4:10">
      <c r="D626" t="s">
        <v>617</v>
      </c>
      <c r="E626" t="s">
        <v>579</v>
      </c>
      <c r="F626">
        <v>2973</v>
      </c>
      <c r="G626">
        <v>2975</v>
      </c>
      <c r="H626">
        <v>2963.5</v>
      </c>
      <c r="I626">
        <v>2963.5</v>
      </c>
      <c r="J626">
        <v>206800</v>
      </c>
    </row>
    <row r="627" spans="4:10">
      <c r="D627" t="s">
        <v>617</v>
      </c>
      <c r="E627" t="s">
        <v>580</v>
      </c>
      <c r="F627">
        <v>2963.5</v>
      </c>
      <c r="G627">
        <v>2972.5</v>
      </c>
      <c r="H627">
        <v>2962</v>
      </c>
      <c r="I627">
        <v>2968</v>
      </c>
      <c r="J627">
        <v>190800</v>
      </c>
    </row>
    <row r="628" spans="4:10">
      <c r="D628" t="s">
        <v>617</v>
      </c>
      <c r="E628" t="s">
        <v>581</v>
      </c>
      <c r="F628">
        <v>2968</v>
      </c>
      <c r="G628">
        <v>2969</v>
      </c>
      <c r="H628">
        <v>2958</v>
      </c>
      <c r="I628">
        <v>2962</v>
      </c>
      <c r="J628">
        <v>442200</v>
      </c>
    </row>
    <row r="629" spans="4:10">
      <c r="D629" t="s">
        <v>617</v>
      </c>
      <c r="E629" t="s">
        <v>582</v>
      </c>
      <c r="F629">
        <v>2962.5</v>
      </c>
      <c r="G629">
        <v>2966.5</v>
      </c>
      <c r="H629">
        <v>2955.5</v>
      </c>
      <c r="I629">
        <v>2955.5</v>
      </c>
      <c r="J629">
        <v>298200</v>
      </c>
    </row>
    <row r="630" spans="4:10">
      <c r="D630" t="s">
        <v>617</v>
      </c>
      <c r="E630" t="s">
        <v>583</v>
      </c>
      <c r="F630">
        <v>2956</v>
      </c>
      <c r="G630">
        <v>2959</v>
      </c>
      <c r="H630">
        <v>2953.5</v>
      </c>
      <c r="I630">
        <v>2954.5</v>
      </c>
      <c r="J630">
        <v>362500</v>
      </c>
    </row>
    <row r="631" spans="4:10">
      <c r="D631" t="s">
        <v>617</v>
      </c>
      <c r="E631" t="s">
        <v>584</v>
      </c>
      <c r="F631">
        <v>2954.5</v>
      </c>
      <c r="G631">
        <v>2958</v>
      </c>
      <c r="H631">
        <v>2952.5</v>
      </c>
      <c r="I631">
        <v>2956.5</v>
      </c>
      <c r="J631">
        <v>314700</v>
      </c>
    </row>
    <row r="632" spans="4:10">
      <c r="D632" t="s">
        <v>617</v>
      </c>
      <c r="E632" t="s">
        <v>585</v>
      </c>
      <c r="F632">
        <v>2956.5</v>
      </c>
      <c r="G632">
        <v>2958</v>
      </c>
      <c r="H632">
        <v>2951</v>
      </c>
      <c r="I632">
        <v>2958</v>
      </c>
      <c r="J632">
        <v>324800</v>
      </c>
    </row>
    <row r="633" spans="4:10">
      <c r="D633" t="s">
        <v>617</v>
      </c>
      <c r="E633" t="s">
        <v>586</v>
      </c>
      <c r="F633">
        <v>2958.5</v>
      </c>
      <c r="G633">
        <v>2959.5</v>
      </c>
      <c r="H633">
        <v>2952.5</v>
      </c>
      <c r="I633">
        <v>2959.5</v>
      </c>
      <c r="J633">
        <v>240200</v>
      </c>
    </row>
    <row r="634" spans="4:10">
      <c r="D634" t="s">
        <v>617</v>
      </c>
      <c r="E634" t="s">
        <v>587</v>
      </c>
      <c r="F634">
        <v>2960</v>
      </c>
      <c r="G634">
        <v>2960</v>
      </c>
      <c r="H634">
        <v>2954</v>
      </c>
      <c r="I634">
        <v>2955.5</v>
      </c>
      <c r="J634">
        <v>132200</v>
      </c>
    </row>
    <row r="635" spans="4:10">
      <c r="D635" t="s">
        <v>617</v>
      </c>
      <c r="E635" t="s">
        <v>588</v>
      </c>
      <c r="F635">
        <v>2955.5</v>
      </c>
      <c r="G635">
        <v>2962.5</v>
      </c>
      <c r="H635">
        <v>2955.5</v>
      </c>
      <c r="I635">
        <v>2957.5</v>
      </c>
      <c r="J635">
        <v>219100</v>
      </c>
    </row>
    <row r="636" spans="4:10">
      <c r="D636" t="s">
        <v>617</v>
      </c>
      <c r="E636" t="s">
        <v>589</v>
      </c>
      <c r="F636">
        <v>2958</v>
      </c>
      <c r="G636">
        <v>2963.5</v>
      </c>
      <c r="H636">
        <v>2957.5</v>
      </c>
      <c r="I636">
        <v>2960.5</v>
      </c>
      <c r="J636">
        <v>191400</v>
      </c>
    </row>
    <row r="637" spans="4:10">
      <c r="D637" t="s">
        <v>617</v>
      </c>
      <c r="E637" t="s">
        <v>590</v>
      </c>
      <c r="F637">
        <v>2960.5</v>
      </c>
      <c r="G637">
        <v>2962.5</v>
      </c>
      <c r="H637">
        <v>2957.5</v>
      </c>
      <c r="I637">
        <v>2957.5</v>
      </c>
      <c r="J637">
        <v>136800</v>
      </c>
    </row>
    <row r="638" spans="4:10">
      <c r="D638" t="s">
        <v>617</v>
      </c>
      <c r="E638" t="s">
        <v>591</v>
      </c>
      <c r="F638">
        <v>2957</v>
      </c>
      <c r="G638">
        <v>2962</v>
      </c>
      <c r="H638">
        <v>2956.5</v>
      </c>
      <c r="I638">
        <v>2960.5</v>
      </c>
      <c r="J638">
        <v>164000</v>
      </c>
    </row>
    <row r="639" spans="4:10">
      <c r="D639" t="s">
        <v>617</v>
      </c>
      <c r="E639" t="s">
        <v>592</v>
      </c>
      <c r="F639">
        <v>2960</v>
      </c>
      <c r="G639">
        <v>2963.5</v>
      </c>
      <c r="H639">
        <v>2958.5</v>
      </c>
      <c r="I639">
        <v>2963.5</v>
      </c>
      <c r="J639">
        <v>182900</v>
      </c>
    </row>
    <row r="640" spans="4:10">
      <c r="D640" t="s">
        <v>617</v>
      </c>
      <c r="E640" t="s">
        <v>593</v>
      </c>
      <c r="F640">
        <v>2963.5</v>
      </c>
      <c r="G640">
        <v>2970.5</v>
      </c>
      <c r="H640">
        <v>2963.5</v>
      </c>
      <c r="I640">
        <v>2969</v>
      </c>
      <c r="J640">
        <v>253600</v>
      </c>
    </row>
    <row r="641" spans="4:10">
      <c r="D641" t="s">
        <v>617</v>
      </c>
      <c r="E641" t="s">
        <v>594</v>
      </c>
      <c r="F641">
        <v>2969</v>
      </c>
      <c r="G641">
        <v>2971.5</v>
      </c>
      <c r="H641">
        <v>2967</v>
      </c>
      <c r="I641">
        <v>2970</v>
      </c>
      <c r="J641">
        <v>201300</v>
      </c>
    </row>
    <row r="642" spans="4:10">
      <c r="D642" t="s">
        <v>617</v>
      </c>
      <c r="E642" t="s">
        <v>595</v>
      </c>
      <c r="F642">
        <v>2970</v>
      </c>
      <c r="G642">
        <v>2973.5</v>
      </c>
      <c r="H642">
        <v>2969.5</v>
      </c>
      <c r="I642">
        <v>2970</v>
      </c>
      <c r="J642">
        <v>194300</v>
      </c>
    </row>
    <row r="643" spans="4:10">
      <c r="D643" t="s">
        <v>617</v>
      </c>
      <c r="E643" t="s">
        <v>596</v>
      </c>
      <c r="F643">
        <v>2970.5</v>
      </c>
      <c r="G643">
        <v>2973</v>
      </c>
      <c r="H643">
        <v>2969.5</v>
      </c>
      <c r="I643">
        <v>2972.5</v>
      </c>
      <c r="J643">
        <v>116200</v>
      </c>
    </row>
    <row r="644" spans="4:10">
      <c r="D644" t="s">
        <v>617</v>
      </c>
      <c r="E644" t="s">
        <v>597</v>
      </c>
      <c r="F644">
        <v>2972.5</v>
      </c>
      <c r="G644">
        <v>2978</v>
      </c>
      <c r="H644">
        <v>2972.5</v>
      </c>
      <c r="I644">
        <v>2975</v>
      </c>
      <c r="J644">
        <v>328400</v>
      </c>
    </row>
    <row r="645" spans="4:10">
      <c r="D645" t="s">
        <v>617</v>
      </c>
      <c r="E645" t="s">
        <v>598</v>
      </c>
      <c r="F645">
        <v>2975</v>
      </c>
      <c r="G645">
        <v>2979.5</v>
      </c>
      <c r="H645">
        <v>2975</v>
      </c>
      <c r="I645">
        <v>2977</v>
      </c>
      <c r="J645">
        <v>343400</v>
      </c>
    </row>
    <row r="646" spans="4:10">
      <c r="D646" t="s">
        <v>617</v>
      </c>
      <c r="E646" t="s">
        <v>599</v>
      </c>
      <c r="F646">
        <v>2976.5</v>
      </c>
      <c r="G646">
        <v>2977.5</v>
      </c>
      <c r="H646">
        <v>2973.5</v>
      </c>
      <c r="I646">
        <v>2976.5</v>
      </c>
      <c r="J646">
        <v>153800</v>
      </c>
    </row>
    <row r="647" spans="4:10">
      <c r="D647" t="s">
        <v>617</v>
      </c>
      <c r="E647" t="s">
        <v>600</v>
      </c>
      <c r="F647">
        <v>2976.5</v>
      </c>
      <c r="G647">
        <v>2980</v>
      </c>
      <c r="H647">
        <v>2976</v>
      </c>
      <c r="I647">
        <v>2980</v>
      </c>
      <c r="J647">
        <v>148600</v>
      </c>
    </row>
    <row r="648" spans="4:10">
      <c r="D648" t="s">
        <v>617</v>
      </c>
      <c r="E648" t="s">
        <v>601</v>
      </c>
      <c r="F648">
        <v>2979.5</v>
      </c>
      <c r="G648">
        <v>2980.5</v>
      </c>
      <c r="H648">
        <v>2977.5</v>
      </c>
      <c r="I648">
        <v>2978.5</v>
      </c>
      <c r="J648">
        <v>274500</v>
      </c>
    </row>
    <row r="649" spans="4:10">
      <c r="D649" t="s">
        <v>617</v>
      </c>
      <c r="E649" t="s">
        <v>602</v>
      </c>
      <c r="F649">
        <v>2979</v>
      </c>
      <c r="G649">
        <v>2979.5</v>
      </c>
      <c r="H649">
        <v>2973</v>
      </c>
      <c r="I649">
        <v>2974</v>
      </c>
      <c r="J649">
        <v>270200</v>
      </c>
    </row>
    <row r="650" spans="4:10">
      <c r="D650" t="s">
        <v>617</v>
      </c>
      <c r="E650" t="s">
        <v>603</v>
      </c>
      <c r="F650">
        <v>2974.5</v>
      </c>
      <c r="G650">
        <v>2975.5</v>
      </c>
      <c r="H650">
        <v>2972.5</v>
      </c>
      <c r="I650">
        <v>2975.5</v>
      </c>
      <c r="J650">
        <v>240400</v>
      </c>
    </row>
    <row r="651" spans="4:10">
      <c r="D651" t="s">
        <v>617</v>
      </c>
      <c r="E651" t="s">
        <v>604</v>
      </c>
      <c r="F651">
        <v>2976</v>
      </c>
      <c r="G651">
        <v>2976</v>
      </c>
      <c r="H651">
        <v>2976</v>
      </c>
      <c r="I651">
        <v>2976</v>
      </c>
      <c r="J651">
        <v>44400</v>
      </c>
    </row>
    <row r="652" spans="4:10">
      <c r="D652" t="s">
        <v>617</v>
      </c>
      <c r="E652" t="s">
        <v>605</v>
      </c>
      <c r="F652">
        <v>2967</v>
      </c>
      <c r="G652">
        <v>2974.5</v>
      </c>
      <c r="H652">
        <v>2965.5</v>
      </c>
      <c r="I652">
        <v>2973</v>
      </c>
      <c r="J652">
        <v>800800</v>
      </c>
    </row>
    <row r="653" spans="4:10">
      <c r="D653" t="s">
        <v>617</v>
      </c>
      <c r="E653" t="s">
        <v>606</v>
      </c>
      <c r="F653">
        <v>2972.5</v>
      </c>
      <c r="G653">
        <v>2975.5</v>
      </c>
      <c r="H653">
        <v>2972.5</v>
      </c>
      <c r="I653">
        <v>2975</v>
      </c>
      <c r="J653">
        <v>186100</v>
      </c>
    </row>
    <row r="654" spans="4:10">
      <c r="D654" t="s">
        <v>617</v>
      </c>
      <c r="E654" t="s">
        <v>538</v>
      </c>
      <c r="F654">
        <v>2974.5</v>
      </c>
      <c r="G654">
        <v>2976.5</v>
      </c>
      <c r="H654">
        <v>2973.5</v>
      </c>
      <c r="I654">
        <v>2974.5</v>
      </c>
      <c r="J654">
        <v>161100</v>
      </c>
    </row>
    <row r="655" spans="4:10">
      <c r="D655" t="s">
        <v>617</v>
      </c>
      <c r="E655" t="s">
        <v>539</v>
      </c>
      <c r="F655">
        <v>2974</v>
      </c>
      <c r="G655">
        <v>2977.5</v>
      </c>
      <c r="H655">
        <v>2972.5</v>
      </c>
      <c r="I655">
        <v>2973</v>
      </c>
      <c r="J655">
        <v>305700</v>
      </c>
    </row>
    <row r="656" spans="4:10">
      <c r="D656" t="s">
        <v>617</v>
      </c>
      <c r="E656" t="s">
        <v>540</v>
      </c>
      <c r="F656">
        <v>2973</v>
      </c>
      <c r="G656">
        <v>2976</v>
      </c>
      <c r="H656">
        <v>2972.5</v>
      </c>
      <c r="I656">
        <v>2974.5</v>
      </c>
      <c r="J656">
        <v>147600</v>
      </c>
    </row>
    <row r="657" spans="4:10">
      <c r="D657" t="s">
        <v>617</v>
      </c>
      <c r="E657" t="s">
        <v>541</v>
      </c>
      <c r="F657">
        <v>2974.5</v>
      </c>
      <c r="G657">
        <v>2976.5</v>
      </c>
      <c r="H657">
        <v>2974</v>
      </c>
      <c r="I657">
        <v>2976.5</v>
      </c>
      <c r="J657">
        <v>141000</v>
      </c>
    </row>
    <row r="658" spans="4:10">
      <c r="D658" t="s">
        <v>617</v>
      </c>
      <c r="E658" t="s">
        <v>542</v>
      </c>
      <c r="F658">
        <v>2976</v>
      </c>
      <c r="G658">
        <v>2977.5</v>
      </c>
      <c r="H658">
        <v>2974</v>
      </c>
      <c r="I658">
        <v>2974.5</v>
      </c>
      <c r="J658">
        <v>125500</v>
      </c>
    </row>
    <row r="659" spans="4:10">
      <c r="D659" t="s">
        <v>617</v>
      </c>
      <c r="E659" t="s">
        <v>543</v>
      </c>
      <c r="F659">
        <v>2974</v>
      </c>
      <c r="G659">
        <v>2974.5</v>
      </c>
      <c r="H659">
        <v>2972.5</v>
      </c>
      <c r="I659">
        <v>2973.5</v>
      </c>
      <c r="J659">
        <v>118400</v>
      </c>
    </row>
    <row r="660" spans="4:10">
      <c r="D660" t="s">
        <v>617</v>
      </c>
      <c r="E660" t="s">
        <v>544</v>
      </c>
      <c r="F660">
        <v>2974</v>
      </c>
      <c r="G660">
        <v>2974.5</v>
      </c>
      <c r="H660">
        <v>2972</v>
      </c>
      <c r="I660">
        <v>2974</v>
      </c>
      <c r="J660">
        <v>116600</v>
      </c>
    </row>
    <row r="661" spans="4:10">
      <c r="D661" t="s">
        <v>617</v>
      </c>
      <c r="E661" t="s">
        <v>545</v>
      </c>
      <c r="F661">
        <v>2974</v>
      </c>
      <c r="G661">
        <v>2975</v>
      </c>
      <c r="H661">
        <v>2972</v>
      </c>
      <c r="I661">
        <v>2974.5</v>
      </c>
      <c r="J661">
        <v>157100</v>
      </c>
    </row>
    <row r="662" spans="4:10">
      <c r="D662" t="s">
        <v>617</v>
      </c>
      <c r="E662" t="s">
        <v>546</v>
      </c>
      <c r="F662">
        <v>2974.5</v>
      </c>
      <c r="G662">
        <v>2975</v>
      </c>
      <c r="H662">
        <v>2973</v>
      </c>
      <c r="I662">
        <v>2973.5</v>
      </c>
      <c r="J662">
        <v>123500</v>
      </c>
    </row>
    <row r="663" spans="4:10">
      <c r="D663" t="s">
        <v>617</v>
      </c>
      <c r="E663" t="s">
        <v>547</v>
      </c>
      <c r="F663">
        <v>2973.5</v>
      </c>
      <c r="G663">
        <v>2974</v>
      </c>
      <c r="H663">
        <v>2971.5</v>
      </c>
      <c r="I663">
        <v>2972.5</v>
      </c>
      <c r="J663">
        <v>102300</v>
      </c>
    </row>
    <row r="664" spans="4:10">
      <c r="D664" t="s">
        <v>617</v>
      </c>
      <c r="E664" t="s">
        <v>548</v>
      </c>
      <c r="F664">
        <v>2972.5</v>
      </c>
      <c r="G664">
        <v>2973</v>
      </c>
      <c r="H664">
        <v>2970.5</v>
      </c>
      <c r="I664">
        <v>2971</v>
      </c>
      <c r="J664">
        <v>102000</v>
      </c>
    </row>
    <row r="665" spans="4:10">
      <c r="D665" t="s">
        <v>617</v>
      </c>
      <c r="E665" t="s">
        <v>549</v>
      </c>
      <c r="F665">
        <v>2971</v>
      </c>
      <c r="G665">
        <v>2972.5</v>
      </c>
      <c r="H665">
        <v>2970.5</v>
      </c>
      <c r="I665">
        <v>2971.5</v>
      </c>
      <c r="J665">
        <v>130100</v>
      </c>
    </row>
    <row r="666" spans="4:10">
      <c r="D666" t="s">
        <v>617</v>
      </c>
      <c r="E666" t="s">
        <v>550</v>
      </c>
      <c r="F666">
        <v>2971</v>
      </c>
      <c r="G666">
        <v>2974.5</v>
      </c>
      <c r="H666">
        <v>2971</v>
      </c>
      <c r="I666">
        <v>2972.5</v>
      </c>
      <c r="J666">
        <v>137900</v>
      </c>
    </row>
    <row r="667" spans="4:10">
      <c r="D667" t="s">
        <v>617</v>
      </c>
      <c r="E667" t="s">
        <v>551</v>
      </c>
      <c r="F667">
        <v>2972.5</v>
      </c>
      <c r="G667">
        <v>2977.5</v>
      </c>
      <c r="H667">
        <v>2972.5</v>
      </c>
      <c r="I667">
        <v>2976</v>
      </c>
      <c r="J667">
        <v>302500</v>
      </c>
    </row>
    <row r="668" spans="4:10">
      <c r="D668" t="s">
        <v>617</v>
      </c>
      <c r="E668" t="s">
        <v>552</v>
      </c>
      <c r="F668">
        <v>2976</v>
      </c>
      <c r="G668">
        <v>2977</v>
      </c>
      <c r="H668">
        <v>2974</v>
      </c>
      <c r="I668">
        <v>2976</v>
      </c>
      <c r="J668">
        <v>173300</v>
      </c>
    </row>
    <row r="669" spans="4:10">
      <c r="D669" t="s">
        <v>617</v>
      </c>
      <c r="E669" t="s">
        <v>553</v>
      </c>
      <c r="F669">
        <v>2976</v>
      </c>
      <c r="G669">
        <v>2976.5</v>
      </c>
      <c r="H669">
        <v>2974.5</v>
      </c>
      <c r="I669">
        <v>2975.5</v>
      </c>
      <c r="J669">
        <v>140100</v>
      </c>
    </row>
    <row r="670" spans="4:10">
      <c r="D670" t="s">
        <v>617</v>
      </c>
      <c r="E670" t="s">
        <v>554</v>
      </c>
      <c r="F670">
        <v>2976</v>
      </c>
      <c r="G670">
        <v>2977</v>
      </c>
      <c r="H670">
        <v>2973.5</v>
      </c>
      <c r="I670">
        <v>2975.5</v>
      </c>
      <c r="J670">
        <v>333500</v>
      </c>
    </row>
    <row r="671" spans="4:10">
      <c r="D671" t="s">
        <v>617</v>
      </c>
      <c r="E671" t="s">
        <v>555</v>
      </c>
      <c r="F671">
        <v>2975.5</v>
      </c>
      <c r="G671">
        <v>2977.5</v>
      </c>
      <c r="H671">
        <v>2974.5</v>
      </c>
      <c r="I671">
        <v>2977</v>
      </c>
      <c r="J671">
        <v>154600</v>
      </c>
    </row>
    <row r="672" spans="4:10">
      <c r="D672" t="s">
        <v>617</v>
      </c>
      <c r="E672" t="s">
        <v>556</v>
      </c>
      <c r="F672">
        <v>2976</v>
      </c>
      <c r="G672">
        <v>2977.5</v>
      </c>
      <c r="H672">
        <v>2975</v>
      </c>
      <c r="I672">
        <v>2977.5</v>
      </c>
      <c r="J672">
        <v>187500</v>
      </c>
    </row>
    <row r="673" spans="4:10">
      <c r="D673" t="s">
        <v>617</v>
      </c>
      <c r="E673" t="s">
        <v>557</v>
      </c>
      <c r="F673">
        <v>2977</v>
      </c>
      <c r="G673">
        <v>2980</v>
      </c>
      <c r="H673">
        <v>2976</v>
      </c>
      <c r="I673">
        <v>2978</v>
      </c>
      <c r="J673">
        <v>269700</v>
      </c>
    </row>
    <row r="674" spans="4:10">
      <c r="D674" t="s">
        <v>617</v>
      </c>
      <c r="E674" t="s">
        <v>558</v>
      </c>
      <c r="F674">
        <v>2978</v>
      </c>
      <c r="G674">
        <v>2981</v>
      </c>
      <c r="H674">
        <v>2977.5</v>
      </c>
      <c r="I674">
        <v>2981</v>
      </c>
      <c r="J674">
        <v>157600</v>
      </c>
    </row>
    <row r="675" spans="4:10">
      <c r="D675" t="s">
        <v>617</v>
      </c>
      <c r="E675" t="s">
        <v>559</v>
      </c>
      <c r="F675">
        <v>2980.5</v>
      </c>
      <c r="G675">
        <v>2981</v>
      </c>
      <c r="H675">
        <v>2979.5</v>
      </c>
      <c r="I675">
        <v>2980.5</v>
      </c>
      <c r="J675">
        <v>163300</v>
      </c>
    </row>
    <row r="676" spans="4:10">
      <c r="D676" t="s">
        <v>617</v>
      </c>
      <c r="E676" t="s">
        <v>560</v>
      </c>
      <c r="F676">
        <v>2980</v>
      </c>
      <c r="G676">
        <v>2980.5</v>
      </c>
      <c r="H676">
        <v>2977.5</v>
      </c>
      <c r="I676">
        <v>2977.5</v>
      </c>
      <c r="J676">
        <v>141000</v>
      </c>
    </row>
    <row r="677" spans="4:10">
      <c r="D677" t="s">
        <v>617</v>
      </c>
      <c r="E677" t="s">
        <v>561</v>
      </c>
      <c r="F677">
        <v>2977.5</v>
      </c>
      <c r="G677">
        <v>2979.5</v>
      </c>
      <c r="H677">
        <v>2975</v>
      </c>
      <c r="I677">
        <v>2977.5</v>
      </c>
      <c r="J677">
        <v>340700</v>
      </c>
    </row>
    <row r="678" spans="4:10">
      <c r="D678" t="s">
        <v>617</v>
      </c>
      <c r="E678" t="s">
        <v>562</v>
      </c>
      <c r="F678">
        <v>2978</v>
      </c>
      <c r="G678">
        <v>2980</v>
      </c>
      <c r="H678">
        <v>2977.5</v>
      </c>
      <c r="I678">
        <v>2980</v>
      </c>
      <c r="J678">
        <v>183400</v>
      </c>
    </row>
    <row r="679" spans="4:10">
      <c r="D679" t="s">
        <v>617</v>
      </c>
      <c r="E679" t="s">
        <v>563</v>
      </c>
      <c r="F679">
        <v>2980</v>
      </c>
      <c r="G679">
        <v>2984</v>
      </c>
      <c r="H679">
        <v>2979.5</v>
      </c>
      <c r="I679">
        <v>2983.5</v>
      </c>
      <c r="J679">
        <v>344100</v>
      </c>
    </row>
    <row r="680" spans="4:10">
      <c r="D680" t="s">
        <v>617</v>
      </c>
      <c r="E680" t="s">
        <v>564</v>
      </c>
      <c r="F680">
        <v>2983</v>
      </c>
      <c r="G680">
        <v>2986.5</v>
      </c>
      <c r="H680">
        <v>2983</v>
      </c>
      <c r="I680">
        <v>2985.5</v>
      </c>
      <c r="J680">
        <v>190700</v>
      </c>
    </row>
    <row r="681" spans="4:10">
      <c r="D681" t="s">
        <v>617</v>
      </c>
      <c r="E681" t="s">
        <v>565</v>
      </c>
      <c r="F681">
        <v>2986</v>
      </c>
      <c r="G681">
        <v>2986.5</v>
      </c>
      <c r="H681">
        <v>2981.5</v>
      </c>
      <c r="I681">
        <v>2982.5</v>
      </c>
      <c r="J681">
        <v>168600</v>
      </c>
    </row>
    <row r="682" spans="4:10">
      <c r="D682" t="s">
        <v>617</v>
      </c>
      <c r="E682" t="s">
        <v>566</v>
      </c>
      <c r="F682">
        <v>2983</v>
      </c>
      <c r="G682">
        <v>2985</v>
      </c>
      <c r="H682">
        <v>2982</v>
      </c>
      <c r="I682">
        <v>2983.5</v>
      </c>
      <c r="J682">
        <v>253700</v>
      </c>
    </row>
    <row r="683" spans="4:10">
      <c r="D683" t="s">
        <v>617</v>
      </c>
      <c r="E683" t="s">
        <v>567</v>
      </c>
      <c r="F683">
        <v>2983</v>
      </c>
      <c r="G683">
        <v>2985.5</v>
      </c>
      <c r="H683">
        <v>2982</v>
      </c>
      <c r="I683">
        <v>2985</v>
      </c>
      <c r="J683">
        <v>215900</v>
      </c>
    </row>
    <row r="684" spans="4:10">
      <c r="D684" t="s">
        <v>617</v>
      </c>
      <c r="E684" t="s">
        <v>568</v>
      </c>
      <c r="F684">
        <v>2985</v>
      </c>
      <c r="G684">
        <v>2986</v>
      </c>
      <c r="H684">
        <v>2982.5</v>
      </c>
      <c r="I684">
        <v>2983</v>
      </c>
      <c r="J684">
        <v>273800</v>
      </c>
    </row>
    <row r="685" spans="4:10">
      <c r="D685" t="s">
        <v>617</v>
      </c>
      <c r="E685" t="s">
        <v>569</v>
      </c>
      <c r="F685">
        <v>2983</v>
      </c>
      <c r="G685">
        <v>2983</v>
      </c>
      <c r="H685">
        <v>2979.5</v>
      </c>
      <c r="I685">
        <v>2980</v>
      </c>
      <c r="J685">
        <v>342700</v>
      </c>
    </row>
    <row r="686" spans="4:10">
      <c r="D686" t="s">
        <v>617</v>
      </c>
      <c r="E686" t="s">
        <v>570</v>
      </c>
      <c r="F686">
        <v>2980</v>
      </c>
      <c r="G686">
        <v>2984</v>
      </c>
      <c r="H686">
        <v>2978.5</v>
      </c>
      <c r="I686">
        <v>2981.5</v>
      </c>
      <c r="J686">
        <v>516000</v>
      </c>
    </row>
    <row r="687" spans="4:10">
      <c r="D687" t="s">
        <v>617</v>
      </c>
      <c r="E687" t="s">
        <v>571</v>
      </c>
      <c r="F687" t="s">
        <v>35</v>
      </c>
      <c r="G687" t="s">
        <v>35</v>
      </c>
      <c r="H687" t="s">
        <v>35</v>
      </c>
      <c r="I687" t="s">
        <v>35</v>
      </c>
      <c r="J687">
        <v>0</v>
      </c>
    </row>
    <row r="688" spans="4:10">
      <c r="D688" t="s">
        <v>617</v>
      </c>
      <c r="E688" t="s">
        <v>572</v>
      </c>
      <c r="F688">
        <v>2981</v>
      </c>
      <c r="G688">
        <v>2981</v>
      </c>
      <c r="H688">
        <v>2981</v>
      </c>
      <c r="I688">
        <v>2981</v>
      </c>
      <c r="J688">
        <v>5066800</v>
      </c>
    </row>
    <row r="689" spans="4:10">
      <c r="D689" t="s">
        <v>618</v>
      </c>
      <c r="E689" t="s">
        <v>574</v>
      </c>
      <c r="F689">
        <v>3010</v>
      </c>
      <c r="G689">
        <v>3027</v>
      </c>
      <c r="H689">
        <v>3002</v>
      </c>
      <c r="I689">
        <v>3004</v>
      </c>
      <c r="J689">
        <v>2338100</v>
      </c>
    </row>
    <row r="690" spans="4:10">
      <c r="D690" t="s">
        <v>618</v>
      </c>
      <c r="E690" t="s">
        <v>575</v>
      </c>
      <c r="F690">
        <v>3006</v>
      </c>
      <c r="G690">
        <v>3008</v>
      </c>
      <c r="H690">
        <v>2994</v>
      </c>
      <c r="I690">
        <v>3001</v>
      </c>
      <c r="J690">
        <v>441900</v>
      </c>
    </row>
    <row r="691" spans="4:10">
      <c r="D691" t="s">
        <v>618</v>
      </c>
      <c r="E691" t="s">
        <v>576</v>
      </c>
      <c r="F691">
        <v>3000</v>
      </c>
      <c r="G691">
        <v>3005</v>
      </c>
      <c r="H691">
        <v>2994.5</v>
      </c>
      <c r="I691">
        <v>3004</v>
      </c>
      <c r="J691">
        <v>383800</v>
      </c>
    </row>
    <row r="692" spans="4:10">
      <c r="D692" t="s">
        <v>618</v>
      </c>
      <c r="E692" t="s">
        <v>577</v>
      </c>
      <c r="F692">
        <v>3005</v>
      </c>
      <c r="G692">
        <v>3013</v>
      </c>
      <c r="H692">
        <v>2998.5</v>
      </c>
      <c r="I692">
        <v>3005</v>
      </c>
      <c r="J692">
        <v>520600</v>
      </c>
    </row>
    <row r="693" spans="4:10">
      <c r="D693" t="s">
        <v>618</v>
      </c>
      <c r="E693" t="s">
        <v>578</v>
      </c>
      <c r="F693">
        <v>3004</v>
      </c>
      <c r="G693">
        <v>3008</v>
      </c>
      <c r="H693">
        <v>2995</v>
      </c>
      <c r="I693">
        <v>3001</v>
      </c>
      <c r="J693">
        <v>461300</v>
      </c>
    </row>
    <row r="694" spans="4:10">
      <c r="D694" t="s">
        <v>618</v>
      </c>
      <c r="E694" t="s">
        <v>579</v>
      </c>
      <c r="F694">
        <v>3001</v>
      </c>
      <c r="G694">
        <v>3010</v>
      </c>
      <c r="H694">
        <v>2996.5</v>
      </c>
      <c r="I694">
        <v>3009</v>
      </c>
      <c r="J694">
        <v>515200</v>
      </c>
    </row>
    <row r="695" spans="4:10">
      <c r="D695" t="s">
        <v>618</v>
      </c>
      <c r="E695" t="s">
        <v>580</v>
      </c>
      <c r="F695">
        <v>3009</v>
      </c>
      <c r="G695">
        <v>3018</v>
      </c>
      <c r="H695">
        <v>3006</v>
      </c>
      <c r="I695">
        <v>3006</v>
      </c>
      <c r="J695">
        <v>571500</v>
      </c>
    </row>
    <row r="696" spans="4:10">
      <c r="D696" t="s">
        <v>618</v>
      </c>
      <c r="E696" t="s">
        <v>581</v>
      </c>
      <c r="F696">
        <v>3006</v>
      </c>
      <c r="G696">
        <v>3018</v>
      </c>
      <c r="H696">
        <v>3005</v>
      </c>
      <c r="I696">
        <v>3014</v>
      </c>
      <c r="J696">
        <v>248500</v>
      </c>
    </row>
    <row r="697" spans="4:10">
      <c r="D697" t="s">
        <v>618</v>
      </c>
      <c r="E697" t="s">
        <v>582</v>
      </c>
      <c r="F697">
        <v>3013</v>
      </c>
      <c r="G697">
        <v>3015</v>
      </c>
      <c r="H697">
        <v>3007</v>
      </c>
      <c r="I697">
        <v>3009</v>
      </c>
      <c r="J697">
        <v>279700</v>
      </c>
    </row>
    <row r="698" spans="4:10">
      <c r="D698" t="s">
        <v>618</v>
      </c>
      <c r="E698" t="s">
        <v>583</v>
      </c>
      <c r="F698">
        <v>3007</v>
      </c>
      <c r="G698">
        <v>3010</v>
      </c>
      <c r="H698">
        <v>3005</v>
      </c>
      <c r="I698">
        <v>3005</v>
      </c>
      <c r="J698">
        <v>214100</v>
      </c>
    </row>
    <row r="699" spans="4:10">
      <c r="D699" t="s">
        <v>618</v>
      </c>
      <c r="E699" t="s">
        <v>584</v>
      </c>
      <c r="F699">
        <v>3006</v>
      </c>
      <c r="G699">
        <v>3008</v>
      </c>
      <c r="H699">
        <v>3002</v>
      </c>
      <c r="I699">
        <v>3006</v>
      </c>
      <c r="J699">
        <v>298400</v>
      </c>
    </row>
    <row r="700" spans="4:10">
      <c r="D700" t="s">
        <v>618</v>
      </c>
      <c r="E700" t="s">
        <v>585</v>
      </c>
      <c r="F700">
        <v>3007</v>
      </c>
      <c r="G700">
        <v>3009</v>
      </c>
      <c r="H700">
        <v>3005</v>
      </c>
      <c r="I700">
        <v>3005</v>
      </c>
      <c r="J700">
        <v>134900</v>
      </c>
    </row>
    <row r="701" spans="4:10">
      <c r="D701" t="s">
        <v>618</v>
      </c>
      <c r="E701" t="s">
        <v>586</v>
      </c>
      <c r="F701">
        <v>3005</v>
      </c>
      <c r="G701">
        <v>3007</v>
      </c>
      <c r="H701">
        <v>3001</v>
      </c>
      <c r="I701">
        <v>3002</v>
      </c>
      <c r="J701">
        <v>260900</v>
      </c>
    </row>
    <row r="702" spans="4:10">
      <c r="D702" t="s">
        <v>618</v>
      </c>
      <c r="E702" t="s">
        <v>587</v>
      </c>
      <c r="F702">
        <v>3002</v>
      </c>
      <c r="G702">
        <v>3003</v>
      </c>
      <c r="H702">
        <v>2997</v>
      </c>
      <c r="I702">
        <v>2997</v>
      </c>
      <c r="J702">
        <v>322800</v>
      </c>
    </row>
    <row r="703" spans="4:10">
      <c r="D703" t="s">
        <v>618</v>
      </c>
      <c r="E703" t="s">
        <v>588</v>
      </c>
      <c r="F703">
        <v>2997</v>
      </c>
      <c r="G703">
        <v>3002</v>
      </c>
      <c r="H703">
        <v>2996</v>
      </c>
      <c r="I703">
        <v>3000</v>
      </c>
      <c r="J703">
        <v>224400</v>
      </c>
    </row>
    <row r="704" spans="4:10">
      <c r="D704" t="s">
        <v>618</v>
      </c>
      <c r="E704" t="s">
        <v>589</v>
      </c>
      <c r="F704">
        <v>2999.5</v>
      </c>
      <c r="G704">
        <v>3003</v>
      </c>
      <c r="H704">
        <v>2999</v>
      </c>
      <c r="I704">
        <v>3000</v>
      </c>
      <c r="J704">
        <v>138900</v>
      </c>
    </row>
    <row r="705" spans="4:10">
      <c r="D705" t="s">
        <v>618</v>
      </c>
      <c r="E705" t="s">
        <v>590</v>
      </c>
      <c r="F705">
        <v>3000</v>
      </c>
      <c r="G705">
        <v>3003</v>
      </c>
      <c r="H705">
        <v>2999</v>
      </c>
      <c r="I705">
        <v>3002</v>
      </c>
      <c r="J705">
        <v>88600</v>
      </c>
    </row>
    <row r="706" spans="4:10">
      <c r="D706" t="s">
        <v>618</v>
      </c>
      <c r="E706" t="s">
        <v>591</v>
      </c>
      <c r="F706">
        <v>3002</v>
      </c>
      <c r="G706">
        <v>3005</v>
      </c>
      <c r="H706">
        <v>3002</v>
      </c>
      <c r="I706">
        <v>3003</v>
      </c>
      <c r="J706">
        <v>112000</v>
      </c>
    </row>
    <row r="707" spans="4:10">
      <c r="D707" t="s">
        <v>618</v>
      </c>
      <c r="E707" t="s">
        <v>592</v>
      </c>
      <c r="F707">
        <v>3004</v>
      </c>
      <c r="G707">
        <v>3005</v>
      </c>
      <c r="H707">
        <v>3001</v>
      </c>
      <c r="I707">
        <v>3004</v>
      </c>
      <c r="J707">
        <v>93100</v>
      </c>
    </row>
    <row r="708" spans="4:10">
      <c r="D708" t="s">
        <v>618</v>
      </c>
      <c r="E708" t="s">
        <v>593</v>
      </c>
      <c r="F708">
        <v>3004</v>
      </c>
      <c r="G708">
        <v>3006</v>
      </c>
      <c r="H708">
        <v>3003</v>
      </c>
      <c r="I708">
        <v>3005</v>
      </c>
      <c r="J708">
        <v>111800</v>
      </c>
    </row>
    <row r="709" spans="4:10">
      <c r="D709" t="s">
        <v>618</v>
      </c>
      <c r="E709" t="s">
        <v>594</v>
      </c>
      <c r="F709">
        <v>3005</v>
      </c>
      <c r="G709">
        <v>3006</v>
      </c>
      <c r="H709">
        <v>3002</v>
      </c>
      <c r="I709">
        <v>3002</v>
      </c>
      <c r="J709">
        <v>138800</v>
      </c>
    </row>
    <row r="710" spans="4:10">
      <c r="D710" t="s">
        <v>618</v>
      </c>
      <c r="E710" t="s">
        <v>595</v>
      </c>
      <c r="F710">
        <v>3003</v>
      </c>
      <c r="G710">
        <v>3003</v>
      </c>
      <c r="H710">
        <v>2998</v>
      </c>
      <c r="I710">
        <v>3001</v>
      </c>
      <c r="J710">
        <v>176300</v>
      </c>
    </row>
    <row r="711" spans="4:10">
      <c r="D711" t="s">
        <v>618</v>
      </c>
      <c r="E711" t="s">
        <v>596</v>
      </c>
      <c r="F711">
        <v>3001</v>
      </c>
      <c r="G711">
        <v>3002</v>
      </c>
      <c r="H711">
        <v>2999.5</v>
      </c>
      <c r="I711">
        <v>3001</v>
      </c>
      <c r="J711">
        <v>102800</v>
      </c>
    </row>
    <row r="712" spans="4:10">
      <c r="D712" t="s">
        <v>618</v>
      </c>
      <c r="E712" t="s">
        <v>597</v>
      </c>
      <c r="F712">
        <v>3002</v>
      </c>
      <c r="G712">
        <v>3003</v>
      </c>
      <c r="H712">
        <v>3000</v>
      </c>
      <c r="I712">
        <v>3002</v>
      </c>
      <c r="J712">
        <v>106500</v>
      </c>
    </row>
    <row r="713" spans="4:10">
      <c r="D713" t="s">
        <v>618</v>
      </c>
      <c r="E713" t="s">
        <v>598</v>
      </c>
      <c r="F713">
        <v>3002</v>
      </c>
      <c r="G713">
        <v>3005</v>
      </c>
      <c r="H713">
        <v>3002</v>
      </c>
      <c r="I713">
        <v>3004</v>
      </c>
      <c r="J713">
        <v>96700</v>
      </c>
    </row>
    <row r="714" spans="4:10">
      <c r="D714" t="s">
        <v>618</v>
      </c>
      <c r="E714" t="s">
        <v>599</v>
      </c>
      <c r="F714">
        <v>3005</v>
      </c>
      <c r="G714">
        <v>3005</v>
      </c>
      <c r="H714">
        <v>3003</v>
      </c>
      <c r="I714">
        <v>3004</v>
      </c>
      <c r="J714">
        <v>99300</v>
      </c>
    </row>
    <row r="715" spans="4:10">
      <c r="D715" t="s">
        <v>618</v>
      </c>
      <c r="E715" t="s">
        <v>600</v>
      </c>
      <c r="F715">
        <v>3005</v>
      </c>
      <c r="G715">
        <v>3005</v>
      </c>
      <c r="H715">
        <v>3000</v>
      </c>
      <c r="I715">
        <v>3002</v>
      </c>
      <c r="J715">
        <v>181200</v>
      </c>
    </row>
    <row r="716" spans="4:10">
      <c r="D716" t="s">
        <v>618</v>
      </c>
      <c r="E716" t="s">
        <v>601</v>
      </c>
      <c r="F716">
        <v>3002</v>
      </c>
      <c r="G716">
        <v>3003</v>
      </c>
      <c r="H716">
        <v>2998</v>
      </c>
      <c r="I716">
        <v>2998</v>
      </c>
      <c r="J716">
        <v>139400</v>
      </c>
    </row>
    <row r="717" spans="4:10">
      <c r="D717" t="s">
        <v>618</v>
      </c>
      <c r="E717" t="s">
        <v>602</v>
      </c>
      <c r="F717">
        <v>2998</v>
      </c>
      <c r="G717">
        <v>2999</v>
      </c>
      <c r="H717">
        <v>2995.5</v>
      </c>
      <c r="I717">
        <v>2997</v>
      </c>
      <c r="J717">
        <v>164200</v>
      </c>
    </row>
    <row r="718" spans="4:10">
      <c r="D718" t="s">
        <v>618</v>
      </c>
      <c r="E718" t="s">
        <v>603</v>
      </c>
      <c r="F718">
        <v>2997.5</v>
      </c>
      <c r="G718">
        <v>2998.5</v>
      </c>
      <c r="H718">
        <v>2996</v>
      </c>
      <c r="I718">
        <v>2996.5</v>
      </c>
      <c r="J718">
        <v>110400</v>
      </c>
    </row>
    <row r="719" spans="4:10">
      <c r="D719" t="s">
        <v>618</v>
      </c>
      <c r="E719" t="s">
        <v>604</v>
      </c>
      <c r="F719">
        <v>2996.5</v>
      </c>
      <c r="G719">
        <v>2996.5</v>
      </c>
      <c r="H719">
        <v>2996.5</v>
      </c>
      <c r="I719">
        <v>2996.5</v>
      </c>
      <c r="J719">
        <v>15100</v>
      </c>
    </row>
    <row r="720" spans="4:10">
      <c r="D720" t="s">
        <v>618</v>
      </c>
      <c r="E720" t="s">
        <v>605</v>
      </c>
      <c r="F720">
        <v>2997</v>
      </c>
      <c r="G720">
        <v>2997</v>
      </c>
      <c r="H720">
        <v>2983</v>
      </c>
      <c r="I720">
        <v>2984.5</v>
      </c>
      <c r="J720">
        <v>912400</v>
      </c>
    </row>
    <row r="721" spans="4:10">
      <c r="D721" t="s">
        <v>618</v>
      </c>
      <c r="E721" t="s">
        <v>606</v>
      </c>
      <c r="F721">
        <v>2984.5</v>
      </c>
      <c r="G721">
        <v>2989.5</v>
      </c>
      <c r="H721">
        <v>2982</v>
      </c>
      <c r="I721">
        <v>2982.5</v>
      </c>
      <c r="J721">
        <v>231900</v>
      </c>
    </row>
    <row r="722" spans="4:10">
      <c r="D722" t="s">
        <v>618</v>
      </c>
      <c r="E722" t="s">
        <v>538</v>
      </c>
      <c r="F722">
        <v>2982.5</v>
      </c>
      <c r="G722">
        <v>2986.5</v>
      </c>
      <c r="H722">
        <v>2981</v>
      </c>
      <c r="I722">
        <v>2985.5</v>
      </c>
      <c r="J722">
        <v>262000</v>
      </c>
    </row>
    <row r="723" spans="4:10">
      <c r="D723" t="s">
        <v>618</v>
      </c>
      <c r="E723" t="s">
        <v>539</v>
      </c>
      <c r="F723">
        <v>2986</v>
      </c>
      <c r="G723">
        <v>2988</v>
      </c>
      <c r="H723">
        <v>2984.5</v>
      </c>
      <c r="I723">
        <v>2988</v>
      </c>
      <c r="J723">
        <v>150600</v>
      </c>
    </row>
    <row r="724" spans="4:10">
      <c r="D724" t="s">
        <v>618</v>
      </c>
      <c r="E724" t="s">
        <v>540</v>
      </c>
      <c r="F724">
        <v>2988</v>
      </c>
      <c r="G724">
        <v>2991.5</v>
      </c>
      <c r="H724">
        <v>2986</v>
      </c>
      <c r="I724">
        <v>2989.5</v>
      </c>
      <c r="J724">
        <v>131200</v>
      </c>
    </row>
    <row r="725" spans="4:10">
      <c r="D725" t="s">
        <v>618</v>
      </c>
      <c r="E725" t="s">
        <v>541</v>
      </c>
      <c r="F725">
        <v>2989.5</v>
      </c>
      <c r="G725">
        <v>2992</v>
      </c>
      <c r="H725">
        <v>2989</v>
      </c>
      <c r="I725">
        <v>2989.5</v>
      </c>
      <c r="J725">
        <v>127500</v>
      </c>
    </row>
    <row r="726" spans="4:10">
      <c r="D726" t="s">
        <v>618</v>
      </c>
      <c r="E726" t="s">
        <v>542</v>
      </c>
      <c r="F726">
        <v>2989.5</v>
      </c>
      <c r="G726">
        <v>2991</v>
      </c>
      <c r="H726">
        <v>2987.5</v>
      </c>
      <c r="I726">
        <v>2990</v>
      </c>
      <c r="J726">
        <v>160100</v>
      </c>
    </row>
    <row r="727" spans="4:10">
      <c r="D727" t="s">
        <v>618</v>
      </c>
      <c r="E727" t="s">
        <v>543</v>
      </c>
      <c r="F727">
        <v>2990.5</v>
      </c>
      <c r="G727">
        <v>2994</v>
      </c>
      <c r="H727">
        <v>2990.5</v>
      </c>
      <c r="I727">
        <v>2993</v>
      </c>
      <c r="J727">
        <v>446800</v>
      </c>
    </row>
    <row r="728" spans="4:10">
      <c r="D728" t="s">
        <v>618</v>
      </c>
      <c r="E728" t="s">
        <v>544</v>
      </c>
      <c r="F728">
        <v>2993.5</v>
      </c>
      <c r="G728">
        <v>2993.5</v>
      </c>
      <c r="H728">
        <v>2990.5</v>
      </c>
      <c r="I728">
        <v>2992</v>
      </c>
      <c r="J728">
        <v>135800</v>
      </c>
    </row>
    <row r="729" spans="4:10">
      <c r="D729" t="s">
        <v>618</v>
      </c>
      <c r="E729" t="s">
        <v>545</v>
      </c>
      <c r="F729">
        <v>2992</v>
      </c>
      <c r="G729">
        <v>2992.5</v>
      </c>
      <c r="H729">
        <v>2990</v>
      </c>
      <c r="I729">
        <v>2991</v>
      </c>
      <c r="J729">
        <v>123900</v>
      </c>
    </row>
    <row r="730" spans="4:10">
      <c r="D730" t="s">
        <v>618</v>
      </c>
      <c r="E730" t="s">
        <v>546</v>
      </c>
      <c r="F730">
        <v>2991</v>
      </c>
      <c r="G730">
        <v>2994.5</v>
      </c>
      <c r="H730">
        <v>2990.5</v>
      </c>
      <c r="I730">
        <v>2993.5</v>
      </c>
      <c r="J730">
        <v>144300</v>
      </c>
    </row>
    <row r="731" spans="4:10">
      <c r="D731" t="s">
        <v>618</v>
      </c>
      <c r="E731" t="s">
        <v>547</v>
      </c>
      <c r="F731">
        <v>2993.5</v>
      </c>
      <c r="G731">
        <v>2994.5</v>
      </c>
      <c r="H731">
        <v>2992</v>
      </c>
      <c r="I731">
        <v>2993.5</v>
      </c>
      <c r="J731">
        <v>159300</v>
      </c>
    </row>
    <row r="732" spans="4:10">
      <c r="D732" t="s">
        <v>618</v>
      </c>
      <c r="E732" t="s">
        <v>548</v>
      </c>
      <c r="F732">
        <v>2993</v>
      </c>
      <c r="G732">
        <v>2996</v>
      </c>
      <c r="H732">
        <v>2991</v>
      </c>
      <c r="I732">
        <v>2993</v>
      </c>
      <c r="J732">
        <v>241700</v>
      </c>
    </row>
    <row r="733" spans="4:10">
      <c r="D733" t="s">
        <v>618</v>
      </c>
      <c r="E733" t="s">
        <v>549</v>
      </c>
      <c r="F733">
        <v>2992.5</v>
      </c>
      <c r="G733">
        <v>2993</v>
      </c>
      <c r="H733">
        <v>2991</v>
      </c>
      <c r="I733">
        <v>2992</v>
      </c>
      <c r="J733">
        <v>96000</v>
      </c>
    </row>
    <row r="734" spans="4:10">
      <c r="D734" t="s">
        <v>618</v>
      </c>
      <c r="E734" t="s">
        <v>550</v>
      </c>
      <c r="F734">
        <v>2992</v>
      </c>
      <c r="G734">
        <v>2992</v>
      </c>
      <c r="H734">
        <v>2989.5</v>
      </c>
      <c r="I734">
        <v>2991.5</v>
      </c>
      <c r="J734">
        <v>157100</v>
      </c>
    </row>
    <row r="735" spans="4:10">
      <c r="D735" t="s">
        <v>618</v>
      </c>
      <c r="E735" t="s">
        <v>551</v>
      </c>
      <c r="F735">
        <v>2991</v>
      </c>
      <c r="G735">
        <v>2993</v>
      </c>
      <c r="H735">
        <v>2990</v>
      </c>
      <c r="I735">
        <v>2991.5</v>
      </c>
      <c r="J735">
        <v>94600</v>
      </c>
    </row>
    <row r="736" spans="4:10">
      <c r="D736" t="s">
        <v>618</v>
      </c>
      <c r="E736" t="s">
        <v>552</v>
      </c>
      <c r="F736">
        <v>2991.5</v>
      </c>
      <c r="G736">
        <v>2992.5</v>
      </c>
      <c r="H736">
        <v>2990.5</v>
      </c>
      <c r="I736">
        <v>2992</v>
      </c>
      <c r="J736">
        <v>91200</v>
      </c>
    </row>
    <row r="737" spans="4:10">
      <c r="D737" t="s">
        <v>618</v>
      </c>
      <c r="E737" t="s">
        <v>553</v>
      </c>
      <c r="F737">
        <v>2992.5</v>
      </c>
      <c r="G737">
        <v>2992.5</v>
      </c>
      <c r="H737">
        <v>2988</v>
      </c>
      <c r="I737">
        <v>2989</v>
      </c>
      <c r="J737">
        <v>236700</v>
      </c>
    </row>
    <row r="738" spans="4:10">
      <c r="D738" t="s">
        <v>618</v>
      </c>
      <c r="E738" t="s">
        <v>554</v>
      </c>
      <c r="F738">
        <v>2989</v>
      </c>
      <c r="G738">
        <v>2989</v>
      </c>
      <c r="H738">
        <v>2984</v>
      </c>
      <c r="I738">
        <v>2986</v>
      </c>
      <c r="J738">
        <v>243500</v>
      </c>
    </row>
    <row r="739" spans="4:10">
      <c r="D739" t="s">
        <v>618</v>
      </c>
      <c r="E739" t="s">
        <v>555</v>
      </c>
      <c r="F739">
        <v>2985.5</v>
      </c>
      <c r="G739">
        <v>2986.5</v>
      </c>
      <c r="H739">
        <v>2983.5</v>
      </c>
      <c r="I739">
        <v>2985</v>
      </c>
      <c r="J739">
        <v>125200</v>
      </c>
    </row>
    <row r="740" spans="4:10">
      <c r="D740" t="s">
        <v>618</v>
      </c>
      <c r="E740" t="s">
        <v>556</v>
      </c>
      <c r="F740">
        <v>2985</v>
      </c>
      <c r="G740">
        <v>2985.5</v>
      </c>
      <c r="H740">
        <v>2983.5</v>
      </c>
      <c r="I740">
        <v>2985</v>
      </c>
      <c r="J740">
        <v>132300</v>
      </c>
    </row>
    <row r="741" spans="4:10">
      <c r="D741" t="s">
        <v>618</v>
      </c>
      <c r="E741" t="s">
        <v>557</v>
      </c>
      <c r="F741">
        <v>2985</v>
      </c>
      <c r="G741">
        <v>2987.5</v>
      </c>
      <c r="H741">
        <v>2983.5</v>
      </c>
      <c r="I741">
        <v>2987</v>
      </c>
      <c r="J741">
        <v>160400</v>
      </c>
    </row>
    <row r="742" spans="4:10">
      <c r="D742" t="s">
        <v>618</v>
      </c>
      <c r="E742" t="s">
        <v>558</v>
      </c>
      <c r="F742">
        <v>2987</v>
      </c>
      <c r="G742">
        <v>2989</v>
      </c>
      <c r="H742">
        <v>2986.5</v>
      </c>
      <c r="I742">
        <v>2987</v>
      </c>
      <c r="J742">
        <v>136200</v>
      </c>
    </row>
    <row r="743" spans="4:10">
      <c r="D743" t="s">
        <v>618</v>
      </c>
      <c r="E743" t="s">
        <v>559</v>
      </c>
      <c r="F743">
        <v>2987</v>
      </c>
      <c r="G743">
        <v>2988</v>
      </c>
      <c r="H743">
        <v>2986.5</v>
      </c>
      <c r="I743">
        <v>2987.5</v>
      </c>
      <c r="J743">
        <v>164400</v>
      </c>
    </row>
    <row r="744" spans="4:10">
      <c r="D744" t="s">
        <v>618</v>
      </c>
      <c r="E744" t="s">
        <v>560</v>
      </c>
      <c r="F744">
        <v>2988</v>
      </c>
      <c r="G744">
        <v>2989</v>
      </c>
      <c r="H744">
        <v>2982.5</v>
      </c>
      <c r="I744">
        <v>2985</v>
      </c>
      <c r="J744">
        <v>286700</v>
      </c>
    </row>
    <row r="745" spans="4:10">
      <c r="D745" t="s">
        <v>618</v>
      </c>
      <c r="E745" t="s">
        <v>561</v>
      </c>
      <c r="F745">
        <v>2985</v>
      </c>
      <c r="G745">
        <v>2989</v>
      </c>
      <c r="H745">
        <v>2984</v>
      </c>
      <c r="I745">
        <v>2988.5</v>
      </c>
      <c r="J745">
        <v>128800</v>
      </c>
    </row>
    <row r="746" spans="4:10">
      <c r="D746" t="s">
        <v>618</v>
      </c>
      <c r="E746" t="s">
        <v>562</v>
      </c>
      <c r="F746">
        <v>2988</v>
      </c>
      <c r="G746">
        <v>2990</v>
      </c>
      <c r="H746">
        <v>2988</v>
      </c>
      <c r="I746">
        <v>2989</v>
      </c>
      <c r="J746">
        <v>87300</v>
      </c>
    </row>
    <row r="747" spans="4:10">
      <c r="D747" t="s">
        <v>618</v>
      </c>
      <c r="E747" t="s">
        <v>563</v>
      </c>
      <c r="F747">
        <v>2988.5</v>
      </c>
      <c r="G747">
        <v>2989</v>
      </c>
      <c r="H747">
        <v>2987</v>
      </c>
      <c r="I747">
        <v>2988</v>
      </c>
      <c r="J747">
        <v>129100</v>
      </c>
    </row>
    <row r="748" spans="4:10">
      <c r="D748" t="s">
        <v>618</v>
      </c>
      <c r="E748" t="s">
        <v>564</v>
      </c>
      <c r="F748">
        <v>2988</v>
      </c>
      <c r="G748">
        <v>2992</v>
      </c>
      <c r="H748">
        <v>2987</v>
      </c>
      <c r="I748">
        <v>2992</v>
      </c>
      <c r="J748">
        <v>206200</v>
      </c>
    </row>
    <row r="749" spans="4:10">
      <c r="D749" t="s">
        <v>618</v>
      </c>
      <c r="E749" t="s">
        <v>565</v>
      </c>
      <c r="F749">
        <v>2992</v>
      </c>
      <c r="G749">
        <v>2993.5</v>
      </c>
      <c r="H749">
        <v>2991.5</v>
      </c>
      <c r="I749">
        <v>2992.5</v>
      </c>
      <c r="J749">
        <v>216600</v>
      </c>
    </row>
    <row r="750" spans="4:10">
      <c r="D750" t="s">
        <v>618</v>
      </c>
      <c r="E750" t="s">
        <v>566</v>
      </c>
      <c r="F750">
        <v>2993</v>
      </c>
      <c r="G750">
        <v>2994</v>
      </c>
      <c r="H750">
        <v>2992</v>
      </c>
      <c r="I750">
        <v>2993.5</v>
      </c>
      <c r="J750">
        <v>102600</v>
      </c>
    </row>
    <row r="751" spans="4:10">
      <c r="D751" t="s">
        <v>618</v>
      </c>
      <c r="E751" t="s">
        <v>567</v>
      </c>
      <c r="F751">
        <v>2993.5</v>
      </c>
      <c r="G751">
        <v>2994</v>
      </c>
      <c r="H751">
        <v>2992</v>
      </c>
      <c r="I751">
        <v>2992</v>
      </c>
      <c r="J751">
        <v>225000</v>
      </c>
    </row>
    <row r="752" spans="4:10">
      <c r="D752" t="s">
        <v>618</v>
      </c>
      <c r="E752" t="s">
        <v>568</v>
      </c>
      <c r="F752">
        <v>2992</v>
      </c>
      <c r="G752">
        <v>2992.5</v>
      </c>
      <c r="H752">
        <v>2988</v>
      </c>
      <c r="I752">
        <v>2988.5</v>
      </c>
      <c r="J752">
        <v>166100</v>
      </c>
    </row>
    <row r="753" spans="4:10">
      <c r="D753" t="s">
        <v>618</v>
      </c>
      <c r="E753" t="s">
        <v>569</v>
      </c>
      <c r="F753">
        <v>2988</v>
      </c>
      <c r="G753">
        <v>2990.5</v>
      </c>
      <c r="H753">
        <v>2985.5</v>
      </c>
      <c r="I753">
        <v>2990</v>
      </c>
      <c r="J753">
        <v>227200</v>
      </c>
    </row>
    <row r="754" spans="4:10">
      <c r="D754" t="s">
        <v>618</v>
      </c>
      <c r="E754" t="s">
        <v>570</v>
      </c>
      <c r="F754">
        <v>2990</v>
      </c>
      <c r="G754">
        <v>2992.5</v>
      </c>
      <c r="H754">
        <v>2989</v>
      </c>
      <c r="I754">
        <v>2992.5</v>
      </c>
      <c r="J754">
        <v>309500</v>
      </c>
    </row>
    <row r="755" spans="4:10">
      <c r="D755" t="s">
        <v>618</v>
      </c>
      <c r="E755" t="s">
        <v>571</v>
      </c>
      <c r="F755" t="s">
        <v>35</v>
      </c>
      <c r="G755" t="s">
        <v>35</v>
      </c>
      <c r="H755" t="s">
        <v>35</v>
      </c>
      <c r="I755" t="s">
        <v>35</v>
      </c>
      <c r="J755">
        <v>0</v>
      </c>
    </row>
    <row r="756" spans="4:10">
      <c r="D756" t="s">
        <v>618</v>
      </c>
      <c r="E756" t="s">
        <v>572</v>
      </c>
      <c r="F756">
        <v>2999.5</v>
      </c>
      <c r="G756">
        <v>2999.5</v>
      </c>
      <c r="H756">
        <v>2999.5</v>
      </c>
      <c r="I756">
        <v>2999.5</v>
      </c>
      <c r="J756">
        <v>7377000</v>
      </c>
    </row>
    <row r="757" spans="4:10">
      <c r="D757" t="s">
        <v>619</v>
      </c>
      <c r="E757" t="s">
        <v>574</v>
      </c>
      <c r="F757">
        <v>3010</v>
      </c>
      <c r="G757">
        <v>3020</v>
      </c>
      <c r="H757">
        <v>2999.5</v>
      </c>
      <c r="I757">
        <v>3009</v>
      </c>
      <c r="J757">
        <v>1720900</v>
      </c>
    </row>
    <row r="758" spans="4:10">
      <c r="D758" t="s">
        <v>619</v>
      </c>
      <c r="E758" t="s">
        <v>575</v>
      </c>
      <c r="F758">
        <v>3009</v>
      </c>
      <c r="G758">
        <v>3010</v>
      </c>
      <c r="H758">
        <v>2992.5</v>
      </c>
      <c r="I758">
        <v>3006</v>
      </c>
      <c r="J758">
        <v>961600</v>
      </c>
    </row>
    <row r="759" spans="4:10">
      <c r="D759" t="s">
        <v>619</v>
      </c>
      <c r="E759" t="s">
        <v>576</v>
      </c>
      <c r="F759">
        <v>3005</v>
      </c>
      <c r="G759">
        <v>3011</v>
      </c>
      <c r="H759">
        <v>3001</v>
      </c>
      <c r="I759">
        <v>3005</v>
      </c>
      <c r="J759">
        <v>310200</v>
      </c>
    </row>
    <row r="760" spans="4:10">
      <c r="D760" t="s">
        <v>619</v>
      </c>
      <c r="E760" t="s">
        <v>577</v>
      </c>
      <c r="F760">
        <v>3004</v>
      </c>
      <c r="G760">
        <v>3009</v>
      </c>
      <c r="H760">
        <v>3002</v>
      </c>
      <c r="I760">
        <v>3007</v>
      </c>
      <c r="J760">
        <v>336700</v>
      </c>
    </row>
    <row r="761" spans="4:10">
      <c r="D761" t="s">
        <v>619</v>
      </c>
      <c r="E761" t="s">
        <v>578</v>
      </c>
      <c r="F761">
        <v>3008</v>
      </c>
      <c r="G761">
        <v>3012</v>
      </c>
      <c r="H761">
        <v>3004</v>
      </c>
      <c r="I761">
        <v>3005</v>
      </c>
      <c r="J761">
        <v>285900</v>
      </c>
    </row>
    <row r="762" spans="4:10">
      <c r="D762" t="s">
        <v>619</v>
      </c>
      <c r="E762" t="s">
        <v>579</v>
      </c>
      <c r="F762">
        <v>3004</v>
      </c>
      <c r="G762">
        <v>3011</v>
      </c>
      <c r="H762">
        <v>3003</v>
      </c>
      <c r="I762">
        <v>3010</v>
      </c>
      <c r="J762">
        <v>194600</v>
      </c>
    </row>
    <row r="763" spans="4:10">
      <c r="D763" t="s">
        <v>619</v>
      </c>
      <c r="E763" t="s">
        <v>580</v>
      </c>
      <c r="F763">
        <v>3010</v>
      </c>
      <c r="G763">
        <v>3012</v>
      </c>
      <c r="H763">
        <v>3003</v>
      </c>
      <c r="I763">
        <v>3003</v>
      </c>
      <c r="J763">
        <v>162100</v>
      </c>
    </row>
    <row r="764" spans="4:10">
      <c r="D764" t="s">
        <v>619</v>
      </c>
      <c r="E764" t="s">
        <v>581</v>
      </c>
      <c r="F764">
        <v>3003</v>
      </c>
      <c r="G764">
        <v>3010</v>
      </c>
      <c r="H764">
        <v>3003</v>
      </c>
      <c r="I764">
        <v>3009</v>
      </c>
      <c r="J764">
        <v>157400</v>
      </c>
    </row>
    <row r="765" spans="4:10">
      <c r="D765" t="s">
        <v>619</v>
      </c>
      <c r="E765" t="s">
        <v>582</v>
      </c>
      <c r="F765">
        <v>3009</v>
      </c>
      <c r="G765">
        <v>3010</v>
      </c>
      <c r="H765">
        <v>3000</v>
      </c>
      <c r="I765">
        <v>3003</v>
      </c>
      <c r="J765">
        <v>460800</v>
      </c>
    </row>
    <row r="766" spans="4:10">
      <c r="D766" t="s">
        <v>619</v>
      </c>
      <c r="E766" t="s">
        <v>583</v>
      </c>
      <c r="F766">
        <v>3003</v>
      </c>
      <c r="G766">
        <v>3007</v>
      </c>
      <c r="H766">
        <v>3002</v>
      </c>
      <c r="I766">
        <v>3003</v>
      </c>
      <c r="J766">
        <v>254900</v>
      </c>
    </row>
    <row r="767" spans="4:10">
      <c r="D767" t="s">
        <v>619</v>
      </c>
      <c r="E767" t="s">
        <v>584</v>
      </c>
      <c r="F767">
        <v>3004</v>
      </c>
      <c r="G767">
        <v>3005</v>
      </c>
      <c r="H767">
        <v>2999.5</v>
      </c>
      <c r="I767">
        <v>3001</v>
      </c>
      <c r="J767">
        <v>332100</v>
      </c>
    </row>
    <row r="768" spans="4:10">
      <c r="D768" t="s">
        <v>619</v>
      </c>
      <c r="E768" t="s">
        <v>585</v>
      </c>
      <c r="F768">
        <v>3001</v>
      </c>
      <c r="G768">
        <v>3002</v>
      </c>
      <c r="H768">
        <v>2997.5</v>
      </c>
      <c r="I768">
        <v>3000</v>
      </c>
      <c r="J768">
        <v>821900</v>
      </c>
    </row>
    <row r="769" spans="4:10">
      <c r="D769" t="s">
        <v>619</v>
      </c>
      <c r="E769" t="s">
        <v>586</v>
      </c>
      <c r="F769">
        <v>3001</v>
      </c>
      <c r="G769">
        <v>3002</v>
      </c>
      <c r="H769">
        <v>2991.5</v>
      </c>
      <c r="I769">
        <v>2992</v>
      </c>
      <c r="J769">
        <v>448300</v>
      </c>
    </row>
    <row r="770" spans="4:10">
      <c r="D770" t="s">
        <v>619</v>
      </c>
      <c r="E770" t="s">
        <v>587</v>
      </c>
      <c r="F770">
        <v>2992.5</v>
      </c>
      <c r="G770">
        <v>2994</v>
      </c>
      <c r="H770">
        <v>2990.5</v>
      </c>
      <c r="I770">
        <v>2991.5</v>
      </c>
      <c r="J770">
        <v>160600</v>
      </c>
    </row>
    <row r="771" spans="4:10">
      <c r="D771" t="s">
        <v>619</v>
      </c>
      <c r="E771" t="s">
        <v>588</v>
      </c>
      <c r="F771">
        <v>2990.5</v>
      </c>
      <c r="G771">
        <v>2992.5</v>
      </c>
      <c r="H771">
        <v>2989</v>
      </c>
      <c r="I771">
        <v>2991</v>
      </c>
      <c r="J771">
        <v>246100</v>
      </c>
    </row>
    <row r="772" spans="4:10">
      <c r="D772" t="s">
        <v>619</v>
      </c>
      <c r="E772" t="s">
        <v>589</v>
      </c>
      <c r="F772">
        <v>2991.5</v>
      </c>
      <c r="G772">
        <v>2992</v>
      </c>
      <c r="H772">
        <v>2988</v>
      </c>
      <c r="I772">
        <v>2988</v>
      </c>
      <c r="J772">
        <v>219400</v>
      </c>
    </row>
    <row r="773" spans="4:10">
      <c r="D773" t="s">
        <v>619</v>
      </c>
      <c r="E773" t="s">
        <v>590</v>
      </c>
      <c r="F773">
        <v>2988.5</v>
      </c>
      <c r="G773">
        <v>2992</v>
      </c>
      <c r="H773">
        <v>2987</v>
      </c>
      <c r="I773">
        <v>2992</v>
      </c>
      <c r="J773">
        <v>164800</v>
      </c>
    </row>
    <row r="774" spans="4:10">
      <c r="D774" t="s">
        <v>619</v>
      </c>
      <c r="E774" t="s">
        <v>591</v>
      </c>
      <c r="F774">
        <v>2992</v>
      </c>
      <c r="G774">
        <v>2992</v>
      </c>
      <c r="H774">
        <v>2986</v>
      </c>
      <c r="I774">
        <v>2989</v>
      </c>
      <c r="J774">
        <v>152500</v>
      </c>
    </row>
    <row r="775" spans="4:10">
      <c r="D775" t="s">
        <v>619</v>
      </c>
      <c r="E775" t="s">
        <v>592</v>
      </c>
      <c r="F775">
        <v>2989.5</v>
      </c>
      <c r="G775">
        <v>2990.5</v>
      </c>
      <c r="H775">
        <v>2987.5</v>
      </c>
      <c r="I775">
        <v>2988</v>
      </c>
      <c r="J775">
        <v>85700</v>
      </c>
    </row>
    <row r="776" spans="4:10">
      <c r="D776" t="s">
        <v>619</v>
      </c>
      <c r="E776" t="s">
        <v>593</v>
      </c>
      <c r="F776">
        <v>2988</v>
      </c>
      <c r="G776">
        <v>2990</v>
      </c>
      <c r="H776">
        <v>2985.5</v>
      </c>
      <c r="I776">
        <v>2990</v>
      </c>
      <c r="J776">
        <v>131600</v>
      </c>
    </row>
    <row r="777" spans="4:10">
      <c r="D777" t="s">
        <v>619</v>
      </c>
      <c r="E777" t="s">
        <v>594</v>
      </c>
      <c r="F777">
        <v>2989.5</v>
      </c>
      <c r="G777">
        <v>2990</v>
      </c>
      <c r="H777">
        <v>2984</v>
      </c>
      <c r="I777">
        <v>2985</v>
      </c>
      <c r="J777">
        <v>211700</v>
      </c>
    </row>
    <row r="778" spans="4:10">
      <c r="D778" t="s">
        <v>619</v>
      </c>
      <c r="E778" t="s">
        <v>595</v>
      </c>
      <c r="F778">
        <v>2985.5</v>
      </c>
      <c r="G778">
        <v>2986</v>
      </c>
      <c r="H778">
        <v>2982</v>
      </c>
      <c r="I778">
        <v>2982</v>
      </c>
      <c r="J778">
        <v>161700</v>
      </c>
    </row>
    <row r="779" spans="4:10">
      <c r="D779" t="s">
        <v>619</v>
      </c>
      <c r="E779" t="s">
        <v>596</v>
      </c>
      <c r="F779">
        <v>2982</v>
      </c>
      <c r="G779">
        <v>2983</v>
      </c>
      <c r="H779">
        <v>2979.5</v>
      </c>
      <c r="I779">
        <v>2981</v>
      </c>
      <c r="J779">
        <v>420300</v>
      </c>
    </row>
    <row r="780" spans="4:10">
      <c r="D780" t="s">
        <v>619</v>
      </c>
      <c r="E780" t="s">
        <v>597</v>
      </c>
      <c r="F780">
        <v>2980.5</v>
      </c>
      <c r="G780">
        <v>2983</v>
      </c>
      <c r="H780">
        <v>2979.5</v>
      </c>
      <c r="I780">
        <v>2981</v>
      </c>
      <c r="J780">
        <v>183200</v>
      </c>
    </row>
    <row r="781" spans="4:10">
      <c r="D781" t="s">
        <v>619</v>
      </c>
      <c r="E781" t="s">
        <v>598</v>
      </c>
      <c r="F781">
        <v>2981.5</v>
      </c>
      <c r="G781">
        <v>2982</v>
      </c>
      <c r="H781">
        <v>2978.5</v>
      </c>
      <c r="I781">
        <v>2981.5</v>
      </c>
      <c r="J781">
        <v>137800</v>
      </c>
    </row>
    <row r="782" spans="4:10">
      <c r="D782" t="s">
        <v>619</v>
      </c>
      <c r="E782" t="s">
        <v>599</v>
      </c>
      <c r="F782">
        <v>2981</v>
      </c>
      <c r="G782">
        <v>2985</v>
      </c>
      <c r="H782">
        <v>2981</v>
      </c>
      <c r="I782">
        <v>2984.5</v>
      </c>
      <c r="J782">
        <v>120600</v>
      </c>
    </row>
    <row r="783" spans="4:10">
      <c r="D783" t="s">
        <v>619</v>
      </c>
      <c r="E783" t="s">
        <v>600</v>
      </c>
      <c r="F783">
        <v>2984</v>
      </c>
      <c r="G783">
        <v>2984.5</v>
      </c>
      <c r="H783">
        <v>2981</v>
      </c>
      <c r="I783">
        <v>2982</v>
      </c>
      <c r="J783">
        <v>83600</v>
      </c>
    </row>
    <row r="784" spans="4:10">
      <c r="D784" t="s">
        <v>619</v>
      </c>
      <c r="E784" t="s">
        <v>601</v>
      </c>
      <c r="F784">
        <v>2982.5</v>
      </c>
      <c r="G784">
        <v>2984</v>
      </c>
      <c r="H784">
        <v>2981.5</v>
      </c>
      <c r="I784">
        <v>2981.5</v>
      </c>
      <c r="J784">
        <v>99300</v>
      </c>
    </row>
    <row r="785" spans="4:10">
      <c r="D785" t="s">
        <v>619</v>
      </c>
      <c r="E785" t="s">
        <v>602</v>
      </c>
      <c r="F785">
        <v>2981.5</v>
      </c>
      <c r="G785">
        <v>2982</v>
      </c>
      <c r="H785">
        <v>2975</v>
      </c>
      <c r="I785">
        <v>2975.5</v>
      </c>
      <c r="J785">
        <v>339800</v>
      </c>
    </row>
    <row r="786" spans="4:10">
      <c r="D786" t="s">
        <v>619</v>
      </c>
      <c r="E786" t="s">
        <v>603</v>
      </c>
      <c r="F786">
        <v>2975</v>
      </c>
      <c r="G786">
        <v>2975.5</v>
      </c>
      <c r="H786">
        <v>2971.5</v>
      </c>
      <c r="I786">
        <v>2973.5</v>
      </c>
      <c r="J786">
        <v>279600</v>
      </c>
    </row>
    <row r="787" spans="4:10">
      <c r="D787" t="s">
        <v>619</v>
      </c>
      <c r="E787" t="s">
        <v>604</v>
      </c>
      <c r="F787">
        <v>2973</v>
      </c>
      <c r="G787">
        <v>2973</v>
      </c>
      <c r="H787">
        <v>2973</v>
      </c>
      <c r="I787">
        <v>2973</v>
      </c>
      <c r="J787">
        <v>19500</v>
      </c>
    </row>
    <row r="788" spans="4:10">
      <c r="D788" t="s">
        <v>619</v>
      </c>
      <c r="E788" t="s">
        <v>605</v>
      </c>
      <c r="F788">
        <v>2973</v>
      </c>
      <c r="G788">
        <v>2978</v>
      </c>
      <c r="H788">
        <v>2970</v>
      </c>
      <c r="I788">
        <v>2974</v>
      </c>
      <c r="J788">
        <v>833700</v>
      </c>
    </row>
    <row r="789" spans="4:10">
      <c r="D789" t="s">
        <v>619</v>
      </c>
      <c r="E789" t="s">
        <v>606</v>
      </c>
      <c r="F789">
        <v>2974</v>
      </c>
      <c r="G789">
        <v>2975</v>
      </c>
      <c r="H789">
        <v>2969.5</v>
      </c>
      <c r="I789">
        <v>2971.5</v>
      </c>
      <c r="J789">
        <v>249600</v>
      </c>
    </row>
    <row r="790" spans="4:10">
      <c r="D790" t="s">
        <v>619</v>
      </c>
      <c r="E790" t="s">
        <v>538</v>
      </c>
      <c r="F790">
        <v>2971.5</v>
      </c>
      <c r="G790">
        <v>2973</v>
      </c>
      <c r="H790">
        <v>2968</v>
      </c>
      <c r="I790">
        <v>2972.5</v>
      </c>
      <c r="J790">
        <v>223500</v>
      </c>
    </row>
    <row r="791" spans="4:10">
      <c r="D791" t="s">
        <v>619</v>
      </c>
      <c r="E791" t="s">
        <v>539</v>
      </c>
      <c r="F791">
        <v>2972.5</v>
      </c>
      <c r="G791">
        <v>2977</v>
      </c>
      <c r="H791">
        <v>2972.5</v>
      </c>
      <c r="I791">
        <v>2976</v>
      </c>
      <c r="J791">
        <v>168100</v>
      </c>
    </row>
    <row r="792" spans="4:10">
      <c r="D792" t="s">
        <v>619</v>
      </c>
      <c r="E792" t="s">
        <v>540</v>
      </c>
      <c r="F792">
        <v>2976</v>
      </c>
      <c r="G792">
        <v>2978</v>
      </c>
      <c r="H792">
        <v>2975.5</v>
      </c>
      <c r="I792">
        <v>2978</v>
      </c>
      <c r="J792">
        <v>155900</v>
      </c>
    </row>
    <row r="793" spans="4:10">
      <c r="D793" t="s">
        <v>619</v>
      </c>
      <c r="E793" t="s">
        <v>541</v>
      </c>
      <c r="F793">
        <v>2978</v>
      </c>
      <c r="G793">
        <v>2981</v>
      </c>
      <c r="H793">
        <v>2978</v>
      </c>
      <c r="I793">
        <v>2981</v>
      </c>
      <c r="J793">
        <v>149600</v>
      </c>
    </row>
    <row r="794" spans="4:10">
      <c r="D794" t="s">
        <v>619</v>
      </c>
      <c r="E794" t="s">
        <v>542</v>
      </c>
      <c r="F794">
        <v>2981</v>
      </c>
      <c r="G794">
        <v>2985</v>
      </c>
      <c r="H794">
        <v>2980</v>
      </c>
      <c r="I794">
        <v>2984.5</v>
      </c>
      <c r="J794">
        <v>246300</v>
      </c>
    </row>
    <row r="795" spans="4:10">
      <c r="D795" t="s">
        <v>619</v>
      </c>
      <c r="E795" t="s">
        <v>543</v>
      </c>
      <c r="F795">
        <v>2984</v>
      </c>
      <c r="G795">
        <v>2988</v>
      </c>
      <c r="H795">
        <v>2984</v>
      </c>
      <c r="I795">
        <v>2986.5</v>
      </c>
      <c r="J795">
        <v>240800</v>
      </c>
    </row>
    <row r="796" spans="4:10">
      <c r="D796" t="s">
        <v>619</v>
      </c>
      <c r="E796" t="s">
        <v>544</v>
      </c>
      <c r="F796">
        <v>2986</v>
      </c>
      <c r="G796">
        <v>2987</v>
      </c>
      <c r="H796">
        <v>2984.5</v>
      </c>
      <c r="I796">
        <v>2985.5</v>
      </c>
      <c r="J796">
        <v>254500</v>
      </c>
    </row>
    <row r="797" spans="4:10">
      <c r="D797" t="s">
        <v>619</v>
      </c>
      <c r="E797" t="s">
        <v>545</v>
      </c>
      <c r="F797">
        <v>2985</v>
      </c>
      <c r="G797">
        <v>2986.5</v>
      </c>
      <c r="H797">
        <v>2984.5</v>
      </c>
      <c r="I797">
        <v>2986.5</v>
      </c>
      <c r="J797">
        <v>127300</v>
      </c>
    </row>
    <row r="798" spans="4:10">
      <c r="D798" t="s">
        <v>619</v>
      </c>
      <c r="E798" t="s">
        <v>546</v>
      </c>
      <c r="F798">
        <v>2986.5</v>
      </c>
      <c r="G798">
        <v>2987.5</v>
      </c>
      <c r="H798">
        <v>2983</v>
      </c>
      <c r="I798">
        <v>2984</v>
      </c>
      <c r="J798">
        <v>204600</v>
      </c>
    </row>
    <row r="799" spans="4:10">
      <c r="D799" t="s">
        <v>619</v>
      </c>
      <c r="E799" t="s">
        <v>547</v>
      </c>
      <c r="F799">
        <v>2984.5</v>
      </c>
      <c r="G799">
        <v>2985</v>
      </c>
      <c r="H799">
        <v>2981.5</v>
      </c>
      <c r="I799">
        <v>2982.5</v>
      </c>
      <c r="J799">
        <v>131500</v>
      </c>
    </row>
    <row r="800" spans="4:10">
      <c r="D800" t="s">
        <v>619</v>
      </c>
      <c r="E800" t="s">
        <v>548</v>
      </c>
      <c r="F800">
        <v>2983</v>
      </c>
      <c r="G800">
        <v>2983.5</v>
      </c>
      <c r="H800">
        <v>2980</v>
      </c>
      <c r="I800">
        <v>2981</v>
      </c>
      <c r="J800">
        <v>146700</v>
      </c>
    </row>
    <row r="801" spans="4:10">
      <c r="D801" t="s">
        <v>619</v>
      </c>
      <c r="E801" t="s">
        <v>549</v>
      </c>
      <c r="F801">
        <v>2981</v>
      </c>
      <c r="G801">
        <v>2981</v>
      </c>
      <c r="H801">
        <v>2978</v>
      </c>
      <c r="I801">
        <v>2978.5</v>
      </c>
      <c r="J801">
        <v>136900</v>
      </c>
    </row>
    <row r="802" spans="4:10">
      <c r="D802" t="s">
        <v>619</v>
      </c>
      <c r="E802" t="s">
        <v>550</v>
      </c>
      <c r="F802">
        <v>2978.5</v>
      </c>
      <c r="G802">
        <v>2978.5</v>
      </c>
      <c r="H802">
        <v>2976</v>
      </c>
      <c r="I802">
        <v>2977</v>
      </c>
      <c r="J802">
        <v>102300</v>
      </c>
    </row>
    <row r="803" spans="4:10">
      <c r="D803" t="s">
        <v>619</v>
      </c>
      <c r="E803" t="s">
        <v>551</v>
      </c>
      <c r="F803">
        <v>2976.5</v>
      </c>
      <c r="G803">
        <v>2978</v>
      </c>
      <c r="H803">
        <v>2975</v>
      </c>
      <c r="I803">
        <v>2975.5</v>
      </c>
      <c r="J803">
        <v>239700</v>
      </c>
    </row>
    <row r="804" spans="4:10">
      <c r="D804" t="s">
        <v>619</v>
      </c>
      <c r="E804" t="s">
        <v>552</v>
      </c>
      <c r="F804">
        <v>2975.5</v>
      </c>
      <c r="G804">
        <v>2977</v>
      </c>
      <c r="H804">
        <v>2973.5</v>
      </c>
      <c r="I804">
        <v>2976.5</v>
      </c>
      <c r="J804">
        <v>206100</v>
      </c>
    </row>
    <row r="805" spans="4:10">
      <c r="D805" t="s">
        <v>619</v>
      </c>
      <c r="E805" t="s">
        <v>553</v>
      </c>
      <c r="F805">
        <v>2977</v>
      </c>
      <c r="G805">
        <v>2977</v>
      </c>
      <c r="H805">
        <v>2972.5</v>
      </c>
      <c r="I805">
        <v>2973.5</v>
      </c>
      <c r="J805">
        <v>212600</v>
      </c>
    </row>
    <row r="806" spans="4:10">
      <c r="D806" t="s">
        <v>619</v>
      </c>
      <c r="E806" t="s">
        <v>554</v>
      </c>
      <c r="F806">
        <v>2973</v>
      </c>
      <c r="G806">
        <v>2977</v>
      </c>
      <c r="H806">
        <v>2971</v>
      </c>
      <c r="I806">
        <v>2973.5</v>
      </c>
      <c r="J806">
        <v>318000</v>
      </c>
    </row>
    <row r="807" spans="4:10">
      <c r="D807" t="s">
        <v>619</v>
      </c>
      <c r="E807" t="s">
        <v>555</v>
      </c>
      <c r="F807">
        <v>2974</v>
      </c>
      <c r="G807">
        <v>2975.5</v>
      </c>
      <c r="H807">
        <v>2973</v>
      </c>
      <c r="I807">
        <v>2975</v>
      </c>
      <c r="J807">
        <v>116300</v>
      </c>
    </row>
    <row r="808" spans="4:10">
      <c r="D808" t="s">
        <v>619</v>
      </c>
      <c r="E808" t="s">
        <v>556</v>
      </c>
      <c r="F808">
        <v>2975.5</v>
      </c>
      <c r="G808">
        <v>2980</v>
      </c>
      <c r="H808">
        <v>2975.5</v>
      </c>
      <c r="I808">
        <v>2980</v>
      </c>
      <c r="J808">
        <v>167700</v>
      </c>
    </row>
    <row r="809" spans="4:10">
      <c r="D809" t="s">
        <v>619</v>
      </c>
      <c r="E809" t="s">
        <v>557</v>
      </c>
      <c r="F809">
        <v>2979.5</v>
      </c>
      <c r="G809">
        <v>2980.5</v>
      </c>
      <c r="H809">
        <v>2977.5</v>
      </c>
      <c r="I809">
        <v>2979.5</v>
      </c>
      <c r="J809">
        <v>253400</v>
      </c>
    </row>
    <row r="810" spans="4:10">
      <c r="D810" t="s">
        <v>619</v>
      </c>
      <c r="E810" t="s">
        <v>558</v>
      </c>
      <c r="F810">
        <v>2979.5</v>
      </c>
      <c r="G810">
        <v>2981</v>
      </c>
      <c r="H810">
        <v>2979</v>
      </c>
      <c r="I810">
        <v>2980.5</v>
      </c>
      <c r="J810">
        <v>164600</v>
      </c>
    </row>
    <row r="811" spans="4:10">
      <c r="D811" t="s">
        <v>619</v>
      </c>
      <c r="E811" t="s">
        <v>559</v>
      </c>
      <c r="F811">
        <v>2981</v>
      </c>
      <c r="G811">
        <v>2983.5</v>
      </c>
      <c r="H811">
        <v>2980</v>
      </c>
      <c r="I811">
        <v>2983.5</v>
      </c>
      <c r="J811">
        <v>118100</v>
      </c>
    </row>
    <row r="812" spans="4:10">
      <c r="D812" t="s">
        <v>619</v>
      </c>
      <c r="E812" t="s">
        <v>560</v>
      </c>
      <c r="F812">
        <v>2983</v>
      </c>
      <c r="G812">
        <v>2985</v>
      </c>
      <c r="H812">
        <v>2981</v>
      </c>
      <c r="I812">
        <v>2982</v>
      </c>
      <c r="J812">
        <v>189700</v>
      </c>
    </row>
    <row r="813" spans="4:10">
      <c r="D813" t="s">
        <v>619</v>
      </c>
      <c r="E813" t="s">
        <v>561</v>
      </c>
      <c r="F813">
        <v>2982</v>
      </c>
      <c r="G813">
        <v>2983</v>
      </c>
      <c r="H813">
        <v>2979.5</v>
      </c>
      <c r="I813">
        <v>2980</v>
      </c>
      <c r="J813">
        <v>259600</v>
      </c>
    </row>
    <row r="814" spans="4:10">
      <c r="D814" t="s">
        <v>619</v>
      </c>
      <c r="E814" t="s">
        <v>562</v>
      </c>
      <c r="F814">
        <v>2980</v>
      </c>
      <c r="G814">
        <v>2981.5</v>
      </c>
      <c r="H814">
        <v>2979</v>
      </c>
      <c r="I814">
        <v>2980</v>
      </c>
      <c r="J814">
        <v>138500</v>
      </c>
    </row>
    <row r="815" spans="4:10">
      <c r="D815" t="s">
        <v>619</v>
      </c>
      <c r="E815" t="s">
        <v>563</v>
      </c>
      <c r="F815">
        <v>2979.5</v>
      </c>
      <c r="G815">
        <v>2980</v>
      </c>
      <c r="H815">
        <v>2976.5</v>
      </c>
      <c r="I815">
        <v>2977.5</v>
      </c>
      <c r="J815">
        <v>178300</v>
      </c>
    </row>
    <row r="816" spans="4:10">
      <c r="D816" t="s">
        <v>619</v>
      </c>
      <c r="E816" t="s">
        <v>564</v>
      </c>
      <c r="F816">
        <v>2977.5</v>
      </c>
      <c r="G816">
        <v>2981</v>
      </c>
      <c r="H816">
        <v>2977.5</v>
      </c>
      <c r="I816">
        <v>2981</v>
      </c>
      <c r="J816">
        <v>90600</v>
      </c>
    </row>
    <row r="817" spans="4:10">
      <c r="D817" t="s">
        <v>619</v>
      </c>
      <c r="E817" t="s">
        <v>565</v>
      </c>
      <c r="F817">
        <v>2981</v>
      </c>
      <c r="G817">
        <v>2982</v>
      </c>
      <c r="H817">
        <v>2980</v>
      </c>
      <c r="I817">
        <v>2980.5</v>
      </c>
      <c r="J817">
        <v>113900</v>
      </c>
    </row>
    <row r="818" spans="4:10">
      <c r="D818" t="s">
        <v>619</v>
      </c>
      <c r="E818" t="s">
        <v>566</v>
      </c>
      <c r="F818">
        <v>2980</v>
      </c>
      <c r="G818">
        <v>2981</v>
      </c>
      <c r="H818">
        <v>2978.5</v>
      </c>
      <c r="I818">
        <v>2979</v>
      </c>
      <c r="J818">
        <v>178500</v>
      </c>
    </row>
    <row r="819" spans="4:10">
      <c r="D819" t="s">
        <v>619</v>
      </c>
      <c r="E819" t="s">
        <v>567</v>
      </c>
      <c r="F819">
        <v>2979.5</v>
      </c>
      <c r="G819">
        <v>2981</v>
      </c>
      <c r="H819">
        <v>2978</v>
      </c>
      <c r="I819">
        <v>2980.5</v>
      </c>
      <c r="J819">
        <v>172600</v>
      </c>
    </row>
    <row r="820" spans="4:10">
      <c r="D820" t="s">
        <v>619</v>
      </c>
      <c r="E820" t="s">
        <v>568</v>
      </c>
      <c r="F820">
        <v>2980.5</v>
      </c>
      <c r="G820">
        <v>2984</v>
      </c>
      <c r="H820">
        <v>2980.5</v>
      </c>
      <c r="I820">
        <v>2983</v>
      </c>
      <c r="J820">
        <v>164900</v>
      </c>
    </row>
    <row r="821" spans="4:10">
      <c r="D821" t="s">
        <v>619</v>
      </c>
      <c r="E821" t="s">
        <v>569</v>
      </c>
      <c r="F821">
        <v>2982.5</v>
      </c>
      <c r="G821">
        <v>2984</v>
      </c>
      <c r="H821">
        <v>2982.5</v>
      </c>
      <c r="I821">
        <v>2983.5</v>
      </c>
      <c r="J821">
        <v>201000</v>
      </c>
    </row>
    <row r="822" spans="4:10">
      <c r="D822" t="s">
        <v>619</v>
      </c>
      <c r="E822" t="s">
        <v>570</v>
      </c>
      <c r="F822">
        <v>2983</v>
      </c>
      <c r="G822">
        <v>2986</v>
      </c>
      <c r="H822">
        <v>2982</v>
      </c>
      <c r="I822">
        <v>2985</v>
      </c>
      <c r="J822">
        <v>392300</v>
      </c>
    </row>
    <row r="823" spans="4:10">
      <c r="D823" t="s">
        <v>619</v>
      </c>
      <c r="E823" t="s">
        <v>571</v>
      </c>
      <c r="F823" t="s">
        <v>35</v>
      </c>
      <c r="G823" t="s">
        <v>35</v>
      </c>
      <c r="H823" t="s">
        <v>35</v>
      </c>
      <c r="I823" t="s">
        <v>35</v>
      </c>
      <c r="J823">
        <v>0</v>
      </c>
    </row>
    <row r="824" spans="4:10">
      <c r="D824" t="s">
        <v>619</v>
      </c>
      <c r="E824" t="s">
        <v>572</v>
      </c>
      <c r="F824">
        <v>2985</v>
      </c>
      <c r="G824">
        <v>2985</v>
      </c>
      <c r="H824">
        <v>2985</v>
      </c>
      <c r="I824">
        <v>2985</v>
      </c>
      <c r="J824">
        <v>4866700</v>
      </c>
    </row>
    <row r="825" spans="4:10">
      <c r="D825" t="s">
        <v>199</v>
      </c>
      <c r="E825" t="s">
        <v>574</v>
      </c>
      <c r="F825">
        <v>2985</v>
      </c>
      <c r="G825">
        <v>2995</v>
      </c>
      <c r="H825">
        <v>2968.5</v>
      </c>
      <c r="I825">
        <v>2989</v>
      </c>
      <c r="J825">
        <v>2718800</v>
      </c>
    </row>
    <row r="826" spans="4:10">
      <c r="D826" t="s">
        <v>199</v>
      </c>
      <c r="E826" t="s">
        <v>575</v>
      </c>
      <c r="F826">
        <v>2989</v>
      </c>
      <c r="G826">
        <v>2993</v>
      </c>
      <c r="H826">
        <v>2986</v>
      </c>
      <c r="I826">
        <v>2988</v>
      </c>
      <c r="J826">
        <v>484200</v>
      </c>
    </row>
    <row r="827" spans="4:10">
      <c r="D827" t="s">
        <v>199</v>
      </c>
      <c r="E827" t="s">
        <v>576</v>
      </c>
      <c r="F827">
        <v>2988</v>
      </c>
      <c r="G827">
        <v>2998</v>
      </c>
      <c r="H827">
        <v>2988</v>
      </c>
      <c r="I827">
        <v>2994</v>
      </c>
      <c r="J827">
        <v>500400</v>
      </c>
    </row>
    <row r="828" spans="4:10">
      <c r="D828" t="s">
        <v>199</v>
      </c>
      <c r="E828" t="s">
        <v>577</v>
      </c>
      <c r="F828">
        <v>2994.5</v>
      </c>
      <c r="G828">
        <v>3010</v>
      </c>
      <c r="H828">
        <v>2993</v>
      </c>
      <c r="I828">
        <v>3008</v>
      </c>
      <c r="J828">
        <v>1176000</v>
      </c>
    </row>
    <row r="829" spans="4:10">
      <c r="D829" t="s">
        <v>199</v>
      </c>
      <c r="E829" t="s">
        <v>578</v>
      </c>
      <c r="F829">
        <v>3008</v>
      </c>
      <c r="G829">
        <v>3015</v>
      </c>
      <c r="H829">
        <v>3005</v>
      </c>
      <c r="I829">
        <v>3012</v>
      </c>
      <c r="J829">
        <v>582400</v>
      </c>
    </row>
    <row r="830" spans="4:10">
      <c r="D830" t="s">
        <v>199</v>
      </c>
      <c r="E830" t="s">
        <v>579</v>
      </c>
      <c r="F830">
        <v>3013</v>
      </c>
      <c r="G830">
        <v>3013</v>
      </c>
      <c r="H830">
        <v>2998</v>
      </c>
      <c r="I830">
        <v>2999</v>
      </c>
      <c r="J830">
        <v>298600</v>
      </c>
    </row>
    <row r="831" spans="4:10">
      <c r="D831" t="s">
        <v>199</v>
      </c>
      <c r="E831" t="s">
        <v>580</v>
      </c>
      <c r="F831">
        <v>2999.5</v>
      </c>
      <c r="G831">
        <v>3011</v>
      </c>
      <c r="H831">
        <v>2997.5</v>
      </c>
      <c r="I831">
        <v>3008</v>
      </c>
      <c r="J831">
        <v>581700</v>
      </c>
    </row>
    <row r="832" spans="4:10">
      <c r="D832" t="s">
        <v>199</v>
      </c>
      <c r="E832" t="s">
        <v>581</v>
      </c>
      <c r="F832">
        <v>3008</v>
      </c>
      <c r="G832">
        <v>3017</v>
      </c>
      <c r="H832">
        <v>3006</v>
      </c>
      <c r="I832">
        <v>3016</v>
      </c>
      <c r="J832">
        <v>453800</v>
      </c>
    </row>
    <row r="833" spans="4:10">
      <c r="D833" t="s">
        <v>199</v>
      </c>
      <c r="E833" t="s">
        <v>582</v>
      </c>
      <c r="F833">
        <v>3016</v>
      </c>
      <c r="G833">
        <v>3016</v>
      </c>
      <c r="H833">
        <v>3009</v>
      </c>
      <c r="I833">
        <v>3012</v>
      </c>
      <c r="J833">
        <v>197500</v>
      </c>
    </row>
    <row r="834" spans="4:10">
      <c r="D834" t="s">
        <v>199</v>
      </c>
      <c r="E834" t="s">
        <v>583</v>
      </c>
      <c r="F834">
        <v>3012</v>
      </c>
      <c r="G834">
        <v>3014</v>
      </c>
      <c r="H834">
        <v>3006</v>
      </c>
      <c r="I834">
        <v>3006</v>
      </c>
      <c r="J834">
        <v>166000</v>
      </c>
    </row>
    <row r="835" spans="4:10">
      <c r="D835" t="s">
        <v>199</v>
      </c>
      <c r="E835" t="s">
        <v>584</v>
      </c>
      <c r="F835">
        <v>3007</v>
      </c>
      <c r="G835">
        <v>3012</v>
      </c>
      <c r="H835">
        <v>3005</v>
      </c>
      <c r="I835">
        <v>3007</v>
      </c>
      <c r="J835">
        <v>207800</v>
      </c>
    </row>
    <row r="836" spans="4:10">
      <c r="D836" t="s">
        <v>199</v>
      </c>
      <c r="E836" t="s">
        <v>585</v>
      </c>
      <c r="F836">
        <v>3008</v>
      </c>
      <c r="G836">
        <v>3012</v>
      </c>
      <c r="H836">
        <v>3007</v>
      </c>
      <c r="I836">
        <v>3010</v>
      </c>
      <c r="J836">
        <v>220500</v>
      </c>
    </row>
    <row r="837" spans="4:10">
      <c r="D837" t="s">
        <v>199</v>
      </c>
      <c r="E837" t="s">
        <v>586</v>
      </c>
      <c r="F837">
        <v>3010</v>
      </c>
      <c r="G837">
        <v>3013</v>
      </c>
      <c r="H837">
        <v>3009</v>
      </c>
      <c r="I837">
        <v>3012</v>
      </c>
      <c r="J837">
        <v>198800</v>
      </c>
    </row>
    <row r="838" spans="4:10">
      <c r="D838" t="s">
        <v>199</v>
      </c>
      <c r="E838" t="s">
        <v>587</v>
      </c>
      <c r="F838">
        <v>3011</v>
      </c>
      <c r="G838">
        <v>3015</v>
      </c>
      <c r="H838">
        <v>3010</v>
      </c>
      <c r="I838">
        <v>3013</v>
      </c>
      <c r="J838">
        <v>218100</v>
      </c>
    </row>
    <row r="839" spans="4:10">
      <c r="D839" t="s">
        <v>199</v>
      </c>
      <c r="E839" t="s">
        <v>588</v>
      </c>
      <c r="F839">
        <v>3014</v>
      </c>
      <c r="G839">
        <v>3018</v>
      </c>
      <c r="H839">
        <v>3012</v>
      </c>
      <c r="I839">
        <v>3015</v>
      </c>
      <c r="J839">
        <v>390600</v>
      </c>
    </row>
    <row r="840" spans="4:10">
      <c r="D840" t="s">
        <v>199</v>
      </c>
      <c r="E840" t="s">
        <v>589</v>
      </c>
      <c r="F840">
        <v>3015</v>
      </c>
      <c r="G840">
        <v>3018</v>
      </c>
      <c r="H840">
        <v>3013</v>
      </c>
      <c r="I840">
        <v>3013</v>
      </c>
      <c r="J840">
        <v>197200</v>
      </c>
    </row>
    <row r="841" spans="4:10">
      <c r="D841" t="s">
        <v>199</v>
      </c>
      <c r="E841" t="s">
        <v>590</v>
      </c>
      <c r="F841">
        <v>3014</v>
      </c>
      <c r="G841">
        <v>3017</v>
      </c>
      <c r="H841">
        <v>3009</v>
      </c>
      <c r="I841">
        <v>3010</v>
      </c>
      <c r="J841">
        <v>188300</v>
      </c>
    </row>
    <row r="842" spans="4:10">
      <c r="D842" t="s">
        <v>199</v>
      </c>
      <c r="E842" t="s">
        <v>591</v>
      </c>
      <c r="F842">
        <v>3010</v>
      </c>
      <c r="G842">
        <v>3012</v>
      </c>
      <c r="H842">
        <v>3006</v>
      </c>
      <c r="I842">
        <v>3007</v>
      </c>
      <c r="J842">
        <v>128800</v>
      </c>
    </row>
    <row r="843" spans="4:10">
      <c r="D843" t="s">
        <v>199</v>
      </c>
      <c r="E843" t="s">
        <v>592</v>
      </c>
      <c r="F843">
        <v>3007</v>
      </c>
      <c r="G843">
        <v>3011</v>
      </c>
      <c r="H843">
        <v>3007</v>
      </c>
      <c r="I843">
        <v>3011</v>
      </c>
      <c r="J843">
        <v>110400</v>
      </c>
    </row>
    <row r="844" spans="4:10">
      <c r="D844" t="s">
        <v>199</v>
      </c>
      <c r="E844" t="s">
        <v>593</v>
      </c>
      <c r="F844">
        <v>3011</v>
      </c>
      <c r="G844">
        <v>3011</v>
      </c>
      <c r="H844">
        <v>3006</v>
      </c>
      <c r="I844">
        <v>3007</v>
      </c>
      <c r="J844">
        <v>137900</v>
      </c>
    </row>
    <row r="845" spans="4:10">
      <c r="D845" t="s">
        <v>199</v>
      </c>
      <c r="E845" t="s">
        <v>594</v>
      </c>
      <c r="F845">
        <v>3006</v>
      </c>
      <c r="G845">
        <v>3007</v>
      </c>
      <c r="H845">
        <v>3002</v>
      </c>
      <c r="I845">
        <v>3004</v>
      </c>
      <c r="J845">
        <v>100500</v>
      </c>
    </row>
    <row r="846" spans="4:10">
      <c r="D846" t="s">
        <v>199</v>
      </c>
      <c r="E846" t="s">
        <v>595</v>
      </c>
      <c r="F846">
        <v>3003</v>
      </c>
      <c r="G846">
        <v>3007</v>
      </c>
      <c r="H846">
        <v>3003</v>
      </c>
      <c r="I846">
        <v>3007</v>
      </c>
      <c r="J846">
        <v>89200</v>
      </c>
    </row>
    <row r="847" spans="4:10">
      <c r="D847" t="s">
        <v>199</v>
      </c>
      <c r="E847" t="s">
        <v>596</v>
      </c>
      <c r="F847">
        <v>3007</v>
      </c>
      <c r="G847">
        <v>3008</v>
      </c>
      <c r="H847">
        <v>3003</v>
      </c>
      <c r="I847">
        <v>3005</v>
      </c>
      <c r="J847">
        <v>87800</v>
      </c>
    </row>
    <row r="848" spans="4:10">
      <c r="D848" t="s">
        <v>199</v>
      </c>
      <c r="E848" t="s">
        <v>597</v>
      </c>
      <c r="F848">
        <v>3004</v>
      </c>
      <c r="G848">
        <v>3006</v>
      </c>
      <c r="H848">
        <v>3003</v>
      </c>
      <c r="I848">
        <v>3004</v>
      </c>
      <c r="J848">
        <v>104100</v>
      </c>
    </row>
    <row r="849" spans="4:10">
      <c r="D849" t="s">
        <v>199</v>
      </c>
      <c r="E849" t="s">
        <v>598</v>
      </c>
      <c r="F849">
        <v>3004</v>
      </c>
      <c r="G849">
        <v>3007</v>
      </c>
      <c r="H849">
        <v>3002</v>
      </c>
      <c r="I849">
        <v>3006</v>
      </c>
      <c r="J849">
        <v>109500</v>
      </c>
    </row>
    <row r="850" spans="4:10">
      <c r="D850" t="s">
        <v>199</v>
      </c>
      <c r="E850" t="s">
        <v>599</v>
      </c>
      <c r="F850">
        <v>3005</v>
      </c>
      <c r="G850">
        <v>3005</v>
      </c>
      <c r="H850">
        <v>3003</v>
      </c>
      <c r="I850">
        <v>3003</v>
      </c>
      <c r="J850">
        <v>73300</v>
      </c>
    </row>
    <row r="851" spans="4:10">
      <c r="D851" t="s">
        <v>199</v>
      </c>
      <c r="E851" t="s">
        <v>600</v>
      </c>
      <c r="F851">
        <v>3003</v>
      </c>
      <c r="G851">
        <v>3004</v>
      </c>
      <c r="H851">
        <v>3002</v>
      </c>
      <c r="I851">
        <v>3003</v>
      </c>
      <c r="J851">
        <v>71600</v>
      </c>
    </row>
    <row r="852" spans="4:10">
      <c r="D852" t="s">
        <v>199</v>
      </c>
      <c r="E852" t="s">
        <v>601</v>
      </c>
      <c r="F852">
        <v>3003</v>
      </c>
      <c r="G852">
        <v>3008</v>
      </c>
      <c r="H852">
        <v>3002</v>
      </c>
      <c r="I852">
        <v>3006</v>
      </c>
      <c r="J852">
        <v>139700</v>
      </c>
    </row>
    <row r="853" spans="4:10">
      <c r="D853" t="s">
        <v>199</v>
      </c>
      <c r="E853" t="s">
        <v>602</v>
      </c>
      <c r="F853">
        <v>3006</v>
      </c>
      <c r="G853">
        <v>3009</v>
      </c>
      <c r="H853">
        <v>3005</v>
      </c>
      <c r="I853">
        <v>3006</v>
      </c>
      <c r="J853">
        <v>118100</v>
      </c>
    </row>
    <row r="854" spans="4:10">
      <c r="D854" t="s">
        <v>199</v>
      </c>
      <c r="E854" t="s">
        <v>603</v>
      </c>
      <c r="F854">
        <v>3006</v>
      </c>
      <c r="G854">
        <v>3006</v>
      </c>
      <c r="H854">
        <v>3004</v>
      </c>
      <c r="I854">
        <v>3006</v>
      </c>
      <c r="J854">
        <v>60900</v>
      </c>
    </row>
    <row r="855" spans="4:10">
      <c r="D855" t="s">
        <v>199</v>
      </c>
      <c r="E855" t="s">
        <v>604</v>
      </c>
      <c r="F855">
        <v>3004</v>
      </c>
      <c r="G855">
        <v>3004</v>
      </c>
      <c r="H855">
        <v>3004</v>
      </c>
      <c r="I855">
        <v>3004</v>
      </c>
      <c r="J855">
        <v>21100</v>
      </c>
    </row>
    <row r="856" spans="4:10">
      <c r="D856" t="s">
        <v>199</v>
      </c>
      <c r="E856" t="s">
        <v>605</v>
      </c>
      <c r="F856">
        <v>3009</v>
      </c>
      <c r="G856">
        <v>3018</v>
      </c>
      <c r="H856">
        <v>3007</v>
      </c>
      <c r="I856">
        <v>3015</v>
      </c>
      <c r="J856">
        <v>641300</v>
      </c>
    </row>
    <row r="857" spans="4:10">
      <c r="D857" t="s">
        <v>199</v>
      </c>
      <c r="E857" t="s">
        <v>606</v>
      </c>
      <c r="F857">
        <v>3016</v>
      </c>
      <c r="G857">
        <v>3021</v>
      </c>
      <c r="H857">
        <v>3016</v>
      </c>
      <c r="I857">
        <v>3020</v>
      </c>
      <c r="J857">
        <v>851500</v>
      </c>
    </row>
    <row r="858" spans="4:10">
      <c r="D858" t="s">
        <v>199</v>
      </c>
      <c r="E858" t="s">
        <v>538</v>
      </c>
      <c r="F858">
        <v>3019</v>
      </c>
      <c r="G858">
        <v>3024</v>
      </c>
      <c r="H858">
        <v>3018</v>
      </c>
      <c r="I858">
        <v>3019</v>
      </c>
      <c r="J858">
        <v>274700</v>
      </c>
    </row>
    <row r="859" spans="4:10">
      <c r="D859" t="s">
        <v>199</v>
      </c>
      <c r="E859" t="s">
        <v>539</v>
      </c>
      <c r="F859">
        <v>3019</v>
      </c>
      <c r="G859">
        <v>3022</v>
      </c>
      <c r="H859">
        <v>3016</v>
      </c>
      <c r="I859">
        <v>3016</v>
      </c>
      <c r="J859">
        <v>129700</v>
      </c>
    </row>
    <row r="860" spans="4:10">
      <c r="D860" t="s">
        <v>199</v>
      </c>
      <c r="E860" t="s">
        <v>540</v>
      </c>
      <c r="F860">
        <v>3016</v>
      </c>
      <c r="G860">
        <v>3020</v>
      </c>
      <c r="H860">
        <v>3016</v>
      </c>
      <c r="I860">
        <v>3019</v>
      </c>
      <c r="J860">
        <v>83900</v>
      </c>
    </row>
    <row r="861" spans="4:10">
      <c r="D861" t="s">
        <v>199</v>
      </c>
      <c r="E861" t="s">
        <v>541</v>
      </c>
      <c r="F861">
        <v>3019</v>
      </c>
      <c r="G861">
        <v>3019</v>
      </c>
      <c r="H861">
        <v>3016</v>
      </c>
      <c r="I861">
        <v>3017</v>
      </c>
      <c r="J861">
        <v>77200</v>
      </c>
    </row>
    <row r="862" spans="4:10">
      <c r="D862" t="s">
        <v>199</v>
      </c>
      <c r="E862" t="s">
        <v>542</v>
      </c>
      <c r="F862">
        <v>3017</v>
      </c>
      <c r="G862">
        <v>3020</v>
      </c>
      <c r="H862">
        <v>3017</v>
      </c>
      <c r="I862">
        <v>3018</v>
      </c>
      <c r="J862">
        <v>170400</v>
      </c>
    </row>
    <row r="863" spans="4:10">
      <c r="D863" t="s">
        <v>199</v>
      </c>
      <c r="E863" t="s">
        <v>543</v>
      </c>
      <c r="F863">
        <v>3019</v>
      </c>
      <c r="G863">
        <v>3019</v>
      </c>
      <c r="H863">
        <v>3016</v>
      </c>
      <c r="I863">
        <v>3018</v>
      </c>
      <c r="J863">
        <v>97700</v>
      </c>
    </row>
    <row r="864" spans="4:10">
      <c r="D864" t="s">
        <v>199</v>
      </c>
      <c r="E864" t="s">
        <v>544</v>
      </c>
      <c r="F864">
        <v>3018</v>
      </c>
      <c r="G864">
        <v>3019</v>
      </c>
      <c r="H864">
        <v>3015</v>
      </c>
      <c r="I864">
        <v>3015</v>
      </c>
      <c r="J864">
        <v>113300</v>
      </c>
    </row>
    <row r="865" spans="4:10">
      <c r="D865" t="s">
        <v>199</v>
      </c>
      <c r="E865" t="s">
        <v>545</v>
      </c>
      <c r="F865">
        <v>3015</v>
      </c>
      <c r="G865">
        <v>3018</v>
      </c>
      <c r="H865">
        <v>3015</v>
      </c>
      <c r="I865">
        <v>3016</v>
      </c>
      <c r="J865">
        <v>71700</v>
      </c>
    </row>
    <row r="866" spans="4:10">
      <c r="D866" t="s">
        <v>199</v>
      </c>
      <c r="E866" t="s">
        <v>546</v>
      </c>
      <c r="F866">
        <v>3017</v>
      </c>
      <c r="G866">
        <v>3019</v>
      </c>
      <c r="H866">
        <v>3016</v>
      </c>
      <c r="I866">
        <v>3016</v>
      </c>
      <c r="J866">
        <v>93300</v>
      </c>
    </row>
    <row r="867" spans="4:10">
      <c r="D867" t="s">
        <v>199</v>
      </c>
      <c r="E867" t="s">
        <v>547</v>
      </c>
      <c r="F867">
        <v>3016</v>
      </c>
      <c r="G867">
        <v>3018</v>
      </c>
      <c r="H867">
        <v>3014</v>
      </c>
      <c r="I867">
        <v>3018</v>
      </c>
      <c r="J867">
        <v>164500</v>
      </c>
    </row>
    <row r="868" spans="4:10">
      <c r="D868" t="s">
        <v>199</v>
      </c>
      <c r="E868" t="s">
        <v>548</v>
      </c>
      <c r="F868">
        <v>3018</v>
      </c>
      <c r="G868">
        <v>3018</v>
      </c>
      <c r="H868">
        <v>3016</v>
      </c>
      <c r="I868">
        <v>3017</v>
      </c>
      <c r="J868">
        <v>107800</v>
      </c>
    </row>
    <row r="869" spans="4:10">
      <c r="D869" t="s">
        <v>199</v>
      </c>
      <c r="E869" t="s">
        <v>549</v>
      </c>
      <c r="F869">
        <v>3017</v>
      </c>
      <c r="G869">
        <v>3017</v>
      </c>
      <c r="H869">
        <v>3014</v>
      </c>
      <c r="I869">
        <v>3016</v>
      </c>
      <c r="J869">
        <v>102100</v>
      </c>
    </row>
    <row r="870" spans="4:10">
      <c r="D870" t="s">
        <v>199</v>
      </c>
      <c r="E870" t="s">
        <v>550</v>
      </c>
      <c r="F870">
        <v>3016</v>
      </c>
      <c r="G870">
        <v>3017</v>
      </c>
      <c r="H870">
        <v>3013</v>
      </c>
      <c r="I870">
        <v>3014</v>
      </c>
      <c r="J870">
        <v>104100</v>
      </c>
    </row>
    <row r="871" spans="4:10">
      <c r="D871" t="s">
        <v>199</v>
      </c>
      <c r="E871" t="s">
        <v>551</v>
      </c>
      <c r="F871">
        <v>3014</v>
      </c>
      <c r="G871">
        <v>3015</v>
      </c>
      <c r="H871">
        <v>3011</v>
      </c>
      <c r="I871">
        <v>3011</v>
      </c>
      <c r="J871">
        <v>91000</v>
      </c>
    </row>
    <row r="872" spans="4:10">
      <c r="D872" t="s">
        <v>199</v>
      </c>
      <c r="E872" t="s">
        <v>552</v>
      </c>
      <c r="F872">
        <v>3012</v>
      </c>
      <c r="G872">
        <v>3014</v>
      </c>
      <c r="H872">
        <v>3011</v>
      </c>
      <c r="I872">
        <v>3012</v>
      </c>
      <c r="J872">
        <v>90000</v>
      </c>
    </row>
    <row r="873" spans="4:10">
      <c r="D873" t="s">
        <v>199</v>
      </c>
      <c r="E873" t="s">
        <v>553</v>
      </c>
      <c r="F873">
        <v>3012</v>
      </c>
      <c r="G873">
        <v>3016</v>
      </c>
      <c r="H873">
        <v>3012</v>
      </c>
      <c r="I873">
        <v>3015</v>
      </c>
      <c r="J873">
        <v>188800</v>
      </c>
    </row>
    <row r="874" spans="4:10">
      <c r="D874" t="s">
        <v>199</v>
      </c>
      <c r="E874" t="s">
        <v>554</v>
      </c>
      <c r="F874">
        <v>3016</v>
      </c>
      <c r="G874">
        <v>3020</v>
      </c>
      <c r="H874">
        <v>3014</v>
      </c>
      <c r="I874">
        <v>3019</v>
      </c>
      <c r="J874">
        <v>231500</v>
      </c>
    </row>
    <row r="875" spans="4:10">
      <c r="D875" t="s">
        <v>199</v>
      </c>
      <c r="E875" t="s">
        <v>555</v>
      </c>
      <c r="F875">
        <v>3019</v>
      </c>
      <c r="G875">
        <v>3026</v>
      </c>
      <c r="H875">
        <v>3019</v>
      </c>
      <c r="I875">
        <v>3025</v>
      </c>
      <c r="J875">
        <v>426000</v>
      </c>
    </row>
    <row r="876" spans="4:10">
      <c r="D876" t="s">
        <v>199</v>
      </c>
      <c r="E876" t="s">
        <v>556</v>
      </c>
      <c r="F876">
        <v>3025</v>
      </c>
      <c r="G876">
        <v>3027</v>
      </c>
      <c r="H876">
        <v>3023</v>
      </c>
      <c r="I876">
        <v>3023</v>
      </c>
      <c r="J876">
        <v>220600</v>
      </c>
    </row>
    <row r="877" spans="4:10">
      <c r="D877" t="s">
        <v>199</v>
      </c>
      <c r="E877" t="s">
        <v>557</v>
      </c>
      <c r="F877">
        <v>3024</v>
      </c>
      <c r="G877">
        <v>3025</v>
      </c>
      <c r="H877">
        <v>3022</v>
      </c>
      <c r="I877">
        <v>3022</v>
      </c>
      <c r="J877">
        <v>155700</v>
      </c>
    </row>
    <row r="878" spans="4:10">
      <c r="D878" t="s">
        <v>199</v>
      </c>
      <c r="E878" t="s">
        <v>558</v>
      </c>
      <c r="F878">
        <v>3023</v>
      </c>
      <c r="G878">
        <v>3024</v>
      </c>
      <c r="H878">
        <v>3021</v>
      </c>
      <c r="I878">
        <v>3024</v>
      </c>
      <c r="J878">
        <v>149700</v>
      </c>
    </row>
    <row r="879" spans="4:10">
      <c r="D879" t="s">
        <v>199</v>
      </c>
      <c r="E879" t="s">
        <v>559</v>
      </c>
      <c r="F879">
        <v>3023</v>
      </c>
      <c r="G879">
        <v>3024</v>
      </c>
      <c r="H879">
        <v>3020</v>
      </c>
      <c r="I879">
        <v>3022</v>
      </c>
      <c r="J879">
        <v>235800</v>
      </c>
    </row>
    <row r="880" spans="4:10">
      <c r="D880" t="s">
        <v>199</v>
      </c>
      <c r="E880" t="s">
        <v>560</v>
      </c>
      <c r="F880">
        <v>3022</v>
      </c>
      <c r="G880">
        <v>3023</v>
      </c>
      <c r="H880">
        <v>3021</v>
      </c>
      <c r="I880">
        <v>3021</v>
      </c>
      <c r="J880">
        <v>97800</v>
      </c>
    </row>
    <row r="881" spans="4:10">
      <c r="D881" t="s">
        <v>199</v>
      </c>
      <c r="E881" t="s">
        <v>561</v>
      </c>
      <c r="F881">
        <v>3021</v>
      </c>
      <c r="G881">
        <v>3024</v>
      </c>
      <c r="H881">
        <v>3021</v>
      </c>
      <c r="I881">
        <v>3023</v>
      </c>
      <c r="J881">
        <v>165500</v>
      </c>
    </row>
    <row r="882" spans="4:10">
      <c r="D882" t="s">
        <v>199</v>
      </c>
      <c r="E882" t="s">
        <v>562</v>
      </c>
      <c r="F882">
        <v>3023</v>
      </c>
      <c r="G882">
        <v>3025</v>
      </c>
      <c r="H882">
        <v>3018</v>
      </c>
      <c r="I882">
        <v>3020</v>
      </c>
      <c r="J882">
        <v>323500</v>
      </c>
    </row>
    <row r="883" spans="4:10">
      <c r="D883" t="s">
        <v>199</v>
      </c>
      <c r="E883" t="s">
        <v>563</v>
      </c>
      <c r="F883">
        <v>3019</v>
      </c>
      <c r="G883">
        <v>3022</v>
      </c>
      <c r="H883">
        <v>3019</v>
      </c>
      <c r="I883">
        <v>3022</v>
      </c>
      <c r="J883">
        <v>101800</v>
      </c>
    </row>
    <row r="884" spans="4:10">
      <c r="D884" t="s">
        <v>199</v>
      </c>
      <c r="E884" t="s">
        <v>564</v>
      </c>
      <c r="F884">
        <v>3022</v>
      </c>
      <c r="G884">
        <v>3022</v>
      </c>
      <c r="H884">
        <v>3020</v>
      </c>
      <c r="I884">
        <v>3021</v>
      </c>
      <c r="J884">
        <v>146800</v>
      </c>
    </row>
    <row r="885" spans="4:10">
      <c r="D885" t="s">
        <v>199</v>
      </c>
      <c r="E885" t="s">
        <v>565</v>
      </c>
      <c r="F885">
        <v>3021</v>
      </c>
      <c r="G885">
        <v>3023</v>
      </c>
      <c r="H885">
        <v>3020</v>
      </c>
      <c r="I885">
        <v>3023</v>
      </c>
      <c r="J885">
        <v>124700</v>
      </c>
    </row>
    <row r="886" spans="4:10">
      <c r="D886" t="s">
        <v>199</v>
      </c>
      <c r="E886" t="s">
        <v>566</v>
      </c>
      <c r="F886">
        <v>3022</v>
      </c>
      <c r="G886">
        <v>3023</v>
      </c>
      <c r="H886">
        <v>3019</v>
      </c>
      <c r="I886">
        <v>3020</v>
      </c>
      <c r="J886">
        <v>197700</v>
      </c>
    </row>
    <row r="887" spans="4:10">
      <c r="D887" t="s">
        <v>199</v>
      </c>
      <c r="E887" t="s">
        <v>567</v>
      </c>
      <c r="F887">
        <v>3020</v>
      </c>
      <c r="G887">
        <v>3023</v>
      </c>
      <c r="H887">
        <v>3019</v>
      </c>
      <c r="I887">
        <v>3022</v>
      </c>
      <c r="J887">
        <v>145500</v>
      </c>
    </row>
    <row r="888" spans="4:10">
      <c r="D888" t="s">
        <v>199</v>
      </c>
      <c r="E888" t="s">
        <v>568</v>
      </c>
      <c r="F888">
        <v>3022</v>
      </c>
      <c r="G888">
        <v>3024</v>
      </c>
      <c r="H888">
        <v>3021</v>
      </c>
      <c r="I888">
        <v>3024</v>
      </c>
      <c r="J888">
        <v>219400</v>
      </c>
    </row>
    <row r="889" spans="4:10">
      <c r="D889" t="s">
        <v>199</v>
      </c>
      <c r="E889" t="s">
        <v>569</v>
      </c>
      <c r="F889">
        <v>3023</v>
      </c>
      <c r="G889">
        <v>3025</v>
      </c>
      <c r="H889">
        <v>3021</v>
      </c>
      <c r="I889">
        <v>3024</v>
      </c>
      <c r="J889">
        <v>355500</v>
      </c>
    </row>
    <row r="890" spans="4:10">
      <c r="D890" t="s">
        <v>199</v>
      </c>
      <c r="E890" t="s">
        <v>570</v>
      </c>
      <c r="F890">
        <v>3025</v>
      </c>
      <c r="G890">
        <v>3027</v>
      </c>
      <c r="H890">
        <v>3023</v>
      </c>
      <c r="I890">
        <v>3024</v>
      </c>
      <c r="J890">
        <v>560400</v>
      </c>
    </row>
    <row r="891" spans="4:10">
      <c r="D891" t="s">
        <v>199</v>
      </c>
      <c r="E891" t="s">
        <v>571</v>
      </c>
      <c r="F891" t="s">
        <v>35</v>
      </c>
      <c r="G891" t="s">
        <v>35</v>
      </c>
      <c r="H891" t="s">
        <v>35</v>
      </c>
      <c r="I891" t="s">
        <v>35</v>
      </c>
      <c r="J891">
        <v>0</v>
      </c>
    </row>
    <row r="892" spans="4:10">
      <c r="D892" t="s">
        <v>199</v>
      </c>
      <c r="E892" t="s">
        <v>572</v>
      </c>
      <c r="F892">
        <v>3020</v>
      </c>
      <c r="G892">
        <v>3020</v>
      </c>
      <c r="H892">
        <v>3020</v>
      </c>
      <c r="I892">
        <v>3020</v>
      </c>
      <c r="J892">
        <v>4681200</v>
      </c>
    </row>
    <row r="893" spans="4:10">
      <c r="D893" t="s">
        <v>620</v>
      </c>
      <c r="E893" t="s">
        <v>574</v>
      </c>
      <c r="F893">
        <v>3043</v>
      </c>
      <c r="G893">
        <v>3052</v>
      </c>
      <c r="H893">
        <v>3034</v>
      </c>
      <c r="I893">
        <v>3035</v>
      </c>
      <c r="J893">
        <v>1861000</v>
      </c>
    </row>
    <row r="894" spans="4:10">
      <c r="D894" t="s">
        <v>620</v>
      </c>
      <c r="E894" t="s">
        <v>575</v>
      </c>
      <c r="F894">
        <v>3035</v>
      </c>
      <c r="G894">
        <v>3036</v>
      </c>
      <c r="H894">
        <v>3027</v>
      </c>
      <c r="I894">
        <v>3029</v>
      </c>
      <c r="J894">
        <v>320000</v>
      </c>
    </row>
    <row r="895" spans="4:10">
      <c r="D895" t="s">
        <v>620</v>
      </c>
      <c r="E895" t="s">
        <v>576</v>
      </c>
      <c r="F895">
        <v>3028</v>
      </c>
      <c r="G895">
        <v>3034</v>
      </c>
      <c r="H895">
        <v>3026</v>
      </c>
      <c r="I895">
        <v>3027</v>
      </c>
      <c r="J895">
        <v>240600</v>
      </c>
    </row>
    <row r="896" spans="4:10">
      <c r="D896" t="s">
        <v>620</v>
      </c>
      <c r="E896" t="s">
        <v>577</v>
      </c>
      <c r="F896">
        <v>3027</v>
      </c>
      <c r="G896">
        <v>3032</v>
      </c>
      <c r="H896">
        <v>3024</v>
      </c>
      <c r="I896">
        <v>3032</v>
      </c>
      <c r="J896">
        <v>279800</v>
      </c>
    </row>
    <row r="897" spans="4:10">
      <c r="D897" t="s">
        <v>620</v>
      </c>
      <c r="E897" t="s">
        <v>578</v>
      </c>
      <c r="F897">
        <v>3031</v>
      </c>
      <c r="G897">
        <v>3031</v>
      </c>
      <c r="H897">
        <v>3026</v>
      </c>
      <c r="I897">
        <v>3029</v>
      </c>
      <c r="J897">
        <v>148100</v>
      </c>
    </row>
    <row r="898" spans="4:10">
      <c r="D898" t="s">
        <v>620</v>
      </c>
      <c r="E898" t="s">
        <v>579</v>
      </c>
      <c r="F898">
        <v>3027</v>
      </c>
      <c r="G898">
        <v>3031</v>
      </c>
      <c r="H898">
        <v>3027</v>
      </c>
      <c r="I898">
        <v>3030</v>
      </c>
      <c r="J898">
        <v>112400</v>
      </c>
    </row>
    <row r="899" spans="4:10">
      <c r="D899" t="s">
        <v>620</v>
      </c>
      <c r="E899" t="s">
        <v>580</v>
      </c>
      <c r="F899">
        <v>3030</v>
      </c>
      <c r="G899">
        <v>3032</v>
      </c>
      <c r="H899">
        <v>3027</v>
      </c>
      <c r="I899">
        <v>3029</v>
      </c>
      <c r="J899">
        <v>180900</v>
      </c>
    </row>
    <row r="900" spans="4:10">
      <c r="D900" t="s">
        <v>620</v>
      </c>
      <c r="E900" t="s">
        <v>581</v>
      </c>
      <c r="F900">
        <v>3029</v>
      </c>
      <c r="G900">
        <v>3031</v>
      </c>
      <c r="H900">
        <v>3025</v>
      </c>
      <c r="I900">
        <v>3027</v>
      </c>
      <c r="J900">
        <v>198700</v>
      </c>
    </row>
    <row r="901" spans="4:10">
      <c r="D901" t="s">
        <v>620</v>
      </c>
      <c r="E901" t="s">
        <v>582</v>
      </c>
      <c r="F901">
        <v>3026</v>
      </c>
      <c r="G901">
        <v>3036</v>
      </c>
      <c r="H901">
        <v>3026</v>
      </c>
      <c r="I901">
        <v>3033</v>
      </c>
      <c r="J901">
        <v>230800</v>
      </c>
    </row>
    <row r="902" spans="4:10">
      <c r="D902" t="s">
        <v>620</v>
      </c>
      <c r="E902" t="s">
        <v>583</v>
      </c>
      <c r="F902">
        <v>3033</v>
      </c>
      <c r="G902">
        <v>3037</v>
      </c>
      <c r="H902">
        <v>3033</v>
      </c>
      <c r="I902">
        <v>3035</v>
      </c>
      <c r="J902">
        <v>118200</v>
      </c>
    </row>
    <row r="903" spans="4:10">
      <c r="D903" t="s">
        <v>620</v>
      </c>
      <c r="E903" t="s">
        <v>584</v>
      </c>
      <c r="F903">
        <v>3035</v>
      </c>
      <c r="G903">
        <v>3038</v>
      </c>
      <c r="H903">
        <v>3033</v>
      </c>
      <c r="I903">
        <v>3034</v>
      </c>
      <c r="J903">
        <v>181400</v>
      </c>
    </row>
    <row r="904" spans="4:10">
      <c r="D904" t="s">
        <v>620</v>
      </c>
      <c r="E904" t="s">
        <v>585</v>
      </c>
      <c r="F904">
        <v>3034</v>
      </c>
      <c r="G904">
        <v>3034</v>
      </c>
      <c r="H904">
        <v>3028</v>
      </c>
      <c r="I904">
        <v>3029</v>
      </c>
      <c r="J904">
        <v>156600</v>
      </c>
    </row>
    <row r="905" spans="4:10">
      <c r="D905" t="s">
        <v>620</v>
      </c>
      <c r="E905" t="s">
        <v>586</v>
      </c>
      <c r="F905">
        <v>3029</v>
      </c>
      <c r="G905">
        <v>3032</v>
      </c>
      <c r="H905">
        <v>3029</v>
      </c>
      <c r="I905">
        <v>3030</v>
      </c>
      <c r="J905">
        <v>109800</v>
      </c>
    </row>
    <row r="906" spans="4:10">
      <c r="D906" t="s">
        <v>620</v>
      </c>
      <c r="E906" t="s">
        <v>587</v>
      </c>
      <c r="F906">
        <v>3030</v>
      </c>
      <c r="G906">
        <v>3034</v>
      </c>
      <c r="H906">
        <v>3027</v>
      </c>
      <c r="I906">
        <v>3033</v>
      </c>
      <c r="J906">
        <v>155700</v>
      </c>
    </row>
    <row r="907" spans="4:10">
      <c r="D907" t="s">
        <v>620</v>
      </c>
      <c r="E907" t="s">
        <v>588</v>
      </c>
      <c r="F907">
        <v>3032</v>
      </c>
      <c r="G907">
        <v>3034</v>
      </c>
      <c r="H907">
        <v>3030</v>
      </c>
      <c r="I907">
        <v>3032</v>
      </c>
      <c r="J907">
        <v>135700</v>
      </c>
    </row>
    <row r="908" spans="4:10">
      <c r="D908" t="s">
        <v>620</v>
      </c>
      <c r="E908" t="s">
        <v>589</v>
      </c>
      <c r="F908">
        <v>3032</v>
      </c>
      <c r="G908">
        <v>3034</v>
      </c>
      <c r="H908">
        <v>3031</v>
      </c>
      <c r="I908">
        <v>3033</v>
      </c>
      <c r="J908">
        <v>87100</v>
      </c>
    </row>
    <row r="909" spans="4:10">
      <c r="D909" t="s">
        <v>620</v>
      </c>
      <c r="E909" t="s">
        <v>590</v>
      </c>
      <c r="F909">
        <v>3032</v>
      </c>
      <c r="G909">
        <v>3033</v>
      </c>
      <c r="H909">
        <v>3027</v>
      </c>
      <c r="I909">
        <v>3028</v>
      </c>
      <c r="J909">
        <v>152900</v>
      </c>
    </row>
    <row r="910" spans="4:10">
      <c r="D910" t="s">
        <v>620</v>
      </c>
      <c r="E910" t="s">
        <v>591</v>
      </c>
      <c r="F910">
        <v>3027</v>
      </c>
      <c r="G910">
        <v>3032</v>
      </c>
      <c r="H910">
        <v>3027</v>
      </c>
      <c r="I910">
        <v>3031</v>
      </c>
      <c r="J910">
        <v>135400</v>
      </c>
    </row>
    <row r="911" spans="4:10">
      <c r="D911" t="s">
        <v>620</v>
      </c>
      <c r="E911" t="s">
        <v>592</v>
      </c>
      <c r="F911">
        <v>3031</v>
      </c>
      <c r="G911">
        <v>3032</v>
      </c>
      <c r="H911">
        <v>3026</v>
      </c>
      <c r="I911">
        <v>3027</v>
      </c>
      <c r="J911">
        <v>171300</v>
      </c>
    </row>
    <row r="912" spans="4:10">
      <c r="D912" t="s">
        <v>620</v>
      </c>
      <c r="E912" t="s">
        <v>593</v>
      </c>
      <c r="F912">
        <v>3026</v>
      </c>
      <c r="G912">
        <v>3035</v>
      </c>
      <c r="H912">
        <v>3023</v>
      </c>
      <c r="I912">
        <v>3034</v>
      </c>
      <c r="J912">
        <v>246800</v>
      </c>
    </row>
    <row r="913" spans="4:10">
      <c r="D913" t="s">
        <v>620</v>
      </c>
      <c r="E913" t="s">
        <v>594</v>
      </c>
      <c r="F913">
        <v>3034</v>
      </c>
      <c r="G913">
        <v>3035</v>
      </c>
      <c r="H913">
        <v>3031</v>
      </c>
      <c r="I913">
        <v>3032</v>
      </c>
      <c r="J913">
        <v>166400</v>
      </c>
    </row>
    <row r="914" spans="4:10">
      <c r="D914" t="s">
        <v>620</v>
      </c>
      <c r="E914" t="s">
        <v>595</v>
      </c>
      <c r="F914">
        <v>3032</v>
      </c>
      <c r="G914">
        <v>3035</v>
      </c>
      <c r="H914">
        <v>3031</v>
      </c>
      <c r="I914">
        <v>3033</v>
      </c>
      <c r="J914">
        <v>162700</v>
      </c>
    </row>
    <row r="915" spans="4:10">
      <c r="D915" t="s">
        <v>620</v>
      </c>
      <c r="E915" t="s">
        <v>596</v>
      </c>
      <c r="F915">
        <v>3033</v>
      </c>
      <c r="G915">
        <v>3034</v>
      </c>
      <c r="H915">
        <v>3031</v>
      </c>
      <c r="I915">
        <v>3032</v>
      </c>
      <c r="J915">
        <v>177400</v>
      </c>
    </row>
    <row r="916" spans="4:10">
      <c r="D916" t="s">
        <v>620</v>
      </c>
      <c r="E916" t="s">
        <v>597</v>
      </c>
      <c r="F916">
        <v>3032</v>
      </c>
      <c r="G916">
        <v>3034</v>
      </c>
      <c r="H916">
        <v>3030</v>
      </c>
      <c r="I916">
        <v>3032</v>
      </c>
      <c r="J916">
        <v>171100</v>
      </c>
    </row>
    <row r="917" spans="4:10">
      <c r="D917" t="s">
        <v>620</v>
      </c>
      <c r="E917" t="s">
        <v>598</v>
      </c>
      <c r="F917">
        <v>3032</v>
      </c>
      <c r="G917">
        <v>3033</v>
      </c>
      <c r="H917">
        <v>3030</v>
      </c>
      <c r="I917">
        <v>3031</v>
      </c>
      <c r="J917">
        <v>185800</v>
      </c>
    </row>
    <row r="918" spans="4:10">
      <c r="D918" t="s">
        <v>620</v>
      </c>
      <c r="E918" t="s">
        <v>599</v>
      </c>
      <c r="F918">
        <v>3030</v>
      </c>
      <c r="G918">
        <v>3031</v>
      </c>
      <c r="H918">
        <v>3028</v>
      </c>
      <c r="I918">
        <v>3031</v>
      </c>
      <c r="J918">
        <v>124400</v>
      </c>
    </row>
    <row r="919" spans="4:10">
      <c r="D919" t="s">
        <v>620</v>
      </c>
      <c r="E919" t="s">
        <v>600</v>
      </c>
      <c r="F919">
        <v>3031</v>
      </c>
      <c r="G919">
        <v>3033</v>
      </c>
      <c r="H919">
        <v>3029</v>
      </c>
      <c r="I919">
        <v>3029</v>
      </c>
      <c r="J919">
        <v>174300</v>
      </c>
    </row>
    <row r="920" spans="4:10">
      <c r="D920" t="s">
        <v>620</v>
      </c>
      <c r="E920" t="s">
        <v>601</v>
      </c>
      <c r="F920">
        <v>3029</v>
      </c>
      <c r="G920">
        <v>3030</v>
      </c>
      <c r="H920">
        <v>3026</v>
      </c>
      <c r="I920">
        <v>3027</v>
      </c>
      <c r="J920">
        <v>138400</v>
      </c>
    </row>
    <row r="921" spans="4:10">
      <c r="D921" t="s">
        <v>620</v>
      </c>
      <c r="E921" t="s">
        <v>602</v>
      </c>
      <c r="F921">
        <v>3027</v>
      </c>
      <c r="G921">
        <v>3027</v>
      </c>
      <c r="H921">
        <v>3022</v>
      </c>
      <c r="I921">
        <v>3023</v>
      </c>
      <c r="J921">
        <v>232900</v>
      </c>
    </row>
    <row r="922" spans="4:10">
      <c r="D922" t="s">
        <v>620</v>
      </c>
      <c r="E922" t="s">
        <v>603</v>
      </c>
      <c r="F922">
        <v>3023</v>
      </c>
      <c r="G922">
        <v>3025</v>
      </c>
      <c r="H922">
        <v>3021</v>
      </c>
      <c r="I922">
        <v>3023</v>
      </c>
      <c r="J922">
        <v>259700</v>
      </c>
    </row>
    <row r="923" spans="4:10">
      <c r="D923" t="s">
        <v>620</v>
      </c>
      <c r="E923" t="s">
        <v>604</v>
      </c>
      <c r="F923">
        <v>3024</v>
      </c>
      <c r="G923">
        <v>3024</v>
      </c>
      <c r="H923">
        <v>3024</v>
      </c>
      <c r="I923">
        <v>3024</v>
      </c>
      <c r="J923">
        <v>23500</v>
      </c>
    </row>
    <row r="924" spans="4:10">
      <c r="D924" t="s">
        <v>620</v>
      </c>
      <c r="E924" t="s">
        <v>605</v>
      </c>
      <c r="F924">
        <v>3025</v>
      </c>
      <c r="G924">
        <v>3027</v>
      </c>
      <c r="H924">
        <v>3013</v>
      </c>
      <c r="I924">
        <v>3014</v>
      </c>
      <c r="J924">
        <v>1000100</v>
      </c>
    </row>
    <row r="925" spans="4:10">
      <c r="D925" t="s">
        <v>620</v>
      </c>
      <c r="E925" t="s">
        <v>606</v>
      </c>
      <c r="F925">
        <v>3013</v>
      </c>
      <c r="G925">
        <v>3014</v>
      </c>
      <c r="H925">
        <v>3008</v>
      </c>
      <c r="I925">
        <v>3009</v>
      </c>
      <c r="J925">
        <v>224000</v>
      </c>
    </row>
    <row r="926" spans="4:10">
      <c r="D926" t="s">
        <v>620</v>
      </c>
      <c r="E926" t="s">
        <v>538</v>
      </c>
      <c r="F926">
        <v>3009</v>
      </c>
      <c r="G926">
        <v>3014</v>
      </c>
      <c r="H926">
        <v>3009</v>
      </c>
      <c r="I926">
        <v>3011</v>
      </c>
      <c r="J926">
        <v>125400</v>
      </c>
    </row>
    <row r="927" spans="4:10">
      <c r="D927" t="s">
        <v>620</v>
      </c>
      <c r="E927" t="s">
        <v>539</v>
      </c>
      <c r="F927">
        <v>3011</v>
      </c>
      <c r="G927">
        <v>3013</v>
      </c>
      <c r="H927">
        <v>3010</v>
      </c>
      <c r="I927">
        <v>3011</v>
      </c>
      <c r="J927">
        <v>110400</v>
      </c>
    </row>
    <row r="928" spans="4:10">
      <c r="D928" t="s">
        <v>620</v>
      </c>
      <c r="E928" t="s">
        <v>540</v>
      </c>
      <c r="F928">
        <v>3012</v>
      </c>
      <c r="G928">
        <v>3013</v>
      </c>
      <c r="H928">
        <v>3011</v>
      </c>
      <c r="I928">
        <v>3012</v>
      </c>
      <c r="J928">
        <v>116400</v>
      </c>
    </row>
    <row r="929" spans="4:10">
      <c r="D929" t="s">
        <v>620</v>
      </c>
      <c r="E929" t="s">
        <v>541</v>
      </c>
      <c r="F929">
        <v>3012</v>
      </c>
      <c r="G929">
        <v>3013</v>
      </c>
      <c r="H929">
        <v>3010</v>
      </c>
      <c r="I929">
        <v>3011</v>
      </c>
      <c r="J929">
        <v>92500</v>
      </c>
    </row>
    <row r="930" spans="4:10">
      <c r="D930" t="s">
        <v>620</v>
      </c>
      <c r="E930" t="s">
        <v>542</v>
      </c>
      <c r="F930">
        <v>3011</v>
      </c>
      <c r="G930">
        <v>3013</v>
      </c>
      <c r="H930">
        <v>3010</v>
      </c>
      <c r="I930">
        <v>3011</v>
      </c>
      <c r="J930">
        <v>131200</v>
      </c>
    </row>
    <row r="931" spans="4:10">
      <c r="D931" t="s">
        <v>620</v>
      </c>
      <c r="E931" t="s">
        <v>543</v>
      </c>
      <c r="F931">
        <v>3011</v>
      </c>
      <c r="G931">
        <v>3011</v>
      </c>
      <c r="H931">
        <v>3009</v>
      </c>
      <c r="I931">
        <v>3009</v>
      </c>
      <c r="J931">
        <v>100500</v>
      </c>
    </row>
    <row r="932" spans="4:10">
      <c r="D932" t="s">
        <v>620</v>
      </c>
      <c r="E932" t="s">
        <v>544</v>
      </c>
      <c r="F932">
        <v>3010</v>
      </c>
      <c r="G932">
        <v>3011</v>
      </c>
      <c r="H932">
        <v>3009</v>
      </c>
      <c r="I932">
        <v>3010</v>
      </c>
      <c r="J932">
        <v>160600</v>
      </c>
    </row>
    <row r="933" spans="4:10">
      <c r="D933" t="s">
        <v>620</v>
      </c>
      <c r="E933" t="s">
        <v>545</v>
      </c>
      <c r="F933">
        <v>3010</v>
      </c>
      <c r="G933">
        <v>3011</v>
      </c>
      <c r="H933">
        <v>3007</v>
      </c>
      <c r="I933">
        <v>3009</v>
      </c>
      <c r="J933">
        <v>187400</v>
      </c>
    </row>
    <row r="934" spans="4:10">
      <c r="D934" t="s">
        <v>620</v>
      </c>
      <c r="E934" t="s">
        <v>546</v>
      </c>
      <c r="F934">
        <v>3009</v>
      </c>
      <c r="G934">
        <v>3013</v>
      </c>
      <c r="H934">
        <v>3009</v>
      </c>
      <c r="I934">
        <v>3012</v>
      </c>
      <c r="J934">
        <v>99800</v>
      </c>
    </row>
    <row r="935" spans="4:10">
      <c r="D935" t="s">
        <v>620</v>
      </c>
      <c r="E935" t="s">
        <v>547</v>
      </c>
      <c r="F935">
        <v>3013</v>
      </c>
      <c r="G935">
        <v>3016</v>
      </c>
      <c r="H935">
        <v>3012</v>
      </c>
      <c r="I935">
        <v>3016</v>
      </c>
      <c r="J935">
        <v>105900</v>
      </c>
    </row>
    <row r="936" spans="4:10">
      <c r="D936" t="s">
        <v>620</v>
      </c>
      <c r="E936" t="s">
        <v>548</v>
      </c>
      <c r="F936">
        <v>3015</v>
      </c>
      <c r="G936">
        <v>3018</v>
      </c>
      <c r="H936">
        <v>3014</v>
      </c>
      <c r="I936">
        <v>3017</v>
      </c>
      <c r="J936">
        <v>82700</v>
      </c>
    </row>
    <row r="937" spans="4:10">
      <c r="D937" t="s">
        <v>620</v>
      </c>
      <c r="E937" t="s">
        <v>549</v>
      </c>
      <c r="F937">
        <v>3018</v>
      </c>
      <c r="G937">
        <v>3019</v>
      </c>
      <c r="H937">
        <v>3015</v>
      </c>
      <c r="I937">
        <v>3015</v>
      </c>
      <c r="J937">
        <v>157400</v>
      </c>
    </row>
    <row r="938" spans="4:10">
      <c r="D938" t="s">
        <v>620</v>
      </c>
      <c r="E938" t="s">
        <v>550</v>
      </c>
      <c r="F938">
        <v>3016</v>
      </c>
      <c r="G938">
        <v>3016</v>
      </c>
      <c r="H938">
        <v>3014</v>
      </c>
      <c r="I938">
        <v>3015</v>
      </c>
      <c r="J938">
        <v>76600</v>
      </c>
    </row>
    <row r="939" spans="4:10">
      <c r="D939" t="s">
        <v>620</v>
      </c>
      <c r="E939" t="s">
        <v>551</v>
      </c>
      <c r="F939">
        <v>3015</v>
      </c>
      <c r="G939">
        <v>3016</v>
      </c>
      <c r="H939">
        <v>3012</v>
      </c>
      <c r="I939">
        <v>3013</v>
      </c>
      <c r="J939">
        <v>92800</v>
      </c>
    </row>
    <row r="940" spans="4:10">
      <c r="D940" t="s">
        <v>620</v>
      </c>
      <c r="E940" t="s">
        <v>552</v>
      </c>
      <c r="F940">
        <v>3013</v>
      </c>
      <c r="G940">
        <v>3014</v>
      </c>
      <c r="H940">
        <v>3012</v>
      </c>
      <c r="I940">
        <v>3013</v>
      </c>
      <c r="J940">
        <v>75100</v>
      </c>
    </row>
    <row r="941" spans="4:10">
      <c r="D941" t="s">
        <v>620</v>
      </c>
      <c r="E941" t="s">
        <v>553</v>
      </c>
      <c r="F941">
        <v>3012</v>
      </c>
      <c r="G941">
        <v>3015</v>
      </c>
      <c r="H941">
        <v>3012</v>
      </c>
      <c r="I941">
        <v>3014</v>
      </c>
      <c r="J941">
        <v>99400</v>
      </c>
    </row>
    <row r="942" spans="4:10">
      <c r="D942" t="s">
        <v>620</v>
      </c>
      <c r="E942" t="s">
        <v>554</v>
      </c>
      <c r="F942">
        <v>3015</v>
      </c>
      <c r="G942">
        <v>3015</v>
      </c>
      <c r="H942">
        <v>3010</v>
      </c>
      <c r="I942">
        <v>3012</v>
      </c>
      <c r="J942">
        <v>214500</v>
      </c>
    </row>
    <row r="943" spans="4:10">
      <c r="D943" t="s">
        <v>620</v>
      </c>
      <c r="E943" t="s">
        <v>555</v>
      </c>
      <c r="F943">
        <v>3012</v>
      </c>
      <c r="G943">
        <v>3013</v>
      </c>
      <c r="H943">
        <v>3010</v>
      </c>
      <c r="I943">
        <v>3011</v>
      </c>
      <c r="J943">
        <v>116700</v>
      </c>
    </row>
    <row r="944" spans="4:10">
      <c r="D944" t="s">
        <v>620</v>
      </c>
      <c r="E944" t="s">
        <v>556</v>
      </c>
      <c r="F944">
        <v>3011</v>
      </c>
      <c r="G944">
        <v>3011</v>
      </c>
      <c r="H944">
        <v>3010</v>
      </c>
      <c r="I944">
        <v>3010</v>
      </c>
      <c r="J944">
        <v>77300</v>
      </c>
    </row>
    <row r="945" spans="4:10">
      <c r="D945" t="s">
        <v>620</v>
      </c>
      <c r="E945" t="s">
        <v>557</v>
      </c>
      <c r="F945">
        <v>3010</v>
      </c>
      <c r="G945">
        <v>3012</v>
      </c>
      <c r="H945">
        <v>3009</v>
      </c>
      <c r="I945">
        <v>3009</v>
      </c>
      <c r="J945">
        <v>188800</v>
      </c>
    </row>
    <row r="946" spans="4:10">
      <c r="D946" t="s">
        <v>620</v>
      </c>
      <c r="E946" t="s">
        <v>558</v>
      </c>
      <c r="F946">
        <v>3009</v>
      </c>
      <c r="G946">
        <v>3011</v>
      </c>
      <c r="H946">
        <v>3009</v>
      </c>
      <c r="I946">
        <v>3009</v>
      </c>
      <c r="J946">
        <v>140900</v>
      </c>
    </row>
    <row r="947" spans="4:10">
      <c r="D947" t="s">
        <v>620</v>
      </c>
      <c r="E947" t="s">
        <v>559</v>
      </c>
      <c r="F947">
        <v>3009</v>
      </c>
      <c r="G947">
        <v>3010</v>
      </c>
      <c r="H947">
        <v>3007</v>
      </c>
      <c r="I947">
        <v>3010</v>
      </c>
      <c r="J947">
        <v>218900</v>
      </c>
    </row>
    <row r="948" spans="4:10">
      <c r="D948" t="s">
        <v>620</v>
      </c>
      <c r="E948" t="s">
        <v>560</v>
      </c>
      <c r="F948">
        <v>3010</v>
      </c>
      <c r="G948">
        <v>3011</v>
      </c>
      <c r="H948">
        <v>3009</v>
      </c>
      <c r="I948">
        <v>3009</v>
      </c>
      <c r="J948">
        <v>105700</v>
      </c>
    </row>
    <row r="949" spans="4:10">
      <c r="D949" t="s">
        <v>620</v>
      </c>
      <c r="E949" t="s">
        <v>561</v>
      </c>
      <c r="F949">
        <v>3009</v>
      </c>
      <c r="G949">
        <v>3009</v>
      </c>
      <c r="H949">
        <v>3007</v>
      </c>
      <c r="I949">
        <v>3008</v>
      </c>
      <c r="J949">
        <v>142200</v>
      </c>
    </row>
    <row r="950" spans="4:10">
      <c r="D950" t="s">
        <v>620</v>
      </c>
      <c r="E950" t="s">
        <v>562</v>
      </c>
      <c r="F950">
        <v>3008</v>
      </c>
      <c r="G950">
        <v>3009</v>
      </c>
      <c r="H950">
        <v>3007</v>
      </c>
      <c r="I950">
        <v>3007</v>
      </c>
      <c r="J950">
        <v>81200</v>
      </c>
    </row>
    <row r="951" spans="4:10">
      <c r="D951" t="s">
        <v>620</v>
      </c>
      <c r="E951" t="s">
        <v>563</v>
      </c>
      <c r="F951">
        <v>3008</v>
      </c>
      <c r="G951">
        <v>3011</v>
      </c>
      <c r="H951">
        <v>3008</v>
      </c>
      <c r="I951">
        <v>3010</v>
      </c>
      <c r="J951">
        <v>104000</v>
      </c>
    </row>
    <row r="952" spans="4:10">
      <c r="D952" t="s">
        <v>620</v>
      </c>
      <c r="E952" t="s">
        <v>564</v>
      </c>
      <c r="F952">
        <v>3010</v>
      </c>
      <c r="G952">
        <v>3012</v>
      </c>
      <c r="H952">
        <v>3009</v>
      </c>
      <c r="I952">
        <v>3011</v>
      </c>
      <c r="J952">
        <v>157400</v>
      </c>
    </row>
    <row r="953" spans="4:10">
      <c r="D953" t="s">
        <v>620</v>
      </c>
      <c r="E953" t="s">
        <v>565</v>
      </c>
      <c r="F953">
        <v>3011</v>
      </c>
      <c r="G953">
        <v>3013</v>
      </c>
      <c r="H953">
        <v>3010</v>
      </c>
      <c r="I953">
        <v>3013</v>
      </c>
      <c r="J953">
        <v>68300</v>
      </c>
    </row>
    <row r="954" spans="4:10">
      <c r="D954" t="s">
        <v>620</v>
      </c>
      <c r="E954" t="s">
        <v>566</v>
      </c>
      <c r="F954">
        <v>3012</v>
      </c>
      <c r="G954">
        <v>3013</v>
      </c>
      <c r="H954">
        <v>3009</v>
      </c>
      <c r="I954">
        <v>3011</v>
      </c>
      <c r="J954">
        <v>233600</v>
      </c>
    </row>
    <row r="955" spans="4:10">
      <c r="D955" t="s">
        <v>620</v>
      </c>
      <c r="E955" t="s">
        <v>567</v>
      </c>
      <c r="F955">
        <v>3012</v>
      </c>
      <c r="G955">
        <v>3014</v>
      </c>
      <c r="H955">
        <v>3012</v>
      </c>
      <c r="I955">
        <v>3013</v>
      </c>
      <c r="J955">
        <v>132900</v>
      </c>
    </row>
    <row r="956" spans="4:10">
      <c r="D956" t="s">
        <v>620</v>
      </c>
      <c r="E956" t="s">
        <v>568</v>
      </c>
      <c r="F956">
        <v>3013</v>
      </c>
      <c r="G956">
        <v>3015</v>
      </c>
      <c r="H956">
        <v>3012</v>
      </c>
      <c r="I956">
        <v>3014</v>
      </c>
      <c r="J956">
        <v>155900</v>
      </c>
    </row>
    <row r="957" spans="4:10">
      <c r="D957" t="s">
        <v>620</v>
      </c>
      <c r="E957" t="s">
        <v>569</v>
      </c>
      <c r="F957">
        <v>3013</v>
      </c>
      <c r="G957">
        <v>3014</v>
      </c>
      <c r="H957">
        <v>3011</v>
      </c>
      <c r="I957">
        <v>3012</v>
      </c>
      <c r="J957">
        <v>180200</v>
      </c>
    </row>
    <row r="958" spans="4:10">
      <c r="D958" t="s">
        <v>620</v>
      </c>
      <c r="E958" t="s">
        <v>570</v>
      </c>
      <c r="F958">
        <v>3012</v>
      </c>
      <c r="G958">
        <v>3015</v>
      </c>
      <c r="H958">
        <v>3011</v>
      </c>
      <c r="I958">
        <v>3014</v>
      </c>
      <c r="J958">
        <v>260500</v>
      </c>
    </row>
    <row r="959" spans="4:10">
      <c r="D959" t="s">
        <v>620</v>
      </c>
      <c r="E959" t="s">
        <v>571</v>
      </c>
      <c r="F959" t="s">
        <v>35</v>
      </c>
      <c r="G959" t="s">
        <v>35</v>
      </c>
      <c r="H959" t="s">
        <v>35</v>
      </c>
      <c r="I959" t="s">
        <v>35</v>
      </c>
      <c r="J959">
        <v>0</v>
      </c>
    </row>
    <row r="960" spans="4:10">
      <c r="D960" t="s">
        <v>620</v>
      </c>
      <c r="E960" t="s">
        <v>572</v>
      </c>
      <c r="F960">
        <v>3013</v>
      </c>
      <c r="G960">
        <v>3013</v>
      </c>
      <c r="H960">
        <v>3013</v>
      </c>
      <c r="I960">
        <v>3013</v>
      </c>
      <c r="J960">
        <v>2808900</v>
      </c>
    </row>
    <row r="961" spans="4:10">
      <c r="D961" t="s">
        <v>607</v>
      </c>
      <c r="E961" t="s">
        <v>574</v>
      </c>
      <c r="F961">
        <v>3006</v>
      </c>
      <c r="G961">
        <v>3006</v>
      </c>
      <c r="H961">
        <v>2989</v>
      </c>
      <c r="I961">
        <v>2997.5</v>
      </c>
      <c r="J961">
        <v>2557000</v>
      </c>
    </row>
    <row r="962" spans="4:10">
      <c r="D962" t="s">
        <v>607</v>
      </c>
      <c r="E962" t="s">
        <v>575</v>
      </c>
      <c r="F962">
        <v>2997.5</v>
      </c>
      <c r="G962">
        <v>3005</v>
      </c>
      <c r="H962">
        <v>2991.5</v>
      </c>
      <c r="I962">
        <v>3003</v>
      </c>
      <c r="J962">
        <v>698700</v>
      </c>
    </row>
    <row r="963" spans="4:10">
      <c r="D963" t="s">
        <v>607</v>
      </c>
      <c r="E963" t="s">
        <v>576</v>
      </c>
      <c r="F963">
        <v>3004</v>
      </c>
      <c r="G963">
        <v>3009</v>
      </c>
      <c r="H963">
        <v>3003</v>
      </c>
      <c r="I963">
        <v>3006</v>
      </c>
      <c r="J963">
        <v>398700</v>
      </c>
    </row>
    <row r="964" spans="4:10">
      <c r="D964" t="s">
        <v>607</v>
      </c>
      <c r="E964" t="s">
        <v>577</v>
      </c>
      <c r="F964">
        <v>3007</v>
      </c>
      <c r="G964">
        <v>3015</v>
      </c>
      <c r="H964">
        <v>3006</v>
      </c>
      <c r="I964">
        <v>3013</v>
      </c>
      <c r="J964">
        <v>388100</v>
      </c>
    </row>
    <row r="965" spans="4:10">
      <c r="D965" t="s">
        <v>607</v>
      </c>
      <c r="E965" t="s">
        <v>578</v>
      </c>
      <c r="F965">
        <v>3013</v>
      </c>
      <c r="G965">
        <v>3015</v>
      </c>
      <c r="H965">
        <v>3007</v>
      </c>
      <c r="I965">
        <v>3008</v>
      </c>
      <c r="J965">
        <v>202500</v>
      </c>
    </row>
    <row r="966" spans="4:10">
      <c r="D966" t="s">
        <v>607</v>
      </c>
      <c r="E966" t="s">
        <v>579</v>
      </c>
      <c r="F966">
        <v>3008</v>
      </c>
      <c r="G966">
        <v>3009</v>
      </c>
      <c r="H966">
        <v>3002</v>
      </c>
      <c r="I966">
        <v>3004</v>
      </c>
      <c r="J966">
        <v>158300</v>
      </c>
    </row>
    <row r="967" spans="4:10">
      <c r="D967" t="s">
        <v>607</v>
      </c>
      <c r="E967" t="s">
        <v>580</v>
      </c>
      <c r="F967">
        <v>3004</v>
      </c>
      <c r="G967">
        <v>3005</v>
      </c>
      <c r="H967">
        <v>3002</v>
      </c>
      <c r="I967">
        <v>3003</v>
      </c>
      <c r="J967">
        <v>167300</v>
      </c>
    </row>
    <row r="968" spans="4:10">
      <c r="D968" t="s">
        <v>607</v>
      </c>
      <c r="E968" t="s">
        <v>581</v>
      </c>
      <c r="F968">
        <v>3004</v>
      </c>
      <c r="G968">
        <v>3005</v>
      </c>
      <c r="H968">
        <v>3000</v>
      </c>
      <c r="I968">
        <v>3001</v>
      </c>
      <c r="J968">
        <v>244600</v>
      </c>
    </row>
    <row r="969" spans="4:10">
      <c r="D969" t="s">
        <v>607</v>
      </c>
      <c r="E969" t="s">
        <v>582</v>
      </c>
      <c r="F969">
        <v>3001</v>
      </c>
      <c r="G969">
        <v>3004</v>
      </c>
      <c r="H969">
        <v>2998</v>
      </c>
      <c r="I969">
        <v>3003</v>
      </c>
      <c r="J969">
        <v>329000</v>
      </c>
    </row>
    <row r="970" spans="4:10">
      <c r="D970" t="s">
        <v>607</v>
      </c>
      <c r="E970" t="s">
        <v>583</v>
      </c>
      <c r="F970">
        <v>3003</v>
      </c>
      <c r="G970">
        <v>3003</v>
      </c>
      <c r="H970">
        <v>3000</v>
      </c>
      <c r="I970">
        <v>3001</v>
      </c>
      <c r="J970">
        <v>110100</v>
      </c>
    </row>
    <row r="971" spans="4:10">
      <c r="D971" t="s">
        <v>607</v>
      </c>
      <c r="E971" t="s">
        <v>584</v>
      </c>
      <c r="F971">
        <v>3000</v>
      </c>
      <c r="G971">
        <v>3001</v>
      </c>
      <c r="H971">
        <v>2995.5</v>
      </c>
      <c r="I971">
        <v>2996</v>
      </c>
      <c r="J971">
        <v>431600</v>
      </c>
    </row>
    <row r="972" spans="4:10">
      <c r="D972" t="s">
        <v>607</v>
      </c>
      <c r="E972" t="s">
        <v>585</v>
      </c>
      <c r="F972">
        <v>2996</v>
      </c>
      <c r="G972">
        <v>2997</v>
      </c>
      <c r="H972">
        <v>2992.5</v>
      </c>
      <c r="I972">
        <v>2994.5</v>
      </c>
      <c r="J972">
        <v>303800</v>
      </c>
    </row>
    <row r="973" spans="4:10">
      <c r="D973" t="s">
        <v>607</v>
      </c>
      <c r="E973" t="s">
        <v>586</v>
      </c>
      <c r="F973">
        <v>2994</v>
      </c>
      <c r="G973">
        <v>2998</v>
      </c>
      <c r="H973">
        <v>2994</v>
      </c>
      <c r="I973">
        <v>2997.5</v>
      </c>
      <c r="J973">
        <v>182100</v>
      </c>
    </row>
    <row r="974" spans="4:10">
      <c r="D974" t="s">
        <v>607</v>
      </c>
      <c r="E974" t="s">
        <v>587</v>
      </c>
      <c r="F974">
        <v>2997.5</v>
      </c>
      <c r="G974">
        <v>2999</v>
      </c>
      <c r="H974">
        <v>2995</v>
      </c>
      <c r="I974">
        <v>2997.5</v>
      </c>
      <c r="J974">
        <v>142100</v>
      </c>
    </row>
    <row r="975" spans="4:10">
      <c r="D975" t="s">
        <v>607</v>
      </c>
      <c r="E975" t="s">
        <v>588</v>
      </c>
      <c r="F975">
        <v>2997.5</v>
      </c>
      <c r="G975">
        <v>3001</v>
      </c>
      <c r="H975">
        <v>2995.5</v>
      </c>
      <c r="I975">
        <v>3000</v>
      </c>
      <c r="J975">
        <v>168600</v>
      </c>
    </row>
    <row r="976" spans="4:10">
      <c r="D976" t="s">
        <v>607</v>
      </c>
      <c r="E976" t="s">
        <v>589</v>
      </c>
      <c r="F976">
        <v>3000</v>
      </c>
      <c r="G976">
        <v>3004</v>
      </c>
      <c r="H976">
        <v>3000</v>
      </c>
      <c r="I976">
        <v>3001</v>
      </c>
      <c r="J976">
        <v>265100</v>
      </c>
    </row>
    <row r="977" spans="4:10">
      <c r="D977" t="s">
        <v>607</v>
      </c>
      <c r="E977" t="s">
        <v>590</v>
      </c>
      <c r="F977">
        <v>3002</v>
      </c>
      <c r="G977">
        <v>3004</v>
      </c>
      <c r="H977">
        <v>3000</v>
      </c>
      <c r="I977">
        <v>3001</v>
      </c>
      <c r="J977">
        <v>123500</v>
      </c>
    </row>
    <row r="978" spans="4:10">
      <c r="D978" t="s">
        <v>607</v>
      </c>
      <c r="E978" t="s">
        <v>591</v>
      </c>
      <c r="F978">
        <v>3001</v>
      </c>
      <c r="G978">
        <v>3003</v>
      </c>
      <c r="H978">
        <v>3000</v>
      </c>
      <c r="I978">
        <v>3000</v>
      </c>
      <c r="J978">
        <v>115500</v>
      </c>
    </row>
    <row r="979" spans="4:10">
      <c r="D979" t="s">
        <v>607</v>
      </c>
      <c r="E979" t="s">
        <v>592</v>
      </c>
      <c r="F979">
        <v>3000</v>
      </c>
      <c r="G979">
        <v>3001</v>
      </c>
      <c r="H979">
        <v>2999</v>
      </c>
      <c r="I979">
        <v>3000</v>
      </c>
      <c r="J979">
        <v>170100</v>
      </c>
    </row>
    <row r="980" spans="4:10">
      <c r="D980" t="s">
        <v>607</v>
      </c>
      <c r="E980" t="s">
        <v>593</v>
      </c>
      <c r="F980">
        <v>3000</v>
      </c>
      <c r="G980">
        <v>3001</v>
      </c>
      <c r="H980">
        <v>2998</v>
      </c>
      <c r="I980">
        <v>2999.5</v>
      </c>
      <c r="J980">
        <v>121200</v>
      </c>
    </row>
    <row r="981" spans="4:10">
      <c r="D981" t="s">
        <v>607</v>
      </c>
      <c r="E981" t="s">
        <v>594</v>
      </c>
      <c r="F981">
        <v>2999.5</v>
      </c>
      <c r="G981">
        <v>3003</v>
      </c>
      <c r="H981">
        <v>2999.5</v>
      </c>
      <c r="I981">
        <v>3002</v>
      </c>
      <c r="J981">
        <v>91500</v>
      </c>
    </row>
    <row r="982" spans="4:10">
      <c r="D982" t="s">
        <v>607</v>
      </c>
      <c r="E982" t="s">
        <v>595</v>
      </c>
      <c r="F982">
        <v>3002</v>
      </c>
      <c r="G982">
        <v>3007</v>
      </c>
      <c r="H982">
        <v>3001</v>
      </c>
      <c r="I982">
        <v>3006</v>
      </c>
      <c r="J982">
        <v>186500</v>
      </c>
    </row>
    <row r="983" spans="4:10">
      <c r="D983" t="s">
        <v>607</v>
      </c>
      <c r="E983" t="s">
        <v>596</v>
      </c>
      <c r="F983">
        <v>3005</v>
      </c>
      <c r="G983">
        <v>3006</v>
      </c>
      <c r="H983">
        <v>3004</v>
      </c>
      <c r="I983">
        <v>3004</v>
      </c>
      <c r="J983">
        <v>102700</v>
      </c>
    </row>
    <row r="984" spans="4:10">
      <c r="D984" t="s">
        <v>607</v>
      </c>
      <c r="E984" t="s">
        <v>597</v>
      </c>
      <c r="F984">
        <v>3005</v>
      </c>
      <c r="G984">
        <v>3008</v>
      </c>
      <c r="H984">
        <v>3005</v>
      </c>
      <c r="I984">
        <v>3007</v>
      </c>
      <c r="J984">
        <v>111000</v>
      </c>
    </row>
    <row r="985" spans="4:10">
      <c r="D985" t="s">
        <v>607</v>
      </c>
      <c r="E985" t="s">
        <v>598</v>
      </c>
      <c r="F985">
        <v>3007</v>
      </c>
      <c r="G985">
        <v>3008</v>
      </c>
      <c r="H985">
        <v>3006</v>
      </c>
      <c r="I985">
        <v>3007</v>
      </c>
      <c r="J985">
        <v>76600</v>
      </c>
    </row>
    <row r="986" spans="4:10">
      <c r="D986" t="s">
        <v>607</v>
      </c>
      <c r="E986" t="s">
        <v>599</v>
      </c>
      <c r="F986">
        <v>3007</v>
      </c>
      <c r="G986">
        <v>3010</v>
      </c>
      <c r="H986">
        <v>3006</v>
      </c>
      <c r="I986">
        <v>3009</v>
      </c>
      <c r="J986">
        <v>127000</v>
      </c>
    </row>
    <row r="987" spans="4:10">
      <c r="D987" t="s">
        <v>607</v>
      </c>
      <c r="E987" t="s">
        <v>600</v>
      </c>
      <c r="F987">
        <v>3009</v>
      </c>
      <c r="G987">
        <v>3014</v>
      </c>
      <c r="H987">
        <v>3008</v>
      </c>
      <c r="I987">
        <v>3013</v>
      </c>
      <c r="J987">
        <v>231000</v>
      </c>
    </row>
    <row r="988" spans="4:10">
      <c r="D988" t="s">
        <v>607</v>
      </c>
      <c r="E988" t="s">
        <v>601</v>
      </c>
      <c r="F988">
        <v>3013</v>
      </c>
      <c r="G988">
        <v>3021</v>
      </c>
      <c r="H988">
        <v>3012</v>
      </c>
      <c r="I988">
        <v>3018</v>
      </c>
      <c r="J988">
        <v>315200</v>
      </c>
    </row>
    <row r="989" spans="4:10">
      <c r="D989" t="s">
        <v>607</v>
      </c>
      <c r="E989" t="s">
        <v>602</v>
      </c>
      <c r="F989">
        <v>3018</v>
      </c>
      <c r="G989">
        <v>3021</v>
      </c>
      <c r="H989">
        <v>3018</v>
      </c>
      <c r="I989">
        <v>3020</v>
      </c>
      <c r="J989">
        <v>205600</v>
      </c>
    </row>
    <row r="990" spans="4:10">
      <c r="D990" t="s">
        <v>607</v>
      </c>
      <c r="E990" t="s">
        <v>603</v>
      </c>
      <c r="F990">
        <v>3020</v>
      </c>
      <c r="G990">
        <v>3022</v>
      </c>
      <c r="H990">
        <v>3018</v>
      </c>
      <c r="I990">
        <v>3019</v>
      </c>
      <c r="J990">
        <v>140700</v>
      </c>
    </row>
    <row r="991" spans="4:10">
      <c r="D991" t="s">
        <v>607</v>
      </c>
      <c r="E991" t="s">
        <v>604</v>
      </c>
      <c r="F991">
        <v>3017</v>
      </c>
      <c r="G991">
        <v>3017</v>
      </c>
      <c r="H991">
        <v>3017</v>
      </c>
      <c r="I991">
        <v>3017</v>
      </c>
      <c r="J991">
        <v>40900</v>
      </c>
    </row>
    <row r="992" spans="4:10">
      <c r="D992" t="s">
        <v>607</v>
      </c>
      <c r="E992" t="s">
        <v>605</v>
      </c>
      <c r="F992">
        <v>3017</v>
      </c>
      <c r="G992">
        <v>3022</v>
      </c>
      <c r="H992">
        <v>3016</v>
      </c>
      <c r="I992">
        <v>3022</v>
      </c>
      <c r="J992">
        <v>577800</v>
      </c>
    </row>
    <row r="993" spans="4:10">
      <c r="D993" t="s">
        <v>607</v>
      </c>
      <c r="E993" t="s">
        <v>606</v>
      </c>
      <c r="F993">
        <v>3022</v>
      </c>
      <c r="G993">
        <v>3027</v>
      </c>
      <c r="H993">
        <v>3020</v>
      </c>
      <c r="I993">
        <v>3021</v>
      </c>
      <c r="J993">
        <v>355100</v>
      </c>
    </row>
    <row r="994" spans="4:10">
      <c r="D994" t="s">
        <v>607</v>
      </c>
      <c r="E994" t="s">
        <v>538</v>
      </c>
      <c r="F994">
        <v>3021</v>
      </c>
      <c r="G994">
        <v>3022</v>
      </c>
      <c r="H994">
        <v>3018</v>
      </c>
      <c r="I994">
        <v>3021</v>
      </c>
      <c r="J994">
        <v>148700</v>
      </c>
    </row>
    <row r="995" spans="4:10">
      <c r="D995" t="s">
        <v>607</v>
      </c>
      <c r="E995" t="s">
        <v>539</v>
      </c>
      <c r="F995">
        <v>3021</v>
      </c>
      <c r="G995">
        <v>3026</v>
      </c>
      <c r="H995">
        <v>3020</v>
      </c>
      <c r="I995">
        <v>3021</v>
      </c>
      <c r="J995">
        <v>186000</v>
      </c>
    </row>
    <row r="996" spans="4:10">
      <c r="D996" t="s">
        <v>607</v>
      </c>
      <c r="E996" t="s">
        <v>540</v>
      </c>
      <c r="F996">
        <v>3021</v>
      </c>
      <c r="G996">
        <v>3022</v>
      </c>
      <c r="H996">
        <v>3017</v>
      </c>
      <c r="I996">
        <v>3018</v>
      </c>
      <c r="J996">
        <v>147800</v>
      </c>
    </row>
    <row r="997" spans="4:10">
      <c r="D997" t="s">
        <v>607</v>
      </c>
      <c r="E997" t="s">
        <v>541</v>
      </c>
      <c r="F997">
        <v>3018</v>
      </c>
      <c r="G997">
        <v>3018</v>
      </c>
      <c r="H997">
        <v>3014</v>
      </c>
      <c r="I997">
        <v>3017</v>
      </c>
      <c r="J997">
        <v>131600</v>
      </c>
    </row>
    <row r="998" spans="4:10">
      <c r="D998" t="s">
        <v>607</v>
      </c>
      <c r="E998" t="s">
        <v>542</v>
      </c>
      <c r="F998">
        <v>3016</v>
      </c>
      <c r="G998">
        <v>3017</v>
      </c>
      <c r="H998">
        <v>3014</v>
      </c>
      <c r="I998">
        <v>3015</v>
      </c>
      <c r="J998">
        <v>99200</v>
      </c>
    </row>
    <row r="999" spans="4:10">
      <c r="D999" t="s">
        <v>607</v>
      </c>
      <c r="E999" t="s">
        <v>543</v>
      </c>
      <c r="F999">
        <v>3015</v>
      </c>
      <c r="G999">
        <v>3016</v>
      </c>
      <c r="H999">
        <v>3014</v>
      </c>
      <c r="I999">
        <v>3015</v>
      </c>
      <c r="J999">
        <v>79600</v>
      </c>
    </row>
    <row r="1000" spans="4:10">
      <c r="D1000" t="s">
        <v>607</v>
      </c>
      <c r="E1000" t="s">
        <v>544</v>
      </c>
      <c r="F1000">
        <v>3015</v>
      </c>
      <c r="G1000">
        <v>3016</v>
      </c>
      <c r="H1000">
        <v>3013</v>
      </c>
      <c r="I1000">
        <v>3016</v>
      </c>
      <c r="J1000">
        <v>114100</v>
      </c>
    </row>
    <row r="1001" spans="4:10">
      <c r="D1001" t="s">
        <v>607</v>
      </c>
      <c r="E1001" t="s">
        <v>545</v>
      </c>
      <c r="F1001">
        <v>3015</v>
      </c>
      <c r="G1001">
        <v>3016</v>
      </c>
      <c r="H1001">
        <v>3014</v>
      </c>
      <c r="I1001">
        <v>3015</v>
      </c>
      <c r="J1001">
        <v>65600</v>
      </c>
    </row>
    <row r="1002" spans="4:10">
      <c r="D1002" t="s">
        <v>607</v>
      </c>
      <c r="E1002" t="s">
        <v>546</v>
      </c>
      <c r="F1002">
        <v>3015</v>
      </c>
      <c r="G1002">
        <v>3017</v>
      </c>
      <c r="H1002">
        <v>3015</v>
      </c>
      <c r="I1002">
        <v>3016</v>
      </c>
      <c r="J1002">
        <v>58500</v>
      </c>
    </row>
    <row r="1003" spans="4:10">
      <c r="D1003" t="s">
        <v>607</v>
      </c>
      <c r="E1003" t="s">
        <v>547</v>
      </c>
      <c r="F1003">
        <v>3016</v>
      </c>
      <c r="G1003">
        <v>3019</v>
      </c>
      <c r="H1003">
        <v>3016</v>
      </c>
      <c r="I1003">
        <v>3017</v>
      </c>
      <c r="J1003">
        <v>91200</v>
      </c>
    </row>
    <row r="1004" spans="4:10">
      <c r="D1004" t="s">
        <v>607</v>
      </c>
      <c r="E1004" t="s">
        <v>548</v>
      </c>
      <c r="F1004">
        <v>3017</v>
      </c>
      <c r="G1004">
        <v>3019</v>
      </c>
      <c r="H1004">
        <v>3016</v>
      </c>
      <c r="I1004">
        <v>3016</v>
      </c>
      <c r="J1004">
        <v>75200</v>
      </c>
    </row>
    <row r="1005" spans="4:10">
      <c r="D1005" t="s">
        <v>607</v>
      </c>
      <c r="E1005" t="s">
        <v>549</v>
      </c>
      <c r="F1005">
        <v>3016</v>
      </c>
      <c r="G1005">
        <v>3017</v>
      </c>
      <c r="H1005">
        <v>3014</v>
      </c>
      <c r="I1005">
        <v>3015</v>
      </c>
      <c r="J1005">
        <v>76800</v>
      </c>
    </row>
    <row r="1006" spans="4:10">
      <c r="D1006" t="s">
        <v>607</v>
      </c>
      <c r="E1006" t="s">
        <v>550</v>
      </c>
      <c r="F1006">
        <v>3014</v>
      </c>
      <c r="G1006">
        <v>3015</v>
      </c>
      <c r="H1006">
        <v>3013</v>
      </c>
      <c r="I1006">
        <v>3013</v>
      </c>
      <c r="J1006">
        <v>64500</v>
      </c>
    </row>
    <row r="1007" spans="4:10">
      <c r="D1007" t="s">
        <v>607</v>
      </c>
      <c r="E1007" t="s">
        <v>551</v>
      </c>
      <c r="F1007">
        <v>3014</v>
      </c>
      <c r="G1007">
        <v>3014</v>
      </c>
      <c r="H1007">
        <v>3012</v>
      </c>
      <c r="I1007">
        <v>3012</v>
      </c>
      <c r="J1007">
        <v>51800</v>
      </c>
    </row>
    <row r="1008" spans="4:10">
      <c r="D1008" t="s">
        <v>607</v>
      </c>
      <c r="E1008" t="s">
        <v>552</v>
      </c>
      <c r="F1008">
        <v>3012</v>
      </c>
      <c r="G1008">
        <v>3014</v>
      </c>
      <c r="H1008">
        <v>3011</v>
      </c>
      <c r="I1008">
        <v>3013</v>
      </c>
      <c r="J1008">
        <v>91600</v>
      </c>
    </row>
    <row r="1009" spans="4:10">
      <c r="D1009" t="s">
        <v>607</v>
      </c>
      <c r="E1009" t="s">
        <v>553</v>
      </c>
      <c r="F1009">
        <v>3013</v>
      </c>
      <c r="G1009">
        <v>3013</v>
      </c>
      <c r="H1009">
        <v>3011</v>
      </c>
      <c r="I1009">
        <v>3011</v>
      </c>
      <c r="J1009">
        <v>62200</v>
      </c>
    </row>
    <row r="1010" spans="4:10">
      <c r="D1010" t="s">
        <v>607</v>
      </c>
      <c r="E1010" t="s">
        <v>554</v>
      </c>
      <c r="F1010">
        <v>3011</v>
      </c>
      <c r="G1010">
        <v>3013</v>
      </c>
      <c r="H1010">
        <v>3011</v>
      </c>
      <c r="I1010">
        <v>3011</v>
      </c>
      <c r="J1010">
        <v>107500</v>
      </c>
    </row>
    <row r="1011" spans="4:10">
      <c r="D1011" t="s">
        <v>607</v>
      </c>
      <c r="E1011" t="s">
        <v>555</v>
      </c>
      <c r="F1011">
        <v>3011</v>
      </c>
      <c r="G1011">
        <v>3014</v>
      </c>
      <c r="H1011">
        <v>3011</v>
      </c>
      <c r="I1011">
        <v>3013</v>
      </c>
      <c r="J1011">
        <v>128800</v>
      </c>
    </row>
    <row r="1012" spans="4:10">
      <c r="D1012" t="s">
        <v>607</v>
      </c>
      <c r="E1012" t="s">
        <v>556</v>
      </c>
      <c r="F1012">
        <v>3014</v>
      </c>
      <c r="G1012">
        <v>3015</v>
      </c>
      <c r="H1012">
        <v>3013</v>
      </c>
      <c r="I1012">
        <v>3014</v>
      </c>
      <c r="J1012">
        <v>92200</v>
      </c>
    </row>
    <row r="1013" spans="4:10">
      <c r="D1013" t="s">
        <v>607</v>
      </c>
      <c r="E1013" t="s">
        <v>557</v>
      </c>
      <c r="F1013">
        <v>3014</v>
      </c>
      <c r="G1013">
        <v>3016</v>
      </c>
      <c r="H1013">
        <v>3014</v>
      </c>
      <c r="I1013">
        <v>3016</v>
      </c>
      <c r="J1013">
        <v>68300</v>
      </c>
    </row>
    <row r="1014" spans="4:10">
      <c r="D1014" t="s">
        <v>607</v>
      </c>
      <c r="E1014" t="s">
        <v>558</v>
      </c>
      <c r="F1014">
        <v>3016</v>
      </c>
      <c r="G1014">
        <v>3016</v>
      </c>
      <c r="H1014">
        <v>3013</v>
      </c>
      <c r="I1014">
        <v>3013</v>
      </c>
      <c r="J1014">
        <v>81200</v>
      </c>
    </row>
    <row r="1015" spans="4:10">
      <c r="D1015" t="s">
        <v>607</v>
      </c>
      <c r="E1015" t="s">
        <v>559</v>
      </c>
      <c r="F1015">
        <v>3013</v>
      </c>
      <c r="G1015">
        <v>3015</v>
      </c>
      <c r="H1015">
        <v>3013</v>
      </c>
      <c r="I1015">
        <v>3015</v>
      </c>
      <c r="J1015">
        <v>83900</v>
      </c>
    </row>
    <row r="1016" spans="4:10">
      <c r="D1016" t="s">
        <v>607</v>
      </c>
      <c r="E1016" t="s">
        <v>560</v>
      </c>
      <c r="F1016">
        <v>3015</v>
      </c>
      <c r="G1016">
        <v>3016</v>
      </c>
      <c r="H1016">
        <v>3015</v>
      </c>
      <c r="I1016">
        <v>3016</v>
      </c>
      <c r="J1016">
        <v>69900</v>
      </c>
    </row>
    <row r="1017" spans="4:10">
      <c r="D1017" t="s">
        <v>607</v>
      </c>
      <c r="E1017" t="s">
        <v>561</v>
      </c>
      <c r="F1017">
        <v>3016</v>
      </c>
      <c r="G1017">
        <v>3017</v>
      </c>
      <c r="H1017">
        <v>3015</v>
      </c>
      <c r="I1017">
        <v>3015</v>
      </c>
      <c r="J1017">
        <v>187000</v>
      </c>
    </row>
    <row r="1018" spans="4:10">
      <c r="D1018" t="s">
        <v>607</v>
      </c>
      <c r="E1018" t="s">
        <v>562</v>
      </c>
      <c r="F1018">
        <v>3016</v>
      </c>
      <c r="G1018">
        <v>3020</v>
      </c>
      <c r="H1018">
        <v>3015</v>
      </c>
      <c r="I1018">
        <v>3019</v>
      </c>
      <c r="J1018">
        <v>167800</v>
      </c>
    </row>
    <row r="1019" spans="4:10">
      <c r="D1019" t="s">
        <v>607</v>
      </c>
      <c r="E1019" t="s">
        <v>563</v>
      </c>
      <c r="F1019">
        <v>3020</v>
      </c>
      <c r="G1019">
        <v>3020</v>
      </c>
      <c r="H1019">
        <v>3017</v>
      </c>
      <c r="I1019">
        <v>3018</v>
      </c>
      <c r="J1019">
        <v>145300</v>
      </c>
    </row>
    <row r="1020" spans="4:10">
      <c r="D1020" t="s">
        <v>607</v>
      </c>
      <c r="E1020" t="s">
        <v>564</v>
      </c>
      <c r="F1020">
        <v>3018</v>
      </c>
      <c r="G1020">
        <v>3020</v>
      </c>
      <c r="H1020">
        <v>3017</v>
      </c>
      <c r="I1020">
        <v>3018</v>
      </c>
      <c r="J1020">
        <v>177100</v>
      </c>
    </row>
    <row r="1021" spans="4:10">
      <c r="D1021" t="s">
        <v>607</v>
      </c>
      <c r="E1021" t="s">
        <v>565</v>
      </c>
      <c r="F1021">
        <v>3018</v>
      </c>
      <c r="G1021">
        <v>3019</v>
      </c>
      <c r="H1021">
        <v>3016</v>
      </c>
      <c r="I1021">
        <v>3016</v>
      </c>
      <c r="J1021">
        <v>152200</v>
      </c>
    </row>
    <row r="1022" spans="4:10">
      <c r="D1022" t="s">
        <v>607</v>
      </c>
      <c r="E1022" t="s">
        <v>566</v>
      </c>
      <c r="F1022">
        <v>3016</v>
      </c>
      <c r="G1022">
        <v>3017</v>
      </c>
      <c r="H1022">
        <v>3011</v>
      </c>
      <c r="I1022">
        <v>3012</v>
      </c>
      <c r="J1022">
        <v>240400</v>
      </c>
    </row>
    <row r="1023" spans="4:10">
      <c r="D1023" t="s">
        <v>607</v>
      </c>
      <c r="E1023" t="s">
        <v>567</v>
      </c>
      <c r="F1023">
        <v>3012</v>
      </c>
      <c r="G1023">
        <v>3012</v>
      </c>
      <c r="H1023">
        <v>3009</v>
      </c>
      <c r="I1023">
        <v>3009</v>
      </c>
      <c r="J1023">
        <v>221300</v>
      </c>
    </row>
    <row r="1024" spans="4:10">
      <c r="D1024" t="s">
        <v>607</v>
      </c>
      <c r="E1024" t="s">
        <v>568</v>
      </c>
      <c r="F1024">
        <v>3009</v>
      </c>
      <c r="G1024">
        <v>3017</v>
      </c>
      <c r="H1024">
        <v>3009</v>
      </c>
      <c r="I1024">
        <v>3017</v>
      </c>
      <c r="J1024">
        <v>237100</v>
      </c>
    </row>
    <row r="1025" spans="4:10">
      <c r="D1025" t="s">
        <v>607</v>
      </c>
      <c r="E1025" t="s">
        <v>569</v>
      </c>
      <c r="F1025">
        <v>3017</v>
      </c>
      <c r="G1025">
        <v>3017</v>
      </c>
      <c r="H1025">
        <v>3015</v>
      </c>
      <c r="I1025">
        <v>3015</v>
      </c>
      <c r="J1025">
        <v>253600</v>
      </c>
    </row>
    <row r="1026" spans="4:10">
      <c r="D1026" t="s">
        <v>607</v>
      </c>
      <c r="E1026" t="s">
        <v>570</v>
      </c>
      <c r="F1026">
        <v>3015</v>
      </c>
      <c r="G1026">
        <v>3018</v>
      </c>
      <c r="H1026">
        <v>3015</v>
      </c>
      <c r="I1026">
        <v>3018</v>
      </c>
      <c r="J1026">
        <v>228200</v>
      </c>
    </row>
    <row r="1027" spans="4:10">
      <c r="D1027" t="s">
        <v>607</v>
      </c>
      <c r="E1027" t="s">
        <v>571</v>
      </c>
      <c r="F1027" t="s">
        <v>35</v>
      </c>
      <c r="G1027" t="s">
        <v>35</v>
      </c>
      <c r="H1027" t="s">
        <v>35</v>
      </c>
      <c r="I1027" t="s">
        <v>35</v>
      </c>
      <c r="J1027">
        <v>0</v>
      </c>
    </row>
    <row r="1028" spans="4:10">
      <c r="D1028" t="s">
        <v>607</v>
      </c>
      <c r="E1028" t="s">
        <v>572</v>
      </c>
      <c r="F1028">
        <v>3022</v>
      </c>
      <c r="G1028">
        <v>3022</v>
      </c>
      <c r="H1028">
        <v>3022</v>
      </c>
      <c r="I1028">
        <v>3022</v>
      </c>
      <c r="J1028">
        <v>3259300</v>
      </c>
    </row>
    <row r="1029" spans="4:10">
      <c r="D1029" t="s">
        <v>608</v>
      </c>
      <c r="E1029" t="s">
        <v>574</v>
      </c>
      <c r="F1029">
        <v>3023</v>
      </c>
      <c r="G1029">
        <v>3024</v>
      </c>
      <c r="H1029">
        <v>2989.5</v>
      </c>
      <c r="I1029">
        <v>2995.5</v>
      </c>
      <c r="J1029">
        <v>2924500</v>
      </c>
    </row>
    <row r="1030" spans="4:10">
      <c r="D1030" t="s">
        <v>608</v>
      </c>
      <c r="E1030" t="s">
        <v>575</v>
      </c>
      <c r="F1030">
        <v>2996</v>
      </c>
      <c r="G1030">
        <v>2997</v>
      </c>
      <c r="H1030">
        <v>2984</v>
      </c>
      <c r="I1030">
        <v>2985.5</v>
      </c>
      <c r="J1030">
        <v>1039000</v>
      </c>
    </row>
    <row r="1031" spans="4:10">
      <c r="D1031" t="s">
        <v>608</v>
      </c>
      <c r="E1031" t="s">
        <v>576</v>
      </c>
      <c r="F1031">
        <v>2985.5</v>
      </c>
      <c r="G1031">
        <v>2985.5</v>
      </c>
      <c r="H1031">
        <v>2971</v>
      </c>
      <c r="I1031">
        <v>2977.5</v>
      </c>
      <c r="J1031">
        <v>1123500</v>
      </c>
    </row>
    <row r="1032" spans="4:10">
      <c r="D1032" t="s">
        <v>608</v>
      </c>
      <c r="E1032" t="s">
        <v>577</v>
      </c>
      <c r="F1032">
        <v>2976.5</v>
      </c>
      <c r="G1032">
        <v>2980.5</v>
      </c>
      <c r="H1032">
        <v>2961.5</v>
      </c>
      <c r="I1032">
        <v>2962</v>
      </c>
      <c r="J1032">
        <v>848800</v>
      </c>
    </row>
    <row r="1033" spans="4:10">
      <c r="D1033" t="s">
        <v>608</v>
      </c>
      <c r="E1033" t="s">
        <v>578</v>
      </c>
      <c r="F1033">
        <v>2962</v>
      </c>
      <c r="G1033">
        <v>2969.5</v>
      </c>
      <c r="H1033">
        <v>2959</v>
      </c>
      <c r="I1033">
        <v>2960.5</v>
      </c>
      <c r="J1033">
        <v>629000</v>
      </c>
    </row>
    <row r="1034" spans="4:10">
      <c r="D1034" t="s">
        <v>608</v>
      </c>
      <c r="E1034" t="s">
        <v>579</v>
      </c>
      <c r="F1034">
        <v>2961</v>
      </c>
      <c r="G1034">
        <v>2967.5</v>
      </c>
      <c r="H1034">
        <v>2958.5</v>
      </c>
      <c r="I1034">
        <v>2966.5</v>
      </c>
      <c r="J1034">
        <v>413800</v>
      </c>
    </row>
    <row r="1035" spans="4:10">
      <c r="D1035" t="s">
        <v>608</v>
      </c>
      <c r="E1035" t="s">
        <v>580</v>
      </c>
      <c r="F1035">
        <v>2966</v>
      </c>
      <c r="G1035">
        <v>2967.5</v>
      </c>
      <c r="H1035">
        <v>2957</v>
      </c>
      <c r="I1035">
        <v>2959.5</v>
      </c>
      <c r="J1035">
        <v>480700</v>
      </c>
    </row>
    <row r="1036" spans="4:10">
      <c r="D1036" t="s">
        <v>608</v>
      </c>
      <c r="E1036" t="s">
        <v>581</v>
      </c>
      <c r="F1036">
        <v>2959.5</v>
      </c>
      <c r="G1036">
        <v>2962.5</v>
      </c>
      <c r="H1036">
        <v>2957.5</v>
      </c>
      <c r="I1036">
        <v>2959</v>
      </c>
      <c r="J1036">
        <v>343600</v>
      </c>
    </row>
    <row r="1037" spans="4:10">
      <c r="D1037" t="s">
        <v>608</v>
      </c>
      <c r="E1037" t="s">
        <v>582</v>
      </c>
      <c r="F1037">
        <v>2959</v>
      </c>
      <c r="G1037">
        <v>2964</v>
      </c>
      <c r="H1037">
        <v>2956.5</v>
      </c>
      <c r="I1037">
        <v>2957.5</v>
      </c>
      <c r="J1037">
        <v>336900</v>
      </c>
    </row>
    <row r="1038" spans="4:10">
      <c r="D1038" t="s">
        <v>608</v>
      </c>
      <c r="E1038" t="s">
        <v>583</v>
      </c>
      <c r="F1038">
        <v>2957.5</v>
      </c>
      <c r="G1038">
        <v>2958.5</v>
      </c>
      <c r="H1038">
        <v>2951.5</v>
      </c>
      <c r="I1038">
        <v>2952</v>
      </c>
      <c r="J1038">
        <v>449200</v>
      </c>
    </row>
    <row r="1039" spans="4:10">
      <c r="D1039" t="s">
        <v>608</v>
      </c>
      <c r="E1039" t="s">
        <v>584</v>
      </c>
      <c r="F1039">
        <v>2951.5</v>
      </c>
      <c r="G1039">
        <v>2952</v>
      </c>
      <c r="H1039">
        <v>2944.5</v>
      </c>
      <c r="I1039">
        <v>2945</v>
      </c>
      <c r="J1039">
        <v>833600</v>
      </c>
    </row>
    <row r="1040" spans="4:10">
      <c r="D1040" t="s">
        <v>608</v>
      </c>
      <c r="E1040" t="s">
        <v>585</v>
      </c>
      <c r="F1040">
        <v>2945</v>
      </c>
      <c r="G1040">
        <v>2949</v>
      </c>
      <c r="H1040">
        <v>2942.5</v>
      </c>
      <c r="I1040">
        <v>2942.5</v>
      </c>
      <c r="J1040">
        <v>342500</v>
      </c>
    </row>
    <row r="1041" spans="4:10">
      <c r="D1041" t="s">
        <v>608</v>
      </c>
      <c r="E1041" t="s">
        <v>586</v>
      </c>
      <c r="F1041">
        <v>2942.5</v>
      </c>
      <c r="G1041">
        <v>2942.5</v>
      </c>
      <c r="H1041">
        <v>2938</v>
      </c>
      <c r="I1041">
        <v>2940.5</v>
      </c>
      <c r="J1041">
        <v>413200</v>
      </c>
    </row>
    <row r="1042" spans="4:10">
      <c r="D1042" t="s">
        <v>608</v>
      </c>
      <c r="E1042" t="s">
        <v>587</v>
      </c>
      <c r="F1042">
        <v>2940</v>
      </c>
      <c r="G1042">
        <v>2940</v>
      </c>
      <c r="H1042">
        <v>2933.5</v>
      </c>
      <c r="I1042">
        <v>2936.5</v>
      </c>
      <c r="J1042">
        <v>365800</v>
      </c>
    </row>
    <row r="1043" spans="4:10">
      <c r="D1043" t="s">
        <v>608</v>
      </c>
      <c r="E1043" t="s">
        <v>588</v>
      </c>
      <c r="F1043">
        <v>2937</v>
      </c>
      <c r="G1043">
        <v>2937.5</v>
      </c>
      <c r="H1043">
        <v>2932.5</v>
      </c>
      <c r="I1043">
        <v>2933</v>
      </c>
      <c r="J1043">
        <v>298300</v>
      </c>
    </row>
    <row r="1044" spans="4:10">
      <c r="D1044" t="s">
        <v>608</v>
      </c>
      <c r="E1044" t="s">
        <v>589</v>
      </c>
      <c r="F1044">
        <v>2932.5</v>
      </c>
      <c r="G1044">
        <v>2933</v>
      </c>
      <c r="H1044">
        <v>2929</v>
      </c>
      <c r="I1044">
        <v>2930.5</v>
      </c>
      <c r="J1044">
        <v>450700</v>
      </c>
    </row>
    <row r="1045" spans="4:10">
      <c r="D1045" t="s">
        <v>608</v>
      </c>
      <c r="E1045" t="s">
        <v>590</v>
      </c>
      <c r="F1045">
        <v>2930.5</v>
      </c>
      <c r="G1045">
        <v>2934</v>
      </c>
      <c r="H1045">
        <v>2930</v>
      </c>
      <c r="I1045">
        <v>2930</v>
      </c>
      <c r="J1045">
        <v>222400</v>
      </c>
    </row>
    <row r="1046" spans="4:10">
      <c r="D1046" t="s">
        <v>608</v>
      </c>
      <c r="E1046" t="s">
        <v>591</v>
      </c>
      <c r="F1046">
        <v>2930.5</v>
      </c>
      <c r="G1046">
        <v>2939.5</v>
      </c>
      <c r="H1046">
        <v>2930</v>
      </c>
      <c r="I1046">
        <v>2936.5</v>
      </c>
      <c r="J1046">
        <v>317200</v>
      </c>
    </row>
    <row r="1047" spans="4:10">
      <c r="D1047" t="s">
        <v>608</v>
      </c>
      <c r="E1047" t="s">
        <v>592</v>
      </c>
      <c r="F1047">
        <v>2936.5</v>
      </c>
      <c r="G1047">
        <v>2939.5</v>
      </c>
      <c r="H1047">
        <v>2932</v>
      </c>
      <c r="I1047">
        <v>2932.5</v>
      </c>
      <c r="J1047">
        <v>251300</v>
      </c>
    </row>
    <row r="1048" spans="4:10">
      <c r="D1048" t="s">
        <v>608</v>
      </c>
      <c r="E1048" t="s">
        <v>593</v>
      </c>
      <c r="F1048">
        <v>2932.5</v>
      </c>
      <c r="G1048">
        <v>2933.5</v>
      </c>
      <c r="H1048">
        <v>2930.5</v>
      </c>
      <c r="I1048">
        <v>2931</v>
      </c>
      <c r="J1048">
        <v>184600</v>
      </c>
    </row>
    <row r="1049" spans="4:10">
      <c r="D1049" t="s">
        <v>608</v>
      </c>
      <c r="E1049" t="s">
        <v>594</v>
      </c>
      <c r="F1049">
        <v>2931</v>
      </c>
      <c r="G1049">
        <v>2931</v>
      </c>
      <c r="H1049">
        <v>2927</v>
      </c>
      <c r="I1049">
        <v>2928</v>
      </c>
      <c r="J1049">
        <v>352500</v>
      </c>
    </row>
    <row r="1050" spans="4:10">
      <c r="D1050" t="s">
        <v>608</v>
      </c>
      <c r="E1050" t="s">
        <v>595</v>
      </c>
      <c r="F1050">
        <v>2928</v>
      </c>
      <c r="G1050">
        <v>2930</v>
      </c>
      <c r="H1050">
        <v>2927.5</v>
      </c>
      <c r="I1050">
        <v>2929.5</v>
      </c>
      <c r="J1050">
        <v>142000</v>
      </c>
    </row>
    <row r="1051" spans="4:10">
      <c r="D1051" t="s">
        <v>608</v>
      </c>
      <c r="E1051" t="s">
        <v>596</v>
      </c>
      <c r="F1051">
        <v>2929</v>
      </c>
      <c r="G1051">
        <v>2933</v>
      </c>
      <c r="H1051">
        <v>2928.5</v>
      </c>
      <c r="I1051">
        <v>2932.5</v>
      </c>
      <c r="J1051">
        <v>200700</v>
      </c>
    </row>
    <row r="1052" spans="4:10">
      <c r="D1052" t="s">
        <v>608</v>
      </c>
      <c r="E1052" t="s">
        <v>597</v>
      </c>
      <c r="F1052">
        <v>2932.5</v>
      </c>
      <c r="G1052">
        <v>2934.5</v>
      </c>
      <c r="H1052">
        <v>2931</v>
      </c>
      <c r="I1052">
        <v>2933.5</v>
      </c>
      <c r="J1052">
        <v>187900</v>
      </c>
    </row>
    <row r="1053" spans="4:10">
      <c r="D1053" t="s">
        <v>608</v>
      </c>
      <c r="E1053" t="s">
        <v>598</v>
      </c>
      <c r="F1053">
        <v>2933</v>
      </c>
      <c r="G1053">
        <v>2936</v>
      </c>
      <c r="H1053">
        <v>2931.5</v>
      </c>
      <c r="I1053">
        <v>2934</v>
      </c>
      <c r="J1053">
        <v>164000</v>
      </c>
    </row>
    <row r="1054" spans="4:10">
      <c r="D1054" t="s">
        <v>608</v>
      </c>
      <c r="E1054" t="s">
        <v>599</v>
      </c>
      <c r="F1054">
        <v>2933.5</v>
      </c>
      <c r="G1054">
        <v>2936</v>
      </c>
      <c r="H1054">
        <v>2932.5</v>
      </c>
      <c r="I1054">
        <v>2934</v>
      </c>
      <c r="J1054">
        <v>142600</v>
      </c>
    </row>
    <row r="1055" spans="4:10">
      <c r="D1055" t="s">
        <v>608</v>
      </c>
      <c r="E1055" t="s">
        <v>600</v>
      </c>
      <c r="F1055">
        <v>2934.5</v>
      </c>
      <c r="G1055">
        <v>2936.5</v>
      </c>
      <c r="H1055">
        <v>2933</v>
      </c>
      <c r="I1055">
        <v>2936</v>
      </c>
      <c r="J1055">
        <v>102600</v>
      </c>
    </row>
    <row r="1056" spans="4:10">
      <c r="D1056" t="s">
        <v>608</v>
      </c>
      <c r="E1056" t="s">
        <v>601</v>
      </c>
      <c r="F1056">
        <v>2936</v>
      </c>
      <c r="G1056">
        <v>2940</v>
      </c>
      <c r="H1056">
        <v>2936</v>
      </c>
      <c r="I1056">
        <v>2939</v>
      </c>
      <c r="J1056">
        <v>157500</v>
      </c>
    </row>
    <row r="1057" spans="4:10">
      <c r="D1057" t="s">
        <v>608</v>
      </c>
      <c r="E1057" t="s">
        <v>602</v>
      </c>
      <c r="F1057">
        <v>2939</v>
      </c>
      <c r="G1057">
        <v>2940.5</v>
      </c>
      <c r="H1057">
        <v>2936.5</v>
      </c>
      <c r="I1057">
        <v>2939.5</v>
      </c>
      <c r="J1057">
        <v>131600</v>
      </c>
    </row>
    <row r="1058" spans="4:10">
      <c r="D1058" t="s">
        <v>608</v>
      </c>
      <c r="E1058" t="s">
        <v>603</v>
      </c>
      <c r="F1058">
        <v>2939.5</v>
      </c>
      <c r="G1058">
        <v>2942</v>
      </c>
      <c r="H1058">
        <v>2938.5</v>
      </c>
      <c r="I1058">
        <v>2940</v>
      </c>
      <c r="J1058">
        <v>212500</v>
      </c>
    </row>
    <row r="1059" spans="4:10">
      <c r="D1059" t="s">
        <v>608</v>
      </c>
      <c r="E1059" t="s">
        <v>604</v>
      </c>
      <c r="F1059">
        <v>2940</v>
      </c>
      <c r="G1059">
        <v>2940</v>
      </c>
      <c r="H1059">
        <v>2940</v>
      </c>
      <c r="I1059">
        <v>2940</v>
      </c>
      <c r="J1059">
        <v>15500</v>
      </c>
    </row>
    <row r="1060" spans="4:10">
      <c r="D1060" t="s">
        <v>608</v>
      </c>
      <c r="E1060" t="s">
        <v>605</v>
      </c>
      <c r="F1060">
        <v>2944</v>
      </c>
      <c r="G1060">
        <v>2945</v>
      </c>
      <c r="H1060">
        <v>2937</v>
      </c>
      <c r="I1060">
        <v>2944</v>
      </c>
      <c r="J1060">
        <v>783800</v>
      </c>
    </row>
    <row r="1061" spans="4:10">
      <c r="D1061" t="s">
        <v>608</v>
      </c>
      <c r="E1061" t="s">
        <v>606</v>
      </c>
      <c r="F1061">
        <v>2943.5</v>
      </c>
      <c r="G1061">
        <v>2948</v>
      </c>
      <c r="H1061">
        <v>2942</v>
      </c>
      <c r="I1061">
        <v>2946.5</v>
      </c>
      <c r="J1061">
        <v>243600</v>
      </c>
    </row>
    <row r="1062" spans="4:10">
      <c r="D1062" t="s">
        <v>608</v>
      </c>
      <c r="E1062" t="s">
        <v>538</v>
      </c>
      <c r="F1062">
        <v>2946.5</v>
      </c>
      <c r="G1062">
        <v>2947.5</v>
      </c>
      <c r="H1062">
        <v>2944</v>
      </c>
      <c r="I1062">
        <v>2946.5</v>
      </c>
      <c r="J1062">
        <v>174600</v>
      </c>
    </row>
    <row r="1063" spans="4:10">
      <c r="D1063" t="s">
        <v>608</v>
      </c>
      <c r="E1063" t="s">
        <v>539</v>
      </c>
      <c r="F1063">
        <v>2946.5</v>
      </c>
      <c r="G1063">
        <v>2948</v>
      </c>
      <c r="H1063">
        <v>2946</v>
      </c>
      <c r="I1063">
        <v>2947.5</v>
      </c>
      <c r="J1063">
        <v>182000</v>
      </c>
    </row>
    <row r="1064" spans="4:10">
      <c r="D1064" t="s">
        <v>608</v>
      </c>
      <c r="E1064" t="s">
        <v>540</v>
      </c>
      <c r="F1064">
        <v>2947.5</v>
      </c>
      <c r="G1064">
        <v>2948.5</v>
      </c>
      <c r="H1064">
        <v>2944.5</v>
      </c>
      <c r="I1064">
        <v>2945</v>
      </c>
      <c r="J1064">
        <v>144900</v>
      </c>
    </row>
    <row r="1065" spans="4:10">
      <c r="D1065" t="s">
        <v>608</v>
      </c>
      <c r="E1065" t="s">
        <v>541</v>
      </c>
      <c r="F1065">
        <v>2945</v>
      </c>
      <c r="G1065">
        <v>2945</v>
      </c>
      <c r="H1065">
        <v>2942.5</v>
      </c>
      <c r="I1065">
        <v>2942.5</v>
      </c>
      <c r="J1065">
        <v>149500</v>
      </c>
    </row>
    <row r="1066" spans="4:10">
      <c r="D1066" t="s">
        <v>608</v>
      </c>
      <c r="E1066" t="s">
        <v>542</v>
      </c>
      <c r="F1066">
        <v>2942.5</v>
      </c>
      <c r="G1066">
        <v>2943</v>
      </c>
      <c r="H1066">
        <v>2940.5</v>
      </c>
      <c r="I1066">
        <v>2941.5</v>
      </c>
      <c r="J1066">
        <v>207000</v>
      </c>
    </row>
    <row r="1067" spans="4:10">
      <c r="D1067" t="s">
        <v>608</v>
      </c>
      <c r="E1067" t="s">
        <v>543</v>
      </c>
      <c r="F1067">
        <v>2941.5</v>
      </c>
      <c r="G1067">
        <v>2942.5</v>
      </c>
      <c r="H1067">
        <v>2940.5</v>
      </c>
      <c r="I1067">
        <v>2941.5</v>
      </c>
      <c r="J1067">
        <v>117800</v>
      </c>
    </row>
    <row r="1068" spans="4:10">
      <c r="D1068" t="s">
        <v>608</v>
      </c>
      <c r="E1068" t="s">
        <v>544</v>
      </c>
      <c r="F1068">
        <v>2941</v>
      </c>
      <c r="G1068">
        <v>2941.5</v>
      </c>
      <c r="H1068">
        <v>2938</v>
      </c>
      <c r="I1068">
        <v>2939.5</v>
      </c>
      <c r="J1068">
        <v>267900</v>
      </c>
    </row>
    <row r="1069" spans="4:10">
      <c r="D1069" t="s">
        <v>608</v>
      </c>
      <c r="E1069" t="s">
        <v>545</v>
      </c>
      <c r="F1069">
        <v>2940</v>
      </c>
      <c r="G1069">
        <v>2941.5</v>
      </c>
      <c r="H1069">
        <v>2937.5</v>
      </c>
      <c r="I1069">
        <v>2938</v>
      </c>
      <c r="J1069">
        <v>203100</v>
      </c>
    </row>
    <row r="1070" spans="4:10">
      <c r="D1070" t="s">
        <v>608</v>
      </c>
      <c r="E1070" t="s">
        <v>546</v>
      </c>
      <c r="F1070">
        <v>2938</v>
      </c>
      <c r="G1070">
        <v>2939.5</v>
      </c>
      <c r="H1070">
        <v>2936</v>
      </c>
      <c r="I1070">
        <v>2936.5</v>
      </c>
      <c r="J1070">
        <v>184300</v>
      </c>
    </row>
    <row r="1071" spans="4:10">
      <c r="D1071" t="s">
        <v>608</v>
      </c>
      <c r="E1071" t="s">
        <v>547</v>
      </c>
      <c r="F1071">
        <v>2936</v>
      </c>
      <c r="G1071">
        <v>2941</v>
      </c>
      <c r="H1071">
        <v>2936</v>
      </c>
      <c r="I1071">
        <v>2940</v>
      </c>
      <c r="J1071">
        <v>156600</v>
      </c>
    </row>
    <row r="1072" spans="4:10">
      <c r="D1072" t="s">
        <v>608</v>
      </c>
      <c r="E1072" t="s">
        <v>548</v>
      </c>
      <c r="F1072">
        <v>2940</v>
      </c>
      <c r="G1072">
        <v>2941</v>
      </c>
      <c r="H1072">
        <v>2938</v>
      </c>
      <c r="I1072">
        <v>2938.5</v>
      </c>
      <c r="J1072">
        <v>97900</v>
      </c>
    </row>
    <row r="1073" spans="4:10">
      <c r="D1073" t="s">
        <v>608</v>
      </c>
      <c r="E1073" t="s">
        <v>549</v>
      </c>
      <c r="F1073">
        <v>2939</v>
      </c>
      <c r="G1073">
        <v>2941</v>
      </c>
      <c r="H1073">
        <v>2938.5</v>
      </c>
      <c r="I1073">
        <v>2940.5</v>
      </c>
      <c r="J1073">
        <v>99300</v>
      </c>
    </row>
    <row r="1074" spans="4:10">
      <c r="D1074" t="s">
        <v>608</v>
      </c>
      <c r="E1074" t="s">
        <v>550</v>
      </c>
      <c r="F1074">
        <v>2940.5</v>
      </c>
      <c r="G1074">
        <v>2943</v>
      </c>
      <c r="H1074">
        <v>2939.5</v>
      </c>
      <c r="I1074">
        <v>2939.5</v>
      </c>
      <c r="J1074">
        <v>163700</v>
      </c>
    </row>
    <row r="1075" spans="4:10">
      <c r="D1075" t="s">
        <v>608</v>
      </c>
      <c r="E1075" t="s">
        <v>551</v>
      </c>
      <c r="F1075">
        <v>2940</v>
      </c>
      <c r="G1075">
        <v>2941.5</v>
      </c>
      <c r="H1075">
        <v>2936.5</v>
      </c>
      <c r="I1075">
        <v>2937</v>
      </c>
      <c r="J1075">
        <v>165600</v>
      </c>
    </row>
    <row r="1076" spans="4:10">
      <c r="D1076" t="s">
        <v>608</v>
      </c>
      <c r="E1076" t="s">
        <v>552</v>
      </c>
      <c r="F1076">
        <v>2936.5</v>
      </c>
      <c r="G1076">
        <v>2937.5</v>
      </c>
      <c r="H1076">
        <v>2933</v>
      </c>
      <c r="I1076">
        <v>2934.5</v>
      </c>
      <c r="J1076">
        <v>224600</v>
      </c>
    </row>
    <row r="1077" spans="4:10">
      <c r="D1077" t="s">
        <v>608</v>
      </c>
      <c r="E1077" t="s">
        <v>553</v>
      </c>
      <c r="F1077">
        <v>2934</v>
      </c>
      <c r="G1077">
        <v>2935.5</v>
      </c>
      <c r="H1077">
        <v>2933</v>
      </c>
      <c r="I1077">
        <v>2935</v>
      </c>
      <c r="J1077">
        <v>137900</v>
      </c>
    </row>
    <row r="1078" spans="4:10">
      <c r="D1078" t="s">
        <v>608</v>
      </c>
      <c r="E1078" t="s">
        <v>554</v>
      </c>
      <c r="F1078">
        <v>2935</v>
      </c>
      <c r="G1078">
        <v>2938.5</v>
      </c>
      <c r="H1078">
        <v>2934</v>
      </c>
      <c r="I1078">
        <v>2938</v>
      </c>
      <c r="J1078">
        <v>260500</v>
      </c>
    </row>
    <row r="1079" spans="4:10">
      <c r="D1079" t="s">
        <v>608</v>
      </c>
      <c r="E1079" t="s">
        <v>555</v>
      </c>
      <c r="F1079">
        <v>2938.5</v>
      </c>
      <c r="G1079">
        <v>2939.5</v>
      </c>
      <c r="H1079">
        <v>2937.5</v>
      </c>
      <c r="I1079">
        <v>2937.5</v>
      </c>
      <c r="J1079">
        <v>167700</v>
      </c>
    </row>
    <row r="1080" spans="4:10">
      <c r="D1080" t="s">
        <v>608</v>
      </c>
      <c r="E1080" t="s">
        <v>556</v>
      </c>
      <c r="F1080">
        <v>2937.5</v>
      </c>
      <c r="G1080">
        <v>2940</v>
      </c>
      <c r="H1080">
        <v>2937.5</v>
      </c>
      <c r="I1080">
        <v>2940</v>
      </c>
      <c r="J1080">
        <v>158100</v>
      </c>
    </row>
    <row r="1081" spans="4:10">
      <c r="D1081" t="s">
        <v>608</v>
      </c>
      <c r="E1081" t="s">
        <v>557</v>
      </c>
      <c r="F1081">
        <v>2940</v>
      </c>
      <c r="G1081">
        <v>2940</v>
      </c>
      <c r="H1081">
        <v>2937</v>
      </c>
      <c r="I1081">
        <v>2939</v>
      </c>
      <c r="J1081">
        <v>212400</v>
      </c>
    </row>
    <row r="1082" spans="4:10">
      <c r="D1082" t="s">
        <v>608</v>
      </c>
      <c r="E1082" t="s">
        <v>558</v>
      </c>
      <c r="F1082">
        <v>2939</v>
      </c>
      <c r="G1082">
        <v>2941</v>
      </c>
      <c r="H1082">
        <v>2938</v>
      </c>
      <c r="I1082">
        <v>2939</v>
      </c>
      <c r="J1082">
        <v>123000</v>
      </c>
    </row>
    <row r="1083" spans="4:10">
      <c r="D1083" t="s">
        <v>608</v>
      </c>
      <c r="E1083" t="s">
        <v>559</v>
      </c>
      <c r="F1083">
        <v>2939.5</v>
      </c>
      <c r="G1083">
        <v>2941</v>
      </c>
      <c r="H1083">
        <v>2938.5</v>
      </c>
      <c r="I1083">
        <v>2938.5</v>
      </c>
      <c r="J1083">
        <v>192200</v>
      </c>
    </row>
    <row r="1084" spans="4:10">
      <c r="D1084" t="s">
        <v>608</v>
      </c>
      <c r="E1084" t="s">
        <v>560</v>
      </c>
      <c r="F1084">
        <v>2938</v>
      </c>
      <c r="G1084">
        <v>2938.5</v>
      </c>
      <c r="H1084">
        <v>2934.5</v>
      </c>
      <c r="I1084">
        <v>2935.5</v>
      </c>
      <c r="J1084">
        <v>248100</v>
      </c>
    </row>
    <row r="1085" spans="4:10">
      <c r="D1085" t="s">
        <v>608</v>
      </c>
      <c r="E1085" t="s">
        <v>561</v>
      </c>
      <c r="F1085">
        <v>2935.5</v>
      </c>
      <c r="G1085">
        <v>2936</v>
      </c>
      <c r="H1085">
        <v>2930.5</v>
      </c>
      <c r="I1085">
        <v>2931.5</v>
      </c>
      <c r="J1085">
        <v>229300</v>
      </c>
    </row>
    <row r="1086" spans="4:10">
      <c r="D1086" t="s">
        <v>608</v>
      </c>
      <c r="E1086" t="s">
        <v>562</v>
      </c>
      <c r="F1086">
        <v>2931.5</v>
      </c>
      <c r="G1086">
        <v>2932</v>
      </c>
      <c r="H1086">
        <v>2929</v>
      </c>
      <c r="I1086">
        <v>2931</v>
      </c>
      <c r="J1086">
        <v>327900</v>
      </c>
    </row>
    <row r="1087" spans="4:10">
      <c r="D1087" t="s">
        <v>608</v>
      </c>
      <c r="E1087" t="s">
        <v>563</v>
      </c>
      <c r="F1087">
        <v>2931</v>
      </c>
      <c r="G1087">
        <v>2933</v>
      </c>
      <c r="H1087">
        <v>2930.5</v>
      </c>
      <c r="I1087">
        <v>2932</v>
      </c>
      <c r="J1087">
        <v>185500</v>
      </c>
    </row>
    <row r="1088" spans="4:10">
      <c r="D1088" t="s">
        <v>608</v>
      </c>
      <c r="E1088" t="s">
        <v>564</v>
      </c>
      <c r="F1088">
        <v>2932</v>
      </c>
      <c r="G1088">
        <v>2934</v>
      </c>
      <c r="H1088">
        <v>2932</v>
      </c>
      <c r="I1088">
        <v>2932.5</v>
      </c>
      <c r="J1088">
        <v>158200</v>
      </c>
    </row>
    <row r="1089" spans="4:10">
      <c r="D1089" t="s">
        <v>608</v>
      </c>
      <c r="E1089" t="s">
        <v>565</v>
      </c>
      <c r="F1089">
        <v>2933</v>
      </c>
      <c r="G1089">
        <v>2934.5</v>
      </c>
      <c r="H1089">
        <v>2932</v>
      </c>
      <c r="I1089">
        <v>2933.5</v>
      </c>
      <c r="J1089">
        <v>152700</v>
      </c>
    </row>
    <row r="1090" spans="4:10">
      <c r="D1090" t="s">
        <v>608</v>
      </c>
      <c r="E1090" t="s">
        <v>566</v>
      </c>
      <c r="F1090">
        <v>2933.5</v>
      </c>
      <c r="G1090">
        <v>2935</v>
      </c>
      <c r="H1090">
        <v>2932</v>
      </c>
      <c r="I1090">
        <v>2933</v>
      </c>
      <c r="J1090">
        <v>180700</v>
      </c>
    </row>
    <row r="1091" spans="4:10">
      <c r="D1091" t="s">
        <v>608</v>
      </c>
      <c r="E1091" t="s">
        <v>567</v>
      </c>
      <c r="F1091">
        <v>2933</v>
      </c>
      <c r="G1091">
        <v>2934.5</v>
      </c>
      <c r="H1091">
        <v>2931</v>
      </c>
      <c r="I1091">
        <v>2933.5</v>
      </c>
      <c r="J1091">
        <v>220700</v>
      </c>
    </row>
    <row r="1092" spans="4:10">
      <c r="D1092" t="s">
        <v>608</v>
      </c>
      <c r="E1092" t="s">
        <v>568</v>
      </c>
      <c r="F1092">
        <v>2934</v>
      </c>
      <c r="G1092">
        <v>2936</v>
      </c>
      <c r="H1092">
        <v>2933.5</v>
      </c>
      <c r="I1092">
        <v>2934</v>
      </c>
      <c r="J1092">
        <v>207700</v>
      </c>
    </row>
    <row r="1093" spans="4:10">
      <c r="D1093" t="s">
        <v>608</v>
      </c>
      <c r="E1093" t="s">
        <v>569</v>
      </c>
      <c r="F1093">
        <v>2934.5</v>
      </c>
      <c r="G1093">
        <v>2937.5</v>
      </c>
      <c r="H1093">
        <v>2934</v>
      </c>
      <c r="I1093">
        <v>2936</v>
      </c>
      <c r="J1093">
        <v>255800</v>
      </c>
    </row>
    <row r="1094" spans="4:10">
      <c r="D1094" t="s">
        <v>608</v>
      </c>
      <c r="E1094" t="s">
        <v>570</v>
      </c>
      <c r="F1094">
        <v>2936</v>
      </c>
      <c r="G1094">
        <v>2939</v>
      </c>
      <c r="H1094">
        <v>2933</v>
      </c>
      <c r="I1094">
        <v>2935</v>
      </c>
      <c r="J1094">
        <v>449300</v>
      </c>
    </row>
    <row r="1095" spans="4:10">
      <c r="D1095" t="s">
        <v>608</v>
      </c>
      <c r="E1095" t="s">
        <v>571</v>
      </c>
      <c r="F1095" t="s">
        <v>35</v>
      </c>
      <c r="G1095" t="s">
        <v>35</v>
      </c>
      <c r="H1095" t="s">
        <v>35</v>
      </c>
      <c r="I1095" t="s">
        <v>35</v>
      </c>
      <c r="J1095">
        <v>0</v>
      </c>
    </row>
    <row r="1096" spans="4:10">
      <c r="D1096" t="s">
        <v>608</v>
      </c>
      <c r="E1096" t="s">
        <v>572</v>
      </c>
      <c r="F1096">
        <v>2941</v>
      </c>
      <c r="G1096">
        <v>2941</v>
      </c>
      <c r="H1096">
        <v>2941</v>
      </c>
      <c r="I1096">
        <v>2941</v>
      </c>
      <c r="J1096">
        <v>5205700</v>
      </c>
    </row>
    <row r="1097" spans="4:10">
      <c r="D1097" t="s">
        <v>609</v>
      </c>
      <c r="E1097" t="s">
        <v>574</v>
      </c>
      <c r="F1097">
        <v>3000</v>
      </c>
      <c r="G1097">
        <v>3041</v>
      </c>
      <c r="H1097">
        <v>3000</v>
      </c>
      <c r="I1097">
        <v>3028</v>
      </c>
      <c r="J1097">
        <v>3958600</v>
      </c>
    </row>
    <row r="1098" spans="4:10">
      <c r="D1098" t="s">
        <v>609</v>
      </c>
      <c r="E1098" t="s">
        <v>575</v>
      </c>
      <c r="F1098">
        <v>3027</v>
      </c>
      <c r="G1098">
        <v>3031</v>
      </c>
      <c r="H1098">
        <v>3015</v>
      </c>
      <c r="I1098">
        <v>3023</v>
      </c>
      <c r="J1098">
        <v>1320700</v>
      </c>
    </row>
    <row r="1099" spans="4:10">
      <c r="D1099" t="s">
        <v>609</v>
      </c>
      <c r="E1099" t="s">
        <v>576</v>
      </c>
      <c r="F1099">
        <v>3023</v>
      </c>
      <c r="G1099">
        <v>3041</v>
      </c>
      <c r="H1099">
        <v>3022</v>
      </c>
      <c r="I1099">
        <v>3038</v>
      </c>
      <c r="J1099">
        <v>1106500</v>
      </c>
    </row>
    <row r="1100" spans="4:10">
      <c r="D1100" t="s">
        <v>609</v>
      </c>
      <c r="E1100" t="s">
        <v>577</v>
      </c>
      <c r="F1100">
        <v>3040</v>
      </c>
      <c r="G1100">
        <v>3048</v>
      </c>
      <c r="H1100">
        <v>3032</v>
      </c>
      <c r="I1100">
        <v>3034</v>
      </c>
      <c r="J1100">
        <v>608600</v>
      </c>
    </row>
    <row r="1101" spans="4:10">
      <c r="D1101" t="s">
        <v>609</v>
      </c>
      <c r="E1101" t="s">
        <v>578</v>
      </c>
      <c r="F1101">
        <v>3034</v>
      </c>
      <c r="G1101">
        <v>3036</v>
      </c>
      <c r="H1101">
        <v>3026</v>
      </c>
      <c r="I1101">
        <v>3027</v>
      </c>
      <c r="J1101">
        <v>362600</v>
      </c>
    </row>
    <row r="1102" spans="4:10">
      <c r="D1102" t="s">
        <v>609</v>
      </c>
      <c r="E1102" t="s">
        <v>579</v>
      </c>
      <c r="F1102">
        <v>3026</v>
      </c>
      <c r="G1102">
        <v>3032</v>
      </c>
      <c r="H1102">
        <v>3025</v>
      </c>
      <c r="I1102">
        <v>3030</v>
      </c>
      <c r="J1102">
        <v>263800</v>
      </c>
    </row>
    <row r="1103" spans="4:10">
      <c r="D1103" t="s">
        <v>609</v>
      </c>
      <c r="E1103" t="s">
        <v>580</v>
      </c>
      <c r="F1103">
        <v>3030</v>
      </c>
      <c r="G1103">
        <v>3031</v>
      </c>
      <c r="H1103">
        <v>3024</v>
      </c>
      <c r="I1103">
        <v>3027</v>
      </c>
      <c r="J1103">
        <v>364900</v>
      </c>
    </row>
    <row r="1104" spans="4:10">
      <c r="D1104" t="s">
        <v>609</v>
      </c>
      <c r="E1104" t="s">
        <v>581</v>
      </c>
      <c r="F1104">
        <v>3026</v>
      </c>
      <c r="G1104">
        <v>3027</v>
      </c>
      <c r="H1104">
        <v>3020</v>
      </c>
      <c r="I1104">
        <v>3021</v>
      </c>
      <c r="J1104">
        <v>222800</v>
      </c>
    </row>
    <row r="1105" spans="4:10">
      <c r="D1105" t="s">
        <v>609</v>
      </c>
      <c r="E1105" t="s">
        <v>582</v>
      </c>
      <c r="F1105">
        <v>3021</v>
      </c>
      <c r="G1105">
        <v>3026</v>
      </c>
      <c r="H1105">
        <v>3021</v>
      </c>
      <c r="I1105">
        <v>3022</v>
      </c>
      <c r="J1105">
        <v>177600</v>
      </c>
    </row>
    <row r="1106" spans="4:10">
      <c r="D1106" t="s">
        <v>609</v>
      </c>
      <c r="E1106" t="s">
        <v>583</v>
      </c>
      <c r="F1106">
        <v>3022</v>
      </c>
      <c r="G1106">
        <v>3030</v>
      </c>
      <c r="H1106">
        <v>3021</v>
      </c>
      <c r="I1106">
        <v>3024</v>
      </c>
      <c r="J1106">
        <v>331500</v>
      </c>
    </row>
    <row r="1107" spans="4:10">
      <c r="D1107" t="s">
        <v>609</v>
      </c>
      <c r="E1107" t="s">
        <v>584</v>
      </c>
      <c r="F1107">
        <v>3025</v>
      </c>
      <c r="G1107">
        <v>3031</v>
      </c>
      <c r="H1107">
        <v>3025</v>
      </c>
      <c r="I1107">
        <v>3030</v>
      </c>
      <c r="J1107">
        <v>189900</v>
      </c>
    </row>
    <row r="1108" spans="4:10">
      <c r="D1108" t="s">
        <v>609</v>
      </c>
      <c r="E1108" t="s">
        <v>585</v>
      </c>
      <c r="F1108">
        <v>3030</v>
      </c>
      <c r="G1108">
        <v>3032</v>
      </c>
      <c r="H1108">
        <v>3026</v>
      </c>
      <c r="I1108">
        <v>3028</v>
      </c>
      <c r="J1108">
        <v>234300</v>
      </c>
    </row>
    <row r="1109" spans="4:10">
      <c r="D1109" t="s">
        <v>609</v>
      </c>
      <c r="E1109" t="s">
        <v>586</v>
      </c>
      <c r="F1109">
        <v>3029</v>
      </c>
      <c r="G1109">
        <v>3033</v>
      </c>
      <c r="H1109">
        <v>3026</v>
      </c>
      <c r="I1109">
        <v>3031</v>
      </c>
      <c r="J1109">
        <v>281700</v>
      </c>
    </row>
    <row r="1110" spans="4:10">
      <c r="D1110" t="s">
        <v>609</v>
      </c>
      <c r="E1110" t="s">
        <v>587</v>
      </c>
      <c r="F1110">
        <v>3031</v>
      </c>
      <c r="G1110">
        <v>3043</v>
      </c>
      <c r="H1110">
        <v>3029</v>
      </c>
      <c r="I1110">
        <v>3042</v>
      </c>
      <c r="J1110">
        <v>562700</v>
      </c>
    </row>
    <row r="1111" spans="4:10">
      <c r="D1111" t="s">
        <v>609</v>
      </c>
      <c r="E1111" t="s">
        <v>588</v>
      </c>
      <c r="F1111">
        <v>3043</v>
      </c>
      <c r="G1111">
        <v>3055</v>
      </c>
      <c r="H1111">
        <v>3042</v>
      </c>
      <c r="I1111">
        <v>3053</v>
      </c>
      <c r="J1111">
        <v>1238800</v>
      </c>
    </row>
    <row r="1112" spans="4:10">
      <c r="D1112" t="s">
        <v>609</v>
      </c>
      <c r="E1112" t="s">
        <v>589</v>
      </c>
      <c r="F1112">
        <v>3053</v>
      </c>
      <c r="G1112">
        <v>3057</v>
      </c>
      <c r="H1112">
        <v>3049</v>
      </c>
      <c r="I1112">
        <v>3049</v>
      </c>
      <c r="J1112">
        <v>360100</v>
      </c>
    </row>
    <row r="1113" spans="4:10">
      <c r="D1113" t="s">
        <v>609</v>
      </c>
      <c r="E1113" t="s">
        <v>590</v>
      </c>
      <c r="F1113">
        <v>3049</v>
      </c>
      <c r="G1113">
        <v>3051</v>
      </c>
      <c r="H1113">
        <v>3045</v>
      </c>
      <c r="I1113">
        <v>3049</v>
      </c>
      <c r="J1113">
        <v>167400</v>
      </c>
    </row>
    <row r="1114" spans="4:10">
      <c r="D1114" t="s">
        <v>609</v>
      </c>
      <c r="E1114" t="s">
        <v>591</v>
      </c>
      <c r="F1114">
        <v>3049</v>
      </c>
      <c r="G1114">
        <v>3058</v>
      </c>
      <c r="H1114">
        <v>3049</v>
      </c>
      <c r="I1114">
        <v>3053</v>
      </c>
      <c r="J1114">
        <v>709500</v>
      </c>
    </row>
    <row r="1115" spans="4:10">
      <c r="D1115" t="s">
        <v>609</v>
      </c>
      <c r="E1115" t="s">
        <v>592</v>
      </c>
      <c r="F1115">
        <v>3054</v>
      </c>
      <c r="G1115">
        <v>3055</v>
      </c>
      <c r="H1115">
        <v>3049</v>
      </c>
      <c r="I1115">
        <v>3054</v>
      </c>
      <c r="J1115">
        <v>279100</v>
      </c>
    </row>
    <row r="1116" spans="4:10">
      <c r="D1116" t="s">
        <v>609</v>
      </c>
      <c r="E1116" t="s">
        <v>593</v>
      </c>
      <c r="F1116">
        <v>3054</v>
      </c>
      <c r="G1116">
        <v>3056</v>
      </c>
      <c r="H1116">
        <v>3048</v>
      </c>
      <c r="I1116">
        <v>3049</v>
      </c>
      <c r="J1116">
        <v>297300</v>
      </c>
    </row>
    <row r="1117" spans="4:10">
      <c r="D1117" t="s">
        <v>609</v>
      </c>
      <c r="E1117" t="s">
        <v>594</v>
      </c>
      <c r="F1117">
        <v>3050</v>
      </c>
      <c r="G1117">
        <v>3054</v>
      </c>
      <c r="H1117">
        <v>3049</v>
      </c>
      <c r="I1117">
        <v>3052</v>
      </c>
      <c r="J1117">
        <v>161300</v>
      </c>
    </row>
    <row r="1118" spans="4:10">
      <c r="D1118" t="s">
        <v>609</v>
      </c>
      <c r="E1118" t="s">
        <v>595</v>
      </c>
      <c r="F1118">
        <v>3052</v>
      </c>
      <c r="G1118">
        <v>3054</v>
      </c>
      <c r="H1118">
        <v>3050</v>
      </c>
      <c r="I1118">
        <v>3053</v>
      </c>
      <c r="J1118">
        <v>88700</v>
      </c>
    </row>
    <row r="1119" spans="4:10">
      <c r="D1119" t="s">
        <v>609</v>
      </c>
      <c r="E1119" t="s">
        <v>596</v>
      </c>
      <c r="F1119">
        <v>3053</v>
      </c>
      <c r="G1119">
        <v>3063</v>
      </c>
      <c r="H1119">
        <v>3049</v>
      </c>
      <c r="I1119">
        <v>3062</v>
      </c>
      <c r="J1119">
        <v>544300</v>
      </c>
    </row>
    <row r="1120" spans="4:10">
      <c r="D1120" t="s">
        <v>609</v>
      </c>
      <c r="E1120" t="s">
        <v>597</v>
      </c>
      <c r="F1120">
        <v>3063</v>
      </c>
      <c r="G1120">
        <v>3063</v>
      </c>
      <c r="H1120">
        <v>3056</v>
      </c>
      <c r="I1120">
        <v>3057</v>
      </c>
      <c r="J1120">
        <v>212100</v>
      </c>
    </row>
    <row r="1121" spans="4:10">
      <c r="D1121" t="s">
        <v>609</v>
      </c>
      <c r="E1121" t="s">
        <v>598</v>
      </c>
      <c r="F1121">
        <v>3058</v>
      </c>
      <c r="G1121">
        <v>3059</v>
      </c>
      <c r="H1121">
        <v>3047</v>
      </c>
      <c r="I1121">
        <v>3048</v>
      </c>
      <c r="J1121">
        <v>377600</v>
      </c>
    </row>
    <row r="1122" spans="4:10">
      <c r="D1122" t="s">
        <v>609</v>
      </c>
      <c r="E1122" t="s">
        <v>599</v>
      </c>
      <c r="F1122">
        <v>3049</v>
      </c>
      <c r="G1122">
        <v>3054</v>
      </c>
      <c r="H1122">
        <v>3048</v>
      </c>
      <c r="I1122">
        <v>3050</v>
      </c>
      <c r="J1122">
        <v>293500</v>
      </c>
    </row>
    <row r="1123" spans="4:10">
      <c r="D1123" t="s">
        <v>609</v>
      </c>
      <c r="E1123" t="s">
        <v>600</v>
      </c>
      <c r="F1123">
        <v>3050</v>
      </c>
      <c r="G1123">
        <v>3052</v>
      </c>
      <c r="H1123">
        <v>3047</v>
      </c>
      <c r="I1123">
        <v>3048</v>
      </c>
      <c r="J1123">
        <v>153900</v>
      </c>
    </row>
    <row r="1124" spans="4:10">
      <c r="D1124" t="s">
        <v>609</v>
      </c>
      <c r="E1124" t="s">
        <v>601</v>
      </c>
      <c r="F1124">
        <v>3048</v>
      </c>
      <c r="G1124">
        <v>3048</v>
      </c>
      <c r="H1124">
        <v>3043</v>
      </c>
      <c r="I1124">
        <v>3046</v>
      </c>
      <c r="J1124">
        <v>162800</v>
      </c>
    </row>
    <row r="1125" spans="4:10">
      <c r="D1125" t="s">
        <v>609</v>
      </c>
      <c r="E1125" t="s">
        <v>602</v>
      </c>
      <c r="F1125">
        <v>3046</v>
      </c>
      <c r="G1125">
        <v>3049</v>
      </c>
      <c r="H1125">
        <v>3043</v>
      </c>
      <c r="I1125">
        <v>3047</v>
      </c>
      <c r="J1125">
        <v>143200</v>
      </c>
    </row>
    <row r="1126" spans="4:10">
      <c r="D1126" t="s">
        <v>609</v>
      </c>
      <c r="E1126" t="s">
        <v>603</v>
      </c>
      <c r="F1126">
        <v>3047</v>
      </c>
      <c r="G1126">
        <v>3047</v>
      </c>
      <c r="H1126">
        <v>3042</v>
      </c>
      <c r="I1126">
        <v>3046</v>
      </c>
      <c r="J1126">
        <v>185400</v>
      </c>
    </row>
    <row r="1127" spans="4:10">
      <c r="D1127" t="s">
        <v>609</v>
      </c>
      <c r="E1127" t="s">
        <v>604</v>
      </c>
      <c r="F1127">
        <v>3046</v>
      </c>
      <c r="G1127">
        <v>3046</v>
      </c>
      <c r="H1127">
        <v>3046</v>
      </c>
      <c r="I1127">
        <v>3046</v>
      </c>
      <c r="J1127">
        <v>14200</v>
      </c>
    </row>
    <row r="1128" spans="4:10">
      <c r="D1128" t="s">
        <v>609</v>
      </c>
      <c r="E1128" t="s">
        <v>605</v>
      </c>
      <c r="F1128">
        <v>3042</v>
      </c>
      <c r="G1128">
        <v>3052</v>
      </c>
      <c r="H1128">
        <v>3041</v>
      </c>
      <c r="I1128">
        <v>3052</v>
      </c>
      <c r="J1128">
        <v>660500</v>
      </c>
    </row>
    <row r="1129" spans="4:10">
      <c r="D1129" t="s">
        <v>609</v>
      </c>
      <c r="E1129" t="s">
        <v>606</v>
      </c>
      <c r="F1129">
        <v>3052</v>
      </c>
      <c r="G1129">
        <v>3052</v>
      </c>
      <c r="H1129">
        <v>3049</v>
      </c>
      <c r="I1129">
        <v>3050</v>
      </c>
      <c r="J1129">
        <v>238500</v>
      </c>
    </row>
    <row r="1130" spans="4:10">
      <c r="D1130" t="s">
        <v>609</v>
      </c>
      <c r="E1130" t="s">
        <v>538</v>
      </c>
      <c r="F1130">
        <v>3050</v>
      </c>
      <c r="G1130">
        <v>3051</v>
      </c>
      <c r="H1130">
        <v>3047</v>
      </c>
      <c r="I1130">
        <v>3049</v>
      </c>
      <c r="J1130">
        <v>221100</v>
      </c>
    </row>
    <row r="1131" spans="4:10">
      <c r="D1131" t="s">
        <v>609</v>
      </c>
      <c r="E1131" t="s">
        <v>539</v>
      </c>
      <c r="F1131">
        <v>3049</v>
      </c>
      <c r="G1131">
        <v>3049</v>
      </c>
      <c r="H1131">
        <v>3046</v>
      </c>
      <c r="I1131">
        <v>3047</v>
      </c>
      <c r="J1131">
        <v>128900</v>
      </c>
    </row>
    <row r="1132" spans="4:10">
      <c r="D1132" t="s">
        <v>609</v>
      </c>
      <c r="E1132" t="s">
        <v>540</v>
      </c>
      <c r="F1132">
        <v>3047</v>
      </c>
      <c r="G1132">
        <v>3050</v>
      </c>
      <c r="H1132">
        <v>3047</v>
      </c>
      <c r="I1132">
        <v>3049</v>
      </c>
      <c r="J1132">
        <v>165700</v>
      </c>
    </row>
    <row r="1133" spans="4:10">
      <c r="D1133" t="s">
        <v>609</v>
      </c>
      <c r="E1133" t="s">
        <v>541</v>
      </c>
      <c r="F1133">
        <v>3048</v>
      </c>
      <c r="G1133">
        <v>3049</v>
      </c>
      <c r="H1133">
        <v>3045</v>
      </c>
      <c r="I1133">
        <v>3046</v>
      </c>
      <c r="J1133">
        <v>165600</v>
      </c>
    </row>
    <row r="1134" spans="4:10">
      <c r="D1134" t="s">
        <v>609</v>
      </c>
      <c r="E1134" t="s">
        <v>542</v>
      </c>
      <c r="F1134">
        <v>3046</v>
      </c>
      <c r="G1134">
        <v>3051</v>
      </c>
      <c r="H1134">
        <v>3045</v>
      </c>
      <c r="I1134">
        <v>3048</v>
      </c>
      <c r="J1134">
        <v>228500</v>
      </c>
    </row>
    <row r="1135" spans="4:10">
      <c r="D1135" t="s">
        <v>609</v>
      </c>
      <c r="E1135" t="s">
        <v>543</v>
      </c>
      <c r="F1135">
        <v>3049</v>
      </c>
      <c r="G1135">
        <v>3050</v>
      </c>
      <c r="H1135">
        <v>3041</v>
      </c>
      <c r="I1135">
        <v>3045</v>
      </c>
      <c r="J1135">
        <v>255800</v>
      </c>
    </row>
    <row r="1136" spans="4:10">
      <c r="D1136" t="s">
        <v>609</v>
      </c>
      <c r="E1136" t="s">
        <v>544</v>
      </c>
      <c r="F1136">
        <v>3044</v>
      </c>
      <c r="G1136">
        <v>3047</v>
      </c>
      <c r="H1136">
        <v>3044</v>
      </c>
      <c r="I1136">
        <v>3046</v>
      </c>
      <c r="J1136">
        <v>84200</v>
      </c>
    </row>
    <row r="1137" spans="4:10">
      <c r="D1137" t="s">
        <v>609</v>
      </c>
      <c r="E1137" t="s">
        <v>545</v>
      </c>
      <c r="F1137">
        <v>3047</v>
      </c>
      <c r="G1137">
        <v>3049</v>
      </c>
      <c r="H1137">
        <v>3046</v>
      </c>
      <c r="I1137">
        <v>3049</v>
      </c>
      <c r="J1137">
        <v>161800</v>
      </c>
    </row>
    <row r="1138" spans="4:10">
      <c r="D1138" t="s">
        <v>609</v>
      </c>
      <c r="E1138" t="s">
        <v>546</v>
      </c>
      <c r="F1138">
        <v>3048</v>
      </c>
      <c r="G1138">
        <v>3052</v>
      </c>
      <c r="H1138">
        <v>3048</v>
      </c>
      <c r="I1138">
        <v>3051</v>
      </c>
      <c r="J1138">
        <v>233700</v>
      </c>
    </row>
    <row r="1139" spans="4:10">
      <c r="D1139" t="s">
        <v>609</v>
      </c>
      <c r="E1139" t="s">
        <v>547</v>
      </c>
      <c r="F1139">
        <v>3052</v>
      </c>
      <c r="G1139">
        <v>3052</v>
      </c>
      <c r="H1139">
        <v>3048</v>
      </c>
      <c r="I1139">
        <v>3050</v>
      </c>
      <c r="J1139">
        <v>137200</v>
      </c>
    </row>
    <row r="1140" spans="4:10">
      <c r="D1140" t="s">
        <v>609</v>
      </c>
      <c r="E1140" t="s">
        <v>548</v>
      </c>
      <c r="F1140">
        <v>3050</v>
      </c>
      <c r="G1140">
        <v>3052</v>
      </c>
      <c r="H1140">
        <v>3048</v>
      </c>
      <c r="I1140">
        <v>3051</v>
      </c>
      <c r="J1140">
        <v>234600</v>
      </c>
    </row>
    <row r="1141" spans="4:10">
      <c r="D1141" t="s">
        <v>609</v>
      </c>
      <c r="E1141" t="s">
        <v>549</v>
      </c>
      <c r="F1141">
        <v>3050</v>
      </c>
      <c r="G1141">
        <v>3053</v>
      </c>
      <c r="H1141">
        <v>3050</v>
      </c>
      <c r="I1141">
        <v>3052</v>
      </c>
      <c r="J1141">
        <v>172600</v>
      </c>
    </row>
    <row r="1142" spans="4:10">
      <c r="D1142" t="s">
        <v>609</v>
      </c>
      <c r="E1142" t="s">
        <v>550</v>
      </c>
      <c r="F1142">
        <v>3053</v>
      </c>
      <c r="G1142">
        <v>3053</v>
      </c>
      <c r="H1142">
        <v>3051</v>
      </c>
      <c r="I1142">
        <v>3052</v>
      </c>
      <c r="J1142">
        <v>134200</v>
      </c>
    </row>
    <row r="1143" spans="4:10">
      <c r="D1143" t="s">
        <v>609</v>
      </c>
      <c r="E1143" t="s">
        <v>551</v>
      </c>
      <c r="F1143">
        <v>3051</v>
      </c>
      <c r="G1143">
        <v>3052</v>
      </c>
      <c r="H1143">
        <v>3049</v>
      </c>
      <c r="I1143">
        <v>3050</v>
      </c>
      <c r="J1143">
        <v>134300</v>
      </c>
    </row>
    <row r="1144" spans="4:10">
      <c r="D1144" t="s">
        <v>609</v>
      </c>
      <c r="E1144" t="s">
        <v>552</v>
      </c>
      <c r="F1144">
        <v>3049</v>
      </c>
      <c r="G1144">
        <v>3052</v>
      </c>
      <c r="H1144">
        <v>3049</v>
      </c>
      <c r="I1144">
        <v>3050</v>
      </c>
      <c r="J1144">
        <v>146500</v>
      </c>
    </row>
    <row r="1145" spans="4:10">
      <c r="D1145" t="s">
        <v>609</v>
      </c>
      <c r="E1145" t="s">
        <v>553</v>
      </c>
      <c r="F1145">
        <v>3049</v>
      </c>
      <c r="G1145">
        <v>3050</v>
      </c>
      <c r="H1145">
        <v>3048</v>
      </c>
      <c r="I1145">
        <v>3049</v>
      </c>
      <c r="J1145">
        <v>100000</v>
      </c>
    </row>
    <row r="1146" spans="4:10">
      <c r="D1146" t="s">
        <v>609</v>
      </c>
      <c r="E1146" t="s">
        <v>554</v>
      </c>
      <c r="F1146">
        <v>3048</v>
      </c>
      <c r="G1146">
        <v>3052</v>
      </c>
      <c r="H1146">
        <v>3048</v>
      </c>
      <c r="I1146">
        <v>3052</v>
      </c>
      <c r="J1146">
        <v>243100</v>
      </c>
    </row>
    <row r="1147" spans="4:10">
      <c r="D1147" t="s">
        <v>609</v>
      </c>
      <c r="E1147" t="s">
        <v>555</v>
      </c>
      <c r="F1147">
        <v>3051</v>
      </c>
      <c r="G1147">
        <v>3058</v>
      </c>
      <c r="H1147">
        <v>3051</v>
      </c>
      <c r="I1147">
        <v>3058</v>
      </c>
      <c r="J1147">
        <v>408900</v>
      </c>
    </row>
    <row r="1148" spans="4:10">
      <c r="D1148" t="s">
        <v>609</v>
      </c>
      <c r="E1148" t="s">
        <v>556</v>
      </c>
      <c r="F1148">
        <v>3057</v>
      </c>
      <c r="G1148">
        <v>3059</v>
      </c>
      <c r="H1148">
        <v>3056</v>
      </c>
      <c r="I1148">
        <v>3057</v>
      </c>
      <c r="J1148">
        <v>290600</v>
      </c>
    </row>
    <row r="1149" spans="4:10">
      <c r="D1149" t="s">
        <v>609</v>
      </c>
      <c r="E1149" t="s">
        <v>557</v>
      </c>
      <c r="F1149">
        <v>3058</v>
      </c>
      <c r="G1149">
        <v>3066</v>
      </c>
      <c r="H1149">
        <v>3057</v>
      </c>
      <c r="I1149">
        <v>3066</v>
      </c>
      <c r="J1149">
        <v>769100</v>
      </c>
    </row>
    <row r="1150" spans="4:10">
      <c r="D1150" t="s">
        <v>609</v>
      </c>
      <c r="E1150" t="s">
        <v>558</v>
      </c>
      <c r="F1150">
        <v>3066</v>
      </c>
      <c r="G1150">
        <v>3067</v>
      </c>
      <c r="H1150">
        <v>3064</v>
      </c>
      <c r="I1150">
        <v>3066</v>
      </c>
      <c r="J1150">
        <v>199800</v>
      </c>
    </row>
    <row r="1151" spans="4:10">
      <c r="D1151" t="s">
        <v>609</v>
      </c>
      <c r="E1151" t="s">
        <v>559</v>
      </c>
      <c r="F1151">
        <v>3066</v>
      </c>
      <c r="G1151">
        <v>3066</v>
      </c>
      <c r="H1151">
        <v>3062</v>
      </c>
      <c r="I1151">
        <v>3064</v>
      </c>
      <c r="J1151">
        <v>266000</v>
      </c>
    </row>
    <row r="1152" spans="4:10">
      <c r="D1152" t="s">
        <v>609</v>
      </c>
      <c r="E1152" t="s">
        <v>560</v>
      </c>
      <c r="F1152">
        <v>3065</v>
      </c>
      <c r="G1152">
        <v>3074</v>
      </c>
      <c r="H1152">
        <v>3063</v>
      </c>
      <c r="I1152">
        <v>3072</v>
      </c>
      <c r="J1152">
        <v>565200</v>
      </c>
    </row>
    <row r="1153" spans="4:10">
      <c r="D1153" t="s">
        <v>609</v>
      </c>
      <c r="E1153" t="s">
        <v>561</v>
      </c>
      <c r="F1153">
        <v>3071</v>
      </c>
      <c r="G1153">
        <v>3075</v>
      </c>
      <c r="H1153">
        <v>3071</v>
      </c>
      <c r="I1153">
        <v>3074</v>
      </c>
      <c r="J1153">
        <v>221700</v>
      </c>
    </row>
    <row r="1154" spans="4:10">
      <c r="D1154" t="s">
        <v>609</v>
      </c>
      <c r="E1154" t="s">
        <v>562</v>
      </c>
      <c r="F1154">
        <v>3074</v>
      </c>
      <c r="G1154">
        <v>3075</v>
      </c>
      <c r="H1154">
        <v>3072</v>
      </c>
      <c r="I1154">
        <v>3073</v>
      </c>
      <c r="J1154">
        <v>284600</v>
      </c>
    </row>
    <row r="1155" spans="4:10">
      <c r="D1155" t="s">
        <v>609</v>
      </c>
      <c r="E1155" t="s">
        <v>563</v>
      </c>
      <c r="F1155">
        <v>3073</v>
      </c>
      <c r="G1155">
        <v>3075</v>
      </c>
      <c r="H1155">
        <v>3071</v>
      </c>
      <c r="I1155">
        <v>3075</v>
      </c>
      <c r="J1155">
        <v>237500</v>
      </c>
    </row>
    <row r="1156" spans="4:10">
      <c r="D1156" t="s">
        <v>609</v>
      </c>
      <c r="E1156" t="s">
        <v>564</v>
      </c>
      <c r="F1156">
        <v>3074</v>
      </c>
      <c r="G1156">
        <v>3077</v>
      </c>
      <c r="H1156">
        <v>3074</v>
      </c>
      <c r="I1156">
        <v>3075</v>
      </c>
      <c r="J1156">
        <v>317000</v>
      </c>
    </row>
    <row r="1157" spans="4:10">
      <c r="D1157" t="s">
        <v>609</v>
      </c>
      <c r="E1157" t="s">
        <v>565</v>
      </c>
      <c r="F1157">
        <v>3075</v>
      </c>
      <c r="G1157">
        <v>3076</v>
      </c>
      <c r="H1157">
        <v>3073</v>
      </c>
      <c r="I1157">
        <v>3075</v>
      </c>
      <c r="J1157">
        <v>236000</v>
      </c>
    </row>
    <row r="1158" spans="4:10">
      <c r="D1158" t="s">
        <v>609</v>
      </c>
      <c r="E1158" t="s">
        <v>566</v>
      </c>
      <c r="F1158">
        <v>3075</v>
      </c>
      <c r="G1158">
        <v>3076</v>
      </c>
      <c r="H1158">
        <v>3074</v>
      </c>
      <c r="I1158">
        <v>3075</v>
      </c>
      <c r="J1158">
        <v>279300</v>
      </c>
    </row>
    <row r="1159" spans="4:10">
      <c r="D1159" t="s">
        <v>609</v>
      </c>
      <c r="E1159" t="s">
        <v>567</v>
      </c>
      <c r="F1159">
        <v>3075</v>
      </c>
      <c r="G1159">
        <v>3075</v>
      </c>
      <c r="H1159">
        <v>3071</v>
      </c>
      <c r="I1159">
        <v>3071</v>
      </c>
      <c r="J1159">
        <v>343100</v>
      </c>
    </row>
    <row r="1160" spans="4:10">
      <c r="D1160" t="s">
        <v>609</v>
      </c>
      <c r="E1160" t="s">
        <v>568</v>
      </c>
      <c r="F1160">
        <v>3072</v>
      </c>
      <c r="G1160">
        <v>3076</v>
      </c>
      <c r="H1160">
        <v>3072</v>
      </c>
      <c r="I1160">
        <v>3076</v>
      </c>
      <c r="J1160">
        <v>371000</v>
      </c>
    </row>
    <row r="1161" spans="4:10">
      <c r="D1161" t="s">
        <v>609</v>
      </c>
      <c r="E1161" t="s">
        <v>569</v>
      </c>
      <c r="F1161">
        <v>3076</v>
      </c>
      <c r="G1161">
        <v>3077</v>
      </c>
      <c r="H1161">
        <v>3073</v>
      </c>
      <c r="I1161">
        <v>3075</v>
      </c>
      <c r="J1161">
        <v>437500</v>
      </c>
    </row>
    <row r="1162" spans="4:10">
      <c r="D1162" t="s">
        <v>609</v>
      </c>
      <c r="E1162" t="s">
        <v>570</v>
      </c>
      <c r="F1162">
        <v>3075</v>
      </c>
      <c r="G1162">
        <v>3078</v>
      </c>
      <c r="H1162">
        <v>3073</v>
      </c>
      <c r="I1162">
        <v>3074</v>
      </c>
      <c r="J1162">
        <v>537900</v>
      </c>
    </row>
    <row r="1163" spans="4:10">
      <c r="D1163" t="s">
        <v>609</v>
      </c>
      <c r="E1163" t="s">
        <v>571</v>
      </c>
      <c r="F1163" t="s">
        <v>35</v>
      </c>
      <c r="G1163" t="s">
        <v>35</v>
      </c>
      <c r="H1163" t="s">
        <v>35</v>
      </c>
      <c r="I1163" t="s">
        <v>35</v>
      </c>
      <c r="J1163">
        <v>0</v>
      </c>
    </row>
    <row r="1164" spans="4:10">
      <c r="D1164" t="s">
        <v>609</v>
      </c>
      <c r="E1164" t="s">
        <v>572</v>
      </c>
      <c r="F1164">
        <v>3066</v>
      </c>
      <c r="G1164">
        <v>3066</v>
      </c>
      <c r="H1164">
        <v>3066</v>
      </c>
      <c r="I1164">
        <v>3066</v>
      </c>
      <c r="J1164">
        <v>5699800</v>
      </c>
    </row>
    <row r="1165" spans="4:10">
      <c r="D1165" t="s">
        <v>610</v>
      </c>
      <c r="E1165" t="s">
        <v>574</v>
      </c>
      <c r="F1165">
        <v>3066</v>
      </c>
      <c r="G1165">
        <v>3093</v>
      </c>
      <c r="H1165">
        <v>3056</v>
      </c>
      <c r="I1165">
        <v>3091</v>
      </c>
      <c r="J1165">
        <v>3172900</v>
      </c>
    </row>
    <row r="1166" spans="4:10">
      <c r="D1166" t="s">
        <v>610</v>
      </c>
      <c r="E1166" t="s">
        <v>575</v>
      </c>
      <c r="F1166">
        <v>3092</v>
      </c>
      <c r="G1166">
        <v>3107</v>
      </c>
      <c r="H1166">
        <v>3091</v>
      </c>
      <c r="I1166">
        <v>3103</v>
      </c>
      <c r="J1166">
        <v>1137000</v>
      </c>
    </row>
    <row r="1167" spans="4:10">
      <c r="D1167" t="s">
        <v>610</v>
      </c>
      <c r="E1167" t="s">
        <v>576</v>
      </c>
      <c r="F1167">
        <v>3104</v>
      </c>
      <c r="G1167">
        <v>3107</v>
      </c>
      <c r="H1167">
        <v>3097</v>
      </c>
      <c r="I1167">
        <v>3104</v>
      </c>
      <c r="J1167">
        <v>476500</v>
      </c>
    </row>
    <row r="1168" spans="4:10">
      <c r="D1168" t="s">
        <v>610</v>
      </c>
      <c r="E1168" t="s">
        <v>577</v>
      </c>
      <c r="F1168">
        <v>3104</v>
      </c>
      <c r="G1168">
        <v>3105</v>
      </c>
      <c r="H1168">
        <v>3097</v>
      </c>
      <c r="I1168">
        <v>3097</v>
      </c>
      <c r="J1168">
        <v>327700</v>
      </c>
    </row>
    <row r="1169" spans="4:10">
      <c r="D1169" t="s">
        <v>610</v>
      </c>
      <c r="E1169" t="s">
        <v>578</v>
      </c>
      <c r="F1169">
        <v>3098</v>
      </c>
      <c r="G1169">
        <v>3102</v>
      </c>
      <c r="H1169">
        <v>3096</v>
      </c>
      <c r="I1169">
        <v>3100</v>
      </c>
      <c r="J1169">
        <v>405200</v>
      </c>
    </row>
    <row r="1170" spans="4:10">
      <c r="D1170" t="s">
        <v>610</v>
      </c>
      <c r="E1170" t="s">
        <v>579</v>
      </c>
      <c r="F1170">
        <v>3100</v>
      </c>
      <c r="G1170">
        <v>3107</v>
      </c>
      <c r="H1170">
        <v>3100</v>
      </c>
      <c r="I1170">
        <v>3104</v>
      </c>
      <c r="J1170">
        <v>301500</v>
      </c>
    </row>
    <row r="1171" spans="4:10">
      <c r="D1171" t="s">
        <v>610</v>
      </c>
      <c r="E1171" t="s">
        <v>580</v>
      </c>
      <c r="F1171">
        <v>3104</v>
      </c>
      <c r="G1171">
        <v>3110</v>
      </c>
      <c r="H1171">
        <v>3103</v>
      </c>
      <c r="I1171">
        <v>3105</v>
      </c>
      <c r="J1171">
        <v>354100</v>
      </c>
    </row>
    <row r="1172" spans="4:10">
      <c r="D1172" t="s">
        <v>610</v>
      </c>
      <c r="E1172" t="s">
        <v>581</v>
      </c>
      <c r="F1172">
        <v>3105</v>
      </c>
      <c r="G1172">
        <v>3109</v>
      </c>
      <c r="H1172">
        <v>3102</v>
      </c>
      <c r="I1172">
        <v>3109</v>
      </c>
      <c r="J1172">
        <v>247800</v>
      </c>
    </row>
    <row r="1173" spans="4:10">
      <c r="D1173" t="s">
        <v>610</v>
      </c>
      <c r="E1173" t="s">
        <v>582</v>
      </c>
      <c r="F1173">
        <v>3109</v>
      </c>
      <c r="G1173">
        <v>3110</v>
      </c>
      <c r="H1173">
        <v>3102</v>
      </c>
      <c r="I1173">
        <v>3104</v>
      </c>
      <c r="J1173">
        <v>229000</v>
      </c>
    </row>
    <row r="1174" spans="4:10">
      <c r="D1174" t="s">
        <v>610</v>
      </c>
      <c r="E1174" t="s">
        <v>583</v>
      </c>
      <c r="F1174">
        <v>3103</v>
      </c>
      <c r="G1174">
        <v>3115</v>
      </c>
      <c r="H1174">
        <v>3103</v>
      </c>
      <c r="I1174">
        <v>3113</v>
      </c>
      <c r="J1174">
        <v>361600</v>
      </c>
    </row>
    <row r="1175" spans="4:10">
      <c r="D1175" t="s">
        <v>610</v>
      </c>
      <c r="E1175" t="s">
        <v>584</v>
      </c>
      <c r="F1175">
        <v>3113</v>
      </c>
      <c r="G1175">
        <v>3116</v>
      </c>
      <c r="H1175">
        <v>3108</v>
      </c>
      <c r="I1175">
        <v>3113</v>
      </c>
      <c r="J1175">
        <v>336300</v>
      </c>
    </row>
    <row r="1176" spans="4:10">
      <c r="D1176" t="s">
        <v>610</v>
      </c>
      <c r="E1176" t="s">
        <v>585</v>
      </c>
      <c r="F1176">
        <v>3114</v>
      </c>
      <c r="G1176">
        <v>3114</v>
      </c>
      <c r="H1176">
        <v>3108</v>
      </c>
      <c r="I1176">
        <v>3108</v>
      </c>
      <c r="J1176">
        <v>246100</v>
      </c>
    </row>
    <row r="1177" spans="4:10">
      <c r="D1177" t="s">
        <v>610</v>
      </c>
      <c r="E1177" t="s">
        <v>586</v>
      </c>
      <c r="F1177">
        <v>3108</v>
      </c>
      <c r="G1177">
        <v>3118</v>
      </c>
      <c r="H1177">
        <v>3107</v>
      </c>
      <c r="I1177">
        <v>3114</v>
      </c>
      <c r="J1177">
        <v>377000</v>
      </c>
    </row>
    <row r="1178" spans="4:10">
      <c r="D1178" t="s">
        <v>610</v>
      </c>
      <c r="E1178" t="s">
        <v>587</v>
      </c>
      <c r="F1178">
        <v>3115</v>
      </c>
      <c r="G1178">
        <v>3117</v>
      </c>
      <c r="H1178">
        <v>3110</v>
      </c>
      <c r="I1178">
        <v>3116</v>
      </c>
      <c r="J1178">
        <v>209000</v>
      </c>
    </row>
    <row r="1179" spans="4:10">
      <c r="D1179" t="s">
        <v>610</v>
      </c>
      <c r="E1179" t="s">
        <v>588</v>
      </c>
      <c r="F1179">
        <v>3115</v>
      </c>
      <c r="G1179">
        <v>3120</v>
      </c>
      <c r="H1179">
        <v>3113</v>
      </c>
      <c r="I1179">
        <v>3118</v>
      </c>
      <c r="J1179">
        <v>389900</v>
      </c>
    </row>
    <row r="1180" spans="4:10">
      <c r="D1180" t="s">
        <v>610</v>
      </c>
      <c r="E1180" t="s">
        <v>589</v>
      </c>
      <c r="F1180">
        <v>3118</v>
      </c>
      <c r="G1180">
        <v>3127</v>
      </c>
      <c r="H1180">
        <v>3118</v>
      </c>
      <c r="I1180">
        <v>3127</v>
      </c>
      <c r="J1180">
        <v>515500</v>
      </c>
    </row>
    <row r="1181" spans="4:10">
      <c r="D1181" t="s">
        <v>610</v>
      </c>
      <c r="E1181" t="s">
        <v>590</v>
      </c>
      <c r="F1181">
        <v>3126</v>
      </c>
      <c r="G1181">
        <v>3127</v>
      </c>
      <c r="H1181">
        <v>3120</v>
      </c>
      <c r="I1181">
        <v>3122</v>
      </c>
      <c r="J1181">
        <v>174700</v>
      </c>
    </row>
    <row r="1182" spans="4:10">
      <c r="D1182" t="s">
        <v>610</v>
      </c>
      <c r="E1182" t="s">
        <v>591</v>
      </c>
      <c r="F1182">
        <v>3121</v>
      </c>
      <c r="G1182">
        <v>3122</v>
      </c>
      <c r="H1182">
        <v>3111</v>
      </c>
      <c r="I1182">
        <v>3111</v>
      </c>
      <c r="J1182">
        <v>258600</v>
      </c>
    </row>
    <row r="1183" spans="4:10">
      <c r="D1183" t="s">
        <v>610</v>
      </c>
      <c r="E1183" t="s">
        <v>592</v>
      </c>
      <c r="F1183">
        <v>3111</v>
      </c>
      <c r="G1183">
        <v>3115</v>
      </c>
      <c r="H1183">
        <v>3109</v>
      </c>
      <c r="I1183">
        <v>3115</v>
      </c>
      <c r="J1183">
        <v>236300</v>
      </c>
    </row>
    <row r="1184" spans="4:10">
      <c r="D1184" t="s">
        <v>610</v>
      </c>
      <c r="E1184" t="s">
        <v>593</v>
      </c>
      <c r="F1184">
        <v>3115</v>
      </c>
      <c r="G1184">
        <v>3116</v>
      </c>
      <c r="H1184">
        <v>3110</v>
      </c>
      <c r="I1184">
        <v>3114</v>
      </c>
      <c r="J1184">
        <v>175700</v>
      </c>
    </row>
    <row r="1185" spans="4:10">
      <c r="D1185" t="s">
        <v>610</v>
      </c>
      <c r="E1185" t="s">
        <v>594</v>
      </c>
      <c r="F1185">
        <v>3114</v>
      </c>
      <c r="G1185">
        <v>3115</v>
      </c>
      <c r="H1185">
        <v>3109</v>
      </c>
      <c r="I1185">
        <v>3112</v>
      </c>
      <c r="J1185">
        <v>206300</v>
      </c>
    </row>
    <row r="1186" spans="4:10">
      <c r="D1186" t="s">
        <v>610</v>
      </c>
      <c r="E1186" t="s">
        <v>595</v>
      </c>
      <c r="F1186">
        <v>3113</v>
      </c>
      <c r="G1186">
        <v>3114</v>
      </c>
      <c r="H1186">
        <v>3109</v>
      </c>
      <c r="I1186">
        <v>3109</v>
      </c>
      <c r="J1186">
        <v>173600</v>
      </c>
    </row>
    <row r="1187" spans="4:10">
      <c r="D1187" t="s">
        <v>610</v>
      </c>
      <c r="E1187" t="s">
        <v>596</v>
      </c>
      <c r="F1187">
        <v>3109</v>
      </c>
      <c r="G1187">
        <v>3116</v>
      </c>
      <c r="H1187">
        <v>3109</v>
      </c>
      <c r="I1187">
        <v>3114</v>
      </c>
      <c r="J1187">
        <v>243700</v>
      </c>
    </row>
    <row r="1188" spans="4:10">
      <c r="D1188" t="s">
        <v>610</v>
      </c>
      <c r="E1188" t="s">
        <v>597</v>
      </c>
      <c r="F1188">
        <v>3114</v>
      </c>
      <c r="G1188">
        <v>3117</v>
      </c>
      <c r="H1188">
        <v>3113</v>
      </c>
      <c r="I1188">
        <v>3113</v>
      </c>
      <c r="J1188">
        <v>157700</v>
      </c>
    </row>
    <row r="1189" spans="4:10">
      <c r="D1189" t="s">
        <v>610</v>
      </c>
      <c r="E1189" t="s">
        <v>598</v>
      </c>
      <c r="F1189">
        <v>3113</v>
      </c>
      <c r="G1189">
        <v>3114</v>
      </c>
      <c r="H1189">
        <v>3108</v>
      </c>
      <c r="I1189">
        <v>3110</v>
      </c>
      <c r="J1189">
        <v>279600</v>
      </c>
    </row>
    <row r="1190" spans="4:10">
      <c r="D1190" t="s">
        <v>610</v>
      </c>
      <c r="E1190" t="s">
        <v>599</v>
      </c>
      <c r="F1190">
        <v>3109</v>
      </c>
      <c r="G1190">
        <v>3112</v>
      </c>
      <c r="H1190">
        <v>3109</v>
      </c>
      <c r="I1190">
        <v>3110</v>
      </c>
      <c r="J1190">
        <v>128600</v>
      </c>
    </row>
    <row r="1191" spans="4:10">
      <c r="D1191" t="s">
        <v>610</v>
      </c>
      <c r="E1191" t="s">
        <v>600</v>
      </c>
      <c r="F1191">
        <v>3110</v>
      </c>
      <c r="G1191">
        <v>3111</v>
      </c>
      <c r="H1191">
        <v>3107</v>
      </c>
      <c r="I1191">
        <v>3110</v>
      </c>
      <c r="J1191">
        <v>233400</v>
      </c>
    </row>
    <row r="1192" spans="4:10">
      <c r="D1192" t="s">
        <v>610</v>
      </c>
      <c r="E1192" t="s">
        <v>601</v>
      </c>
      <c r="F1192">
        <v>3110</v>
      </c>
      <c r="G1192">
        <v>3111</v>
      </c>
      <c r="H1192">
        <v>3107</v>
      </c>
      <c r="I1192">
        <v>3108</v>
      </c>
      <c r="J1192">
        <v>145900</v>
      </c>
    </row>
    <row r="1193" spans="4:10">
      <c r="D1193" t="s">
        <v>610</v>
      </c>
      <c r="E1193" t="s">
        <v>602</v>
      </c>
      <c r="F1193">
        <v>3108</v>
      </c>
      <c r="G1193">
        <v>3108</v>
      </c>
      <c r="H1193">
        <v>3097</v>
      </c>
      <c r="I1193">
        <v>3098</v>
      </c>
      <c r="J1193">
        <v>383100</v>
      </c>
    </row>
    <row r="1194" spans="4:10">
      <c r="D1194" t="s">
        <v>610</v>
      </c>
      <c r="E1194" t="s">
        <v>603</v>
      </c>
      <c r="F1194">
        <v>3098</v>
      </c>
      <c r="G1194">
        <v>3099</v>
      </c>
      <c r="H1194">
        <v>3096</v>
      </c>
      <c r="I1194">
        <v>3098</v>
      </c>
      <c r="J1194">
        <v>185000</v>
      </c>
    </row>
    <row r="1195" spans="4:10">
      <c r="D1195" t="s">
        <v>610</v>
      </c>
      <c r="E1195" t="s">
        <v>604</v>
      </c>
      <c r="F1195">
        <v>3096</v>
      </c>
      <c r="G1195">
        <v>3096</v>
      </c>
      <c r="H1195">
        <v>3096</v>
      </c>
      <c r="I1195">
        <v>3096</v>
      </c>
      <c r="J1195">
        <v>23900</v>
      </c>
    </row>
    <row r="1196" spans="4:10">
      <c r="D1196" t="s">
        <v>610</v>
      </c>
      <c r="E1196" t="s">
        <v>605</v>
      </c>
      <c r="F1196">
        <v>3100</v>
      </c>
      <c r="G1196">
        <v>3124</v>
      </c>
      <c r="H1196">
        <v>3097</v>
      </c>
      <c r="I1196">
        <v>3122</v>
      </c>
      <c r="J1196">
        <v>977800</v>
      </c>
    </row>
    <row r="1197" spans="4:10">
      <c r="D1197" t="s">
        <v>610</v>
      </c>
      <c r="E1197" t="s">
        <v>606</v>
      </c>
      <c r="F1197">
        <v>3121</v>
      </c>
      <c r="G1197">
        <v>3122</v>
      </c>
      <c r="H1197">
        <v>3115</v>
      </c>
      <c r="I1197">
        <v>3119</v>
      </c>
      <c r="J1197">
        <v>219400</v>
      </c>
    </row>
    <row r="1198" spans="4:10">
      <c r="D1198" t="s">
        <v>610</v>
      </c>
      <c r="E1198" t="s">
        <v>538</v>
      </c>
      <c r="F1198">
        <v>3119</v>
      </c>
      <c r="G1198">
        <v>3119</v>
      </c>
      <c r="H1198">
        <v>3115</v>
      </c>
      <c r="I1198">
        <v>3116</v>
      </c>
      <c r="J1198">
        <v>232800</v>
      </c>
    </row>
    <row r="1199" spans="4:10">
      <c r="D1199" t="s">
        <v>610</v>
      </c>
      <c r="E1199" t="s">
        <v>539</v>
      </c>
      <c r="F1199">
        <v>3115</v>
      </c>
      <c r="G1199">
        <v>3119</v>
      </c>
      <c r="H1199">
        <v>3115</v>
      </c>
      <c r="I1199">
        <v>3116</v>
      </c>
      <c r="J1199">
        <v>132600</v>
      </c>
    </row>
    <row r="1200" spans="4:10">
      <c r="D1200" t="s">
        <v>610</v>
      </c>
      <c r="E1200" t="s">
        <v>540</v>
      </c>
      <c r="F1200">
        <v>3116</v>
      </c>
      <c r="G1200">
        <v>3120</v>
      </c>
      <c r="H1200">
        <v>3116</v>
      </c>
      <c r="I1200">
        <v>3118</v>
      </c>
      <c r="J1200">
        <v>123200</v>
      </c>
    </row>
    <row r="1201" spans="4:10">
      <c r="D1201" t="s">
        <v>610</v>
      </c>
      <c r="E1201" t="s">
        <v>541</v>
      </c>
      <c r="F1201">
        <v>3117</v>
      </c>
      <c r="G1201">
        <v>3117</v>
      </c>
      <c r="H1201">
        <v>3115</v>
      </c>
      <c r="I1201">
        <v>3116</v>
      </c>
      <c r="J1201">
        <v>177700</v>
      </c>
    </row>
    <row r="1202" spans="4:10">
      <c r="D1202" t="s">
        <v>610</v>
      </c>
      <c r="E1202" t="s">
        <v>542</v>
      </c>
      <c r="F1202">
        <v>3116</v>
      </c>
      <c r="G1202">
        <v>3119</v>
      </c>
      <c r="H1202">
        <v>3115</v>
      </c>
      <c r="I1202">
        <v>3119</v>
      </c>
      <c r="J1202">
        <v>90000</v>
      </c>
    </row>
    <row r="1203" spans="4:10">
      <c r="D1203" t="s">
        <v>610</v>
      </c>
      <c r="E1203" t="s">
        <v>543</v>
      </c>
      <c r="F1203">
        <v>3119</v>
      </c>
      <c r="G1203">
        <v>3122</v>
      </c>
      <c r="H1203">
        <v>3117</v>
      </c>
      <c r="I1203">
        <v>3120</v>
      </c>
      <c r="J1203">
        <v>270500</v>
      </c>
    </row>
    <row r="1204" spans="4:10">
      <c r="D1204" t="s">
        <v>610</v>
      </c>
      <c r="E1204" t="s">
        <v>544</v>
      </c>
      <c r="F1204">
        <v>3120</v>
      </c>
      <c r="G1204">
        <v>3123</v>
      </c>
      <c r="H1204">
        <v>3120</v>
      </c>
      <c r="I1204">
        <v>3123</v>
      </c>
      <c r="J1204">
        <v>101700</v>
      </c>
    </row>
    <row r="1205" spans="4:10">
      <c r="D1205" t="s">
        <v>610</v>
      </c>
      <c r="E1205" t="s">
        <v>545</v>
      </c>
      <c r="F1205">
        <v>3123</v>
      </c>
      <c r="G1205">
        <v>3125</v>
      </c>
      <c r="H1205">
        <v>3121</v>
      </c>
      <c r="I1205">
        <v>3121</v>
      </c>
      <c r="J1205">
        <v>267700</v>
      </c>
    </row>
    <row r="1206" spans="4:10">
      <c r="D1206" t="s">
        <v>610</v>
      </c>
      <c r="E1206" t="s">
        <v>546</v>
      </c>
      <c r="F1206">
        <v>3122</v>
      </c>
      <c r="G1206">
        <v>3125</v>
      </c>
      <c r="H1206">
        <v>3121</v>
      </c>
      <c r="I1206">
        <v>3125</v>
      </c>
      <c r="J1206">
        <v>128200</v>
      </c>
    </row>
    <row r="1207" spans="4:10">
      <c r="D1207" t="s">
        <v>610</v>
      </c>
      <c r="E1207" t="s">
        <v>547</v>
      </c>
      <c r="F1207">
        <v>3125</v>
      </c>
      <c r="G1207">
        <v>3127</v>
      </c>
      <c r="H1207">
        <v>3121</v>
      </c>
      <c r="I1207">
        <v>3125</v>
      </c>
      <c r="J1207">
        <v>413700</v>
      </c>
    </row>
    <row r="1208" spans="4:10">
      <c r="D1208" t="s">
        <v>610</v>
      </c>
      <c r="E1208" t="s">
        <v>548</v>
      </c>
      <c r="F1208">
        <v>3125</v>
      </c>
      <c r="G1208">
        <v>3125</v>
      </c>
      <c r="H1208">
        <v>3124</v>
      </c>
      <c r="I1208">
        <v>3124</v>
      </c>
      <c r="J1208">
        <v>99200</v>
      </c>
    </row>
    <row r="1209" spans="4:10">
      <c r="D1209" t="s">
        <v>610</v>
      </c>
      <c r="E1209" t="s">
        <v>549</v>
      </c>
      <c r="F1209">
        <v>3124</v>
      </c>
      <c r="G1209">
        <v>3126</v>
      </c>
      <c r="H1209">
        <v>3123</v>
      </c>
      <c r="I1209">
        <v>3124</v>
      </c>
      <c r="J1209">
        <v>197700</v>
      </c>
    </row>
    <row r="1210" spans="4:10">
      <c r="D1210" t="s">
        <v>610</v>
      </c>
      <c r="E1210" t="s">
        <v>550</v>
      </c>
      <c r="F1210">
        <v>3125</v>
      </c>
      <c r="G1210">
        <v>3126</v>
      </c>
      <c r="H1210">
        <v>3124</v>
      </c>
      <c r="I1210">
        <v>3125</v>
      </c>
      <c r="J1210">
        <v>116200</v>
      </c>
    </row>
    <row r="1211" spans="4:10">
      <c r="D1211" t="s">
        <v>610</v>
      </c>
      <c r="E1211" t="s">
        <v>551</v>
      </c>
      <c r="F1211">
        <v>3126</v>
      </c>
      <c r="G1211">
        <v>3126</v>
      </c>
      <c r="H1211">
        <v>3123</v>
      </c>
      <c r="I1211">
        <v>3125</v>
      </c>
      <c r="J1211">
        <v>171800</v>
      </c>
    </row>
    <row r="1212" spans="4:10">
      <c r="D1212" t="s">
        <v>610</v>
      </c>
      <c r="E1212" t="s">
        <v>552</v>
      </c>
      <c r="F1212">
        <v>3125</v>
      </c>
      <c r="G1212">
        <v>3128</v>
      </c>
      <c r="H1212">
        <v>3125</v>
      </c>
      <c r="I1212">
        <v>3127</v>
      </c>
      <c r="J1212">
        <v>134900</v>
      </c>
    </row>
    <row r="1213" spans="4:10">
      <c r="D1213" t="s">
        <v>610</v>
      </c>
      <c r="E1213" t="s">
        <v>553</v>
      </c>
      <c r="F1213">
        <v>3127</v>
      </c>
      <c r="G1213">
        <v>3128</v>
      </c>
      <c r="H1213">
        <v>3126</v>
      </c>
      <c r="I1213">
        <v>3127</v>
      </c>
      <c r="J1213">
        <v>79400</v>
      </c>
    </row>
    <row r="1214" spans="4:10">
      <c r="D1214" t="s">
        <v>610</v>
      </c>
      <c r="E1214" t="s">
        <v>554</v>
      </c>
      <c r="F1214">
        <v>3127</v>
      </c>
      <c r="G1214">
        <v>3129</v>
      </c>
      <c r="H1214">
        <v>3126</v>
      </c>
      <c r="I1214">
        <v>3128</v>
      </c>
      <c r="J1214">
        <v>324300</v>
      </c>
    </row>
    <row r="1215" spans="4:10">
      <c r="D1215" t="s">
        <v>610</v>
      </c>
      <c r="E1215" t="s">
        <v>555</v>
      </c>
      <c r="F1215">
        <v>3128</v>
      </c>
      <c r="G1215">
        <v>3129</v>
      </c>
      <c r="H1215">
        <v>3124</v>
      </c>
      <c r="I1215">
        <v>3125</v>
      </c>
      <c r="J1215">
        <v>287400</v>
      </c>
    </row>
    <row r="1216" spans="4:10">
      <c r="D1216" t="s">
        <v>610</v>
      </c>
      <c r="E1216" t="s">
        <v>556</v>
      </c>
      <c r="F1216">
        <v>3125</v>
      </c>
      <c r="G1216">
        <v>3128</v>
      </c>
      <c r="H1216">
        <v>3124</v>
      </c>
      <c r="I1216">
        <v>3127</v>
      </c>
      <c r="J1216">
        <v>145400</v>
      </c>
    </row>
    <row r="1217" spans="4:10">
      <c r="D1217" t="s">
        <v>610</v>
      </c>
      <c r="E1217" t="s">
        <v>557</v>
      </c>
      <c r="F1217">
        <v>3127</v>
      </c>
      <c r="G1217">
        <v>3128</v>
      </c>
      <c r="H1217">
        <v>3126</v>
      </c>
      <c r="I1217">
        <v>3127</v>
      </c>
      <c r="J1217">
        <v>147700</v>
      </c>
    </row>
    <row r="1218" spans="4:10">
      <c r="D1218" t="s">
        <v>610</v>
      </c>
      <c r="E1218" t="s">
        <v>558</v>
      </c>
      <c r="F1218">
        <v>3127</v>
      </c>
      <c r="G1218">
        <v>3127</v>
      </c>
      <c r="H1218">
        <v>3123</v>
      </c>
      <c r="I1218">
        <v>3127</v>
      </c>
      <c r="J1218">
        <v>218000</v>
      </c>
    </row>
    <row r="1219" spans="4:10">
      <c r="D1219" t="s">
        <v>610</v>
      </c>
      <c r="E1219" t="s">
        <v>559</v>
      </c>
      <c r="F1219">
        <v>3127</v>
      </c>
      <c r="G1219">
        <v>3130</v>
      </c>
      <c r="H1219">
        <v>3126</v>
      </c>
      <c r="I1219">
        <v>3130</v>
      </c>
      <c r="J1219">
        <v>443100</v>
      </c>
    </row>
    <row r="1220" spans="4:10">
      <c r="D1220" t="s">
        <v>610</v>
      </c>
      <c r="E1220" t="s">
        <v>560</v>
      </c>
      <c r="F1220">
        <v>3129</v>
      </c>
      <c r="G1220">
        <v>3132</v>
      </c>
      <c r="H1220">
        <v>3128</v>
      </c>
      <c r="I1220">
        <v>3129</v>
      </c>
      <c r="J1220">
        <v>356300</v>
      </c>
    </row>
    <row r="1221" spans="4:10">
      <c r="D1221" t="s">
        <v>610</v>
      </c>
      <c r="E1221" t="s">
        <v>561</v>
      </c>
      <c r="F1221">
        <v>3129</v>
      </c>
      <c r="G1221">
        <v>3131</v>
      </c>
      <c r="H1221">
        <v>3128</v>
      </c>
      <c r="I1221">
        <v>3129</v>
      </c>
      <c r="J1221">
        <v>231500</v>
      </c>
    </row>
    <row r="1222" spans="4:10">
      <c r="D1222" t="s">
        <v>610</v>
      </c>
      <c r="E1222" t="s">
        <v>562</v>
      </c>
      <c r="F1222">
        <v>3129</v>
      </c>
      <c r="G1222">
        <v>3131</v>
      </c>
      <c r="H1222">
        <v>3128</v>
      </c>
      <c r="I1222">
        <v>3129</v>
      </c>
      <c r="J1222">
        <v>153800</v>
      </c>
    </row>
    <row r="1223" spans="4:10">
      <c r="D1223" t="s">
        <v>610</v>
      </c>
      <c r="E1223" t="s">
        <v>563</v>
      </c>
      <c r="F1223">
        <v>3129</v>
      </c>
      <c r="G1223">
        <v>3130</v>
      </c>
      <c r="H1223">
        <v>3124</v>
      </c>
      <c r="I1223">
        <v>3125</v>
      </c>
      <c r="J1223">
        <v>267800</v>
      </c>
    </row>
    <row r="1224" spans="4:10">
      <c r="D1224" t="s">
        <v>610</v>
      </c>
      <c r="E1224" t="s">
        <v>564</v>
      </c>
      <c r="F1224">
        <v>3125</v>
      </c>
      <c r="G1224">
        <v>3129</v>
      </c>
      <c r="H1224">
        <v>3125</v>
      </c>
      <c r="I1224">
        <v>3129</v>
      </c>
      <c r="J1224">
        <v>169700</v>
      </c>
    </row>
    <row r="1225" spans="4:10">
      <c r="D1225" t="s">
        <v>610</v>
      </c>
      <c r="E1225" t="s">
        <v>565</v>
      </c>
      <c r="F1225">
        <v>3129</v>
      </c>
      <c r="G1225">
        <v>3130</v>
      </c>
      <c r="H1225">
        <v>3125</v>
      </c>
      <c r="I1225">
        <v>3128</v>
      </c>
      <c r="J1225">
        <v>208200</v>
      </c>
    </row>
    <row r="1226" spans="4:10">
      <c r="D1226" t="s">
        <v>610</v>
      </c>
      <c r="E1226" t="s">
        <v>566</v>
      </c>
      <c r="F1226">
        <v>3128</v>
      </c>
      <c r="G1226">
        <v>3128</v>
      </c>
      <c r="H1226">
        <v>3125</v>
      </c>
      <c r="I1226">
        <v>3125</v>
      </c>
      <c r="J1226">
        <v>353100</v>
      </c>
    </row>
    <row r="1227" spans="4:10">
      <c r="D1227" t="s">
        <v>610</v>
      </c>
      <c r="E1227" t="s">
        <v>567</v>
      </c>
      <c r="F1227">
        <v>3125</v>
      </c>
      <c r="G1227">
        <v>3129</v>
      </c>
      <c r="H1227">
        <v>3125</v>
      </c>
      <c r="I1227">
        <v>3127</v>
      </c>
      <c r="J1227">
        <v>214000</v>
      </c>
    </row>
    <row r="1228" spans="4:10">
      <c r="D1228" t="s">
        <v>610</v>
      </c>
      <c r="E1228" t="s">
        <v>568</v>
      </c>
      <c r="F1228">
        <v>3127</v>
      </c>
      <c r="G1228">
        <v>3130</v>
      </c>
      <c r="H1228">
        <v>3126</v>
      </c>
      <c r="I1228">
        <v>3129</v>
      </c>
      <c r="J1228">
        <v>262200</v>
      </c>
    </row>
    <row r="1229" spans="4:10">
      <c r="D1229" t="s">
        <v>610</v>
      </c>
      <c r="E1229" t="s">
        <v>569</v>
      </c>
      <c r="F1229">
        <v>3129</v>
      </c>
      <c r="G1229">
        <v>3130</v>
      </c>
      <c r="H1229">
        <v>3126</v>
      </c>
      <c r="I1229">
        <v>3127</v>
      </c>
      <c r="J1229">
        <v>296000</v>
      </c>
    </row>
    <row r="1230" spans="4:10">
      <c r="D1230" t="s">
        <v>610</v>
      </c>
      <c r="E1230" t="s">
        <v>570</v>
      </c>
      <c r="F1230">
        <v>3127</v>
      </c>
      <c r="G1230">
        <v>3129</v>
      </c>
      <c r="H1230">
        <v>3126</v>
      </c>
      <c r="I1230">
        <v>3129</v>
      </c>
      <c r="J1230">
        <v>337400</v>
      </c>
    </row>
    <row r="1231" spans="4:10">
      <c r="D1231" t="s">
        <v>610</v>
      </c>
      <c r="E1231" t="s">
        <v>571</v>
      </c>
      <c r="F1231" t="s">
        <v>35</v>
      </c>
      <c r="G1231" t="s">
        <v>35</v>
      </c>
      <c r="H1231" t="s">
        <v>35</v>
      </c>
      <c r="I1231" t="s">
        <v>35</v>
      </c>
      <c r="J1231">
        <v>0</v>
      </c>
    </row>
    <row r="1232" spans="4:10">
      <c r="D1232" t="s">
        <v>610</v>
      </c>
      <c r="E1232" t="s">
        <v>572</v>
      </c>
      <c r="F1232">
        <v>3132</v>
      </c>
      <c r="G1232">
        <v>3132</v>
      </c>
      <c r="H1232">
        <v>3132</v>
      </c>
      <c r="I1232">
        <v>3132</v>
      </c>
      <c r="J1232">
        <v>5480900</v>
      </c>
    </row>
    <row r="1233" spans="4:10">
      <c r="D1233" t="s">
        <v>611</v>
      </c>
      <c r="E1233" t="s">
        <v>574</v>
      </c>
      <c r="F1233">
        <v>3132</v>
      </c>
      <c r="G1233">
        <v>3133</v>
      </c>
      <c r="H1233">
        <v>3083</v>
      </c>
      <c r="I1233">
        <v>3083</v>
      </c>
      <c r="J1233">
        <v>2781700</v>
      </c>
    </row>
    <row r="1234" spans="4:10">
      <c r="D1234" t="s">
        <v>611</v>
      </c>
      <c r="E1234" t="s">
        <v>575</v>
      </c>
      <c r="F1234">
        <v>3083</v>
      </c>
      <c r="G1234">
        <v>3110</v>
      </c>
      <c r="H1234">
        <v>3077</v>
      </c>
      <c r="I1234">
        <v>3109</v>
      </c>
      <c r="J1234">
        <v>1088100</v>
      </c>
    </row>
    <row r="1235" spans="4:10">
      <c r="D1235" t="s">
        <v>611</v>
      </c>
      <c r="E1235" t="s">
        <v>576</v>
      </c>
      <c r="F1235">
        <v>3108</v>
      </c>
      <c r="G1235">
        <v>3118</v>
      </c>
      <c r="H1235">
        <v>3105</v>
      </c>
      <c r="I1235">
        <v>3117</v>
      </c>
      <c r="J1235">
        <v>423600</v>
      </c>
    </row>
    <row r="1236" spans="4:10">
      <c r="D1236" t="s">
        <v>611</v>
      </c>
      <c r="E1236" t="s">
        <v>577</v>
      </c>
      <c r="F1236">
        <v>3117</v>
      </c>
      <c r="G1236">
        <v>3125</v>
      </c>
      <c r="H1236">
        <v>3117</v>
      </c>
      <c r="I1236">
        <v>3118</v>
      </c>
      <c r="J1236">
        <v>464000</v>
      </c>
    </row>
    <row r="1237" spans="4:10">
      <c r="D1237" t="s">
        <v>611</v>
      </c>
      <c r="E1237" t="s">
        <v>578</v>
      </c>
      <c r="F1237">
        <v>3119</v>
      </c>
      <c r="G1237">
        <v>3139</v>
      </c>
      <c r="H1237">
        <v>3114</v>
      </c>
      <c r="I1237">
        <v>3138</v>
      </c>
      <c r="J1237">
        <v>535000</v>
      </c>
    </row>
    <row r="1238" spans="4:10">
      <c r="D1238" t="s">
        <v>611</v>
      </c>
      <c r="E1238" t="s">
        <v>579</v>
      </c>
      <c r="F1238">
        <v>3137</v>
      </c>
      <c r="G1238">
        <v>3141</v>
      </c>
      <c r="H1238">
        <v>3124</v>
      </c>
      <c r="I1238">
        <v>3125</v>
      </c>
      <c r="J1238">
        <v>536800</v>
      </c>
    </row>
    <row r="1239" spans="4:10">
      <c r="D1239" t="s">
        <v>611</v>
      </c>
      <c r="E1239" t="s">
        <v>580</v>
      </c>
      <c r="F1239">
        <v>3126</v>
      </c>
      <c r="G1239">
        <v>3128</v>
      </c>
      <c r="H1239">
        <v>3107</v>
      </c>
      <c r="I1239">
        <v>3111</v>
      </c>
      <c r="J1239">
        <v>492700</v>
      </c>
    </row>
    <row r="1240" spans="4:10">
      <c r="D1240" t="s">
        <v>611</v>
      </c>
      <c r="E1240" t="s">
        <v>581</v>
      </c>
      <c r="F1240">
        <v>3111</v>
      </c>
      <c r="G1240">
        <v>3118</v>
      </c>
      <c r="H1240">
        <v>3110</v>
      </c>
      <c r="I1240">
        <v>3110</v>
      </c>
      <c r="J1240">
        <v>209200</v>
      </c>
    </row>
    <row r="1241" spans="4:10">
      <c r="D1241" t="s">
        <v>611</v>
      </c>
      <c r="E1241" t="s">
        <v>582</v>
      </c>
      <c r="F1241">
        <v>3111</v>
      </c>
      <c r="G1241">
        <v>3112</v>
      </c>
      <c r="H1241">
        <v>3104</v>
      </c>
      <c r="I1241">
        <v>3107</v>
      </c>
      <c r="J1241">
        <v>164700</v>
      </c>
    </row>
    <row r="1242" spans="4:10">
      <c r="D1242" t="s">
        <v>611</v>
      </c>
      <c r="E1242" t="s">
        <v>583</v>
      </c>
      <c r="F1242">
        <v>3108</v>
      </c>
      <c r="G1242">
        <v>3108</v>
      </c>
      <c r="H1242">
        <v>3100</v>
      </c>
      <c r="I1242">
        <v>3101</v>
      </c>
      <c r="J1242">
        <v>166600</v>
      </c>
    </row>
    <row r="1243" spans="4:10">
      <c r="D1243" t="s">
        <v>611</v>
      </c>
      <c r="E1243" t="s">
        <v>584</v>
      </c>
      <c r="F1243">
        <v>3101</v>
      </c>
      <c r="G1243">
        <v>3103</v>
      </c>
      <c r="H1243">
        <v>3094</v>
      </c>
      <c r="I1243">
        <v>3099</v>
      </c>
      <c r="J1243">
        <v>253900</v>
      </c>
    </row>
    <row r="1244" spans="4:10">
      <c r="D1244" t="s">
        <v>611</v>
      </c>
      <c r="E1244" t="s">
        <v>585</v>
      </c>
      <c r="F1244">
        <v>3099</v>
      </c>
      <c r="G1244">
        <v>3102</v>
      </c>
      <c r="H1244">
        <v>3096</v>
      </c>
      <c r="I1244">
        <v>3098</v>
      </c>
      <c r="J1244">
        <v>256900</v>
      </c>
    </row>
    <row r="1245" spans="4:10">
      <c r="D1245" t="s">
        <v>611</v>
      </c>
      <c r="E1245" t="s">
        <v>586</v>
      </c>
      <c r="F1245">
        <v>3098</v>
      </c>
      <c r="G1245">
        <v>3098</v>
      </c>
      <c r="H1245">
        <v>3092</v>
      </c>
      <c r="I1245">
        <v>3092</v>
      </c>
      <c r="J1245">
        <v>210200</v>
      </c>
    </row>
    <row r="1246" spans="4:10">
      <c r="D1246" t="s">
        <v>611</v>
      </c>
      <c r="E1246" t="s">
        <v>587</v>
      </c>
      <c r="F1246">
        <v>3092</v>
      </c>
      <c r="G1246">
        <v>3095</v>
      </c>
      <c r="H1246">
        <v>3087</v>
      </c>
      <c r="I1246">
        <v>3087</v>
      </c>
      <c r="J1246">
        <v>271700</v>
      </c>
    </row>
    <row r="1247" spans="4:10">
      <c r="D1247" t="s">
        <v>611</v>
      </c>
      <c r="E1247" t="s">
        <v>588</v>
      </c>
      <c r="F1247">
        <v>3088</v>
      </c>
      <c r="G1247">
        <v>3091</v>
      </c>
      <c r="H1247">
        <v>3084</v>
      </c>
      <c r="I1247">
        <v>3086</v>
      </c>
      <c r="J1247">
        <v>358800</v>
      </c>
    </row>
    <row r="1248" spans="4:10">
      <c r="D1248" t="s">
        <v>611</v>
      </c>
      <c r="E1248" t="s">
        <v>589</v>
      </c>
      <c r="F1248">
        <v>3086</v>
      </c>
      <c r="G1248">
        <v>3092</v>
      </c>
      <c r="H1248">
        <v>3085</v>
      </c>
      <c r="I1248">
        <v>3091</v>
      </c>
      <c r="J1248">
        <v>147800</v>
      </c>
    </row>
    <row r="1249" spans="4:10">
      <c r="D1249" t="s">
        <v>611</v>
      </c>
      <c r="E1249" t="s">
        <v>590</v>
      </c>
      <c r="F1249">
        <v>3091</v>
      </c>
      <c r="G1249">
        <v>3092</v>
      </c>
      <c r="H1249">
        <v>3089</v>
      </c>
      <c r="I1249">
        <v>3090</v>
      </c>
      <c r="J1249">
        <v>121600</v>
      </c>
    </row>
    <row r="1250" spans="4:10">
      <c r="D1250" t="s">
        <v>611</v>
      </c>
      <c r="E1250" t="s">
        <v>591</v>
      </c>
      <c r="F1250">
        <v>3091</v>
      </c>
      <c r="G1250">
        <v>3093</v>
      </c>
      <c r="H1250">
        <v>3088</v>
      </c>
      <c r="I1250">
        <v>3092</v>
      </c>
      <c r="J1250">
        <v>109000</v>
      </c>
    </row>
    <row r="1251" spans="4:10">
      <c r="D1251" t="s">
        <v>611</v>
      </c>
      <c r="E1251" t="s">
        <v>592</v>
      </c>
      <c r="F1251">
        <v>3092</v>
      </c>
      <c r="G1251">
        <v>3094</v>
      </c>
      <c r="H1251">
        <v>3089</v>
      </c>
      <c r="I1251">
        <v>3093</v>
      </c>
      <c r="J1251">
        <v>148300</v>
      </c>
    </row>
    <row r="1252" spans="4:10">
      <c r="D1252" t="s">
        <v>611</v>
      </c>
      <c r="E1252" t="s">
        <v>593</v>
      </c>
      <c r="F1252">
        <v>3093</v>
      </c>
      <c r="G1252">
        <v>3094</v>
      </c>
      <c r="H1252">
        <v>3091</v>
      </c>
      <c r="I1252">
        <v>3092</v>
      </c>
      <c r="J1252">
        <v>143500</v>
      </c>
    </row>
    <row r="1253" spans="4:10">
      <c r="D1253" t="s">
        <v>611</v>
      </c>
      <c r="E1253" t="s">
        <v>594</v>
      </c>
      <c r="F1253">
        <v>3092</v>
      </c>
      <c r="G1253">
        <v>3103</v>
      </c>
      <c r="H1253">
        <v>3092</v>
      </c>
      <c r="I1253">
        <v>3102</v>
      </c>
      <c r="J1253">
        <v>150700</v>
      </c>
    </row>
    <row r="1254" spans="4:10">
      <c r="D1254" t="s">
        <v>611</v>
      </c>
      <c r="E1254" t="s">
        <v>595</v>
      </c>
      <c r="F1254">
        <v>3103</v>
      </c>
      <c r="G1254">
        <v>3105</v>
      </c>
      <c r="H1254">
        <v>3099</v>
      </c>
      <c r="I1254">
        <v>3101</v>
      </c>
      <c r="J1254">
        <v>192700</v>
      </c>
    </row>
    <row r="1255" spans="4:10">
      <c r="D1255" t="s">
        <v>611</v>
      </c>
      <c r="E1255" t="s">
        <v>596</v>
      </c>
      <c r="F1255">
        <v>3100</v>
      </c>
      <c r="G1255">
        <v>3104</v>
      </c>
      <c r="H1255">
        <v>3099</v>
      </c>
      <c r="I1255">
        <v>3099</v>
      </c>
      <c r="J1255">
        <v>168200</v>
      </c>
    </row>
    <row r="1256" spans="4:10">
      <c r="D1256" t="s">
        <v>611</v>
      </c>
      <c r="E1256" t="s">
        <v>597</v>
      </c>
      <c r="F1256">
        <v>3099</v>
      </c>
      <c r="G1256">
        <v>3100</v>
      </c>
      <c r="H1256">
        <v>3095</v>
      </c>
      <c r="I1256">
        <v>3096</v>
      </c>
      <c r="J1256">
        <v>141000</v>
      </c>
    </row>
    <row r="1257" spans="4:10">
      <c r="D1257" t="s">
        <v>611</v>
      </c>
      <c r="E1257" t="s">
        <v>598</v>
      </c>
      <c r="F1257">
        <v>3095</v>
      </c>
      <c r="G1257">
        <v>3104</v>
      </c>
      <c r="H1257">
        <v>3095</v>
      </c>
      <c r="I1257">
        <v>3101</v>
      </c>
      <c r="J1257">
        <v>141200</v>
      </c>
    </row>
    <row r="1258" spans="4:10">
      <c r="D1258" t="s">
        <v>611</v>
      </c>
      <c r="E1258" t="s">
        <v>599</v>
      </c>
      <c r="F1258">
        <v>3101</v>
      </c>
      <c r="G1258">
        <v>3102</v>
      </c>
      <c r="H1258">
        <v>3098</v>
      </c>
      <c r="I1258">
        <v>3100</v>
      </c>
      <c r="J1258">
        <v>96300</v>
      </c>
    </row>
    <row r="1259" spans="4:10">
      <c r="D1259" t="s">
        <v>611</v>
      </c>
      <c r="E1259" t="s">
        <v>600</v>
      </c>
      <c r="F1259">
        <v>3099</v>
      </c>
      <c r="G1259">
        <v>3100</v>
      </c>
      <c r="H1259">
        <v>3094</v>
      </c>
      <c r="I1259">
        <v>3099</v>
      </c>
      <c r="J1259">
        <v>147800</v>
      </c>
    </row>
    <row r="1260" spans="4:10">
      <c r="D1260" t="s">
        <v>611</v>
      </c>
      <c r="E1260" t="s">
        <v>601</v>
      </c>
      <c r="F1260">
        <v>3099</v>
      </c>
      <c r="G1260">
        <v>3100</v>
      </c>
      <c r="H1260">
        <v>3096</v>
      </c>
      <c r="I1260">
        <v>3098</v>
      </c>
      <c r="J1260">
        <v>81300</v>
      </c>
    </row>
    <row r="1261" spans="4:10">
      <c r="D1261" t="s">
        <v>611</v>
      </c>
      <c r="E1261" t="s">
        <v>602</v>
      </c>
      <c r="F1261">
        <v>3098</v>
      </c>
      <c r="G1261">
        <v>3102</v>
      </c>
      <c r="H1261">
        <v>3098</v>
      </c>
      <c r="I1261">
        <v>3101</v>
      </c>
      <c r="J1261">
        <v>126700</v>
      </c>
    </row>
    <row r="1262" spans="4:10">
      <c r="D1262" t="s">
        <v>611</v>
      </c>
      <c r="E1262" t="s">
        <v>603</v>
      </c>
      <c r="F1262">
        <v>3100</v>
      </c>
      <c r="G1262">
        <v>3104</v>
      </c>
      <c r="H1262">
        <v>3100</v>
      </c>
      <c r="I1262">
        <v>3103</v>
      </c>
      <c r="J1262">
        <v>144300</v>
      </c>
    </row>
    <row r="1263" spans="4:10">
      <c r="D1263" t="s">
        <v>611</v>
      </c>
      <c r="E1263" t="s">
        <v>604</v>
      </c>
      <c r="F1263">
        <v>3103</v>
      </c>
      <c r="G1263">
        <v>3103</v>
      </c>
      <c r="H1263">
        <v>3103</v>
      </c>
      <c r="I1263">
        <v>3103</v>
      </c>
      <c r="J1263">
        <v>27700</v>
      </c>
    </row>
    <row r="1264" spans="4:10">
      <c r="D1264" t="s">
        <v>611</v>
      </c>
      <c r="E1264" t="s">
        <v>605</v>
      </c>
      <c r="F1264">
        <v>3103</v>
      </c>
      <c r="G1264">
        <v>3117</v>
      </c>
      <c r="H1264">
        <v>3101</v>
      </c>
      <c r="I1264">
        <v>3117</v>
      </c>
      <c r="J1264">
        <v>535000</v>
      </c>
    </row>
    <row r="1265" spans="4:10">
      <c r="D1265" t="s">
        <v>611</v>
      </c>
      <c r="E1265" t="s">
        <v>606</v>
      </c>
      <c r="F1265">
        <v>3116</v>
      </c>
      <c r="G1265">
        <v>3118</v>
      </c>
      <c r="H1265">
        <v>3114</v>
      </c>
      <c r="I1265">
        <v>3117</v>
      </c>
      <c r="J1265">
        <v>282400</v>
      </c>
    </row>
    <row r="1266" spans="4:10">
      <c r="D1266" t="s">
        <v>611</v>
      </c>
      <c r="E1266" t="s">
        <v>538</v>
      </c>
      <c r="F1266">
        <v>3116</v>
      </c>
      <c r="G1266">
        <v>3124</v>
      </c>
      <c r="H1266">
        <v>3115</v>
      </c>
      <c r="I1266">
        <v>3122</v>
      </c>
      <c r="J1266">
        <v>241400</v>
      </c>
    </row>
    <row r="1267" spans="4:10">
      <c r="D1267" t="s">
        <v>611</v>
      </c>
      <c r="E1267" t="s">
        <v>539</v>
      </c>
      <c r="F1267">
        <v>3121</v>
      </c>
      <c r="G1267">
        <v>3124</v>
      </c>
      <c r="H1267">
        <v>3120</v>
      </c>
      <c r="I1267">
        <v>3120</v>
      </c>
      <c r="J1267">
        <v>137200</v>
      </c>
    </row>
    <row r="1268" spans="4:10">
      <c r="D1268" t="s">
        <v>611</v>
      </c>
      <c r="E1268" t="s">
        <v>540</v>
      </c>
      <c r="F1268">
        <v>3120</v>
      </c>
      <c r="G1268">
        <v>3129</v>
      </c>
      <c r="H1268">
        <v>3119</v>
      </c>
      <c r="I1268">
        <v>3127</v>
      </c>
      <c r="J1268">
        <v>271200</v>
      </c>
    </row>
    <row r="1269" spans="4:10">
      <c r="D1269" t="s">
        <v>611</v>
      </c>
      <c r="E1269" t="s">
        <v>541</v>
      </c>
      <c r="F1269">
        <v>3127</v>
      </c>
      <c r="G1269">
        <v>3129</v>
      </c>
      <c r="H1269">
        <v>3125</v>
      </c>
      <c r="I1269">
        <v>3128</v>
      </c>
      <c r="J1269">
        <v>155200</v>
      </c>
    </row>
    <row r="1270" spans="4:10">
      <c r="D1270" t="s">
        <v>611</v>
      </c>
      <c r="E1270" t="s">
        <v>542</v>
      </c>
      <c r="F1270">
        <v>3128</v>
      </c>
      <c r="G1270">
        <v>3129</v>
      </c>
      <c r="H1270">
        <v>3120</v>
      </c>
      <c r="I1270">
        <v>3127</v>
      </c>
      <c r="J1270">
        <v>227500</v>
      </c>
    </row>
    <row r="1271" spans="4:10">
      <c r="D1271" t="s">
        <v>611</v>
      </c>
      <c r="E1271" t="s">
        <v>543</v>
      </c>
      <c r="F1271">
        <v>3127</v>
      </c>
      <c r="G1271">
        <v>3128</v>
      </c>
      <c r="H1271">
        <v>3123</v>
      </c>
      <c r="I1271">
        <v>3124</v>
      </c>
      <c r="J1271">
        <v>129700</v>
      </c>
    </row>
    <row r="1272" spans="4:10">
      <c r="D1272" t="s">
        <v>611</v>
      </c>
      <c r="E1272" t="s">
        <v>544</v>
      </c>
      <c r="F1272">
        <v>3124</v>
      </c>
      <c r="G1272">
        <v>3127</v>
      </c>
      <c r="H1272">
        <v>3123</v>
      </c>
      <c r="I1272">
        <v>3125</v>
      </c>
      <c r="J1272">
        <v>125500</v>
      </c>
    </row>
    <row r="1273" spans="4:10">
      <c r="D1273" t="s">
        <v>611</v>
      </c>
      <c r="E1273" t="s">
        <v>545</v>
      </c>
      <c r="F1273">
        <v>3125</v>
      </c>
      <c r="G1273">
        <v>3126</v>
      </c>
      <c r="H1273">
        <v>3122</v>
      </c>
      <c r="I1273">
        <v>3122</v>
      </c>
      <c r="J1273">
        <v>83200</v>
      </c>
    </row>
    <row r="1274" spans="4:10">
      <c r="D1274" t="s">
        <v>611</v>
      </c>
      <c r="E1274" t="s">
        <v>546</v>
      </c>
      <c r="F1274">
        <v>3122</v>
      </c>
      <c r="G1274">
        <v>3123</v>
      </c>
      <c r="H1274">
        <v>3118</v>
      </c>
      <c r="I1274">
        <v>3118</v>
      </c>
      <c r="J1274">
        <v>138800</v>
      </c>
    </row>
    <row r="1275" spans="4:10">
      <c r="D1275" t="s">
        <v>611</v>
      </c>
      <c r="E1275" t="s">
        <v>547</v>
      </c>
      <c r="F1275">
        <v>3118</v>
      </c>
      <c r="G1275">
        <v>3120</v>
      </c>
      <c r="H1275">
        <v>3115</v>
      </c>
      <c r="I1275">
        <v>3118</v>
      </c>
      <c r="J1275">
        <v>153600</v>
      </c>
    </row>
    <row r="1276" spans="4:10">
      <c r="D1276" t="s">
        <v>611</v>
      </c>
      <c r="E1276" t="s">
        <v>548</v>
      </c>
      <c r="F1276">
        <v>3118</v>
      </c>
      <c r="G1276">
        <v>3122</v>
      </c>
      <c r="H1276">
        <v>3118</v>
      </c>
      <c r="I1276">
        <v>3122</v>
      </c>
      <c r="J1276">
        <v>169000</v>
      </c>
    </row>
    <row r="1277" spans="4:10">
      <c r="D1277" t="s">
        <v>611</v>
      </c>
      <c r="E1277" t="s">
        <v>549</v>
      </c>
      <c r="F1277">
        <v>3121</v>
      </c>
      <c r="G1277">
        <v>3126</v>
      </c>
      <c r="H1277">
        <v>3121</v>
      </c>
      <c r="I1277">
        <v>3126</v>
      </c>
      <c r="J1277">
        <v>151900</v>
      </c>
    </row>
    <row r="1278" spans="4:10">
      <c r="D1278" t="s">
        <v>611</v>
      </c>
      <c r="E1278" t="s">
        <v>550</v>
      </c>
      <c r="F1278">
        <v>3126</v>
      </c>
      <c r="G1278">
        <v>3128</v>
      </c>
      <c r="H1278">
        <v>3124</v>
      </c>
      <c r="I1278">
        <v>3128</v>
      </c>
      <c r="J1278">
        <v>136200</v>
      </c>
    </row>
    <row r="1279" spans="4:10">
      <c r="D1279" t="s">
        <v>611</v>
      </c>
      <c r="E1279" t="s">
        <v>551</v>
      </c>
      <c r="F1279">
        <v>3127</v>
      </c>
      <c r="G1279">
        <v>3129</v>
      </c>
      <c r="H1279">
        <v>3126</v>
      </c>
      <c r="I1279">
        <v>3127</v>
      </c>
      <c r="J1279">
        <v>101300</v>
      </c>
    </row>
    <row r="1280" spans="4:10">
      <c r="D1280" t="s">
        <v>611</v>
      </c>
      <c r="E1280" t="s">
        <v>552</v>
      </c>
      <c r="F1280">
        <v>3127</v>
      </c>
      <c r="G1280">
        <v>3129</v>
      </c>
      <c r="H1280">
        <v>3125</v>
      </c>
      <c r="I1280">
        <v>3125</v>
      </c>
      <c r="J1280">
        <v>107300</v>
      </c>
    </row>
    <row r="1281" spans="4:10">
      <c r="D1281" t="s">
        <v>611</v>
      </c>
      <c r="E1281" t="s">
        <v>553</v>
      </c>
      <c r="F1281">
        <v>3125</v>
      </c>
      <c r="G1281">
        <v>3127</v>
      </c>
      <c r="H1281">
        <v>3125</v>
      </c>
      <c r="I1281">
        <v>3125</v>
      </c>
      <c r="J1281">
        <v>74200</v>
      </c>
    </row>
    <row r="1282" spans="4:10">
      <c r="D1282" t="s">
        <v>611</v>
      </c>
      <c r="E1282" t="s">
        <v>554</v>
      </c>
      <c r="F1282">
        <v>3125</v>
      </c>
      <c r="G1282">
        <v>3130</v>
      </c>
      <c r="H1282">
        <v>3123</v>
      </c>
      <c r="I1282">
        <v>3130</v>
      </c>
      <c r="J1282">
        <v>213100</v>
      </c>
    </row>
    <row r="1283" spans="4:10">
      <c r="D1283" t="s">
        <v>611</v>
      </c>
      <c r="E1283" t="s">
        <v>555</v>
      </c>
      <c r="F1283">
        <v>3130</v>
      </c>
      <c r="G1283">
        <v>3135</v>
      </c>
      <c r="H1283">
        <v>3129</v>
      </c>
      <c r="I1283">
        <v>3134</v>
      </c>
      <c r="J1283">
        <v>203700</v>
      </c>
    </row>
    <row r="1284" spans="4:10">
      <c r="D1284" t="s">
        <v>611</v>
      </c>
      <c r="E1284" t="s">
        <v>556</v>
      </c>
      <c r="F1284">
        <v>3134</v>
      </c>
      <c r="G1284">
        <v>3137</v>
      </c>
      <c r="H1284">
        <v>3134</v>
      </c>
      <c r="I1284">
        <v>3137</v>
      </c>
      <c r="J1284">
        <v>140400</v>
      </c>
    </row>
    <row r="1285" spans="4:10">
      <c r="D1285" t="s">
        <v>611</v>
      </c>
      <c r="E1285" t="s">
        <v>557</v>
      </c>
      <c r="F1285">
        <v>3137</v>
      </c>
      <c r="G1285">
        <v>3138</v>
      </c>
      <c r="H1285">
        <v>3134</v>
      </c>
      <c r="I1285">
        <v>3134</v>
      </c>
      <c r="J1285">
        <v>242400</v>
      </c>
    </row>
    <row r="1286" spans="4:10">
      <c r="D1286" t="s">
        <v>611</v>
      </c>
      <c r="E1286" t="s">
        <v>558</v>
      </c>
      <c r="F1286">
        <v>3134</v>
      </c>
      <c r="G1286">
        <v>3137</v>
      </c>
      <c r="H1286">
        <v>3134</v>
      </c>
      <c r="I1286">
        <v>3134</v>
      </c>
      <c r="J1286">
        <v>127700</v>
      </c>
    </row>
    <row r="1287" spans="4:10">
      <c r="D1287" t="s">
        <v>611</v>
      </c>
      <c r="E1287" t="s">
        <v>559</v>
      </c>
      <c r="F1287">
        <v>3134</v>
      </c>
      <c r="G1287">
        <v>3137</v>
      </c>
      <c r="H1287">
        <v>3134</v>
      </c>
      <c r="I1287">
        <v>3137</v>
      </c>
      <c r="J1287">
        <v>63700</v>
      </c>
    </row>
    <row r="1288" spans="4:10">
      <c r="D1288" t="s">
        <v>611</v>
      </c>
      <c r="E1288" t="s">
        <v>560</v>
      </c>
      <c r="F1288">
        <v>3136</v>
      </c>
      <c r="G1288">
        <v>3137</v>
      </c>
      <c r="H1288">
        <v>3134</v>
      </c>
      <c r="I1288">
        <v>3136</v>
      </c>
      <c r="J1288">
        <v>204700</v>
      </c>
    </row>
    <row r="1289" spans="4:10">
      <c r="D1289" t="s">
        <v>611</v>
      </c>
      <c r="E1289" t="s">
        <v>561</v>
      </c>
      <c r="F1289">
        <v>3136</v>
      </c>
      <c r="G1289">
        <v>3137</v>
      </c>
      <c r="H1289">
        <v>3131</v>
      </c>
      <c r="I1289">
        <v>3133</v>
      </c>
      <c r="J1289">
        <v>188300</v>
      </c>
    </row>
    <row r="1290" spans="4:10">
      <c r="D1290" t="s">
        <v>611</v>
      </c>
      <c r="E1290" t="s">
        <v>562</v>
      </c>
      <c r="F1290">
        <v>3133</v>
      </c>
      <c r="G1290">
        <v>3135</v>
      </c>
      <c r="H1290">
        <v>3131</v>
      </c>
      <c r="I1290">
        <v>3132</v>
      </c>
      <c r="J1290">
        <v>112700</v>
      </c>
    </row>
    <row r="1291" spans="4:10">
      <c r="D1291" t="s">
        <v>611</v>
      </c>
      <c r="E1291" t="s">
        <v>563</v>
      </c>
      <c r="F1291">
        <v>3132</v>
      </c>
      <c r="G1291">
        <v>3134</v>
      </c>
      <c r="H1291">
        <v>3131</v>
      </c>
      <c r="I1291">
        <v>3134</v>
      </c>
      <c r="J1291">
        <v>65300</v>
      </c>
    </row>
    <row r="1292" spans="4:10">
      <c r="D1292" t="s">
        <v>611</v>
      </c>
      <c r="E1292" t="s">
        <v>564</v>
      </c>
      <c r="F1292">
        <v>3133</v>
      </c>
      <c r="G1292">
        <v>3134</v>
      </c>
      <c r="H1292">
        <v>3129</v>
      </c>
      <c r="I1292">
        <v>3129</v>
      </c>
      <c r="J1292">
        <v>160400</v>
      </c>
    </row>
    <row r="1293" spans="4:10">
      <c r="D1293" t="s">
        <v>611</v>
      </c>
      <c r="E1293" t="s">
        <v>565</v>
      </c>
      <c r="F1293">
        <v>3129</v>
      </c>
      <c r="G1293">
        <v>3130</v>
      </c>
      <c r="H1293">
        <v>3127</v>
      </c>
      <c r="I1293">
        <v>3129</v>
      </c>
      <c r="J1293">
        <v>153800</v>
      </c>
    </row>
    <row r="1294" spans="4:10">
      <c r="D1294" t="s">
        <v>611</v>
      </c>
      <c r="E1294" t="s">
        <v>566</v>
      </c>
      <c r="F1294">
        <v>3128</v>
      </c>
      <c r="G1294">
        <v>3130</v>
      </c>
      <c r="H1294">
        <v>3126</v>
      </c>
      <c r="I1294">
        <v>3127</v>
      </c>
      <c r="J1294">
        <v>199700</v>
      </c>
    </row>
    <row r="1295" spans="4:10">
      <c r="D1295" t="s">
        <v>611</v>
      </c>
      <c r="E1295" t="s">
        <v>567</v>
      </c>
      <c r="F1295">
        <v>3127</v>
      </c>
      <c r="G1295">
        <v>3128</v>
      </c>
      <c r="H1295">
        <v>3123</v>
      </c>
      <c r="I1295">
        <v>3124</v>
      </c>
      <c r="J1295">
        <v>131800</v>
      </c>
    </row>
    <row r="1296" spans="4:10">
      <c r="D1296" t="s">
        <v>611</v>
      </c>
      <c r="E1296" t="s">
        <v>568</v>
      </c>
      <c r="F1296">
        <v>3124</v>
      </c>
      <c r="G1296">
        <v>3126</v>
      </c>
      <c r="H1296">
        <v>3124</v>
      </c>
      <c r="I1296">
        <v>3126</v>
      </c>
      <c r="J1296">
        <v>159900</v>
      </c>
    </row>
    <row r="1297" spans="4:10">
      <c r="D1297" t="s">
        <v>611</v>
      </c>
      <c r="E1297" t="s">
        <v>569</v>
      </c>
      <c r="F1297">
        <v>3125</v>
      </c>
      <c r="G1297">
        <v>3127</v>
      </c>
      <c r="H1297">
        <v>3123</v>
      </c>
      <c r="I1297">
        <v>3124</v>
      </c>
      <c r="J1297">
        <v>187900</v>
      </c>
    </row>
    <row r="1298" spans="4:10">
      <c r="D1298" t="s">
        <v>611</v>
      </c>
      <c r="E1298" t="s">
        <v>570</v>
      </c>
      <c r="F1298">
        <v>3123</v>
      </c>
      <c r="G1298">
        <v>3126</v>
      </c>
      <c r="H1298">
        <v>3120</v>
      </c>
      <c r="I1298">
        <v>3124</v>
      </c>
      <c r="J1298">
        <v>418000</v>
      </c>
    </row>
    <row r="1299" spans="4:10">
      <c r="D1299" t="s">
        <v>611</v>
      </c>
      <c r="E1299" t="s">
        <v>571</v>
      </c>
      <c r="F1299" t="s">
        <v>35</v>
      </c>
      <c r="G1299" t="s">
        <v>35</v>
      </c>
      <c r="H1299" t="s">
        <v>35</v>
      </c>
      <c r="I1299" t="s">
        <v>35</v>
      </c>
      <c r="J1299">
        <v>0</v>
      </c>
    </row>
    <row r="1300" spans="4:10">
      <c r="D1300" t="s">
        <v>611</v>
      </c>
      <c r="E1300" t="s">
        <v>572</v>
      </c>
      <c r="F1300">
        <v>3125</v>
      </c>
      <c r="G1300">
        <v>3125</v>
      </c>
      <c r="H1300">
        <v>3125</v>
      </c>
      <c r="I1300">
        <v>3125</v>
      </c>
      <c r="J1300">
        <v>2787800</v>
      </c>
    </row>
    <row r="1301" spans="4:10">
      <c r="D1301" t="s">
        <v>612</v>
      </c>
      <c r="E1301" t="s">
        <v>574</v>
      </c>
      <c r="F1301">
        <v>3095</v>
      </c>
      <c r="G1301">
        <v>3120</v>
      </c>
      <c r="H1301">
        <v>3087</v>
      </c>
      <c r="I1301">
        <v>3102</v>
      </c>
      <c r="J1301">
        <v>2098300</v>
      </c>
    </row>
    <row r="1302" spans="4:10">
      <c r="D1302" t="s">
        <v>612</v>
      </c>
      <c r="E1302" t="s">
        <v>575</v>
      </c>
      <c r="F1302">
        <v>3102</v>
      </c>
      <c r="G1302">
        <v>3120</v>
      </c>
      <c r="H1302">
        <v>3102</v>
      </c>
      <c r="I1302">
        <v>3112</v>
      </c>
      <c r="J1302">
        <v>427300</v>
      </c>
    </row>
    <row r="1303" spans="4:10">
      <c r="D1303" t="s">
        <v>612</v>
      </c>
      <c r="E1303" t="s">
        <v>576</v>
      </c>
      <c r="F1303">
        <v>3112</v>
      </c>
      <c r="G1303">
        <v>3113</v>
      </c>
      <c r="H1303">
        <v>3109</v>
      </c>
      <c r="I1303">
        <v>3111</v>
      </c>
      <c r="J1303">
        <v>238200</v>
      </c>
    </row>
    <row r="1304" spans="4:10">
      <c r="D1304" t="s">
        <v>612</v>
      </c>
      <c r="E1304" t="s">
        <v>577</v>
      </c>
      <c r="F1304">
        <v>3111</v>
      </c>
      <c r="G1304">
        <v>3114</v>
      </c>
      <c r="H1304">
        <v>3109</v>
      </c>
      <c r="I1304">
        <v>3111</v>
      </c>
      <c r="J1304">
        <v>271700</v>
      </c>
    </row>
    <row r="1305" spans="4:10">
      <c r="D1305" t="s">
        <v>612</v>
      </c>
      <c r="E1305" t="s">
        <v>578</v>
      </c>
      <c r="F1305">
        <v>3112</v>
      </c>
      <c r="G1305">
        <v>3112</v>
      </c>
      <c r="H1305">
        <v>3103</v>
      </c>
      <c r="I1305">
        <v>3109</v>
      </c>
      <c r="J1305">
        <v>283800</v>
      </c>
    </row>
    <row r="1306" spans="4:10">
      <c r="D1306" t="s">
        <v>612</v>
      </c>
      <c r="E1306" t="s">
        <v>579</v>
      </c>
      <c r="F1306">
        <v>3110</v>
      </c>
      <c r="G1306">
        <v>3113</v>
      </c>
      <c r="H1306">
        <v>3104</v>
      </c>
      <c r="I1306">
        <v>3104</v>
      </c>
      <c r="J1306">
        <v>213400</v>
      </c>
    </row>
    <row r="1307" spans="4:10">
      <c r="D1307" t="s">
        <v>612</v>
      </c>
      <c r="E1307" t="s">
        <v>580</v>
      </c>
      <c r="F1307">
        <v>3104</v>
      </c>
      <c r="G1307">
        <v>3106</v>
      </c>
      <c r="H1307">
        <v>3097</v>
      </c>
      <c r="I1307">
        <v>3098</v>
      </c>
      <c r="J1307">
        <v>430600</v>
      </c>
    </row>
    <row r="1308" spans="4:10">
      <c r="D1308" t="s">
        <v>612</v>
      </c>
      <c r="E1308" t="s">
        <v>581</v>
      </c>
      <c r="F1308">
        <v>3098</v>
      </c>
      <c r="G1308">
        <v>3102</v>
      </c>
      <c r="H1308">
        <v>3097</v>
      </c>
      <c r="I1308">
        <v>3100</v>
      </c>
      <c r="J1308">
        <v>197100</v>
      </c>
    </row>
    <row r="1309" spans="4:10">
      <c r="D1309" t="s">
        <v>612</v>
      </c>
      <c r="E1309" t="s">
        <v>582</v>
      </c>
      <c r="F1309">
        <v>3099</v>
      </c>
      <c r="G1309">
        <v>3100</v>
      </c>
      <c r="H1309">
        <v>3095</v>
      </c>
      <c r="I1309">
        <v>3097</v>
      </c>
      <c r="J1309">
        <v>252800</v>
      </c>
    </row>
    <row r="1310" spans="4:10">
      <c r="D1310" t="s">
        <v>612</v>
      </c>
      <c r="E1310" t="s">
        <v>583</v>
      </c>
      <c r="F1310">
        <v>3097</v>
      </c>
      <c r="G1310">
        <v>3099</v>
      </c>
      <c r="H1310">
        <v>3096</v>
      </c>
      <c r="I1310">
        <v>3098</v>
      </c>
      <c r="J1310">
        <v>175700</v>
      </c>
    </row>
    <row r="1311" spans="4:10">
      <c r="D1311" t="s">
        <v>612</v>
      </c>
      <c r="E1311" t="s">
        <v>584</v>
      </c>
      <c r="F1311">
        <v>3098</v>
      </c>
      <c r="G1311">
        <v>3098</v>
      </c>
      <c r="H1311">
        <v>3093</v>
      </c>
      <c r="I1311">
        <v>3094</v>
      </c>
      <c r="J1311">
        <v>355400</v>
      </c>
    </row>
    <row r="1312" spans="4:10">
      <c r="D1312" t="s">
        <v>612</v>
      </c>
      <c r="E1312" t="s">
        <v>585</v>
      </c>
      <c r="F1312">
        <v>3094</v>
      </c>
      <c r="G1312">
        <v>3097</v>
      </c>
      <c r="H1312">
        <v>3093</v>
      </c>
      <c r="I1312">
        <v>3095</v>
      </c>
      <c r="J1312">
        <v>166200</v>
      </c>
    </row>
    <row r="1313" spans="4:10">
      <c r="D1313" t="s">
        <v>612</v>
      </c>
      <c r="E1313" t="s">
        <v>586</v>
      </c>
      <c r="F1313">
        <v>3095</v>
      </c>
      <c r="G1313">
        <v>3098</v>
      </c>
      <c r="H1313">
        <v>3092</v>
      </c>
      <c r="I1313">
        <v>3095</v>
      </c>
      <c r="J1313">
        <v>251500</v>
      </c>
    </row>
    <row r="1314" spans="4:10">
      <c r="D1314" t="s">
        <v>612</v>
      </c>
      <c r="E1314" t="s">
        <v>587</v>
      </c>
      <c r="F1314">
        <v>3094</v>
      </c>
      <c r="G1314">
        <v>3095</v>
      </c>
      <c r="H1314">
        <v>3087</v>
      </c>
      <c r="I1314">
        <v>3089</v>
      </c>
      <c r="J1314">
        <v>339400</v>
      </c>
    </row>
    <row r="1315" spans="4:10">
      <c r="D1315" t="s">
        <v>612</v>
      </c>
      <c r="E1315" t="s">
        <v>588</v>
      </c>
      <c r="F1315">
        <v>3089</v>
      </c>
      <c r="G1315">
        <v>3095</v>
      </c>
      <c r="H1315">
        <v>3089</v>
      </c>
      <c r="I1315">
        <v>3092</v>
      </c>
      <c r="J1315">
        <v>157600</v>
      </c>
    </row>
    <row r="1316" spans="4:10">
      <c r="D1316" t="s">
        <v>612</v>
      </c>
      <c r="E1316" t="s">
        <v>589</v>
      </c>
      <c r="F1316">
        <v>3093</v>
      </c>
      <c r="G1316">
        <v>3096</v>
      </c>
      <c r="H1316">
        <v>3092</v>
      </c>
      <c r="I1316">
        <v>3095</v>
      </c>
      <c r="J1316">
        <v>137900</v>
      </c>
    </row>
    <row r="1317" spans="4:10">
      <c r="D1317" t="s">
        <v>612</v>
      </c>
      <c r="E1317" t="s">
        <v>590</v>
      </c>
      <c r="F1317">
        <v>3095</v>
      </c>
      <c r="G1317">
        <v>3095</v>
      </c>
      <c r="H1317">
        <v>3089</v>
      </c>
      <c r="I1317">
        <v>3089</v>
      </c>
      <c r="J1317">
        <v>138600</v>
      </c>
    </row>
    <row r="1318" spans="4:10">
      <c r="D1318" t="s">
        <v>612</v>
      </c>
      <c r="E1318" t="s">
        <v>591</v>
      </c>
      <c r="F1318">
        <v>3089</v>
      </c>
      <c r="G1318">
        <v>3093</v>
      </c>
      <c r="H1318">
        <v>3089</v>
      </c>
      <c r="I1318">
        <v>3090</v>
      </c>
      <c r="J1318">
        <v>148700</v>
      </c>
    </row>
    <row r="1319" spans="4:10">
      <c r="D1319" t="s">
        <v>612</v>
      </c>
      <c r="E1319" t="s">
        <v>592</v>
      </c>
      <c r="F1319">
        <v>3090</v>
      </c>
      <c r="G1319">
        <v>3091</v>
      </c>
      <c r="H1319">
        <v>3086</v>
      </c>
      <c r="I1319">
        <v>3088</v>
      </c>
      <c r="J1319">
        <v>176500</v>
      </c>
    </row>
    <row r="1320" spans="4:10">
      <c r="D1320" t="s">
        <v>612</v>
      </c>
      <c r="E1320" t="s">
        <v>593</v>
      </c>
      <c r="F1320">
        <v>3089</v>
      </c>
      <c r="G1320">
        <v>3095</v>
      </c>
      <c r="H1320">
        <v>3088</v>
      </c>
      <c r="I1320">
        <v>3093</v>
      </c>
      <c r="J1320">
        <v>196400</v>
      </c>
    </row>
    <row r="1321" spans="4:10">
      <c r="D1321" t="s">
        <v>612</v>
      </c>
      <c r="E1321" t="s">
        <v>594</v>
      </c>
      <c r="F1321">
        <v>3094</v>
      </c>
      <c r="G1321">
        <v>3094</v>
      </c>
      <c r="H1321">
        <v>3091</v>
      </c>
      <c r="I1321">
        <v>3093</v>
      </c>
      <c r="J1321">
        <v>75800</v>
      </c>
    </row>
    <row r="1322" spans="4:10">
      <c r="D1322" t="s">
        <v>612</v>
      </c>
      <c r="E1322" t="s">
        <v>595</v>
      </c>
      <c r="F1322">
        <v>3093</v>
      </c>
      <c r="G1322">
        <v>3096</v>
      </c>
      <c r="H1322">
        <v>3091</v>
      </c>
      <c r="I1322">
        <v>3095</v>
      </c>
      <c r="J1322">
        <v>102000</v>
      </c>
    </row>
    <row r="1323" spans="4:10">
      <c r="D1323" t="s">
        <v>612</v>
      </c>
      <c r="E1323" t="s">
        <v>596</v>
      </c>
      <c r="F1323">
        <v>3095</v>
      </c>
      <c r="G1323">
        <v>3096</v>
      </c>
      <c r="H1323">
        <v>3092</v>
      </c>
      <c r="I1323">
        <v>3093</v>
      </c>
      <c r="J1323">
        <v>111200</v>
      </c>
    </row>
    <row r="1324" spans="4:10">
      <c r="D1324" t="s">
        <v>612</v>
      </c>
      <c r="E1324" t="s">
        <v>597</v>
      </c>
      <c r="F1324">
        <v>3093</v>
      </c>
      <c r="G1324">
        <v>3096</v>
      </c>
      <c r="H1324">
        <v>3093</v>
      </c>
      <c r="I1324">
        <v>3094</v>
      </c>
      <c r="J1324">
        <v>91200</v>
      </c>
    </row>
    <row r="1325" spans="4:10">
      <c r="D1325" t="s">
        <v>612</v>
      </c>
      <c r="E1325" t="s">
        <v>598</v>
      </c>
      <c r="F1325">
        <v>3094</v>
      </c>
      <c r="G1325">
        <v>3095</v>
      </c>
      <c r="H1325">
        <v>3087</v>
      </c>
      <c r="I1325">
        <v>3087</v>
      </c>
      <c r="J1325">
        <v>202000</v>
      </c>
    </row>
    <row r="1326" spans="4:10">
      <c r="D1326" t="s">
        <v>612</v>
      </c>
      <c r="E1326" t="s">
        <v>599</v>
      </c>
      <c r="F1326">
        <v>3087</v>
      </c>
      <c r="G1326">
        <v>3090</v>
      </c>
      <c r="H1326">
        <v>3085</v>
      </c>
      <c r="I1326">
        <v>3085</v>
      </c>
      <c r="J1326">
        <v>138300</v>
      </c>
    </row>
    <row r="1327" spans="4:10">
      <c r="D1327" t="s">
        <v>612</v>
      </c>
      <c r="E1327" t="s">
        <v>600</v>
      </c>
      <c r="F1327">
        <v>3086</v>
      </c>
      <c r="G1327">
        <v>3089</v>
      </c>
      <c r="H1327">
        <v>3085</v>
      </c>
      <c r="I1327">
        <v>3089</v>
      </c>
      <c r="J1327">
        <v>128500</v>
      </c>
    </row>
    <row r="1328" spans="4:10">
      <c r="D1328" t="s">
        <v>612</v>
      </c>
      <c r="E1328" t="s">
        <v>601</v>
      </c>
      <c r="F1328">
        <v>3088</v>
      </c>
      <c r="G1328">
        <v>3092</v>
      </c>
      <c r="H1328">
        <v>3088</v>
      </c>
      <c r="I1328">
        <v>3090</v>
      </c>
      <c r="J1328">
        <v>224000</v>
      </c>
    </row>
    <row r="1329" spans="4:10">
      <c r="D1329" t="s">
        <v>612</v>
      </c>
      <c r="E1329" t="s">
        <v>602</v>
      </c>
      <c r="F1329">
        <v>3091</v>
      </c>
      <c r="G1329">
        <v>3092</v>
      </c>
      <c r="H1329">
        <v>3087</v>
      </c>
      <c r="I1329">
        <v>3089</v>
      </c>
      <c r="J1329">
        <v>183800</v>
      </c>
    </row>
    <row r="1330" spans="4:10">
      <c r="D1330" t="s">
        <v>612</v>
      </c>
      <c r="E1330" t="s">
        <v>603</v>
      </c>
      <c r="F1330">
        <v>3089</v>
      </c>
      <c r="G1330">
        <v>3091</v>
      </c>
      <c r="H1330">
        <v>3087</v>
      </c>
      <c r="I1330">
        <v>3090</v>
      </c>
      <c r="J1330">
        <v>160800</v>
      </c>
    </row>
    <row r="1331" spans="4:10">
      <c r="D1331" t="s">
        <v>612</v>
      </c>
      <c r="E1331" t="s">
        <v>604</v>
      </c>
      <c r="F1331">
        <v>3091</v>
      </c>
      <c r="G1331">
        <v>3091</v>
      </c>
      <c r="H1331">
        <v>3091</v>
      </c>
      <c r="I1331">
        <v>3091</v>
      </c>
      <c r="J1331">
        <v>86500</v>
      </c>
    </row>
    <row r="1332" spans="4:10">
      <c r="D1332" t="s">
        <v>612</v>
      </c>
      <c r="E1332" t="s">
        <v>605</v>
      </c>
      <c r="F1332">
        <v>3097</v>
      </c>
      <c r="G1332">
        <v>3099</v>
      </c>
      <c r="H1332">
        <v>3088</v>
      </c>
      <c r="I1332">
        <v>3093</v>
      </c>
      <c r="J1332">
        <v>862600</v>
      </c>
    </row>
    <row r="1333" spans="4:10">
      <c r="D1333" t="s">
        <v>612</v>
      </c>
      <c r="E1333" t="s">
        <v>606</v>
      </c>
      <c r="F1333">
        <v>3093</v>
      </c>
      <c r="G1333">
        <v>3093</v>
      </c>
      <c r="H1333">
        <v>3087</v>
      </c>
      <c r="I1333">
        <v>3090</v>
      </c>
      <c r="J1333">
        <v>210200</v>
      </c>
    </row>
    <row r="1334" spans="4:10">
      <c r="D1334" t="s">
        <v>612</v>
      </c>
      <c r="E1334" t="s">
        <v>538</v>
      </c>
      <c r="F1334">
        <v>3090</v>
      </c>
      <c r="G1334">
        <v>3090</v>
      </c>
      <c r="H1334">
        <v>3076</v>
      </c>
      <c r="I1334">
        <v>3076</v>
      </c>
      <c r="J1334">
        <v>707500</v>
      </c>
    </row>
    <row r="1335" spans="4:10">
      <c r="D1335" t="s">
        <v>612</v>
      </c>
      <c r="E1335" t="s">
        <v>539</v>
      </c>
      <c r="F1335">
        <v>3077</v>
      </c>
      <c r="G1335">
        <v>3079</v>
      </c>
      <c r="H1335">
        <v>3073</v>
      </c>
      <c r="I1335">
        <v>3078</v>
      </c>
      <c r="J1335">
        <v>270100</v>
      </c>
    </row>
    <row r="1336" spans="4:10">
      <c r="D1336" t="s">
        <v>612</v>
      </c>
      <c r="E1336" t="s">
        <v>540</v>
      </c>
      <c r="F1336">
        <v>3078</v>
      </c>
      <c r="G1336">
        <v>3082</v>
      </c>
      <c r="H1336">
        <v>3077</v>
      </c>
      <c r="I1336">
        <v>3082</v>
      </c>
      <c r="J1336">
        <v>107600</v>
      </c>
    </row>
    <row r="1337" spans="4:10">
      <c r="D1337" t="s">
        <v>612</v>
      </c>
      <c r="E1337" t="s">
        <v>541</v>
      </c>
      <c r="F1337">
        <v>3081</v>
      </c>
      <c r="G1337">
        <v>3083</v>
      </c>
      <c r="H1337">
        <v>3078</v>
      </c>
      <c r="I1337">
        <v>3080</v>
      </c>
      <c r="J1337">
        <v>147300</v>
      </c>
    </row>
    <row r="1338" spans="4:10">
      <c r="D1338" t="s">
        <v>612</v>
      </c>
      <c r="E1338" t="s">
        <v>542</v>
      </c>
      <c r="F1338">
        <v>3080</v>
      </c>
      <c r="G1338">
        <v>3080</v>
      </c>
      <c r="H1338">
        <v>3075</v>
      </c>
      <c r="I1338">
        <v>3077</v>
      </c>
      <c r="J1338">
        <v>185700</v>
      </c>
    </row>
    <row r="1339" spans="4:10">
      <c r="D1339" t="s">
        <v>612</v>
      </c>
      <c r="E1339" t="s">
        <v>543</v>
      </c>
      <c r="F1339">
        <v>3077</v>
      </c>
      <c r="G1339">
        <v>3083</v>
      </c>
      <c r="H1339">
        <v>3077</v>
      </c>
      <c r="I1339">
        <v>3083</v>
      </c>
      <c r="J1339">
        <v>150700</v>
      </c>
    </row>
    <row r="1340" spans="4:10">
      <c r="D1340" t="s">
        <v>612</v>
      </c>
      <c r="E1340" t="s">
        <v>544</v>
      </c>
      <c r="F1340">
        <v>3082</v>
      </c>
      <c r="G1340">
        <v>3084</v>
      </c>
      <c r="H1340">
        <v>3081</v>
      </c>
      <c r="I1340">
        <v>3082</v>
      </c>
      <c r="J1340">
        <v>132700</v>
      </c>
    </row>
    <row r="1341" spans="4:10">
      <c r="D1341" t="s">
        <v>612</v>
      </c>
      <c r="E1341" t="s">
        <v>545</v>
      </c>
      <c r="F1341">
        <v>3082</v>
      </c>
      <c r="G1341">
        <v>3083</v>
      </c>
      <c r="H1341">
        <v>3080</v>
      </c>
      <c r="I1341">
        <v>3082</v>
      </c>
      <c r="J1341">
        <v>119300</v>
      </c>
    </row>
    <row r="1342" spans="4:10">
      <c r="D1342" t="s">
        <v>612</v>
      </c>
      <c r="E1342" t="s">
        <v>546</v>
      </c>
      <c r="F1342">
        <v>3082</v>
      </c>
      <c r="G1342">
        <v>3083</v>
      </c>
      <c r="H1342">
        <v>3081</v>
      </c>
      <c r="I1342">
        <v>3081</v>
      </c>
      <c r="J1342">
        <v>183900</v>
      </c>
    </row>
    <row r="1343" spans="4:10">
      <c r="D1343" t="s">
        <v>612</v>
      </c>
      <c r="E1343" t="s">
        <v>547</v>
      </c>
      <c r="F1343">
        <v>3081</v>
      </c>
      <c r="G1343">
        <v>3082</v>
      </c>
      <c r="H1343">
        <v>3080</v>
      </c>
      <c r="I1343">
        <v>3080</v>
      </c>
      <c r="J1343">
        <v>78000</v>
      </c>
    </row>
    <row r="1344" spans="4:10">
      <c r="D1344" t="s">
        <v>612</v>
      </c>
      <c r="E1344" t="s">
        <v>548</v>
      </c>
      <c r="F1344">
        <v>3081</v>
      </c>
      <c r="G1344">
        <v>3082</v>
      </c>
      <c r="H1344">
        <v>3080</v>
      </c>
      <c r="I1344">
        <v>3081</v>
      </c>
      <c r="J1344">
        <v>109600</v>
      </c>
    </row>
    <row r="1345" spans="4:10">
      <c r="D1345" t="s">
        <v>612</v>
      </c>
      <c r="E1345" t="s">
        <v>549</v>
      </c>
      <c r="F1345">
        <v>3081</v>
      </c>
      <c r="G1345">
        <v>3083</v>
      </c>
      <c r="H1345">
        <v>3081</v>
      </c>
      <c r="I1345">
        <v>3083</v>
      </c>
      <c r="J1345">
        <v>87900</v>
      </c>
    </row>
    <row r="1346" spans="4:10">
      <c r="D1346" t="s">
        <v>612</v>
      </c>
      <c r="E1346" t="s">
        <v>550</v>
      </c>
      <c r="F1346">
        <v>3083</v>
      </c>
      <c r="G1346">
        <v>3083</v>
      </c>
      <c r="H1346">
        <v>3080</v>
      </c>
      <c r="I1346">
        <v>3082</v>
      </c>
      <c r="J1346">
        <v>123100</v>
      </c>
    </row>
    <row r="1347" spans="4:10">
      <c r="D1347" t="s">
        <v>612</v>
      </c>
      <c r="E1347" t="s">
        <v>551</v>
      </c>
      <c r="F1347">
        <v>3081</v>
      </c>
      <c r="G1347">
        <v>3082</v>
      </c>
      <c r="H1347">
        <v>3077</v>
      </c>
      <c r="I1347">
        <v>3079</v>
      </c>
      <c r="J1347">
        <v>203300</v>
      </c>
    </row>
    <row r="1348" spans="4:10">
      <c r="D1348" t="s">
        <v>612</v>
      </c>
      <c r="E1348" t="s">
        <v>552</v>
      </c>
      <c r="F1348">
        <v>3078</v>
      </c>
      <c r="G1348">
        <v>3080</v>
      </c>
      <c r="H1348">
        <v>3078</v>
      </c>
      <c r="I1348">
        <v>3078</v>
      </c>
      <c r="J1348">
        <v>94500</v>
      </c>
    </row>
    <row r="1349" spans="4:10">
      <c r="D1349" t="s">
        <v>612</v>
      </c>
      <c r="E1349" t="s">
        <v>553</v>
      </c>
      <c r="F1349">
        <v>3079</v>
      </c>
      <c r="G1349">
        <v>3080</v>
      </c>
      <c r="H1349">
        <v>3077</v>
      </c>
      <c r="I1349">
        <v>3079</v>
      </c>
      <c r="J1349">
        <v>97600</v>
      </c>
    </row>
    <row r="1350" spans="4:10">
      <c r="D1350" t="s">
        <v>612</v>
      </c>
      <c r="E1350" t="s">
        <v>554</v>
      </c>
      <c r="F1350">
        <v>3079</v>
      </c>
      <c r="G1350">
        <v>3080</v>
      </c>
      <c r="H1350">
        <v>3076</v>
      </c>
      <c r="I1350">
        <v>3079</v>
      </c>
      <c r="J1350">
        <v>230900</v>
      </c>
    </row>
    <row r="1351" spans="4:10">
      <c r="D1351" t="s">
        <v>612</v>
      </c>
      <c r="E1351" t="s">
        <v>555</v>
      </c>
      <c r="F1351">
        <v>3080</v>
      </c>
      <c r="G1351">
        <v>3080</v>
      </c>
      <c r="H1351">
        <v>3078</v>
      </c>
      <c r="I1351">
        <v>3079</v>
      </c>
      <c r="J1351">
        <v>102000</v>
      </c>
    </row>
    <row r="1352" spans="4:10">
      <c r="D1352" t="s">
        <v>612</v>
      </c>
      <c r="E1352" t="s">
        <v>556</v>
      </c>
      <c r="F1352">
        <v>3080</v>
      </c>
      <c r="G1352">
        <v>3084</v>
      </c>
      <c r="H1352">
        <v>3079</v>
      </c>
      <c r="I1352">
        <v>3082</v>
      </c>
      <c r="J1352">
        <v>151800</v>
      </c>
    </row>
    <row r="1353" spans="4:10">
      <c r="D1353" t="s">
        <v>612</v>
      </c>
      <c r="E1353" t="s">
        <v>557</v>
      </c>
      <c r="F1353">
        <v>3083</v>
      </c>
      <c r="G1353">
        <v>3083</v>
      </c>
      <c r="H1353">
        <v>3080</v>
      </c>
      <c r="I1353">
        <v>3080</v>
      </c>
      <c r="J1353">
        <v>190600</v>
      </c>
    </row>
    <row r="1354" spans="4:10">
      <c r="D1354" t="s">
        <v>612</v>
      </c>
      <c r="E1354" t="s">
        <v>558</v>
      </c>
      <c r="F1354">
        <v>3080</v>
      </c>
      <c r="G1354">
        <v>3081</v>
      </c>
      <c r="H1354">
        <v>3078</v>
      </c>
      <c r="I1354">
        <v>3080</v>
      </c>
      <c r="J1354">
        <v>178200</v>
      </c>
    </row>
    <row r="1355" spans="4:10">
      <c r="D1355" t="s">
        <v>612</v>
      </c>
      <c r="E1355" t="s">
        <v>559</v>
      </c>
      <c r="F1355">
        <v>3080</v>
      </c>
      <c r="G1355">
        <v>3081</v>
      </c>
      <c r="H1355">
        <v>3077</v>
      </c>
      <c r="I1355">
        <v>3078</v>
      </c>
      <c r="J1355">
        <v>136900</v>
      </c>
    </row>
    <row r="1356" spans="4:10">
      <c r="D1356" t="s">
        <v>612</v>
      </c>
      <c r="E1356" t="s">
        <v>560</v>
      </c>
      <c r="F1356">
        <v>3078</v>
      </c>
      <c r="G1356">
        <v>3080</v>
      </c>
      <c r="H1356">
        <v>3077</v>
      </c>
      <c r="I1356">
        <v>3080</v>
      </c>
      <c r="J1356">
        <v>110900</v>
      </c>
    </row>
    <row r="1357" spans="4:10">
      <c r="D1357" t="s">
        <v>612</v>
      </c>
      <c r="E1357" t="s">
        <v>561</v>
      </c>
      <c r="F1357">
        <v>3080</v>
      </c>
      <c r="G1357">
        <v>3080</v>
      </c>
      <c r="H1357">
        <v>3078</v>
      </c>
      <c r="I1357">
        <v>3080</v>
      </c>
      <c r="J1357">
        <v>116800</v>
      </c>
    </row>
    <row r="1358" spans="4:10">
      <c r="D1358" t="s">
        <v>612</v>
      </c>
      <c r="E1358" t="s">
        <v>562</v>
      </c>
      <c r="F1358">
        <v>3080</v>
      </c>
      <c r="G1358">
        <v>3080</v>
      </c>
      <c r="H1358">
        <v>3077</v>
      </c>
      <c r="I1358">
        <v>3079</v>
      </c>
      <c r="J1358">
        <v>201900</v>
      </c>
    </row>
    <row r="1359" spans="4:10">
      <c r="D1359" t="s">
        <v>612</v>
      </c>
      <c r="E1359" t="s">
        <v>563</v>
      </c>
      <c r="F1359">
        <v>3079</v>
      </c>
      <c r="G1359">
        <v>3080</v>
      </c>
      <c r="H1359">
        <v>3078</v>
      </c>
      <c r="I1359">
        <v>3079</v>
      </c>
      <c r="J1359">
        <v>95800</v>
      </c>
    </row>
    <row r="1360" spans="4:10">
      <c r="D1360" t="s">
        <v>612</v>
      </c>
      <c r="E1360" t="s">
        <v>564</v>
      </c>
      <c r="F1360">
        <v>3079</v>
      </c>
      <c r="G1360">
        <v>3079</v>
      </c>
      <c r="H1360">
        <v>3075</v>
      </c>
      <c r="I1360">
        <v>3075</v>
      </c>
      <c r="J1360">
        <v>267400</v>
      </c>
    </row>
    <row r="1361" spans="4:10">
      <c r="D1361" t="s">
        <v>612</v>
      </c>
      <c r="E1361" t="s">
        <v>565</v>
      </c>
      <c r="F1361">
        <v>3076</v>
      </c>
      <c r="G1361">
        <v>3076</v>
      </c>
      <c r="H1361">
        <v>3074</v>
      </c>
      <c r="I1361">
        <v>3076</v>
      </c>
      <c r="J1361">
        <v>192100</v>
      </c>
    </row>
    <row r="1362" spans="4:10">
      <c r="D1362" t="s">
        <v>612</v>
      </c>
      <c r="E1362" t="s">
        <v>566</v>
      </c>
      <c r="F1362">
        <v>3075</v>
      </c>
      <c r="G1362">
        <v>3076</v>
      </c>
      <c r="H1362">
        <v>3073</v>
      </c>
      <c r="I1362">
        <v>3074</v>
      </c>
      <c r="J1362">
        <v>281000</v>
      </c>
    </row>
    <row r="1363" spans="4:10">
      <c r="D1363" t="s">
        <v>612</v>
      </c>
      <c r="E1363" t="s">
        <v>567</v>
      </c>
      <c r="F1363">
        <v>3075</v>
      </c>
      <c r="G1363">
        <v>3076</v>
      </c>
      <c r="H1363">
        <v>3074</v>
      </c>
      <c r="I1363">
        <v>3075</v>
      </c>
      <c r="J1363">
        <v>171700</v>
      </c>
    </row>
    <row r="1364" spans="4:10">
      <c r="D1364" t="s">
        <v>612</v>
      </c>
      <c r="E1364" t="s">
        <v>568</v>
      </c>
      <c r="F1364">
        <v>3075</v>
      </c>
      <c r="G1364">
        <v>3078</v>
      </c>
      <c r="H1364">
        <v>3075</v>
      </c>
      <c r="I1364">
        <v>3078</v>
      </c>
      <c r="J1364">
        <v>168200</v>
      </c>
    </row>
    <row r="1365" spans="4:10">
      <c r="D1365" t="s">
        <v>612</v>
      </c>
      <c r="E1365" t="s">
        <v>569</v>
      </c>
      <c r="F1365">
        <v>3078</v>
      </c>
      <c r="G1365">
        <v>3078</v>
      </c>
      <c r="H1365">
        <v>3074</v>
      </c>
      <c r="I1365">
        <v>3076</v>
      </c>
      <c r="J1365">
        <v>265700</v>
      </c>
    </row>
    <row r="1366" spans="4:10">
      <c r="D1366" t="s">
        <v>612</v>
      </c>
      <c r="E1366" t="s">
        <v>570</v>
      </c>
      <c r="F1366">
        <v>3075</v>
      </c>
      <c r="G1366">
        <v>3078</v>
      </c>
      <c r="H1366">
        <v>3073</v>
      </c>
      <c r="I1366">
        <v>3078</v>
      </c>
      <c r="J1366">
        <v>431700</v>
      </c>
    </row>
    <row r="1367" spans="4:10">
      <c r="D1367" t="s">
        <v>612</v>
      </c>
      <c r="E1367" t="s">
        <v>571</v>
      </c>
      <c r="F1367" t="s">
        <v>35</v>
      </c>
      <c r="G1367" t="s">
        <v>35</v>
      </c>
      <c r="H1367" t="s">
        <v>35</v>
      </c>
      <c r="I1367" t="s">
        <v>35</v>
      </c>
      <c r="J1367">
        <v>0</v>
      </c>
    </row>
    <row r="1368" spans="4:10">
      <c r="D1368" t="s">
        <v>612</v>
      </c>
      <c r="E1368" t="s">
        <v>572</v>
      </c>
      <c r="F1368">
        <v>3082</v>
      </c>
      <c r="G1368">
        <v>3082</v>
      </c>
      <c r="H1368">
        <v>3082</v>
      </c>
      <c r="I1368">
        <v>3082</v>
      </c>
      <c r="J1368">
        <v>3276500</v>
      </c>
    </row>
    <row r="1369" spans="4:10">
      <c r="D1369" t="s">
        <v>537</v>
      </c>
      <c r="E1369" t="s">
        <v>574</v>
      </c>
      <c r="F1369">
        <v>3071</v>
      </c>
      <c r="G1369">
        <v>3098</v>
      </c>
      <c r="H1369">
        <v>3066</v>
      </c>
      <c r="I1369">
        <v>3083</v>
      </c>
      <c r="J1369">
        <v>2297700</v>
      </c>
    </row>
    <row r="1370" spans="4:10">
      <c r="D1370" t="s">
        <v>537</v>
      </c>
      <c r="E1370" t="s">
        <v>575</v>
      </c>
      <c r="F1370">
        <v>3082</v>
      </c>
      <c r="G1370">
        <v>3087</v>
      </c>
      <c r="H1370">
        <v>3077</v>
      </c>
      <c r="I1370">
        <v>3077</v>
      </c>
      <c r="J1370">
        <v>581200</v>
      </c>
    </row>
    <row r="1371" spans="4:10">
      <c r="D1371" t="s">
        <v>537</v>
      </c>
      <c r="E1371" t="s">
        <v>576</v>
      </c>
      <c r="F1371">
        <v>3076</v>
      </c>
      <c r="G1371">
        <v>3085</v>
      </c>
      <c r="H1371">
        <v>3076</v>
      </c>
      <c r="I1371">
        <v>3085</v>
      </c>
      <c r="J1371">
        <v>302800</v>
      </c>
    </row>
    <row r="1372" spans="4:10">
      <c r="D1372" t="s">
        <v>537</v>
      </c>
      <c r="E1372" t="s">
        <v>577</v>
      </c>
      <c r="F1372">
        <v>3085</v>
      </c>
      <c r="G1372">
        <v>3089</v>
      </c>
      <c r="H1372">
        <v>3083</v>
      </c>
      <c r="I1372">
        <v>3083</v>
      </c>
      <c r="J1372">
        <v>360600</v>
      </c>
    </row>
    <row r="1373" spans="4:10">
      <c r="D1373" t="s">
        <v>537</v>
      </c>
      <c r="E1373" t="s">
        <v>578</v>
      </c>
      <c r="F1373">
        <v>3084</v>
      </c>
      <c r="G1373">
        <v>3093</v>
      </c>
      <c r="H1373">
        <v>3079</v>
      </c>
      <c r="I1373">
        <v>3091</v>
      </c>
      <c r="J1373">
        <v>454200</v>
      </c>
    </row>
    <row r="1374" spans="4:10">
      <c r="D1374" t="s">
        <v>537</v>
      </c>
      <c r="E1374" t="s">
        <v>579</v>
      </c>
      <c r="F1374">
        <v>3091</v>
      </c>
      <c r="G1374">
        <v>3104</v>
      </c>
      <c r="H1374">
        <v>3091</v>
      </c>
      <c r="I1374">
        <v>3094</v>
      </c>
      <c r="J1374">
        <v>513000</v>
      </c>
    </row>
    <row r="1375" spans="4:10">
      <c r="D1375" t="s">
        <v>537</v>
      </c>
      <c r="E1375" t="s">
        <v>580</v>
      </c>
      <c r="F1375">
        <v>3094</v>
      </c>
      <c r="G1375">
        <v>3098</v>
      </c>
      <c r="H1375">
        <v>3090</v>
      </c>
      <c r="I1375">
        <v>3092</v>
      </c>
      <c r="J1375">
        <v>226800</v>
      </c>
    </row>
    <row r="1376" spans="4:10">
      <c r="D1376" t="s">
        <v>537</v>
      </c>
      <c r="E1376" t="s">
        <v>581</v>
      </c>
      <c r="F1376">
        <v>3092</v>
      </c>
      <c r="G1376">
        <v>3097</v>
      </c>
      <c r="H1376">
        <v>3091</v>
      </c>
      <c r="I1376">
        <v>3096</v>
      </c>
      <c r="J1376">
        <v>210300</v>
      </c>
    </row>
    <row r="1377" spans="4:10">
      <c r="D1377" t="s">
        <v>537</v>
      </c>
      <c r="E1377" t="s">
        <v>582</v>
      </c>
      <c r="F1377">
        <v>3095</v>
      </c>
      <c r="G1377">
        <v>3096</v>
      </c>
      <c r="H1377">
        <v>3093</v>
      </c>
      <c r="I1377">
        <v>3096</v>
      </c>
      <c r="J1377">
        <v>184300</v>
      </c>
    </row>
    <row r="1378" spans="4:10">
      <c r="D1378" t="s">
        <v>537</v>
      </c>
      <c r="E1378" t="s">
        <v>583</v>
      </c>
      <c r="F1378">
        <v>3096</v>
      </c>
      <c r="G1378">
        <v>3098</v>
      </c>
      <c r="H1378">
        <v>3092</v>
      </c>
      <c r="I1378">
        <v>3095</v>
      </c>
      <c r="J1378">
        <v>222900</v>
      </c>
    </row>
    <row r="1379" spans="4:10">
      <c r="D1379" t="s">
        <v>537</v>
      </c>
      <c r="E1379" t="s">
        <v>584</v>
      </c>
      <c r="F1379">
        <v>3095</v>
      </c>
      <c r="G1379">
        <v>3097</v>
      </c>
      <c r="H1379">
        <v>3091</v>
      </c>
      <c r="I1379">
        <v>3096</v>
      </c>
      <c r="J1379">
        <v>200400</v>
      </c>
    </row>
    <row r="1380" spans="4:10">
      <c r="D1380" t="s">
        <v>537</v>
      </c>
      <c r="E1380" t="s">
        <v>585</v>
      </c>
      <c r="F1380">
        <v>3096</v>
      </c>
      <c r="G1380">
        <v>3101</v>
      </c>
      <c r="H1380">
        <v>3095</v>
      </c>
      <c r="I1380">
        <v>3099</v>
      </c>
      <c r="J1380">
        <v>336100</v>
      </c>
    </row>
    <row r="1381" spans="4:10">
      <c r="D1381" t="s">
        <v>537</v>
      </c>
      <c r="E1381" t="s">
        <v>586</v>
      </c>
      <c r="F1381">
        <v>3099</v>
      </c>
      <c r="G1381">
        <v>3102</v>
      </c>
      <c r="H1381">
        <v>3096</v>
      </c>
      <c r="I1381">
        <v>3097</v>
      </c>
      <c r="J1381">
        <v>203400</v>
      </c>
    </row>
    <row r="1382" spans="4:10">
      <c r="D1382" t="s">
        <v>537</v>
      </c>
      <c r="E1382" t="s">
        <v>587</v>
      </c>
      <c r="F1382">
        <v>3097</v>
      </c>
      <c r="G1382">
        <v>3098</v>
      </c>
      <c r="H1382">
        <v>3094</v>
      </c>
      <c r="I1382">
        <v>3096</v>
      </c>
      <c r="J1382">
        <v>140100</v>
      </c>
    </row>
    <row r="1383" spans="4:10">
      <c r="D1383" t="s">
        <v>537</v>
      </c>
      <c r="E1383" t="s">
        <v>588</v>
      </c>
      <c r="F1383">
        <v>3096</v>
      </c>
      <c r="G1383">
        <v>3097</v>
      </c>
      <c r="H1383">
        <v>3094</v>
      </c>
      <c r="I1383">
        <v>3094</v>
      </c>
      <c r="J1383">
        <v>126500</v>
      </c>
    </row>
    <row r="1384" spans="4:10">
      <c r="D1384" t="s">
        <v>537</v>
      </c>
      <c r="E1384" t="s">
        <v>589</v>
      </c>
      <c r="F1384">
        <v>3094</v>
      </c>
      <c r="G1384">
        <v>3095</v>
      </c>
      <c r="H1384">
        <v>3089</v>
      </c>
      <c r="I1384">
        <v>3092</v>
      </c>
      <c r="J1384">
        <v>213300</v>
      </c>
    </row>
    <row r="1385" spans="4:10">
      <c r="D1385" t="s">
        <v>537</v>
      </c>
      <c r="E1385" t="s">
        <v>590</v>
      </c>
      <c r="F1385">
        <v>3092</v>
      </c>
      <c r="G1385">
        <v>3093</v>
      </c>
      <c r="H1385">
        <v>3087</v>
      </c>
      <c r="I1385">
        <v>3087</v>
      </c>
      <c r="J1385">
        <v>197700</v>
      </c>
    </row>
    <row r="1386" spans="4:10">
      <c r="D1386" t="s">
        <v>537</v>
      </c>
      <c r="E1386" t="s">
        <v>591</v>
      </c>
      <c r="F1386">
        <v>3088</v>
      </c>
      <c r="G1386">
        <v>3088</v>
      </c>
      <c r="H1386">
        <v>3082</v>
      </c>
      <c r="I1386">
        <v>3082</v>
      </c>
      <c r="J1386">
        <v>198500</v>
      </c>
    </row>
    <row r="1387" spans="4:10">
      <c r="D1387" t="s">
        <v>537</v>
      </c>
      <c r="E1387" t="s">
        <v>592</v>
      </c>
      <c r="F1387">
        <v>3082</v>
      </c>
      <c r="G1387">
        <v>3082</v>
      </c>
      <c r="H1387">
        <v>3078</v>
      </c>
      <c r="I1387">
        <v>3080</v>
      </c>
      <c r="J1387">
        <v>142300</v>
      </c>
    </row>
    <row r="1388" spans="4:10">
      <c r="D1388" t="s">
        <v>537</v>
      </c>
      <c r="E1388" t="s">
        <v>593</v>
      </c>
      <c r="F1388">
        <v>3079</v>
      </c>
      <c r="G1388">
        <v>3087</v>
      </c>
      <c r="H1388">
        <v>3078</v>
      </c>
      <c r="I1388">
        <v>3084</v>
      </c>
      <c r="J1388">
        <v>162400</v>
      </c>
    </row>
    <row r="1389" spans="4:10">
      <c r="D1389" t="s">
        <v>537</v>
      </c>
      <c r="E1389" t="s">
        <v>594</v>
      </c>
      <c r="F1389">
        <v>3085</v>
      </c>
      <c r="G1389">
        <v>3093</v>
      </c>
      <c r="H1389">
        <v>3085</v>
      </c>
      <c r="I1389">
        <v>3089</v>
      </c>
      <c r="J1389">
        <v>183200</v>
      </c>
    </row>
    <row r="1390" spans="4:10">
      <c r="D1390" t="s">
        <v>537</v>
      </c>
      <c r="E1390" t="s">
        <v>595</v>
      </c>
      <c r="F1390">
        <v>3088</v>
      </c>
      <c r="G1390">
        <v>3090</v>
      </c>
      <c r="H1390">
        <v>3088</v>
      </c>
      <c r="I1390">
        <v>3088</v>
      </c>
      <c r="J1390">
        <v>70300</v>
      </c>
    </row>
    <row r="1391" spans="4:10">
      <c r="D1391" t="s">
        <v>537</v>
      </c>
      <c r="E1391" t="s">
        <v>596</v>
      </c>
      <c r="F1391">
        <v>3089</v>
      </c>
      <c r="G1391">
        <v>3090</v>
      </c>
      <c r="H1391">
        <v>3087</v>
      </c>
      <c r="I1391">
        <v>3089</v>
      </c>
      <c r="J1391">
        <v>97300</v>
      </c>
    </row>
    <row r="1392" spans="4:10">
      <c r="D1392" t="s">
        <v>537</v>
      </c>
      <c r="E1392" t="s">
        <v>597</v>
      </c>
      <c r="F1392">
        <v>3089</v>
      </c>
      <c r="G1392">
        <v>3091</v>
      </c>
      <c r="H1392">
        <v>3088</v>
      </c>
      <c r="I1392">
        <v>3090</v>
      </c>
      <c r="J1392">
        <v>109700</v>
      </c>
    </row>
    <row r="1393" spans="4:10">
      <c r="D1393" t="s">
        <v>537</v>
      </c>
      <c r="E1393" t="s">
        <v>598</v>
      </c>
      <c r="F1393">
        <v>3089</v>
      </c>
      <c r="G1393">
        <v>3093</v>
      </c>
      <c r="H1393">
        <v>3088</v>
      </c>
      <c r="I1393">
        <v>3090</v>
      </c>
      <c r="J1393">
        <v>170500</v>
      </c>
    </row>
    <row r="1394" spans="4:10">
      <c r="D1394" t="s">
        <v>537</v>
      </c>
      <c r="E1394" t="s">
        <v>599</v>
      </c>
      <c r="F1394">
        <v>3090</v>
      </c>
      <c r="G1394">
        <v>3091</v>
      </c>
      <c r="H1394">
        <v>3087</v>
      </c>
      <c r="I1394">
        <v>3089</v>
      </c>
      <c r="J1394">
        <v>78300</v>
      </c>
    </row>
    <row r="1395" spans="4:10">
      <c r="D1395" t="s">
        <v>537</v>
      </c>
      <c r="E1395" t="s">
        <v>600</v>
      </c>
      <c r="F1395">
        <v>3089</v>
      </c>
      <c r="G1395">
        <v>3090</v>
      </c>
      <c r="H1395">
        <v>3086</v>
      </c>
      <c r="I1395">
        <v>3088</v>
      </c>
      <c r="J1395">
        <v>83200</v>
      </c>
    </row>
    <row r="1396" spans="4:10">
      <c r="D1396" t="s">
        <v>537</v>
      </c>
      <c r="E1396" t="s">
        <v>601</v>
      </c>
      <c r="F1396">
        <v>3087</v>
      </c>
      <c r="G1396">
        <v>3088</v>
      </c>
      <c r="H1396">
        <v>3083</v>
      </c>
      <c r="I1396">
        <v>3083</v>
      </c>
      <c r="J1396">
        <v>94500</v>
      </c>
    </row>
    <row r="1397" spans="4:10">
      <c r="D1397" t="s">
        <v>537</v>
      </c>
      <c r="E1397" t="s">
        <v>602</v>
      </c>
      <c r="F1397">
        <v>3083</v>
      </c>
      <c r="G1397">
        <v>3088</v>
      </c>
      <c r="H1397">
        <v>3082</v>
      </c>
      <c r="I1397">
        <v>3088</v>
      </c>
      <c r="J1397">
        <v>155600</v>
      </c>
    </row>
    <row r="1398" spans="4:10">
      <c r="D1398" t="s">
        <v>537</v>
      </c>
      <c r="E1398" t="s">
        <v>603</v>
      </c>
      <c r="F1398">
        <v>3088</v>
      </c>
      <c r="G1398">
        <v>3091</v>
      </c>
      <c r="H1398">
        <v>3087</v>
      </c>
      <c r="I1398">
        <v>3090</v>
      </c>
      <c r="J1398">
        <v>174400</v>
      </c>
    </row>
    <row r="1399" spans="4:10">
      <c r="D1399" t="s">
        <v>537</v>
      </c>
      <c r="E1399" t="s">
        <v>604</v>
      </c>
      <c r="F1399">
        <v>3090</v>
      </c>
      <c r="G1399">
        <v>3090</v>
      </c>
      <c r="H1399">
        <v>3090</v>
      </c>
      <c r="I1399">
        <v>3090</v>
      </c>
      <c r="J1399">
        <v>15400</v>
      </c>
    </row>
    <row r="1400" spans="4:10">
      <c r="D1400" t="s">
        <v>537</v>
      </c>
      <c r="E1400" t="s">
        <v>605</v>
      </c>
      <c r="F1400">
        <v>3090</v>
      </c>
      <c r="G1400">
        <v>3093</v>
      </c>
      <c r="H1400">
        <v>3085</v>
      </c>
      <c r="I1400">
        <v>3088</v>
      </c>
      <c r="J1400">
        <v>712200</v>
      </c>
    </row>
    <row r="1401" spans="4:10">
      <c r="D1401" t="s">
        <v>537</v>
      </c>
      <c r="E1401" t="s">
        <v>606</v>
      </c>
      <c r="F1401">
        <v>3088</v>
      </c>
      <c r="G1401">
        <v>3089</v>
      </c>
      <c r="H1401">
        <v>3084</v>
      </c>
      <c r="I1401">
        <v>3084</v>
      </c>
      <c r="J1401">
        <v>114800</v>
      </c>
    </row>
    <row r="1402" spans="4:10">
      <c r="D1402" t="s">
        <v>537</v>
      </c>
      <c r="E1402" t="s">
        <v>538</v>
      </c>
      <c r="F1402">
        <v>3084</v>
      </c>
      <c r="G1402">
        <v>3086</v>
      </c>
      <c r="H1402">
        <v>3082</v>
      </c>
      <c r="I1402">
        <v>3085</v>
      </c>
      <c r="J1402">
        <v>119800</v>
      </c>
    </row>
    <row r="1403" spans="4:10">
      <c r="D1403" t="s">
        <v>537</v>
      </c>
      <c r="E1403" t="s">
        <v>539</v>
      </c>
      <c r="F1403">
        <v>3085</v>
      </c>
      <c r="G1403">
        <v>3086</v>
      </c>
      <c r="H1403">
        <v>3084</v>
      </c>
      <c r="I1403">
        <v>3085</v>
      </c>
      <c r="J1403">
        <v>163900</v>
      </c>
    </row>
    <row r="1404" spans="4:10">
      <c r="D1404" t="s">
        <v>537</v>
      </c>
      <c r="E1404" t="s">
        <v>540</v>
      </c>
      <c r="F1404">
        <v>3084</v>
      </c>
      <c r="G1404">
        <v>3085</v>
      </c>
      <c r="H1404">
        <v>3080</v>
      </c>
      <c r="I1404">
        <v>3081</v>
      </c>
      <c r="J1404">
        <v>152200</v>
      </c>
    </row>
    <row r="1405" spans="4:10">
      <c r="D1405" t="s">
        <v>537</v>
      </c>
      <c r="E1405" t="s">
        <v>541</v>
      </c>
      <c r="F1405">
        <v>3081</v>
      </c>
      <c r="G1405">
        <v>3082</v>
      </c>
      <c r="H1405">
        <v>3079</v>
      </c>
      <c r="I1405">
        <v>3080</v>
      </c>
      <c r="J1405">
        <v>82400</v>
      </c>
    </row>
    <row r="1406" spans="4:10">
      <c r="D1406" t="s">
        <v>537</v>
      </c>
      <c r="E1406" t="s">
        <v>542</v>
      </c>
      <c r="F1406">
        <v>3080</v>
      </c>
      <c r="G1406">
        <v>3086</v>
      </c>
      <c r="H1406">
        <v>3080</v>
      </c>
      <c r="I1406">
        <v>3084</v>
      </c>
      <c r="J1406">
        <v>193100</v>
      </c>
    </row>
    <row r="1407" spans="4:10">
      <c r="D1407" t="s">
        <v>537</v>
      </c>
      <c r="E1407" t="s">
        <v>543</v>
      </c>
      <c r="F1407">
        <v>3084</v>
      </c>
      <c r="G1407">
        <v>3085</v>
      </c>
      <c r="H1407">
        <v>3082</v>
      </c>
      <c r="I1407">
        <v>3084</v>
      </c>
      <c r="J1407">
        <v>68800</v>
      </c>
    </row>
    <row r="1408" spans="4:10">
      <c r="D1408" t="s">
        <v>537</v>
      </c>
      <c r="E1408" t="s">
        <v>544</v>
      </c>
      <c r="F1408">
        <v>3084</v>
      </c>
      <c r="G1408">
        <v>3086</v>
      </c>
      <c r="H1408">
        <v>3083</v>
      </c>
      <c r="I1408">
        <v>3084</v>
      </c>
      <c r="J1408">
        <v>111000</v>
      </c>
    </row>
    <row r="1409" spans="4:10">
      <c r="D1409" t="s">
        <v>537</v>
      </c>
      <c r="E1409" t="s">
        <v>545</v>
      </c>
      <c r="F1409">
        <v>3083</v>
      </c>
      <c r="G1409">
        <v>3085</v>
      </c>
      <c r="H1409">
        <v>3082</v>
      </c>
      <c r="I1409">
        <v>3083</v>
      </c>
      <c r="J1409">
        <v>84000</v>
      </c>
    </row>
    <row r="1410" spans="4:10">
      <c r="D1410" t="s">
        <v>537</v>
      </c>
      <c r="E1410" t="s">
        <v>546</v>
      </c>
      <c r="F1410">
        <v>3082</v>
      </c>
      <c r="G1410">
        <v>3083</v>
      </c>
      <c r="H1410">
        <v>3080</v>
      </c>
      <c r="I1410">
        <v>3081</v>
      </c>
      <c r="J1410">
        <v>106800</v>
      </c>
    </row>
    <row r="1411" spans="4:10">
      <c r="D1411" t="s">
        <v>537</v>
      </c>
      <c r="E1411" t="s">
        <v>547</v>
      </c>
      <c r="F1411">
        <v>3082</v>
      </c>
      <c r="G1411">
        <v>3086</v>
      </c>
      <c r="H1411">
        <v>3081</v>
      </c>
      <c r="I1411">
        <v>3085</v>
      </c>
      <c r="J1411">
        <v>179600</v>
      </c>
    </row>
    <row r="1412" spans="4:10">
      <c r="D1412" t="s">
        <v>537</v>
      </c>
      <c r="E1412" t="s">
        <v>548</v>
      </c>
      <c r="F1412">
        <v>3085</v>
      </c>
      <c r="G1412">
        <v>3086</v>
      </c>
      <c r="H1412">
        <v>3082</v>
      </c>
      <c r="I1412">
        <v>3083</v>
      </c>
      <c r="J1412">
        <v>87500</v>
      </c>
    </row>
    <row r="1413" spans="4:10">
      <c r="D1413" t="s">
        <v>537</v>
      </c>
      <c r="E1413" t="s">
        <v>549</v>
      </c>
      <c r="F1413">
        <v>3082</v>
      </c>
      <c r="G1413">
        <v>3083</v>
      </c>
      <c r="H1413">
        <v>3081</v>
      </c>
      <c r="I1413">
        <v>3083</v>
      </c>
      <c r="J1413">
        <v>72100</v>
      </c>
    </row>
    <row r="1414" spans="4:10">
      <c r="D1414" t="s">
        <v>537</v>
      </c>
      <c r="E1414" t="s">
        <v>550</v>
      </c>
      <c r="F1414">
        <v>3083</v>
      </c>
      <c r="G1414">
        <v>3083</v>
      </c>
      <c r="H1414">
        <v>3080</v>
      </c>
      <c r="I1414">
        <v>3081</v>
      </c>
      <c r="J1414">
        <v>43600</v>
      </c>
    </row>
    <row r="1415" spans="4:10">
      <c r="D1415" t="s">
        <v>537</v>
      </c>
      <c r="E1415" t="s">
        <v>551</v>
      </c>
      <c r="F1415">
        <v>3081</v>
      </c>
      <c r="G1415">
        <v>3082</v>
      </c>
      <c r="H1415">
        <v>3080</v>
      </c>
      <c r="I1415">
        <v>3082</v>
      </c>
      <c r="J1415">
        <v>47500</v>
      </c>
    </row>
    <row r="1416" spans="4:10">
      <c r="D1416" t="s">
        <v>537</v>
      </c>
      <c r="E1416" t="s">
        <v>552</v>
      </c>
      <c r="F1416">
        <v>3082</v>
      </c>
      <c r="G1416">
        <v>3084</v>
      </c>
      <c r="H1416">
        <v>3081</v>
      </c>
      <c r="I1416">
        <v>3084</v>
      </c>
      <c r="J1416">
        <v>51400</v>
      </c>
    </row>
    <row r="1417" spans="4:10">
      <c r="D1417" t="s">
        <v>537</v>
      </c>
      <c r="E1417" t="s">
        <v>553</v>
      </c>
      <c r="F1417">
        <v>3084</v>
      </c>
      <c r="G1417">
        <v>3086</v>
      </c>
      <c r="H1417">
        <v>3083</v>
      </c>
      <c r="I1417">
        <v>3085</v>
      </c>
      <c r="J1417">
        <v>144600</v>
      </c>
    </row>
    <row r="1418" spans="4:10">
      <c r="D1418" t="s">
        <v>537</v>
      </c>
      <c r="E1418" t="s">
        <v>554</v>
      </c>
      <c r="F1418">
        <v>3085</v>
      </c>
      <c r="G1418">
        <v>3089</v>
      </c>
      <c r="H1418">
        <v>3085</v>
      </c>
      <c r="I1418">
        <v>3088</v>
      </c>
      <c r="J1418">
        <v>177400</v>
      </c>
    </row>
    <row r="1419" spans="4:10">
      <c r="D1419" t="s">
        <v>537</v>
      </c>
      <c r="E1419" t="s">
        <v>555</v>
      </c>
      <c r="F1419">
        <v>3088</v>
      </c>
      <c r="G1419">
        <v>3089</v>
      </c>
      <c r="H1419">
        <v>3086</v>
      </c>
      <c r="I1419">
        <v>3087</v>
      </c>
      <c r="J1419">
        <v>129000</v>
      </c>
    </row>
    <row r="1420" spans="4:10">
      <c r="D1420" t="s">
        <v>537</v>
      </c>
      <c r="E1420" t="s">
        <v>556</v>
      </c>
      <c r="F1420">
        <v>3086</v>
      </c>
      <c r="G1420">
        <v>3087</v>
      </c>
      <c r="H1420">
        <v>3085</v>
      </c>
      <c r="I1420">
        <v>3085</v>
      </c>
      <c r="J1420">
        <v>96200</v>
      </c>
    </row>
    <row r="1421" spans="4:10">
      <c r="D1421" t="s">
        <v>537</v>
      </c>
      <c r="E1421" t="s">
        <v>557</v>
      </c>
      <c r="F1421">
        <v>3086</v>
      </c>
      <c r="G1421">
        <v>3088</v>
      </c>
      <c r="H1421">
        <v>3085</v>
      </c>
      <c r="I1421">
        <v>3085</v>
      </c>
      <c r="J1421">
        <v>161800</v>
      </c>
    </row>
    <row r="1422" spans="4:10">
      <c r="D1422" t="s">
        <v>537</v>
      </c>
      <c r="E1422" t="s">
        <v>558</v>
      </c>
      <c r="F1422">
        <v>3085</v>
      </c>
      <c r="G1422">
        <v>3085</v>
      </c>
      <c r="H1422">
        <v>3083</v>
      </c>
      <c r="I1422">
        <v>3084</v>
      </c>
      <c r="J1422">
        <v>126400</v>
      </c>
    </row>
    <row r="1423" spans="4:10">
      <c r="D1423" t="s">
        <v>537</v>
      </c>
      <c r="E1423" t="s">
        <v>559</v>
      </c>
      <c r="F1423">
        <v>3084</v>
      </c>
      <c r="G1423">
        <v>3085</v>
      </c>
      <c r="H1423">
        <v>3083</v>
      </c>
      <c r="I1423">
        <v>3084</v>
      </c>
      <c r="J1423">
        <v>93800</v>
      </c>
    </row>
    <row r="1424" spans="4:10">
      <c r="D1424" t="s">
        <v>537</v>
      </c>
      <c r="E1424" t="s">
        <v>560</v>
      </c>
      <c r="F1424">
        <v>3084</v>
      </c>
      <c r="G1424">
        <v>3085</v>
      </c>
      <c r="H1424">
        <v>3081</v>
      </c>
      <c r="I1424">
        <v>3081</v>
      </c>
      <c r="J1424">
        <v>207000</v>
      </c>
    </row>
    <row r="1425" spans="4:10">
      <c r="D1425" t="s">
        <v>537</v>
      </c>
      <c r="E1425" t="s">
        <v>561</v>
      </c>
      <c r="F1425">
        <v>3082</v>
      </c>
      <c r="G1425">
        <v>3083</v>
      </c>
      <c r="H1425">
        <v>3081</v>
      </c>
      <c r="I1425">
        <v>3082</v>
      </c>
      <c r="J1425">
        <v>145200</v>
      </c>
    </row>
    <row r="1426" spans="4:10">
      <c r="D1426" t="s">
        <v>537</v>
      </c>
      <c r="E1426" t="s">
        <v>562</v>
      </c>
      <c r="F1426">
        <v>3082</v>
      </c>
      <c r="G1426">
        <v>3083</v>
      </c>
      <c r="H1426">
        <v>3080</v>
      </c>
      <c r="I1426">
        <v>3082</v>
      </c>
      <c r="J1426">
        <v>139200</v>
      </c>
    </row>
    <row r="1427" spans="4:10">
      <c r="D1427" t="s">
        <v>537</v>
      </c>
      <c r="E1427" t="s">
        <v>563</v>
      </c>
      <c r="F1427">
        <v>3082</v>
      </c>
      <c r="G1427">
        <v>3082</v>
      </c>
      <c r="H1427">
        <v>3080</v>
      </c>
      <c r="I1427">
        <v>3081</v>
      </c>
      <c r="J1427">
        <v>119300</v>
      </c>
    </row>
    <row r="1428" spans="4:10">
      <c r="D1428" t="s">
        <v>537</v>
      </c>
      <c r="E1428" t="s">
        <v>564</v>
      </c>
      <c r="F1428">
        <v>3080</v>
      </c>
      <c r="G1428">
        <v>3081</v>
      </c>
      <c r="H1428">
        <v>3076</v>
      </c>
      <c r="I1428">
        <v>3076</v>
      </c>
      <c r="J1428">
        <v>384300</v>
      </c>
    </row>
    <row r="1429" spans="4:10">
      <c r="D1429" t="s">
        <v>537</v>
      </c>
      <c r="E1429" t="s">
        <v>565</v>
      </c>
      <c r="F1429">
        <v>3077</v>
      </c>
      <c r="G1429">
        <v>3077</v>
      </c>
      <c r="H1429">
        <v>3073</v>
      </c>
      <c r="I1429">
        <v>3076</v>
      </c>
      <c r="J1429">
        <v>233700</v>
      </c>
    </row>
    <row r="1430" spans="4:10">
      <c r="D1430" t="s">
        <v>537</v>
      </c>
      <c r="E1430" t="s">
        <v>566</v>
      </c>
      <c r="F1430">
        <v>3076</v>
      </c>
      <c r="G1430">
        <v>3077</v>
      </c>
      <c r="H1430">
        <v>3074</v>
      </c>
      <c r="I1430">
        <v>3077</v>
      </c>
      <c r="J1430">
        <v>135400</v>
      </c>
    </row>
    <row r="1431" spans="4:10">
      <c r="D1431" t="s">
        <v>537</v>
      </c>
      <c r="E1431" t="s">
        <v>567</v>
      </c>
      <c r="F1431">
        <v>3077</v>
      </c>
      <c r="G1431">
        <v>3077</v>
      </c>
      <c r="H1431">
        <v>3073</v>
      </c>
      <c r="I1431">
        <v>3073</v>
      </c>
      <c r="J1431">
        <v>200300</v>
      </c>
    </row>
    <row r="1432" spans="4:10">
      <c r="D1432" t="s">
        <v>537</v>
      </c>
      <c r="E1432" t="s">
        <v>568</v>
      </c>
      <c r="F1432">
        <v>3073</v>
      </c>
      <c r="G1432">
        <v>3075</v>
      </c>
      <c r="H1432">
        <v>3072</v>
      </c>
      <c r="I1432">
        <v>3073</v>
      </c>
      <c r="J1432">
        <v>149000</v>
      </c>
    </row>
    <row r="1433" spans="4:10">
      <c r="D1433" t="s">
        <v>537</v>
      </c>
      <c r="E1433" t="s">
        <v>569</v>
      </c>
      <c r="F1433">
        <v>3074</v>
      </c>
      <c r="G1433">
        <v>3074</v>
      </c>
      <c r="H1433">
        <v>3071</v>
      </c>
      <c r="I1433">
        <v>3074</v>
      </c>
      <c r="J1433">
        <v>265300</v>
      </c>
    </row>
    <row r="1434" spans="4:10">
      <c r="D1434" t="s">
        <v>537</v>
      </c>
      <c r="E1434" t="s">
        <v>570</v>
      </c>
      <c r="F1434">
        <v>3073</v>
      </c>
      <c r="G1434">
        <v>3075</v>
      </c>
      <c r="H1434">
        <v>3072</v>
      </c>
      <c r="I1434">
        <v>3074</v>
      </c>
      <c r="J1434">
        <v>339300</v>
      </c>
    </row>
    <row r="1435" spans="4:10">
      <c r="D1435" t="s">
        <v>537</v>
      </c>
      <c r="E1435" t="s">
        <v>571</v>
      </c>
      <c r="F1435" t="s">
        <v>35</v>
      </c>
      <c r="G1435" t="s">
        <v>35</v>
      </c>
      <c r="H1435" t="s">
        <v>35</v>
      </c>
      <c r="I1435" t="s">
        <v>35</v>
      </c>
      <c r="J1435">
        <v>0</v>
      </c>
    </row>
    <row r="1436" spans="4:10">
      <c r="D1436" t="s">
        <v>537</v>
      </c>
      <c r="E1436" t="s">
        <v>572</v>
      </c>
      <c r="F1436">
        <v>3070</v>
      </c>
      <c r="G1436">
        <v>3070</v>
      </c>
      <c r="H1436">
        <v>3070</v>
      </c>
      <c r="I1436">
        <v>3070</v>
      </c>
      <c r="J1436">
        <v>4233100</v>
      </c>
    </row>
    <row r="1437" spans="4:10">
      <c r="D1437" t="s">
        <v>573</v>
      </c>
      <c r="E1437" t="s">
        <v>574</v>
      </c>
      <c r="F1437">
        <v>3104</v>
      </c>
      <c r="G1437">
        <v>3120</v>
      </c>
      <c r="H1437">
        <v>3076</v>
      </c>
      <c r="I1437">
        <v>3089</v>
      </c>
      <c r="J1437">
        <v>3060300</v>
      </c>
    </row>
    <row r="1438" spans="4:10">
      <c r="D1438" t="s">
        <v>573</v>
      </c>
      <c r="E1438" t="s">
        <v>575</v>
      </c>
      <c r="F1438">
        <v>3089</v>
      </c>
      <c r="G1438">
        <v>3092</v>
      </c>
      <c r="H1438">
        <v>3075</v>
      </c>
      <c r="I1438">
        <v>3083</v>
      </c>
      <c r="J1438">
        <v>700400</v>
      </c>
    </row>
    <row r="1439" spans="4:10">
      <c r="D1439" t="s">
        <v>573</v>
      </c>
      <c r="E1439" t="s">
        <v>576</v>
      </c>
      <c r="F1439">
        <v>3084</v>
      </c>
      <c r="G1439">
        <v>3094</v>
      </c>
      <c r="H1439">
        <v>3080</v>
      </c>
      <c r="I1439">
        <v>3086</v>
      </c>
      <c r="J1439">
        <v>485700</v>
      </c>
    </row>
    <row r="1440" spans="4:10">
      <c r="D1440" t="s">
        <v>573</v>
      </c>
      <c r="E1440" t="s">
        <v>577</v>
      </c>
      <c r="F1440">
        <v>3086</v>
      </c>
      <c r="G1440">
        <v>3091</v>
      </c>
      <c r="H1440">
        <v>3076</v>
      </c>
      <c r="I1440">
        <v>3088</v>
      </c>
      <c r="J1440">
        <v>445200</v>
      </c>
    </row>
    <row r="1441" spans="4:10">
      <c r="D1441" t="s">
        <v>573</v>
      </c>
      <c r="E1441" t="s">
        <v>578</v>
      </c>
      <c r="F1441">
        <v>3088</v>
      </c>
      <c r="G1441">
        <v>3095</v>
      </c>
      <c r="H1441">
        <v>3087</v>
      </c>
      <c r="I1441">
        <v>3095</v>
      </c>
      <c r="J1441">
        <v>268700</v>
      </c>
    </row>
    <row r="1442" spans="4:10">
      <c r="D1442" t="s">
        <v>573</v>
      </c>
      <c r="E1442" t="s">
        <v>579</v>
      </c>
      <c r="F1442">
        <v>3095</v>
      </c>
      <c r="G1442">
        <v>3099</v>
      </c>
      <c r="H1442">
        <v>3092</v>
      </c>
      <c r="I1442">
        <v>3094</v>
      </c>
      <c r="J1442">
        <v>234900</v>
      </c>
    </row>
    <row r="1443" spans="4:10">
      <c r="D1443" t="s">
        <v>573</v>
      </c>
      <c r="E1443" t="s">
        <v>580</v>
      </c>
      <c r="F1443">
        <v>3095</v>
      </c>
      <c r="G1443">
        <v>3100</v>
      </c>
      <c r="H1443">
        <v>3089</v>
      </c>
      <c r="I1443">
        <v>3092</v>
      </c>
      <c r="J1443">
        <v>207000</v>
      </c>
    </row>
    <row r="1444" spans="4:10">
      <c r="D1444" t="s">
        <v>573</v>
      </c>
      <c r="E1444" t="s">
        <v>581</v>
      </c>
      <c r="F1444">
        <v>3091</v>
      </c>
      <c r="G1444">
        <v>3094</v>
      </c>
      <c r="H1444">
        <v>3089</v>
      </c>
      <c r="I1444">
        <v>3090</v>
      </c>
      <c r="J1444">
        <v>166400</v>
      </c>
    </row>
    <row r="1445" spans="4:10">
      <c r="D1445" t="s">
        <v>573</v>
      </c>
      <c r="E1445" t="s">
        <v>582</v>
      </c>
      <c r="F1445">
        <v>3089</v>
      </c>
      <c r="G1445">
        <v>3093</v>
      </c>
      <c r="H1445">
        <v>3088</v>
      </c>
      <c r="I1445">
        <v>3092</v>
      </c>
      <c r="J1445">
        <v>123000</v>
      </c>
    </row>
    <row r="1446" spans="4:10">
      <c r="D1446" t="s">
        <v>573</v>
      </c>
      <c r="E1446" t="s">
        <v>583</v>
      </c>
      <c r="F1446">
        <v>3093</v>
      </c>
      <c r="G1446">
        <v>3097</v>
      </c>
      <c r="H1446">
        <v>3090</v>
      </c>
      <c r="I1446">
        <v>3096</v>
      </c>
      <c r="J1446">
        <v>193900</v>
      </c>
    </row>
    <row r="1447" spans="4:10">
      <c r="D1447" t="s">
        <v>573</v>
      </c>
      <c r="E1447" t="s">
        <v>584</v>
      </c>
      <c r="F1447">
        <v>3096</v>
      </c>
      <c r="G1447">
        <v>3103</v>
      </c>
      <c r="H1447">
        <v>3095</v>
      </c>
      <c r="I1447">
        <v>3103</v>
      </c>
      <c r="J1447">
        <v>308400</v>
      </c>
    </row>
    <row r="1448" spans="4:10">
      <c r="D1448" t="s">
        <v>573</v>
      </c>
      <c r="E1448" t="s">
        <v>585</v>
      </c>
      <c r="F1448">
        <v>3103</v>
      </c>
      <c r="G1448">
        <v>3103</v>
      </c>
      <c r="H1448">
        <v>3082</v>
      </c>
      <c r="I1448">
        <v>3082</v>
      </c>
      <c r="J1448">
        <v>296900</v>
      </c>
    </row>
    <row r="1449" spans="4:10">
      <c r="D1449" t="s">
        <v>573</v>
      </c>
      <c r="E1449" t="s">
        <v>586</v>
      </c>
      <c r="F1449">
        <v>3082</v>
      </c>
      <c r="G1449">
        <v>3086</v>
      </c>
      <c r="H1449">
        <v>3078</v>
      </c>
      <c r="I1449">
        <v>3082</v>
      </c>
      <c r="J1449">
        <v>363600</v>
      </c>
    </row>
    <row r="1450" spans="4:10">
      <c r="D1450" t="s">
        <v>573</v>
      </c>
      <c r="E1450" t="s">
        <v>587</v>
      </c>
      <c r="F1450">
        <v>3082</v>
      </c>
      <c r="G1450">
        <v>3082</v>
      </c>
      <c r="H1450">
        <v>3077</v>
      </c>
      <c r="I1450">
        <v>3081</v>
      </c>
      <c r="J1450">
        <v>133600</v>
      </c>
    </row>
    <row r="1451" spans="4:10">
      <c r="D1451" t="s">
        <v>573</v>
      </c>
      <c r="E1451" t="s">
        <v>588</v>
      </c>
      <c r="F1451">
        <v>3080</v>
      </c>
      <c r="G1451">
        <v>3089</v>
      </c>
      <c r="H1451">
        <v>3080</v>
      </c>
      <c r="I1451">
        <v>3088</v>
      </c>
      <c r="J1451">
        <v>199500</v>
      </c>
    </row>
    <row r="1452" spans="4:10">
      <c r="D1452" t="s">
        <v>573</v>
      </c>
      <c r="E1452" t="s">
        <v>589</v>
      </c>
      <c r="F1452">
        <v>3089</v>
      </c>
      <c r="G1452">
        <v>3090</v>
      </c>
      <c r="H1452">
        <v>3086</v>
      </c>
      <c r="I1452">
        <v>3087</v>
      </c>
      <c r="J1452">
        <v>110900</v>
      </c>
    </row>
    <row r="1453" spans="4:10">
      <c r="D1453" t="s">
        <v>573</v>
      </c>
      <c r="E1453" t="s">
        <v>590</v>
      </c>
      <c r="F1453">
        <v>3087</v>
      </c>
      <c r="G1453">
        <v>3090</v>
      </c>
      <c r="H1453">
        <v>3084</v>
      </c>
      <c r="I1453">
        <v>3086</v>
      </c>
      <c r="J1453">
        <v>115300</v>
      </c>
    </row>
    <row r="1454" spans="4:10">
      <c r="D1454" t="s">
        <v>573</v>
      </c>
      <c r="E1454" t="s">
        <v>591</v>
      </c>
      <c r="F1454">
        <v>3086</v>
      </c>
      <c r="G1454">
        <v>3091</v>
      </c>
      <c r="H1454">
        <v>3085</v>
      </c>
      <c r="I1454">
        <v>3090</v>
      </c>
      <c r="J1454">
        <v>116300</v>
      </c>
    </row>
    <row r="1455" spans="4:10">
      <c r="D1455" t="s">
        <v>573</v>
      </c>
      <c r="E1455" t="s">
        <v>592</v>
      </c>
      <c r="F1455">
        <v>3089</v>
      </c>
      <c r="G1455">
        <v>3090</v>
      </c>
      <c r="H1455">
        <v>3085</v>
      </c>
      <c r="I1455">
        <v>3086</v>
      </c>
      <c r="J1455">
        <v>114300</v>
      </c>
    </row>
    <row r="1456" spans="4:10">
      <c r="D1456" t="s">
        <v>573</v>
      </c>
      <c r="E1456" t="s">
        <v>593</v>
      </c>
      <c r="F1456">
        <v>3085</v>
      </c>
      <c r="G1456">
        <v>3086</v>
      </c>
      <c r="H1456">
        <v>3082</v>
      </c>
      <c r="I1456">
        <v>3083</v>
      </c>
      <c r="J1456">
        <v>142200</v>
      </c>
    </row>
    <row r="1457" spans="4:10">
      <c r="D1457" t="s">
        <v>573</v>
      </c>
      <c r="E1457" t="s">
        <v>594</v>
      </c>
      <c r="F1457">
        <v>3083</v>
      </c>
      <c r="G1457">
        <v>3085</v>
      </c>
      <c r="H1457">
        <v>3080</v>
      </c>
      <c r="I1457">
        <v>3081</v>
      </c>
      <c r="J1457">
        <v>126200</v>
      </c>
    </row>
    <row r="1458" spans="4:10">
      <c r="D1458" t="s">
        <v>573</v>
      </c>
      <c r="E1458" t="s">
        <v>595</v>
      </c>
      <c r="F1458">
        <v>3080</v>
      </c>
      <c r="G1458">
        <v>3081</v>
      </c>
      <c r="H1458">
        <v>3074</v>
      </c>
      <c r="I1458">
        <v>3076</v>
      </c>
      <c r="J1458">
        <v>233800</v>
      </c>
    </row>
    <row r="1459" spans="4:10">
      <c r="D1459" t="s">
        <v>573</v>
      </c>
      <c r="E1459" t="s">
        <v>596</v>
      </c>
      <c r="F1459">
        <v>3077</v>
      </c>
      <c r="G1459">
        <v>3077</v>
      </c>
      <c r="H1459">
        <v>3073</v>
      </c>
      <c r="I1459">
        <v>3076</v>
      </c>
      <c r="J1459">
        <v>149500</v>
      </c>
    </row>
    <row r="1460" spans="4:10">
      <c r="D1460" t="s">
        <v>573</v>
      </c>
      <c r="E1460" t="s">
        <v>597</v>
      </c>
      <c r="F1460">
        <v>3075</v>
      </c>
      <c r="G1460">
        <v>3076</v>
      </c>
      <c r="H1460">
        <v>3073</v>
      </c>
      <c r="I1460">
        <v>3075</v>
      </c>
      <c r="J1460">
        <v>102100</v>
      </c>
    </row>
    <row r="1461" spans="4:10">
      <c r="D1461" t="s">
        <v>573</v>
      </c>
      <c r="E1461" t="s">
        <v>598</v>
      </c>
      <c r="F1461">
        <v>3074</v>
      </c>
      <c r="G1461">
        <v>3075</v>
      </c>
      <c r="H1461">
        <v>3070</v>
      </c>
      <c r="I1461">
        <v>3072</v>
      </c>
      <c r="J1461">
        <v>138900</v>
      </c>
    </row>
    <row r="1462" spans="4:10">
      <c r="D1462" t="s">
        <v>573</v>
      </c>
      <c r="E1462" t="s">
        <v>599</v>
      </c>
      <c r="F1462">
        <v>3072</v>
      </c>
      <c r="G1462">
        <v>3074</v>
      </c>
      <c r="H1462">
        <v>3070</v>
      </c>
      <c r="I1462">
        <v>3071</v>
      </c>
      <c r="J1462">
        <v>87900</v>
      </c>
    </row>
    <row r="1463" spans="4:10">
      <c r="D1463" t="s">
        <v>573</v>
      </c>
      <c r="E1463" t="s">
        <v>600</v>
      </c>
      <c r="F1463">
        <v>3071</v>
      </c>
      <c r="G1463">
        <v>3073</v>
      </c>
      <c r="H1463">
        <v>3068</v>
      </c>
      <c r="I1463">
        <v>3070</v>
      </c>
      <c r="J1463">
        <v>305700</v>
      </c>
    </row>
    <row r="1464" spans="4:10">
      <c r="D1464" t="s">
        <v>573</v>
      </c>
      <c r="E1464" t="s">
        <v>601</v>
      </c>
      <c r="F1464">
        <v>3071</v>
      </c>
      <c r="G1464">
        <v>3071</v>
      </c>
      <c r="H1464">
        <v>3068</v>
      </c>
      <c r="I1464">
        <v>3070</v>
      </c>
      <c r="J1464">
        <v>145700</v>
      </c>
    </row>
    <row r="1465" spans="4:10">
      <c r="D1465" t="s">
        <v>573</v>
      </c>
      <c r="E1465" t="s">
        <v>602</v>
      </c>
      <c r="F1465">
        <v>3071</v>
      </c>
      <c r="G1465">
        <v>3075</v>
      </c>
      <c r="H1465">
        <v>3070</v>
      </c>
      <c r="I1465">
        <v>3074</v>
      </c>
      <c r="J1465">
        <v>116900</v>
      </c>
    </row>
    <row r="1466" spans="4:10">
      <c r="D1466" t="s">
        <v>573</v>
      </c>
      <c r="E1466" t="s">
        <v>603</v>
      </c>
      <c r="F1466">
        <v>3073</v>
      </c>
      <c r="G1466">
        <v>3074</v>
      </c>
      <c r="H1466">
        <v>3068</v>
      </c>
      <c r="I1466">
        <v>3068</v>
      </c>
      <c r="J1466">
        <v>194200</v>
      </c>
    </row>
    <row r="1467" spans="4:10">
      <c r="D1467" t="s">
        <v>573</v>
      </c>
      <c r="E1467" t="s">
        <v>604</v>
      </c>
      <c r="F1467">
        <v>3069</v>
      </c>
      <c r="G1467">
        <v>3069</v>
      </c>
      <c r="H1467">
        <v>3069</v>
      </c>
      <c r="I1467">
        <v>3069</v>
      </c>
      <c r="J1467">
        <v>28800</v>
      </c>
    </row>
    <row r="1468" spans="4:10">
      <c r="D1468" t="s">
        <v>573</v>
      </c>
      <c r="E1468" t="s">
        <v>605</v>
      </c>
      <c r="F1468">
        <v>3070</v>
      </c>
      <c r="G1468">
        <v>3078</v>
      </c>
      <c r="H1468">
        <v>3064</v>
      </c>
      <c r="I1468">
        <v>3076</v>
      </c>
      <c r="J1468">
        <v>594400</v>
      </c>
    </row>
    <row r="1469" spans="4:10">
      <c r="D1469" t="s">
        <v>573</v>
      </c>
      <c r="E1469" t="s">
        <v>606</v>
      </c>
      <c r="F1469">
        <v>3077</v>
      </c>
      <c r="G1469">
        <v>3080</v>
      </c>
      <c r="H1469">
        <v>3077</v>
      </c>
      <c r="I1469">
        <v>3079</v>
      </c>
      <c r="J1469">
        <v>210300</v>
      </c>
    </row>
    <row r="1470" spans="4:10">
      <c r="D1470" t="s">
        <v>573</v>
      </c>
      <c r="E1470" t="s">
        <v>538</v>
      </c>
      <c r="F1470">
        <v>3079</v>
      </c>
      <c r="G1470">
        <v>3079</v>
      </c>
      <c r="H1470">
        <v>3075</v>
      </c>
      <c r="I1470">
        <v>3075</v>
      </c>
      <c r="J1470">
        <v>189200</v>
      </c>
    </row>
    <row r="1471" spans="4:10">
      <c r="D1471" t="s">
        <v>573</v>
      </c>
      <c r="E1471" t="s">
        <v>539</v>
      </c>
      <c r="F1471">
        <v>3076</v>
      </c>
      <c r="G1471">
        <v>3076</v>
      </c>
      <c r="H1471">
        <v>3072</v>
      </c>
      <c r="I1471">
        <v>3075</v>
      </c>
      <c r="J1471">
        <v>154500</v>
      </c>
    </row>
    <row r="1472" spans="4:10">
      <c r="D1472" t="s">
        <v>573</v>
      </c>
      <c r="E1472" t="s">
        <v>540</v>
      </c>
      <c r="F1472">
        <v>3075</v>
      </c>
      <c r="G1472">
        <v>3076</v>
      </c>
      <c r="H1472">
        <v>3073</v>
      </c>
      <c r="I1472">
        <v>3075</v>
      </c>
      <c r="J1472">
        <v>95600</v>
      </c>
    </row>
    <row r="1473" spans="4:10">
      <c r="D1473" t="s">
        <v>573</v>
      </c>
      <c r="E1473" t="s">
        <v>541</v>
      </c>
      <c r="F1473">
        <v>3075</v>
      </c>
      <c r="G1473">
        <v>3076</v>
      </c>
      <c r="H1473">
        <v>3073</v>
      </c>
      <c r="I1473">
        <v>3073</v>
      </c>
      <c r="J1473">
        <v>88400</v>
      </c>
    </row>
    <row r="1474" spans="4:10">
      <c r="D1474" t="s">
        <v>573</v>
      </c>
      <c r="E1474" t="s">
        <v>542</v>
      </c>
      <c r="F1474">
        <v>3074</v>
      </c>
      <c r="G1474">
        <v>3076</v>
      </c>
      <c r="H1474">
        <v>3073</v>
      </c>
      <c r="I1474">
        <v>3075</v>
      </c>
      <c r="J1474">
        <v>112900</v>
      </c>
    </row>
    <row r="1475" spans="4:10">
      <c r="D1475" t="s">
        <v>573</v>
      </c>
      <c r="E1475" t="s">
        <v>543</v>
      </c>
      <c r="F1475">
        <v>3074</v>
      </c>
      <c r="G1475">
        <v>3076</v>
      </c>
      <c r="H1475">
        <v>3074</v>
      </c>
      <c r="I1475">
        <v>3075</v>
      </c>
      <c r="J1475">
        <v>95000</v>
      </c>
    </row>
    <row r="1476" spans="4:10">
      <c r="D1476" t="s">
        <v>573</v>
      </c>
      <c r="E1476" t="s">
        <v>544</v>
      </c>
      <c r="F1476">
        <v>3075</v>
      </c>
      <c r="G1476">
        <v>3076</v>
      </c>
      <c r="H1476">
        <v>3073</v>
      </c>
      <c r="I1476">
        <v>3075</v>
      </c>
      <c r="J1476">
        <v>77900</v>
      </c>
    </row>
    <row r="1477" spans="4:10">
      <c r="D1477" t="s">
        <v>573</v>
      </c>
      <c r="E1477" t="s">
        <v>545</v>
      </c>
      <c r="F1477">
        <v>3074</v>
      </c>
      <c r="G1477">
        <v>3077</v>
      </c>
      <c r="H1477">
        <v>3074</v>
      </c>
      <c r="I1477">
        <v>3077</v>
      </c>
      <c r="J1477">
        <v>179800</v>
      </c>
    </row>
    <row r="1478" spans="4:10">
      <c r="D1478" t="s">
        <v>573</v>
      </c>
      <c r="E1478" t="s">
        <v>546</v>
      </c>
      <c r="F1478">
        <v>3077</v>
      </c>
      <c r="G1478">
        <v>3080</v>
      </c>
      <c r="H1478">
        <v>3077</v>
      </c>
      <c r="I1478">
        <v>3079</v>
      </c>
      <c r="J1478">
        <v>152800</v>
      </c>
    </row>
    <row r="1479" spans="4:10">
      <c r="D1479" t="s">
        <v>573</v>
      </c>
      <c r="E1479" t="s">
        <v>547</v>
      </c>
      <c r="F1479">
        <v>3079</v>
      </c>
      <c r="G1479">
        <v>3080</v>
      </c>
      <c r="H1479">
        <v>3075</v>
      </c>
      <c r="I1479">
        <v>3076</v>
      </c>
      <c r="J1479">
        <v>122600</v>
      </c>
    </row>
    <row r="1480" spans="4:10">
      <c r="D1480" t="s">
        <v>573</v>
      </c>
      <c r="E1480" t="s">
        <v>548</v>
      </c>
      <c r="F1480">
        <v>3077</v>
      </c>
      <c r="G1480">
        <v>3077</v>
      </c>
      <c r="H1480">
        <v>3076</v>
      </c>
      <c r="I1480">
        <v>3076</v>
      </c>
      <c r="J1480">
        <v>31200</v>
      </c>
    </row>
    <row r="1481" spans="4:10">
      <c r="D1481" t="s">
        <v>573</v>
      </c>
      <c r="E1481" t="s">
        <v>549</v>
      </c>
      <c r="F1481">
        <v>3077</v>
      </c>
      <c r="G1481">
        <v>3078</v>
      </c>
      <c r="H1481">
        <v>3075</v>
      </c>
      <c r="I1481">
        <v>3078</v>
      </c>
      <c r="J1481">
        <v>102200</v>
      </c>
    </row>
    <row r="1482" spans="4:10">
      <c r="D1482" t="s">
        <v>573</v>
      </c>
      <c r="E1482" t="s">
        <v>550</v>
      </c>
      <c r="F1482">
        <v>3078</v>
      </c>
      <c r="G1482">
        <v>3081</v>
      </c>
      <c r="H1482">
        <v>3077</v>
      </c>
      <c r="I1482">
        <v>3081</v>
      </c>
      <c r="J1482">
        <v>137200</v>
      </c>
    </row>
    <row r="1483" spans="4:10">
      <c r="D1483" t="s">
        <v>573</v>
      </c>
      <c r="E1483" t="s">
        <v>551</v>
      </c>
      <c r="F1483">
        <v>3080</v>
      </c>
      <c r="G1483">
        <v>3082</v>
      </c>
      <c r="H1483">
        <v>3078</v>
      </c>
      <c r="I1483">
        <v>3079</v>
      </c>
      <c r="J1483">
        <v>120100</v>
      </c>
    </row>
    <row r="1484" spans="4:10">
      <c r="D1484" t="s">
        <v>573</v>
      </c>
      <c r="E1484" t="s">
        <v>552</v>
      </c>
      <c r="F1484">
        <v>3078</v>
      </c>
      <c r="G1484">
        <v>3080</v>
      </c>
      <c r="H1484">
        <v>3077</v>
      </c>
      <c r="I1484">
        <v>3080</v>
      </c>
      <c r="J1484">
        <v>70300</v>
      </c>
    </row>
    <row r="1485" spans="4:10">
      <c r="D1485" t="s">
        <v>573</v>
      </c>
      <c r="E1485" t="s">
        <v>553</v>
      </c>
      <c r="F1485">
        <v>3080</v>
      </c>
      <c r="G1485">
        <v>3082</v>
      </c>
      <c r="H1485">
        <v>3079</v>
      </c>
      <c r="I1485">
        <v>3081</v>
      </c>
      <c r="J1485">
        <v>145400</v>
      </c>
    </row>
    <row r="1486" spans="4:10">
      <c r="D1486" t="s">
        <v>573</v>
      </c>
      <c r="E1486" t="s">
        <v>554</v>
      </c>
      <c r="F1486">
        <v>3081</v>
      </c>
      <c r="G1486">
        <v>3084</v>
      </c>
      <c r="H1486">
        <v>3080</v>
      </c>
      <c r="I1486">
        <v>3082</v>
      </c>
      <c r="J1486">
        <v>205000</v>
      </c>
    </row>
    <row r="1487" spans="4:10">
      <c r="D1487" t="s">
        <v>573</v>
      </c>
      <c r="E1487" t="s">
        <v>555</v>
      </c>
      <c r="F1487">
        <v>3081</v>
      </c>
      <c r="G1487">
        <v>3082</v>
      </c>
      <c r="H1487">
        <v>3079</v>
      </c>
      <c r="I1487">
        <v>3081</v>
      </c>
      <c r="J1487">
        <v>126200</v>
      </c>
    </row>
    <row r="1488" spans="4:10">
      <c r="D1488" t="s">
        <v>573</v>
      </c>
      <c r="E1488" t="s">
        <v>556</v>
      </c>
      <c r="F1488">
        <v>3082</v>
      </c>
      <c r="G1488">
        <v>3083</v>
      </c>
      <c r="H1488">
        <v>3081</v>
      </c>
      <c r="I1488">
        <v>3083</v>
      </c>
      <c r="J1488">
        <v>107900</v>
      </c>
    </row>
    <row r="1489" spans="1:10">
      <c r="D1489" t="s">
        <v>573</v>
      </c>
      <c r="E1489" t="s">
        <v>557</v>
      </c>
      <c r="F1489">
        <v>3083</v>
      </c>
      <c r="G1489">
        <v>3083</v>
      </c>
      <c r="H1489">
        <v>3078</v>
      </c>
      <c r="I1489">
        <v>3080</v>
      </c>
      <c r="J1489">
        <v>131300</v>
      </c>
    </row>
    <row r="1490" spans="1:10">
      <c r="D1490" t="s">
        <v>573</v>
      </c>
      <c r="E1490" t="s">
        <v>558</v>
      </c>
      <c r="F1490">
        <v>3079</v>
      </c>
      <c r="G1490">
        <v>3080</v>
      </c>
      <c r="H1490">
        <v>3078</v>
      </c>
      <c r="I1490">
        <v>3080</v>
      </c>
      <c r="J1490">
        <v>50800</v>
      </c>
    </row>
    <row r="1491" spans="1:10">
      <c r="D1491" t="s">
        <v>573</v>
      </c>
      <c r="E1491" t="s">
        <v>559</v>
      </c>
      <c r="F1491">
        <v>3079</v>
      </c>
      <c r="G1491">
        <v>3081</v>
      </c>
      <c r="H1491">
        <v>3076</v>
      </c>
      <c r="I1491">
        <v>3076</v>
      </c>
      <c r="J1491">
        <v>194200</v>
      </c>
    </row>
    <row r="1492" spans="1:10">
      <c r="D1492" t="s">
        <v>573</v>
      </c>
      <c r="E1492" t="s">
        <v>560</v>
      </c>
      <c r="F1492">
        <v>3075</v>
      </c>
      <c r="G1492">
        <v>3078</v>
      </c>
      <c r="H1492">
        <v>3074</v>
      </c>
      <c r="I1492">
        <v>3078</v>
      </c>
      <c r="J1492">
        <v>103100</v>
      </c>
    </row>
    <row r="1493" spans="1:10">
      <c r="D1493" t="s">
        <v>573</v>
      </c>
      <c r="E1493" t="s">
        <v>561</v>
      </c>
      <c r="F1493">
        <v>3078</v>
      </c>
      <c r="G1493">
        <v>3079</v>
      </c>
      <c r="H1493">
        <v>3077</v>
      </c>
      <c r="I1493">
        <v>3078</v>
      </c>
      <c r="J1493">
        <v>131100</v>
      </c>
    </row>
    <row r="1494" spans="1:10">
      <c r="D1494" t="s">
        <v>573</v>
      </c>
      <c r="E1494" t="s">
        <v>562</v>
      </c>
      <c r="F1494">
        <v>3078</v>
      </c>
      <c r="G1494">
        <v>3081</v>
      </c>
      <c r="H1494">
        <v>3078</v>
      </c>
      <c r="I1494">
        <v>3081</v>
      </c>
      <c r="J1494">
        <v>103900</v>
      </c>
    </row>
    <row r="1495" spans="1:10">
      <c r="D1495" t="s">
        <v>573</v>
      </c>
      <c r="E1495" t="s">
        <v>563</v>
      </c>
      <c r="F1495">
        <v>3081</v>
      </c>
      <c r="G1495">
        <v>3083</v>
      </c>
      <c r="H1495">
        <v>3080</v>
      </c>
      <c r="I1495">
        <v>3082</v>
      </c>
      <c r="J1495">
        <v>130800</v>
      </c>
    </row>
    <row r="1496" spans="1:10">
      <c r="D1496" t="s">
        <v>573</v>
      </c>
      <c r="E1496" t="s">
        <v>564</v>
      </c>
      <c r="F1496">
        <v>3083</v>
      </c>
      <c r="G1496">
        <v>3083</v>
      </c>
      <c r="H1496">
        <v>3080</v>
      </c>
      <c r="I1496">
        <v>3081</v>
      </c>
      <c r="J1496">
        <v>102800</v>
      </c>
    </row>
    <row r="1497" spans="1:10">
      <c r="D1497" t="s">
        <v>573</v>
      </c>
      <c r="E1497" t="s">
        <v>565</v>
      </c>
      <c r="F1497">
        <v>3082</v>
      </c>
      <c r="G1497">
        <v>3082</v>
      </c>
      <c r="H1497">
        <v>3079</v>
      </c>
      <c r="I1497">
        <v>3080</v>
      </c>
      <c r="J1497">
        <v>140700</v>
      </c>
    </row>
    <row r="1498" spans="1:10">
      <c r="D1498" t="s">
        <v>573</v>
      </c>
      <c r="E1498" t="s">
        <v>566</v>
      </c>
      <c r="F1498">
        <v>3080</v>
      </c>
      <c r="G1498">
        <v>3083</v>
      </c>
      <c r="H1498">
        <v>3078</v>
      </c>
      <c r="I1498">
        <v>3082</v>
      </c>
      <c r="J1498">
        <v>413500</v>
      </c>
    </row>
    <row r="1499" spans="1:10">
      <c r="D1499" t="s">
        <v>573</v>
      </c>
      <c r="E1499" t="s">
        <v>567</v>
      </c>
      <c r="F1499">
        <v>3082</v>
      </c>
      <c r="G1499">
        <v>3084</v>
      </c>
      <c r="H1499">
        <v>3080</v>
      </c>
      <c r="I1499">
        <v>3080</v>
      </c>
      <c r="J1499">
        <v>175000</v>
      </c>
    </row>
    <row r="1500" spans="1:10">
      <c r="D1500" t="s">
        <v>573</v>
      </c>
      <c r="E1500" t="s">
        <v>568</v>
      </c>
      <c r="F1500">
        <v>3080</v>
      </c>
      <c r="G1500">
        <v>3083</v>
      </c>
      <c r="H1500">
        <v>3080</v>
      </c>
      <c r="I1500">
        <v>3083</v>
      </c>
      <c r="J1500">
        <v>139300</v>
      </c>
    </row>
    <row r="1501" spans="1:10">
      <c r="D1501" t="s">
        <v>573</v>
      </c>
      <c r="E1501" t="s">
        <v>569</v>
      </c>
      <c r="F1501">
        <v>3082</v>
      </c>
      <c r="G1501">
        <v>3083</v>
      </c>
      <c r="H1501">
        <v>3079</v>
      </c>
      <c r="I1501">
        <v>3081</v>
      </c>
      <c r="J1501">
        <v>238600</v>
      </c>
    </row>
    <row r="1502" spans="1:10">
      <c r="D1502" t="s">
        <v>573</v>
      </c>
      <c r="E1502" t="s">
        <v>570</v>
      </c>
      <c r="F1502">
        <v>3081</v>
      </c>
      <c r="G1502">
        <v>3082</v>
      </c>
      <c r="H1502">
        <v>3078</v>
      </c>
      <c r="I1502">
        <v>3082</v>
      </c>
      <c r="J1502">
        <v>300600</v>
      </c>
    </row>
    <row r="1503" spans="1:10">
      <c r="A1503" s="1" t="s">
        <v>78</v>
      </c>
      <c r="B1503" s="1" t="s">
        <v>78</v>
      </c>
      <c r="C1503" s="1" t="s">
        <v>78</v>
      </c>
      <c r="D1503" s="1" t="s">
        <v>78</v>
      </c>
      <c r="E1503" s="1" t="s">
        <v>78</v>
      </c>
      <c r="F1503" s="1" t="s">
        <v>78</v>
      </c>
      <c r="G1503" s="1" t="s">
        <v>78</v>
      </c>
      <c r="H1503" s="1" t="s">
        <v>78</v>
      </c>
      <c r="I1503" s="1" t="s">
        <v>78</v>
      </c>
      <c r="J1503" s="1" t="s">
        <v>78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7499-9BEC-4466-88E4-72ACDC841B5E}">
  <dimension ref="A1:C303"/>
  <sheetViews>
    <sheetView workbookViewId="0">
      <selection activeCell="K13" sqref="K13"/>
    </sheetView>
  </sheetViews>
  <sheetFormatPr defaultRowHeight="18.75"/>
  <sheetData>
    <row r="1" spans="1:3">
      <c r="A1" t="s">
        <v>858</v>
      </c>
    </row>
    <row r="2" spans="1:3">
      <c r="A2" t="s">
        <v>723</v>
      </c>
      <c r="B2" t="s">
        <v>511</v>
      </c>
      <c r="C2" t="s">
        <v>724</v>
      </c>
    </row>
    <row r="3" spans="1:3">
      <c r="A3" t="s">
        <v>725</v>
      </c>
      <c r="B3">
        <v>3597200</v>
      </c>
      <c r="C3">
        <v>3077</v>
      </c>
    </row>
    <row r="4" spans="1:3">
      <c r="A4" t="s">
        <v>726</v>
      </c>
      <c r="B4">
        <v>4100</v>
      </c>
      <c r="C4">
        <v>3082</v>
      </c>
    </row>
    <row r="5" spans="1:3">
      <c r="A5" t="s">
        <v>726</v>
      </c>
      <c r="B5">
        <v>6500</v>
      </c>
      <c r="C5">
        <v>3081</v>
      </c>
    </row>
    <row r="6" spans="1:3">
      <c r="A6" t="s">
        <v>727</v>
      </c>
      <c r="B6">
        <v>200</v>
      </c>
      <c r="C6">
        <v>3081</v>
      </c>
    </row>
    <row r="7" spans="1:3">
      <c r="A7" t="s">
        <v>727</v>
      </c>
      <c r="B7">
        <v>100</v>
      </c>
      <c r="C7">
        <v>3081</v>
      </c>
    </row>
    <row r="8" spans="1:3">
      <c r="A8" t="s">
        <v>727</v>
      </c>
      <c r="B8">
        <v>100</v>
      </c>
      <c r="C8">
        <v>3080</v>
      </c>
    </row>
    <row r="9" spans="1:3">
      <c r="A9" t="s">
        <v>728</v>
      </c>
      <c r="B9">
        <v>100</v>
      </c>
      <c r="C9">
        <v>3080</v>
      </c>
    </row>
    <row r="10" spans="1:3">
      <c r="A10" t="s">
        <v>728</v>
      </c>
      <c r="B10">
        <v>200</v>
      </c>
      <c r="C10">
        <v>3080</v>
      </c>
    </row>
    <row r="11" spans="1:3">
      <c r="A11" t="s">
        <v>729</v>
      </c>
      <c r="B11">
        <v>300</v>
      </c>
      <c r="C11">
        <v>3081</v>
      </c>
    </row>
    <row r="12" spans="1:3">
      <c r="A12" t="s">
        <v>729</v>
      </c>
      <c r="B12">
        <v>3800</v>
      </c>
      <c r="C12">
        <v>3081</v>
      </c>
    </row>
    <row r="13" spans="1:3">
      <c r="A13" t="s">
        <v>729</v>
      </c>
      <c r="B13">
        <v>6500</v>
      </c>
      <c r="C13">
        <v>3081</v>
      </c>
    </row>
    <row r="14" spans="1:3">
      <c r="A14" t="s">
        <v>729</v>
      </c>
      <c r="B14">
        <v>100</v>
      </c>
      <c r="C14">
        <v>3080</v>
      </c>
    </row>
    <row r="15" spans="1:3">
      <c r="A15" t="s">
        <v>729</v>
      </c>
      <c r="B15">
        <v>200</v>
      </c>
      <c r="C15">
        <v>3081</v>
      </c>
    </row>
    <row r="16" spans="1:3">
      <c r="A16" t="s">
        <v>730</v>
      </c>
      <c r="B16">
        <v>200</v>
      </c>
      <c r="C16">
        <v>3080</v>
      </c>
    </row>
    <row r="17" spans="1:3">
      <c r="A17" t="s">
        <v>731</v>
      </c>
      <c r="B17">
        <v>200</v>
      </c>
      <c r="C17">
        <v>3080</v>
      </c>
    </row>
    <row r="18" spans="1:3">
      <c r="A18" t="s">
        <v>731</v>
      </c>
      <c r="B18">
        <v>200</v>
      </c>
      <c r="C18">
        <v>3080</v>
      </c>
    </row>
    <row r="19" spans="1:3">
      <c r="A19" t="s">
        <v>731</v>
      </c>
      <c r="B19">
        <v>100</v>
      </c>
      <c r="C19">
        <v>3080</v>
      </c>
    </row>
    <row r="20" spans="1:3">
      <c r="A20" t="s">
        <v>732</v>
      </c>
      <c r="B20">
        <v>300</v>
      </c>
      <c r="C20">
        <v>3081</v>
      </c>
    </row>
    <row r="21" spans="1:3">
      <c r="A21" t="s">
        <v>732</v>
      </c>
      <c r="B21">
        <v>100</v>
      </c>
      <c r="C21">
        <v>3081</v>
      </c>
    </row>
    <row r="22" spans="1:3">
      <c r="A22" t="s">
        <v>733</v>
      </c>
      <c r="B22">
        <v>100</v>
      </c>
      <c r="C22">
        <v>3081</v>
      </c>
    </row>
    <row r="23" spans="1:3">
      <c r="A23" t="s">
        <v>734</v>
      </c>
      <c r="B23">
        <v>100</v>
      </c>
      <c r="C23">
        <v>3080</v>
      </c>
    </row>
    <row r="24" spans="1:3">
      <c r="A24" t="s">
        <v>735</v>
      </c>
      <c r="B24">
        <v>100</v>
      </c>
      <c r="C24">
        <v>3081</v>
      </c>
    </row>
    <row r="25" spans="1:3">
      <c r="A25" t="s">
        <v>735</v>
      </c>
      <c r="B25">
        <v>400</v>
      </c>
      <c r="C25">
        <v>3081</v>
      </c>
    </row>
    <row r="26" spans="1:3">
      <c r="A26" t="s">
        <v>735</v>
      </c>
      <c r="B26">
        <v>100</v>
      </c>
      <c r="C26">
        <v>3080</v>
      </c>
    </row>
    <row r="27" spans="1:3">
      <c r="A27" t="s">
        <v>736</v>
      </c>
      <c r="B27">
        <v>500</v>
      </c>
      <c r="C27">
        <v>3080</v>
      </c>
    </row>
    <row r="28" spans="1:3">
      <c r="A28" t="s">
        <v>737</v>
      </c>
      <c r="B28">
        <v>100</v>
      </c>
      <c r="C28">
        <v>3080</v>
      </c>
    </row>
    <row r="29" spans="1:3">
      <c r="A29" t="s">
        <v>738</v>
      </c>
      <c r="B29">
        <v>100</v>
      </c>
      <c r="C29">
        <v>3080</v>
      </c>
    </row>
    <row r="30" spans="1:3">
      <c r="A30" t="s">
        <v>739</v>
      </c>
      <c r="B30">
        <v>400</v>
      </c>
      <c r="C30">
        <v>3080</v>
      </c>
    </row>
    <row r="31" spans="1:3">
      <c r="A31" t="s">
        <v>739</v>
      </c>
      <c r="B31">
        <v>200</v>
      </c>
      <c r="C31">
        <v>3080</v>
      </c>
    </row>
    <row r="32" spans="1:3">
      <c r="A32" t="s">
        <v>739</v>
      </c>
      <c r="B32">
        <v>200</v>
      </c>
      <c r="C32">
        <v>3080</v>
      </c>
    </row>
    <row r="33" spans="1:3">
      <c r="A33" t="s">
        <v>739</v>
      </c>
      <c r="B33">
        <v>400</v>
      </c>
      <c r="C33">
        <v>3080</v>
      </c>
    </row>
    <row r="34" spans="1:3">
      <c r="A34" t="s">
        <v>740</v>
      </c>
      <c r="B34">
        <v>100</v>
      </c>
      <c r="C34">
        <v>3081</v>
      </c>
    </row>
    <row r="35" spans="1:3">
      <c r="A35" t="s">
        <v>741</v>
      </c>
      <c r="B35">
        <v>3100</v>
      </c>
      <c r="C35">
        <v>3080</v>
      </c>
    </row>
    <row r="36" spans="1:3">
      <c r="A36" t="s">
        <v>741</v>
      </c>
      <c r="B36">
        <v>1100</v>
      </c>
      <c r="C36">
        <v>3080</v>
      </c>
    </row>
    <row r="37" spans="1:3">
      <c r="A37" t="s">
        <v>741</v>
      </c>
      <c r="B37">
        <v>1100</v>
      </c>
      <c r="C37">
        <v>3080</v>
      </c>
    </row>
    <row r="38" spans="1:3">
      <c r="A38" t="s">
        <v>741</v>
      </c>
      <c r="B38">
        <v>100</v>
      </c>
      <c r="C38">
        <v>3080</v>
      </c>
    </row>
    <row r="39" spans="1:3">
      <c r="A39" t="s">
        <v>741</v>
      </c>
      <c r="B39">
        <v>10500</v>
      </c>
      <c r="C39">
        <v>3080</v>
      </c>
    </row>
    <row r="40" spans="1:3">
      <c r="A40" t="s">
        <v>741</v>
      </c>
      <c r="B40">
        <v>100</v>
      </c>
      <c r="C40">
        <v>3080</v>
      </c>
    </row>
    <row r="41" spans="1:3">
      <c r="A41" t="s">
        <v>741</v>
      </c>
      <c r="B41">
        <v>100</v>
      </c>
      <c r="C41">
        <v>3080</v>
      </c>
    </row>
    <row r="42" spans="1:3">
      <c r="A42" t="s">
        <v>741</v>
      </c>
      <c r="B42">
        <v>100</v>
      </c>
      <c r="C42">
        <v>3080</v>
      </c>
    </row>
    <row r="43" spans="1:3">
      <c r="A43" t="s">
        <v>741</v>
      </c>
      <c r="B43">
        <v>200</v>
      </c>
      <c r="C43">
        <v>3080</v>
      </c>
    </row>
    <row r="44" spans="1:3">
      <c r="A44" t="s">
        <v>741</v>
      </c>
      <c r="B44">
        <v>100</v>
      </c>
      <c r="C44">
        <v>3080</v>
      </c>
    </row>
    <row r="45" spans="1:3">
      <c r="A45" t="s">
        <v>741</v>
      </c>
      <c r="B45">
        <v>500</v>
      </c>
      <c r="C45">
        <v>3079</v>
      </c>
    </row>
    <row r="46" spans="1:3">
      <c r="A46" t="s">
        <v>741</v>
      </c>
      <c r="B46">
        <v>300</v>
      </c>
      <c r="C46">
        <v>3079</v>
      </c>
    </row>
    <row r="47" spans="1:3">
      <c r="A47" t="s">
        <v>742</v>
      </c>
      <c r="B47">
        <v>800</v>
      </c>
      <c r="C47">
        <v>3079</v>
      </c>
    </row>
    <row r="48" spans="1:3">
      <c r="A48" t="s">
        <v>742</v>
      </c>
      <c r="B48">
        <v>100</v>
      </c>
      <c r="C48">
        <v>3079</v>
      </c>
    </row>
    <row r="49" spans="1:3">
      <c r="A49" t="s">
        <v>743</v>
      </c>
      <c r="B49">
        <v>200</v>
      </c>
      <c r="C49">
        <v>3079</v>
      </c>
    </row>
    <row r="50" spans="1:3">
      <c r="A50" t="s">
        <v>743</v>
      </c>
      <c r="B50">
        <v>100</v>
      </c>
      <c r="C50">
        <v>3079</v>
      </c>
    </row>
    <row r="51" spans="1:3">
      <c r="A51" t="s">
        <v>743</v>
      </c>
      <c r="B51">
        <v>200</v>
      </c>
      <c r="C51">
        <v>3079</v>
      </c>
    </row>
    <row r="52" spans="1:3">
      <c r="A52" t="s">
        <v>744</v>
      </c>
      <c r="B52">
        <v>200</v>
      </c>
      <c r="C52">
        <v>3079</v>
      </c>
    </row>
    <row r="53" spans="1:3">
      <c r="A53" t="s">
        <v>744</v>
      </c>
      <c r="B53">
        <v>100</v>
      </c>
      <c r="C53">
        <v>3079</v>
      </c>
    </row>
    <row r="54" spans="1:3">
      <c r="A54" t="s">
        <v>744</v>
      </c>
      <c r="B54">
        <v>400</v>
      </c>
      <c r="C54">
        <v>3079</v>
      </c>
    </row>
    <row r="55" spans="1:3">
      <c r="A55" t="s">
        <v>745</v>
      </c>
      <c r="B55">
        <v>100</v>
      </c>
      <c r="C55">
        <v>3079</v>
      </c>
    </row>
    <row r="56" spans="1:3">
      <c r="A56" t="s">
        <v>745</v>
      </c>
      <c r="B56">
        <v>100</v>
      </c>
      <c r="C56">
        <v>3079</v>
      </c>
    </row>
    <row r="57" spans="1:3">
      <c r="A57" t="s">
        <v>746</v>
      </c>
      <c r="B57">
        <v>400</v>
      </c>
      <c r="C57">
        <v>3080</v>
      </c>
    </row>
    <row r="58" spans="1:3">
      <c r="A58" t="s">
        <v>746</v>
      </c>
      <c r="B58">
        <v>3100</v>
      </c>
      <c r="C58">
        <v>3079</v>
      </c>
    </row>
    <row r="59" spans="1:3">
      <c r="A59" t="s">
        <v>746</v>
      </c>
      <c r="B59">
        <v>100</v>
      </c>
      <c r="C59">
        <v>3079</v>
      </c>
    </row>
    <row r="60" spans="1:3">
      <c r="A60" t="s">
        <v>746</v>
      </c>
      <c r="B60">
        <v>100</v>
      </c>
      <c r="C60">
        <v>3080</v>
      </c>
    </row>
    <row r="61" spans="1:3">
      <c r="A61" t="s">
        <v>746</v>
      </c>
      <c r="B61">
        <v>100</v>
      </c>
      <c r="C61">
        <v>3079</v>
      </c>
    </row>
    <row r="62" spans="1:3">
      <c r="A62" t="s">
        <v>746</v>
      </c>
      <c r="B62">
        <v>100</v>
      </c>
      <c r="C62">
        <v>3079</v>
      </c>
    </row>
    <row r="63" spans="1:3">
      <c r="A63" t="s">
        <v>746</v>
      </c>
      <c r="B63">
        <v>200</v>
      </c>
      <c r="C63">
        <v>3080</v>
      </c>
    </row>
    <row r="64" spans="1:3">
      <c r="A64" t="s">
        <v>747</v>
      </c>
      <c r="B64">
        <v>100</v>
      </c>
      <c r="C64">
        <v>3079</v>
      </c>
    </row>
    <row r="65" spans="1:3">
      <c r="A65" t="s">
        <v>747</v>
      </c>
      <c r="B65">
        <v>300</v>
      </c>
      <c r="C65">
        <v>3080</v>
      </c>
    </row>
    <row r="66" spans="1:3">
      <c r="A66" t="s">
        <v>747</v>
      </c>
      <c r="B66">
        <v>200</v>
      </c>
      <c r="C66">
        <v>3079</v>
      </c>
    </row>
    <row r="67" spans="1:3">
      <c r="A67" t="s">
        <v>747</v>
      </c>
      <c r="B67">
        <v>100</v>
      </c>
      <c r="C67">
        <v>3079</v>
      </c>
    </row>
    <row r="68" spans="1:3">
      <c r="A68" t="s">
        <v>748</v>
      </c>
      <c r="B68">
        <v>100</v>
      </c>
      <c r="C68">
        <v>3079</v>
      </c>
    </row>
    <row r="69" spans="1:3">
      <c r="A69" t="s">
        <v>748</v>
      </c>
      <c r="B69">
        <v>200</v>
      </c>
      <c r="C69">
        <v>3079</v>
      </c>
    </row>
    <row r="70" spans="1:3">
      <c r="A70" t="s">
        <v>748</v>
      </c>
      <c r="B70">
        <v>400</v>
      </c>
      <c r="C70">
        <v>3079</v>
      </c>
    </row>
    <row r="71" spans="1:3">
      <c r="A71" t="s">
        <v>748</v>
      </c>
      <c r="B71">
        <v>900</v>
      </c>
      <c r="C71">
        <v>3079</v>
      </c>
    </row>
    <row r="72" spans="1:3">
      <c r="A72" t="s">
        <v>748</v>
      </c>
      <c r="B72">
        <v>300</v>
      </c>
      <c r="C72">
        <v>3079</v>
      </c>
    </row>
    <row r="73" spans="1:3">
      <c r="A73" t="s">
        <v>748</v>
      </c>
      <c r="B73">
        <v>100</v>
      </c>
      <c r="C73">
        <v>3079</v>
      </c>
    </row>
    <row r="74" spans="1:3">
      <c r="A74" t="s">
        <v>748</v>
      </c>
      <c r="B74">
        <v>100</v>
      </c>
      <c r="C74">
        <v>3079</v>
      </c>
    </row>
    <row r="75" spans="1:3">
      <c r="A75" t="s">
        <v>748</v>
      </c>
      <c r="B75">
        <v>500</v>
      </c>
      <c r="C75">
        <v>3079</v>
      </c>
    </row>
    <row r="76" spans="1:3">
      <c r="A76" t="s">
        <v>748</v>
      </c>
      <c r="B76">
        <v>1000</v>
      </c>
      <c r="C76">
        <v>3079</v>
      </c>
    </row>
    <row r="77" spans="1:3">
      <c r="A77" t="s">
        <v>748</v>
      </c>
      <c r="B77">
        <v>400</v>
      </c>
      <c r="C77">
        <v>3079</v>
      </c>
    </row>
    <row r="78" spans="1:3">
      <c r="A78" t="s">
        <v>748</v>
      </c>
      <c r="B78">
        <v>100</v>
      </c>
      <c r="C78">
        <v>3079</v>
      </c>
    </row>
    <row r="79" spans="1:3">
      <c r="A79" t="s">
        <v>749</v>
      </c>
      <c r="B79">
        <v>100</v>
      </c>
      <c r="C79">
        <v>3080</v>
      </c>
    </row>
    <row r="80" spans="1:3">
      <c r="A80" t="s">
        <v>750</v>
      </c>
      <c r="B80">
        <v>1000</v>
      </c>
      <c r="C80">
        <v>3079</v>
      </c>
    </row>
    <row r="81" spans="1:3">
      <c r="A81" t="s">
        <v>750</v>
      </c>
      <c r="B81">
        <v>800</v>
      </c>
      <c r="C81">
        <v>3079</v>
      </c>
    </row>
    <row r="82" spans="1:3">
      <c r="A82" t="s">
        <v>750</v>
      </c>
      <c r="B82">
        <v>300</v>
      </c>
      <c r="C82">
        <v>3079</v>
      </c>
    </row>
    <row r="83" spans="1:3">
      <c r="A83" t="s">
        <v>750</v>
      </c>
      <c r="B83">
        <v>200</v>
      </c>
      <c r="C83">
        <v>3078</v>
      </c>
    </row>
    <row r="84" spans="1:3">
      <c r="A84" t="s">
        <v>750</v>
      </c>
      <c r="B84">
        <v>100</v>
      </c>
      <c r="C84">
        <v>3079</v>
      </c>
    </row>
    <row r="85" spans="1:3">
      <c r="A85" t="s">
        <v>751</v>
      </c>
      <c r="B85">
        <v>100</v>
      </c>
      <c r="C85">
        <v>3079</v>
      </c>
    </row>
    <row r="86" spans="1:3">
      <c r="A86" t="s">
        <v>752</v>
      </c>
      <c r="B86">
        <v>100</v>
      </c>
      <c r="C86">
        <v>3079</v>
      </c>
    </row>
    <row r="87" spans="1:3">
      <c r="A87" t="s">
        <v>752</v>
      </c>
      <c r="B87">
        <v>100</v>
      </c>
      <c r="C87">
        <v>3079</v>
      </c>
    </row>
    <row r="88" spans="1:3">
      <c r="A88" t="s">
        <v>752</v>
      </c>
      <c r="B88">
        <v>100</v>
      </c>
      <c r="C88">
        <v>3079</v>
      </c>
    </row>
    <row r="89" spans="1:3">
      <c r="A89" t="s">
        <v>753</v>
      </c>
      <c r="B89">
        <v>100</v>
      </c>
      <c r="C89">
        <v>3079</v>
      </c>
    </row>
    <row r="90" spans="1:3">
      <c r="A90" t="s">
        <v>754</v>
      </c>
      <c r="B90">
        <v>100</v>
      </c>
      <c r="C90">
        <v>3078</v>
      </c>
    </row>
    <row r="91" spans="1:3">
      <c r="A91" t="s">
        <v>755</v>
      </c>
      <c r="B91">
        <v>100</v>
      </c>
      <c r="C91">
        <v>3079</v>
      </c>
    </row>
    <row r="92" spans="1:3">
      <c r="A92" t="s">
        <v>756</v>
      </c>
      <c r="B92">
        <v>600</v>
      </c>
      <c r="C92">
        <v>3078</v>
      </c>
    </row>
    <row r="93" spans="1:3">
      <c r="A93" t="s">
        <v>756</v>
      </c>
      <c r="B93">
        <v>1600</v>
      </c>
      <c r="C93">
        <v>3079</v>
      </c>
    </row>
    <row r="94" spans="1:3">
      <c r="A94" t="s">
        <v>757</v>
      </c>
      <c r="B94">
        <v>100</v>
      </c>
      <c r="C94">
        <v>3079</v>
      </c>
    </row>
    <row r="95" spans="1:3">
      <c r="A95" t="s">
        <v>758</v>
      </c>
      <c r="B95">
        <v>1000</v>
      </c>
      <c r="C95">
        <v>3079</v>
      </c>
    </row>
    <row r="96" spans="1:3">
      <c r="A96" t="s">
        <v>758</v>
      </c>
      <c r="B96">
        <v>200</v>
      </c>
      <c r="C96">
        <v>3079</v>
      </c>
    </row>
    <row r="97" spans="1:3">
      <c r="A97" t="s">
        <v>759</v>
      </c>
      <c r="B97">
        <v>100</v>
      </c>
      <c r="C97">
        <v>3078</v>
      </c>
    </row>
    <row r="98" spans="1:3">
      <c r="A98" t="s">
        <v>759</v>
      </c>
      <c r="B98">
        <v>3800</v>
      </c>
      <c r="C98">
        <v>3079</v>
      </c>
    </row>
    <row r="99" spans="1:3">
      <c r="A99" t="s">
        <v>759</v>
      </c>
      <c r="B99">
        <v>100</v>
      </c>
      <c r="C99">
        <v>3080</v>
      </c>
    </row>
    <row r="100" spans="1:3">
      <c r="A100" t="s">
        <v>759</v>
      </c>
      <c r="B100">
        <v>100</v>
      </c>
      <c r="C100">
        <v>3079</v>
      </c>
    </row>
    <row r="101" spans="1:3">
      <c r="A101" t="s">
        <v>760</v>
      </c>
      <c r="B101">
        <v>100</v>
      </c>
      <c r="C101">
        <v>3079</v>
      </c>
    </row>
    <row r="102" spans="1:3">
      <c r="A102" t="s">
        <v>760</v>
      </c>
      <c r="B102">
        <v>1200</v>
      </c>
      <c r="C102">
        <v>3079</v>
      </c>
    </row>
    <row r="103" spans="1:3">
      <c r="A103" s="1" t="s">
        <v>760</v>
      </c>
      <c r="B103">
        <v>300</v>
      </c>
      <c r="C103">
        <v>3079</v>
      </c>
    </row>
    <row r="104" spans="1:3">
      <c r="A104" t="s">
        <v>760</v>
      </c>
      <c r="B104">
        <v>1300</v>
      </c>
      <c r="C104">
        <v>3079</v>
      </c>
    </row>
    <row r="105" spans="1:3">
      <c r="A105" t="s">
        <v>760</v>
      </c>
      <c r="B105">
        <v>1900</v>
      </c>
      <c r="C105">
        <v>3079</v>
      </c>
    </row>
    <row r="106" spans="1:3">
      <c r="A106" t="s">
        <v>760</v>
      </c>
      <c r="B106">
        <v>1300</v>
      </c>
      <c r="C106">
        <v>3079</v>
      </c>
    </row>
    <row r="107" spans="1:3">
      <c r="A107" t="s">
        <v>760</v>
      </c>
      <c r="B107">
        <v>900</v>
      </c>
      <c r="C107">
        <v>3079</v>
      </c>
    </row>
    <row r="108" spans="1:3">
      <c r="A108" t="s">
        <v>760</v>
      </c>
      <c r="B108">
        <v>5500</v>
      </c>
      <c r="C108">
        <v>3079</v>
      </c>
    </row>
    <row r="109" spans="1:3">
      <c r="A109" t="s">
        <v>761</v>
      </c>
      <c r="B109">
        <v>9300</v>
      </c>
      <c r="C109">
        <v>3079</v>
      </c>
    </row>
    <row r="110" spans="1:3">
      <c r="A110" t="s">
        <v>761</v>
      </c>
      <c r="B110">
        <v>100</v>
      </c>
      <c r="C110">
        <v>3079</v>
      </c>
    </row>
    <row r="111" spans="1:3">
      <c r="A111" t="s">
        <v>762</v>
      </c>
      <c r="B111">
        <v>100</v>
      </c>
      <c r="C111">
        <v>3079</v>
      </c>
    </row>
    <row r="112" spans="1:3">
      <c r="A112" t="s">
        <v>762</v>
      </c>
      <c r="B112">
        <v>100</v>
      </c>
      <c r="C112">
        <v>3079</v>
      </c>
    </row>
    <row r="113" spans="1:3">
      <c r="A113" t="s">
        <v>762</v>
      </c>
      <c r="B113">
        <v>500</v>
      </c>
      <c r="C113">
        <v>3078</v>
      </c>
    </row>
    <row r="114" spans="1:3">
      <c r="A114" t="s">
        <v>763</v>
      </c>
      <c r="B114">
        <v>100</v>
      </c>
      <c r="C114">
        <v>3079</v>
      </c>
    </row>
    <row r="115" spans="1:3">
      <c r="A115" t="s">
        <v>763</v>
      </c>
      <c r="B115">
        <v>100</v>
      </c>
      <c r="C115">
        <v>3079</v>
      </c>
    </row>
    <row r="116" spans="1:3">
      <c r="A116" t="s">
        <v>763</v>
      </c>
      <c r="B116">
        <v>100</v>
      </c>
      <c r="C116">
        <v>3078</v>
      </c>
    </row>
    <row r="117" spans="1:3">
      <c r="A117" t="s">
        <v>763</v>
      </c>
      <c r="B117">
        <v>100</v>
      </c>
      <c r="C117">
        <v>3078</v>
      </c>
    </row>
    <row r="118" spans="1:3">
      <c r="A118" t="s">
        <v>764</v>
      </c>
      <c r="B118">
        <v>5700</v>
      </c>
      <c r="C118">
        <v>3078</v>
      </c>
    </row>
    <row r="119" spans="1:3">
      <c r="A119" t="s">
        <v>765</v>
      </c>
      <c r="B119">
        <v>200</v>
      </c>
      <c r="C119">
        <v>3079</v>
      </c>
    </row>
    <row r="120" spans="1:3">
      <c r="A120" t="s">
        <v>765</v>
      </c>
      <c r="B120">
        <v>100</v>
      </c>
      <c r="C120">
        <v>3078</v>
      </c>
    </row>
    <row r="121" spans="1:3">
      <c r="A121" t="s">
        <v>765</v>
      </c>
      <c r="B121">
        <v>300</v>
      </c>
      <c r="C121">
        <v>3078</v>
      </c>
    </row>
    <row r="122" spans="1:3">
      <c r="A122" t="s">
        <v>765</v>
      </c>
      <c r="B122">
        <v>100</v>
      </c>
      <c r="C122">
        <v>3078</v>
      </c>
    </row>
    <row r="123" spans="1:3">
      <c r="A123" t="s">
        <v>765</v>
      </c>
      <c r="B123">
        <v>100</v>
      </c>
      <c r="C123">
        <v>3078</v>
      </c>
    </row>
    <row r="124" spans="1:3">
      <c r="A124" t="s">
        <v>765</v>
      </c>
      <c r="B124">
        <v>100</v>
      </c>
      <c r="C124">
        <v>3078</v>
      </c>
    </row>
    <row r="125" spans="1:3">
      <c r="A125" t="s">
        <v>765</v>
      </c>
      <c r="B125">
        <v>300</v>
      </c>
      <c r="C125">
        <v>3079</v>
      </c>
    </row>
    <row r="126" spans="1:3">
      <c r="A126" t="s">
        <v>765</v>
      </c>
      <c r="B126">
        <v>100</v>
      </c>
      <c r="C126">
        <v>3078</v>
      </c>
    </row>
    <row r="127" spans="1:3">
      <c r="A127" t="s">
        <v>765</v>
      </c>
      <c r="B127">
        <v>400</v>
      </c>
      <c r="C127">
        <v>3078</v>
      </c>
    </row>
    <row r="128" spans="1:3">
      <c r="A128" t="s">
        <v>765</v>
      </c>
      <c r="B128">
        <v>100</v>
      </c>
      <c r="C128">
        <v>3078</v>
      </c>
    </row>
    <row r="129" spans="1:3">
      <c r="A129" t="s">
        <v>765</v>
      </c>
      <c r="B129">
        <v>200</v>
      </c>
      <c r="C129">
        <v>3079</v>
      </c>
    </row>
    <row r="130" spans="1:3">
      <c r="A130" t="s">
        <v>765</v>
      </c>
      <c r="B130">
        <v>100</v>
      </c>
      <c r="C130">
        <v>3078</v>
      </c>
    </row>
    <row r="131" spans="1:3">
      <c r="A131" t="s">
        <v>765</v>
      </c>
      <c r="B131">
        <v>100</v>
      </c>
      <c r="C131">
        <v>3078</v>
      </c>
    </row>
    <row r="132" spans="1:3">
      <c r="A132" t="s">
        <v>765</v>
      </c>
      <c r="B132">
        <v>1200</v>
      </c>
      <c r="C132">
        <v>3079</v>
      </c>
    </row>
    <row r="133" spans="1:3">
      <c r="A133" t="s">
        <v>765</v>
      </c>
      <c r="B133">
        <v>100</v>
      </c>
      <c r="C133">
        <v>3078</v>
      </c>
    </row>
    <row r="134" spans="1:3">
      <c r="A134" t="s">
        <v>765</v>
      </c>
      <c r="B134">
        <v>5300</v>
      </c>
      <c r="C134">
        <v>3078</v>
      </c>
    </row>
    <row r="135" spans="1:3">
      <c r="A135" t="s">
        <v>765</v>
      </c>
      <c r="B135">
        <v>100</v>
      </c>
      <c r="C135">
        <v>3078</v>
      </c>
    </row>
    <row r="136" spans="1:3">
      <c r="A136" t="s">
        <v>765</v>
      </c>
      <c r="B136">
        <v>400</v>
      </c>
      <c r="C136">
        <v>3079</v>
      </c>
    </row>
    <row r="137" spans="1:3">
      <c r="A137" t="s">
        <v>765</v>
      </c>
      <c r="B137">
        <v>500</v>
      </c>
      <c r="C137">
        <v>3079</v>
      </c>
    </row>
    <row r="138" spans="1:3">
      <c r="A138" t="s">
        <v>765</v>
      </c>
      <c r="B138">
        <v>100</v>
      </c>
      <c r="C138">
        <v>3078</v>
      </c>
    </row>
    <row r="139" spans="1:3">
      <c r="A139" t="s">
        <v>766</v>
      </c>
      <c r="B139">
        <v>100</v>
      </c>
      <c r="C139">
        <v>3079</v>
      </c>
    </row>
    <row r="140" spans="1:3">
      <c r="A140" t="s">
        <v>767</v>
      </c>
      <c r="B140">
        <v>100</v>
      </c>
      <c r="C140">
        <v>3079</v>
      </c>
    </row>
    <row r="141" spans="1:3">
      <c r="A141" t="s">
        <v>767</v>
      </c>
      <c r="B141">
        <v>200</v>
      </c>
      <c r="C141">
        <v>3078</v>
      </c>
    </row>
    <row r="142" spans="1:3">
      <c r="A142" t="s">
        <v>768</v>
      </c>
      <c r="B142">
        <v>100</v>
      </c>
      <c r="C142">
        <v>3079</v>
      </c>
    </row>
    <row r="143" spans="1:3">
      <c r="A143" t="s">
        <v>769</v>
      </c>
      <c r="B143">
        <v>100</v>
      </c>
      <c r="C143">
        <v>3078</v>
      </c>
    </row>
    <row r="144" spans="1:3">
      <c r="A144" t="s">
        <v>769</v>
      </c>
      <c r="B144">
        <v>100</v>
      </c>
      <c r="C144">
        <v>3079</v>
      </c>
    </row>
    <row r="145" spans="1:3">
      <c r="A145" t="s">
        <v>770</v>
      </c>
      <c r="B145">
        <v>100</v>
      </c>
      <c r="C145">
        <v>3079</v>
      </c>
    </row>
    <row r="146" spans="1:3">
      <c r="A146" t="s">
        <v>770</v>
      </c>
      <c r="B146">
        <v>100</v>
      </c>
      <c r="C146">
        <v>3079</v>
      </c>
    </row>
    <row r="147" spans="1:3">
      <c r="A147" t="s">
        <v>771</v>
      </c>
      <c r="B147">
        <v>100</v>
      </c>
      <c r="C147">
        <v>3079</v>
      </c>
    </row>
    <row r="148" spans="1:3">
      <c r="A148" t="s">
        <v>772</v>
      </c>
      <c r="B148">
        <v>100</v>
      </c>
      <c r="C148">
        <v>3079</v>
      </c>
    </row>
    <row r="149" spans="1:3">
      <c r="A149" t="s">
        <v>772</v>
      </c>
      <c r="B149">
        <v>300</v>
      </c>
      <c r="C149">
        <v>3078</v>
      </c>
    </row>
    <row r="150" spans="1:3">
      <c r="A150" t="s">
        <v>773</v>
      </c>
      <c r="B150">
        <v>100</v>
      </c>
      <c r="C150">
        <v>3079</v>
      </c>
    </row>
    <row r="151" spans="1:3">
      <c r="A151" t="s">
        <v>773</v>
      </c>
      <c r="B151">
        <v>100</v>
      </c>
      <c r="C151">
        <v>3078</v>
      </c>
    </row>
    <row r="152" spans="1:3">
      <c r="A152" t="s">
        <v>774</v>
      </c>
      <c r="B152">
        <v>100</v>
      </c>
      <c r="C152">
        <v>3078</v>
      </c>
    </row>
    <row r="153" spans="1:3">
      <c r="A153" t="s">
        <v>774</v>
      </c>
      <c r="B153">
        <v>600</v>
      </c>
      <c r="C153">
        <v>3078</v>
      </c>
    </row>
    <row r="154" spans="1:3">
      <c r="A154" t="s">
        <v>775</v>
      </c>
      <c r="B154">
        <v>100</v>
      </c>
      <c r="C154">
        <v>3078</v>
      </c>
    </row>
    <row r="155" spans="1:3">
      <c r="A155" t="s">
        <v>776</v>
      </c>
      <c r="B155">
        <v>100</v>
      </c>
      <c r="C155">
        <v>3079</v>
      </c>
    </row>
    <row r="156" spans="1:3">
      <c r="A156" t="s">
        <v>776</v>
      </c>
      <c r="B156">
        <v>100</v>
      </c>
      <c r="C156">
        <v>3079</v>
      </c>
    </row>
    <row r="157" spans="1:3">
      <c r="A157" t="s">
        <v>776</v>
      </c>
      <c r="B157">
        <v>100</v>
      </c>
      <c r="C157">
        <v>3079</v>
      </c>
    </row>
    <row r="158" spans="1:3">
      <c r="A158" t="s">
        <v>777</v>
      </c>
      <c r="B158">
        <v>100</v>
      </c>
      <c r="C158">
        <v>3078</v>
      </c>
    </row>
    <row r="159" spans="1:3">
      <c r="A159" t="s">
        <v>778</v>
      </c>
      <c r="B159">
        <v>100</v>
      </c>
      <c r="C159">
        <v>3079</v>
      </c>
    </row>
    <row r="160" spans="1:3">
      <c r="A160" t="s">
        <v>779</v>
      </c>
      <c r="B160">
        <v>100</v>
      </c>
      <c r="C160">
        <v>3078</v>
      </c>
    </row>
    <row r="161" spans="1:3">
      <c r="A161" t="s">
        <v>779</v>
      </c>
      <c r="B161">
        <v>600</v>
      </c>
      <c r="C161">
        <v>3078</v>
      </c>
    </row>
    <row r="162" spans="1:3">
      <c r="A162" t="s">
        <v>780</v>
      </c>
      <c r="B162">
        <v>100</v>
      </c>
      <c r="C162">
        <v>3078</v>
      </c>
    </row>
    <row r="163" spans="1:3">
      <c r="A163" t="s">
        <v>780</v>
      </c>
      <c r="B163">
        <v>100</v>
      </c>
      <c r="C163">
        <v>3079</v>
      </c>
    </row>
    <row r="164" spans="1:3">
      <c r="A164" t="s">
        <v>781</v>
      </c>
      <c r="B164">
        <v>100</v>
      </c>
      <c r="C164">
        <v>3079</v>
      </c>
    </row>
    <row r="165" spans="1:3">
      <c r="A165" t="s">
        <v>781</v>
      </c>
      <c r="B165">
        <v>100</v>
      </c>
      <c r="C165">
        <v>3079</v>
      </c>
    </row>
    <row r="166" spans="1:3">
      <c r="A166" t="s">
        <v>781</v>
      </c>
      <c r="B166">
        <v>100</v>
      </c>
      <c r="C166">
        <v>3078</v>
      </c>
    </row>
    <row r="167" spans="1:3">
      <c r="A167" t="s">
        <v>782</v>
      </c>
      <c r="B167">
        <v>100</v>
      </c>
      <c r="C167">
        <v>3078</v>
      </c>
    </row>
    <row r="168" spans="1:3">
      <c r="A168" t="s">
        <v>783</v>
      </c>
      <c r="B168">
        <v>9500</v>
      </c>
      <c r="C168">
        <v>3078</v>
      </c>
    </row>
    <row r="169" spans="1:3">
      <c r="A169" t="s">
        <v>783</v>
      </c>
      <c r="B169">
        <v>1000</v>
      </c>
      <c r="C169">
        <v>3079</v>
      </c>
    </row>
    <row r="170" spans="1:3">
      <c r="A170" t="s">
        <v>783</v>
      </c>
      <c r="B170">
        <v>100</v>
      </c>
      <c r="C170">
        <v>3079</v>
      </c>
    </row>
    <row r="171" spans="1:3">
      <c r="A171" t="s">
        <v>783</v>
      </c>
      <c r="B171">
        <v>3200</v>
      </c>
      <c r="C171">
        <v>3079</v>
      </c>
    </row>
    <row r="172" spans="1:3">
      <c r="A172" t="s">
        <v>783</v>
      </c>
      <c r="B172">
        <v>3700</v>
      </c>
      <c r="C172">
        <v>3079</v>
      </c>
    </row>
    <row r="173" spans="1:3">
      <c r="A173" t="s">
        <v>783</v>
      </c>
      <c r="B173">
        <v>4500</v>
      </c>
      <c r="C173">
        <v>3079</v>
      </c>
    </row>
    <row r="174" spans="1:3">
      <c r="A174" t="s">
        <v>784</v>
      </c>
      <c r="B174">
        <v>100</v>
      </c>
      <c r="C174">
        <v>3079</v>
      </c>
    </row>
    <row r="175" spans="1:3">
      <c r="A175" t="s">
        <v>785</v>
      </c>
      <c r="B175">
        <v>100</v>
      </c>
      <c r="C175">
        <v>3080</v>
      </c>
    </row>
    <row r="176" spans="1:3">
      <c r="A176" t="s">
        <v>786</v>
      </c>
      <c r="B176">
        <v>100</v>
      </c>
      <c r="C176">
        <v>3079</v>
      </c>
    </row>
    <row r="177" spans="1:3">
      <c r="A177" t="s">
        <v>787</v>
      </c>
      <c r="B177">
        <v>1000</v>
      </c>
      <c r="C177">
        <v>3079</v>
      </c>
    </row>
    <row r="178" spans="1:3">
      <c r="A178" t="s">
        <v>787</v>
      </c>
      <c r="B178">
        <v>300</v>
      </c>
      <c r="C178">
        <v>3079</v>
      </c>
    </row>
    <row r="179" spans="1:3">
      <c r="A179" t="s">
        <v>788</v>
      </c>
      <c r="B179">
        <v>100</v>
      </c>
      <c r="C179">
        <v>3080</v>
      </c>
    </row>
    <row r="180" spans="1:3">
      <c r="A180" t="s">
        <v>788</v>
      </c>
      <c r="B180">
        <v>200</v>
      </c>
      <c r="C180">
        <v>3080</v>
      </c>
    </row>
    <row r="181" spans="1:3">
      <c r="A181" t="s">
        <v>788</v>
      </c>
      <c r="B181">
        <v>200</v>
      </c>
      <c r="C181">
        <v>3079</v>
      </c>
    </row>
    <row r="182" spans="1:3">
      <c r="A182" t="s">
        <v>789</v>
      </c>
      <c r="B182">
        <v>100</v>
      </c>
      <c r="C182">
        <v>3080</v>
      </c>
    </row>
    <row r="183" spans="1:3">
      <c r="A183" t="s">
        <v>790</v>
      </c>
      <c r="B183">
        <v>600</v>
      </c>
      <c r="C183">
        <v>3079</v>
      </c>
    </row>
    <row r="184" spans="1:3">
      <c r="A184" t="s">
        <v>791</v>
      </c>
      <c r="B184">
        <v>100</v>
      </c>
      <c r="C184">
        <v>3080</v>
      </c>
    </row>
    <row r="185" spans="1:3">
      <c r="A185" t="s">
        <v>791</v>
      </c>
      <c r="B185">
        <v>100</v>
      </c>
      <c r="C185">
        <v>3080</v>
      </c>
    </row>
    <row r="186" spans="1:3">
      <c r="A186" t="s">
        <v>792</v>
      </c>
      <c r="B186">
        <v>3200</v>
      </c>
      <c r="C186">
        <v>3080</v>
      </c>
    </row>
    <row r="187" spans="1:3">
      <c r="A187" t="s">
        <v>792</v>
      </c>
      <c r="B187">
        <v>100</v>
      </c>
      <c r="C187">
        <v>3080</v>
      </c>
    </row>
    <row r="188" spans="1:3">
      <c r="A188" t="s">
        <v>792</v>
      </c>
      <c r="B188">
        <v>300</v>
      </c>
      <c r="C188">
        <v>3079</v>
      </c>
    </row>
    <row r="189" spans="1:3">
      <c r="A189" t="s">
        <v>793</v>
      </c>
      <c r="B189">
        <v>300</v>
      </c>
      <c r="C189">
        <v>3080</v>
      </c>
    </row>
    <row r="190" spans="1:3">
      <c r="A190" t="s">
        <v>793</v>
      </c>
      <c r="B190">
        <v>100</v>
      </c>
      <c r="C190">
        <v>3080</v>
      </c>
    </row>
    <row r="191" spans="1:3">
      <c r="A191" t="s">
        <v>794</v>
      </c>
      <c r="B191">
        <v>100</v>
      </c>
      <c r="C191">
        <v>3080</v>
      </c>
    </row>
    <row r="192" spans="1:3">
      <c r="A192" t="s">
        <v>795</v>
      </c>
      <c r="B192">
        <v>100</v>
      </c>
      <c r="C192">
        <v>3080</v>
      </c>
    </row>
    <row r="193" spans="1:3">
      <c r="A193" t="s">
        <v>795</v>
      </c>
      <c r="B193">
        <v>100</v>
      </c>
      <c r="C193">
        <v>3079</v>
      </c>
    </row>
    <row r="194" spans="1:3">
      <c r="A194" t="s">
        <v>795</v>
      </c>
      <c r="B194">
        <v>200</v>
      </c>
      <c r="C194">
        <v>3079</v>
      </c>
    </row>
    <row r="195" spans="1:3">
      <c r="A195" t="s">
        <v>796</v>
      </c>
      <c r="B195">
        <v>200</v>
      </c>
      <c r="C195">
        <v>3079</v>
      </c>
    </row>
    <row r="196" spans="1:3">
      <c r="A196" t="s">
        <v>797</v>
      </c>
      <c r="B196">
        <v>100</v>
      </c>
      <c r="C196">
        <v>3080</v>
      </c>
    </row>
    <row r="197" spans="1:3">
      <c r="A197" t="s">
        <v>798</v>
      </c>
      <c r="B197">
        <v>200</v>
      </c>
      <c r="C197">
        <v>3079</v>
      </c>
    </row>
    <row r="198" spans="1:3">
      <c r="A198" t="s">
        <v>798</v>
      </c>
      <c r="B198">
        <v>400</v>
      </c>
      <c r="C198">
        <v>3079</v>
      </c>
    </row>
    <row r="199" spans="1:3">
      <c r="A199" t="s">
        <v>799</v>
      </c>
      <c r="B199">
        <v>100</v>
      </c>
      <c r="C199">
        <v>3080</v>
      </c>
    </row>
    <row r="200" spans="1:3">
      <c r="A200" t="s">
        <v>800</v>
      </c>
      <c r="B200">
        <v>100</v>
      </c>
      <c r="C200">
        <v>3079</v>
      </c>
    </row>
    <row r="201" spans="1:3">
      <c r="A201" t="s">
        <v>801</v>
      </c>
      <c r="B201">
        <v>100</v>
      </c>
      <c r="C201">
        <v>3079</v>
      </c>
    </row>
    <row r="202" spans="1:3">
      <c r="A202" t="s">
        <v>802</v>
      </c>
      <c r="B202">
        <v>700</v>
      </c>
      <c r="C202">
        <v>3079</v>
      </c>
    </row>
    <row r="203" spans="1:3">
      <c r="A203" s="1" t="s">
        <v>802</v>
      </c>
      <c r="B203">
        <v>100</v>
      </c>
      <c r="C203">
        <v>3080</v>
      </c>
    </row>
    <row r="204" spans="1:3">
      <c r="A204" t="s">
        <v>803</v>
      </c>
      <c r="B204">
        <v>100</v>
      </c>
      <c r="C204">
        <v>3080</v>
      </c>
    </row>
    <row r="205" spans="1:3">
      <c r="A205" t="s">
        <v>804</v>
      </c>
      <c r="B205">
        <v>100</v>
      </c>
      <c r="C205">
        <v>3080</v>
      </c>
    </row>
    <row r="206" spans="1:3">
      <c r="A206" t="s">
        <v>804</v>
      </c>
      <c r="B206">
        <v>100</v>
      </c>
      <c r="C206">
        <v>3080</v>
      </c>
    </row>
    <row r="207" spans="1:3">
      <c r="A207" t="s">
        <v>804</v>
      </c>
      <c r="B207">
        <v>500</v>
      </c>
      <c r="C207">
        <v>3080</v>
      </c>
    </row>
    <row r="208" spans="1:3">
      <c r="A208" t="s">
        <v>804</v>
      </c>
      <c r="B208">
        <v>500</v>
      </c>
      <c r="C208">
        <v>3080</v>
      </c>
    </row>
    <row r="209" spans="1:3">
      <c r="A209" t="s">
        <v>804</v>
      </c>
      <c r="B209">
        <v>100</v>
      </c>
      <c r="C209">
        <v>3080</v>
      </c>
    </row>
    <row r="210" spans="1:3">
      <c r="A210" t="s">
        <v>804</v>
      </c>
      <c r="B210">
        <v>7700</v>
      </c>
      <c r="C210">
        <v>3080</v>
      </c>
    </row>
    <row r="211" spans="1:3">
      <c r="A211" t="s">
        <v>805</v>
      </c>
      <c r="B211">
        <v>100</v>
      </c>
      <c r="C211">
        <v>3081</v>
      </c>
    </row>
    <row r="212" spans="1:3">
      <c r="A212" t="s">
        <v>806</v>
      </c>
      <c r="B212">
        <v>4600</v>
      </c>
      <c r="C212">
        <v>3081</v>
      </c>
    </row>
    <row r="213" spans="1:3">
      <c r="A213" t="s">
        <v>806</v>
      </c>
      <c r="B213">
        <v>300</v>
      </c>
      <c r="C213">
        <v>3081</v>
      </c>
    </row>
    <row r="214" spans="1:3">
      <c r="A214" t="s">
        <v>806</v>
      </c>
      <c r="B214">
        <v>400</v>
      </c>
      <c r="C214">
        <v>3080</v>
      </c>
    </row>
    <row r="215" spans="1:3">
      <c r="A215" t="s">
        <v>807</v>
      </c>
      <c r="B215">
        <v>100</v>
      </c>
      <c r="C215">
        <v>3080</v>
      </c>
    </row>
    <row r="216" spans="1:3">
      <c r="A216" t="s">
        <v>807</v>
      </c>
      <c r="B216">
        <v>200</v>
      </c>
      <c r="C216">
        <v>3080</v>
      </c>
    </row>
    <row r="217" spans="1:3">
      <c r="A217" t="s">
        <v>808</v>
      </c>
      <c r="B217">
        <v>500</v>
      </c>
      <c r="C217">
        <v>3080</v>
      </c>
    </row>
    <row r="218" spans="1:3">
      <c r="A218" t="s">
        <v>809</v>
      </c>
      <c r="B218">
        <v>100</v>
      </c>
      <c r="C218">
        <v>3080</v>
      </c>
    </row>
    <row r="219" spans="1:3">
      <c r="A219" t="s">
        <v>810</v>
      </c>
      <c r="B219">
        <v>100</v>
      </c>
      <c r="C219">
        <v>3081</v>
      </c>
    </row>
    <row r="220" spans="1:3">
      <c r="A220" t="s">
        <v>810</v>
      </c>
      <c r="B220">
        <v>100</v>
      </c>
      <c r="C220">
        <v>3081</v>
      </c>
    </row>
    <row r="221" spans="1:3">
      <c r="A221" t="s">
        <v>811</v>
      </c>
      <c r="B221">
        <v>100</v>
      </c>
      <c r="C221">
        <v>3080</v>
      </c>
    </row>
    <row r="222" spans="1:3">
      <c r="A222" t="s">
        <v>812</v>
      </c>
      <c r="B222">
        <v>700</v>
      </c>
      <c r="C222">
        <v>3081</v>
      </c>
    </row>
    <row r="223" spans="1:3">
      <c r="A223" t="s">
        <v>812</v>
      </c>
      <c r="B223">
        <v>3100</v>
      </c>
      <c r="C223">
        <v>3081</v>
      </c>
    </row>
    <row r="224" spans="1:3">
      <c r="A224" t="s">
        <v>812</v>
      </c>
      <c r="B224">
        <v>700</v>
      </c>
      <c r="C224">
        <v>3081</v>
      </c>
    </row>
    <row r="225" spans="1:3">
      <c r="A225" t="s">
        <v>812</v>
      </c>
      <c r="B225">
        <v>6100</v>
      </c>
      <c r="C225">
        <v>3081</v>
      </c>
    </row>
    <row r="226" spans="1:3">
      <c r="A226" t="s">
        <v>812</v>
      </c>
      <c r="B226">
        <v>100</v>
      </c>
      <c r="C226">
        <v>3082</v>
      </c>
    </row>
    <row r="227" spans="1:3">
      <c r="A227" t="s">
        <v>813</v>
      </c>
      <c r="B227">
        <v>100</v>
      </c>
      <c r="C227">
        <v>3082</v>
      </c>
    </row>
    <row r="228" spans="1:3">
      <c r="A228" t="s">
        <v>814</v>
      </c>
      <c r="B228">
        <v>100</v>
      </c>
      <c r="C228">
        <v>3082</v>
      </c>
    </row>
    <row r="229" spans="1:3">
      <c r="A229" t="s">
        <v>815</v>
      </c>
      <c r="B229">
        <v>100</v>
      </c>
      <c r="C229">
        <v>3081</v>
      </c>
    </row>
    <row r="230" spans="1:3">
      <c r="A230" t="s">
        <v>816</v>
      </c>
      <c r="B230">
        <v>100</v>
      </c>
      <c r="C230">
        <v>3082</v>
      </c>
    </row>
    <row r="231" spans="1:3">
      <c r="A231" t="s">
        <v>816</v>
      </c>
      <c r="B231">
        <v>300</v>
      </c>
      <c r="C231">
        <v>3081</v>
      </c>
    </row>
    <row r="232" spans="1:3">
      <c r="A232" t="s">
        <v>817</v>
      </c>
      <c r="B232">
        <v>100</v>
      </c>
      <c r="C232">
        <v>3081</v>
      </c>
    </row>
    <row r="233" spans="1:3">
      <c r="A233" t="s">
        <v>817</v>
      </c>
      <c r="B233">
        <v>100</v>
      </c>
      <c r="C233">
        <v>3082</v>
      </c>
    </row>
    <row r="234" spans="1:3">
      <c r="A234" t="s">
        <v>818</v>
      </c>
      <c r="B234">
        <v>100</v>
      </c>
      <c r="C234">
        <v>3082</v>
      </c>
    </row>
    <row r="235" spans="1:3">
      <c r="A235" t="s">
        <v>819</v>
      </c>
      <c r="B235">
        <v>200</v>
      </c>
      <c r="C235">
        <v>3081</v>
      </c>
    </row>
    <row r="236" spans="1:3">
      <c r="A236" t="s">
        <v>819</v>
      </c>
      <c r="B236">
        <v>300</v>
      </c>
      <c r="C236">
        <v>3081</v>
      </c>
    </row>
    <row r="237" spans="1:3">
      <c r="A237" t="s">
        <v>819</v>
      </c>
      <c r="B237">
        <v>400</v>
      </c>
      <c r="C237">
        <v>3081</v>
      </c>
    </row>
    <row r="238" spans="1:3">
      <c r="A238" t="s">
        <v>819</v>
      </c>
      <c r="B238">
        <v>1200</v>
      </c>
      <c r="C238">
        <v>3081</v>
      </c>
    </row>
    <row r="239" spans="1:3">
      <c r="A239" t="s">
        <v>819</v>
      </c>
      <c r="B239">
        <v>7500</v>
      </c>
      <c r="C239">
        <v>3081</v>
      </c>
    </row>
    <row r="240" spans="1:3">
      <c r="A240" t="s">
        <v>819</v>
      </c>
      <c r="B240">
        <v>100</v>
      </c>
      <c r="C240">
        <v>3082</v>
      </c>
    </row>
    <row r="241" spans="1:3">
      <c r="A241" t="s">
        <v>820</v>
      </c>
      <c r="B241">
        <v>100</v>
      </c>
      <c r="C241">
        <v>3082</v>
      </c>
    </row>
    <row r="242" spans="1:3">
      <c r="A242" t="s">
        <v>820</v>
      </c>
      <c r="B242">
        <v>300</v>
      </c>
      <c r="C242">
        <v>3081</v>
      </c>
    </row>
    <row r="243" spans="1:3">
      <c r="A243" t="s">
        <v>821</v>
      </c>
      <c r="B243">
        <v>100</v>
      </c>
      <c r="C243">
        <v>3081</v>
      </c>
    </row>
    <row r="244" spans="1:3">
      <c r="A244" t="s">
        <v>821</v>
      </c>
      <c r="B244">
        <v>100</v>
      </c>
      <c r="C244">
        <v>3082</v>
      </c>
    </row>
    <row r="245" spans="1:3">
      <c r="A245" t="s">
        <v>822</v>
      </c>
      <c r="B245">
        <v>100</v>
      </c>
      <c r="C245">
        <v>3082</v>
      </c>
    </row>
    <row r="246" spans="1:3">
      <c r="A246" t="s">
        <v>822</v>
      </c>
      <c r="B246">
        <v>100</v>
      </c>
      <c r="C246">
        <v>3081</v>
      </c>
    </row>
    <row r="247" spans="1:3">
      <c r="A247" t="s">
        <v>823</v>
      </c>
      <c r="B247">
        <v>300</v>
      </c>
      <c r="C247">
        <v>3082</v>
      </c>
    </row>
    <row r="248" spans="1:3">
      <c r="A248" t="s">
        <v>823</v>
      </c>
      <c r="B248">
        <v>100</v>
      </c>
      <c r="C248">
        <v>3081</v>
      </c>
    </row>
    <row r="249" spans="1:3">
      <c r="A249" t="s">
        <v>824</v>
      </c>
      <c r="B249">
        <v>100</v>
      </c>
      <c r="C249">
        <v>3082</v>
      </c>
    </row>
    <row r="250" spans="1:3">
      <c r="A250" t="s">
        <v>825</v>
      </c>
      <c r="B250">
        <v>600</v>
      </c>
      <c r="C250">
        <v>3081</v>
      </c>
    </row>
    <row r="251" spans="1:3">
      <c r="A251" t="s">
        <v>825</v>
      </c>
      <c r="B251">
        <v>100</v>
      </c>
      <c r="C251">
        <v>3082</v>
      </c>
    </row>
    <row r="252" spans="1:3">
      <c r="A252" t="s">
        <v>826</v>
      </c>
      <c r="B252">
        <v>100</v>
      </c>
      <c r="C252">
        <v>3082</v>
      </c>
    </row>
    <row r="253" spans="1:3">
      <c r="A253" t="s">
        <v>826</v>
      </c>
      <c r="B253">
        <v>100</v>
      </c>
      <c r="C253">
        <v>3082</v>
      </c>
    </row>
    <row r="254" spans="1:3">
      <c r="A254" t="s">
        <v>826</v>
      </c>
      <c r="B254">
        <v>800</v>
      </c>
      <c r="C254">
        <v>3081</v>
      </c>
    </row>
    <row r="255" spans="1:3">
      <c r="A255" t="s">
        <v>826</v>
      </c>
      <c r="B255">
        <v>300</v>
      </c>
      <c r="C255">
        <v>3081</v>
      </c>
    </row>
    <row r="256" spans="1:3">
      <c r="A256" t="s">
        <v>827</v>
      </c>
      <c r="B256">
        <v>100</v>
      </c>
      <c r="C256">
        <v>3082</v>
      </c>
    </row>
    <row r="257" spans="1:3">
      <c r="A257" t="s">
        <v>828</v>
      </c>
      <c r="B257">
        <v>100</v>
      </c>
      <c r="C257">
        <v>3081</v>
      </c>
    </row>
    <row r="258" spans="1:3">
      <c r="A258" t="s">
        <v>829</v>
      </c>
      <c r="B258">
        <v>1300</v>
      </c>
      <c r="C258">
        <v>3081</v>
      </c>
    </row>
    <row r="259" spans="1:3">
      <c r="A259" t="s">
        <v>829</v>
      </c>
      <c r="B259">
        <v>300</v>
      </c>
      <c r="C259">
        <v>3081</v>
      </c>
    </row>
    <row r="260" spans="1:3">
      <c r="A260" t="s">
        <v>830</v>
      </c>
      <c r="B260">
        <v>100</v>
      </c>
      <c r="C260">
        <v>3082</v>
      </c>
    </row>
    <row r="261" spans="1:3">
      <c r="A261" t="s">
        <v>831</v>
      </c>
      <c r="B261">
        <v>100</v>
      </c>
      <c r="C261">
        <v>3082</v>
      </c>
    </row>
    <row r="262" spans="1:3">
      <c r="A262" t="s">
        <v>831</v>
      </c>
      <c r="B262">
        <v>100</v>
      </c>
      <c r="C262">
        <v>3082</v>
      </c>
    </row>
    <row r="263" spans="1:3">
      <c r="A263" t="s">
        <v>832</v>
      </c>
      <c r="B263">
        <v>100</v>
      </c>
      <c r="C263">
        <v>3081</v>
      </c>
    </row>
    <row r="264" spans="1:3">
      <c r="A264" t="s">
        <v>833</v>
      </c>
      <c r="B264">
        <v>100</v>
      </c>
      <c r="C264">
        <v>3082</v>
      </c>
    </row>
    <row r="265" spans="1:3">
      <c r="A265" t="s">
        <v>834</v>
      </c>
      <c r="B265">
        <v>100</v>
      </c>
      <c r="C265">
        <v>3082</v>
      </c>
    </row>
    <row r="266" spans="1:3">
      <c r="A266" t="s">
        <v>834</v>
      </c>
      <c r="B266">
        <v>100</v>
      </c>
      <c r="C266">
        <v>3082</v>
      </c>
    </row>
    <row r="267" spans="1:3">
      <c r="A267" t="s">
        <v>835</v>
      </c>
      <c r="B267">
        <v>100</v>
      </c>
      <c r="C267">
        <v>3081</v>
      </c>
    </row>
    <row r="268" spans="1:3">
      <c r="A268" t="s">
        <v>835</v>
      </c>
      <c r="B268">
        <v>300</v>
      </c>
      <c r="C268">
        <v>3082</v>
      </c>
    </row>
    <row r="269" spans="1:3">
      <c r="A269" t="s">
        <v>835</v>
      </c>
      <c r="B269">
        <v>100</v>
      </c>
      <c r="C269">
        <v>3082</v>
      </c>
    </row>
    <row r="270" spans="1:3">
      <c r="A270" t="s">
        <v>836</v>
      </c>
      <c r="B270">
        <v>100</v>
      </c>
      <c r="C270">
        <v>3081</v>
      </c>
    </row>
    <row r="271" spans="1:3">
      <c r="A271" t="s">
        <v>837</v>
      </c>
      <c r="B271">
        <v>100</v>
      </c>
      <c r="C271">
        <v>3082</v>
      </c>
    </row>
    <row r="272" spans="1:3">
      <c r="A272" t="s">
        <v>838</v>
      </c>
      <c r="B272">
        <v>100</v>
      </c>
      <c r="C272">
        <v>3081</v>
      </c>
    </row>
    <row r="273" spans="1:3">
      <c r="A273" t="s">
        <v>839</v>
      </c>
      <c r="B273">
        <v>100</v>
      </c>
      <c r="C273">
        <v>3082</v>
      </c>
    </row>
    <row r="274" spans="1:3">
      <c r="A274" t="s">
        <v>840</v>
      </c>
      <c r="B274">
        <v>100</v>
      </c>
      <c r="C274">
        <v>3081</v>
      </c>
    </row>
    <row r="275" spans="1:3">
      <c r="A275" t="s">
        <v>841</v>
      </c>
      <c r="B275">
        <v>100</v>
      </c>
      <c r="C275">
        <v>3082</v>
      </c>
    </row>
    <row r="276" spans="1:3">
      <c r="A276" t="s">
        <v>841</v>
      </c>
      <c r="B276">
        <v>700</v>
      </c>
      <c r="C276">
        <v>3081</v>
      </c>
    </row>
    <row r="277" spans="1:3">
      <c r="A277" t="s">
        <v>842</v>
      </c>
      <c r="B277">
        <v>1000</v>
      </c>
      <c r="C277">
        <v>3081</v>
      </c>
    </row>
    <row r="278" spans="1:3">
      <c r="A278" t="s">
        <v>843</v>
      </c>
      <c r="B278">
        <v>100</v>
      </c>
      <c r="C278">
        <v>3081</v>
      </c>
    </row>
    <row r="279" spans="1:3">
      <c r="A279" t="s">
        <v>844</v>
      </c>
      <c r="B279">
        <v>100</v>
      </c>
      <c r="C279">
        <v>3081</v>
      </c>
    </row>
    <row r="280" spans="1:3">
      <c r="A280" t="s">
        <v>845</v>
      </c>
      <c r="B280">
        <v>200</v>
      </c>
      <c r="C280">
        <v>3082</v>
      </c>
    </row>
    <row r="281" spans="1:3">
      <c r="A281" t="s">
        <v>845</v>
      </c>
      <c r="B281">
        <v>100</v>
      </c>
      <c r="C281">
        <v>3082</v>
      </c>
    </row>
    <row r="282" spans="1:3">
      <c r="A282" t="s">
        <v>846</v>
      </c>
      <c r="B282">
        <v>100</v>
      </c>
      <c r="C282">
        <v>3082</v>
      </c>
    </row>
    <row r="283" spans="1:3">
      <c r="A283" t="s">
        <v>847</v>
      </c>
      <c r="B283">
        <v>100</v>
      </c>
      <c r="C283">
        <v>3082</v>
      </c>
    </row>
    <row r="284" spans="1:3">
      <c r="A284" t="s">
        <v>847</v>
      </c>
      <c r="B284">
        <v>100</v>
      </c>
      <c r="C284">
        <v>3082</v>
      </c>
    </row>
    <row r="285" spans="1:3">
      <c r="A285" t="s">
        <v>847</v>
      </c>
      <c r="B285">
        <v>3500</v>
      </c>
      <c r="C285">
        <v>3081</v>
      </c>
    </row>
    <row r="286" spans="1:3">
      <c r="A286" t="s">
        <v>847</v>
      </c>
      <c r="B286">
        <v>24100</v>
      </c>
      <c r="C286">
        <v>3081</v>
      </c>
    </row>
    <row r="287" spans="1:3">
      <c r="A287" t="s">
        <v>848</v>
      </c>
      <c r="B287">
        <v>300</v>
      </c>
      <c r="C287">
        <v>3081</v>
      </c>
    </row>
    <row r="288" spans="1:3">
      <c r="A288" t="s">
        <v>848</v>
      </c>
      <c r="B288">
        <v>3300</v>
      </c>
      <c r="C288">
        <v>3080</v>
      </c>
    </row>
    <row r="289" spans="1:3">
      <c r="A289" t="s">
        <v>849</v>
      </c>
      <c r="B289">
        <v>100</v>
      </c>
      <c r="C289">
        <v>3081</v>
      </c>
    </row>
    <row r="290" spans="1:3">
      <c r="A290" t="s">
        <v>850</v>
      </c>
      <c r="B290">
        <v>100</v>
      </c>
      <c r="C290">
        <v>3081</v>
      </c>
    </row>
    <row r="291" spans="1:3">
      <c r="A291" t="s">
        <v>851</v>
      </c>
      <c r="B291">
        <v>100</v>
      </c>
      <c r="C291">
        <v>3080</v>
      </c>
    </row>
    <row r="292" spans="1:3">
      <c r="A292" t="s">
        <v>852</v>
      </c>
      <c r="B292">
        <v>600</v>
      </c>
      <c r="C292">
        <v>3080</v>
      </c>
    </row>
    <row r="293" spans="1:3">
      <c r="A293" t="s">
        <v>853</v>
      </c>
      <c r="B293">
        <v>100</v>
      </c>
      <c r="C293">
        <v>3081</v>
      </c>
    </row>
    <row r="294" spans="1:3">
      <c r="A294" t="s">
        <v>853</v>
      </c>
      <c r="B294">
        <v>100</v>
      </c>
      <c r="C294">
        <v>3081</v>
      </c>
    </row>
    <row r="295" spans="1:3">
      <c r="A295" t="s">
        <v>854</v>
      </c>
      <c r="B295">
        <v>100</v>
      </c>
      <c r="C295">
        <v>3080</v>
      </c>
    </row>
    <row r="296" spans="1:3">
      <c r="A296" t="s">
        <v>854</v>
      </c>
      <c r="B296">
        <v>200</v>
      </c>
      <c r="C296">
        <v>3080</v>
      </c>
    </row>
    <row r="297" spans="1:3">
      <c r="A297" t="s">
        <v>855</v>
      </c>
      <c r="B297">
        <v>500</v>
      </c>
      <c r="C297">
        <v>3080</v>
      </c>
    </row>
    <row r="298" spans="1:3">
      <c r="A298" t="s">
        <v>856</v>
      </c>
      <c r="B298">
        <v>400</v>
      </c>
      <c r="C298">
        <v>3080</v>
      </c>
    </row>
    <row r="299" spans="1:3">
      <c r="A299" t="s">
        <v>857</v>
      </c>
      <c r="B299">
        <v>100</v>
      </c>
      <c r="C299">
        <v>3080</v>
      </c>
    </row>
    <row r="300" spans="1:3">
      <c r="A300" t="s">
        <v>857</v>
      </c>
      <c r="B300">
        <v>2100</v>
      </c>
      <c r="C300">
        <v>3080</v>
      </c>
    </row>
    <row r="301" spans="1:3">
      <c r="A301" t="s">
        <v>857</v>
      </c>
      <c r="B301">
        <v>800</v>
      </c>
      <c r="C301">
        <v>3080</v>
      </c>
    </row>
    <row r="302" spans="1:3">
      <c r="A302" t="s">
        <v>857</v>
      </c>
      <c r="B302">
        <v>400</v>
      </c>
      <c r="C302">
        <v>3080</v>
      </c>
    </row>
    <row r="303" spans="1:3">
      <c r="A303" s="1" t="s">
        <v>64</v>
      </c>
      <c r="B303" s="1" t="s">
        <v>64</v>
      </c>
      <c r="C303" s="1" t="s">
        <v>64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F430-9EC9-40D5-86C4-2E10FA771AAA}">
  <dimension ref="B3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3" spans="2:5">
      <c r="B3" s="1"/>
      <c r="C3" s="1"/>
      <c r="D3" s="1"/>
      <c r="E3" s="1"/>
    </row>
    <row r="4" spans="2:5">
      <c r="B4" s="1"/>
    </row>
    <row r="5" spans="2:5">
      <c r="B5" s="1"/>
      <c r="C5" s="1"/>
      <c r="D5" s="1"/>
      <c r="E5" s="1"/>
    </row>
    <row r="6" spans="2:5">
      <c r="B6" s="1"/>
      <c r="C6" s="1"/>
      <c r="D6" s="1"/>
      <c r="E6" s="1"/>
    </row>
    <row r="9" spans="2:5">
      <c r="C9" s="1"/>
      <c r="D9" s="1"/>
      <c r="E9" s="1"/>
    </row>
    <row r="12" spans="2:5">
      <c r="C12" s="1"/>
      <c r="D12" s="1"/>
      <c r="E12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040-2826-446F-BF14-09F2551ECC8E}">
  <dimension ref="A1:K2"/>
  <sheetViews>
    <sheetView tabSelected="1" workbookViewId="0">
      <selection activeCell="J11" sqref="J11"/>
    </sheetView>
  </sheetViews>
  <sheetFormatPr defaultRowHeight="18.75"/>
  <cols>
    <col min="4" max="4" width="12.875" customWidth="1"/>
  </cols>
  <sheetData>
    <row r="1" spans="1:11">
      <c r="A1" t="s">
        <v>82</v>
      </c>
      <c r="B1" t="s">
        <v>83</v>
      </c>
      <c r="C1" t="s">
        <v>504</v>
      </c>
      <c r="D1" t="s">
        <v>879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1">
      <c r="A2">
        <v>7203</v>
      </c>
      <c r="B2">
        <v>2996.8</v>
      </c>
      <c r="C2" s="9">
        <v>46271</v>
      </c>
      <c r="D2" s="10">
        <v>0.7368055555555556</v>
      </c>
    </row>
  </sheetData>
  <phoneticPr fontId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F7B6-AADD-404D-80E3-63A05F925972}">
  <dimension ref="A1:F15"/>
  <sheetViews>
    <sheetView workbookViewId="0">
      <selection activeCell="D8" sqref="D8"/>
    </sheetView>
  </sheetViews>
  <sheetFormatPr defaultRowHeight="18.75"/>
  <cols>
    <col min="3" max="3" width="12.25" customWidth="1"/>
    <col min="5" max="5" width="10.75" customWidth="1"/>
    <col min="6" max="6" width="20.875" customWidth="1"/>
  </cols>
  <sheetData>
    <row r="1" spans="1:6">
      <c r="A1" t="s">
        <v>81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</row>
    <row r="5" spans="1:6">
      <c r="A5" s="1">
        <v>1</v>
      </c>
      <c r="B5" s="1" t="s">
        <v>65</v>
      </c>
      <c r="C5" s="1" t="s">
        <v>66</v>
      </c>
      <c r="D5" s="1" t="s">
        <v>67</v>
      </c>
      <c r="E5" s="1" t="s">
        <v>34</v>
      </c>
      <c r="F5" s="1" t="s">
        <v>68</v>
      </c>
    </row>
    <row r="6" spans="1:6">
      <c r="A6" s="1">
        <v>2</v>
      </c>
      <c r="B6" s="1" t="s">
        <v>65</v>
      </c>
      <c r="C6" s="1" t="s">
        <v>66</v>
      </c>
      <c r="D6" s="1" t="s">
        <v>69</v>
      </c>
      <c r="E6" s="1">
        <v>54053073</v>
      </c>
      <c r="F6" s="1" t="s">
        <v>70</v>
      </c>
    </row>
    <row r="8" spans="1:6" s="3" customFormat="1">
      <c r="A8" s="4">
        <v>344</v>
      </c>
      <c r="B8" s="4" t="s">
        <v>198</v>
      </c>
      <c r="C8" s="4" t="s">
        <v>200</v>
      </c>
      <c r="D8" s="4" t="s">
        <v>201</v>
      </c>
      <c r="E8" s="4" t="s">
        <v>47</v>
      </c>
      <c r="F8" s="4" t="s">
        <v>202</v>
      </c>
    </row>
    <row r="9" spans="1:6" s="3" customFormat="1">
      <c r="A9" s="3">
        <v>345</v>
      </c>
      <c r="B9" s="3" t="s">
        <v>198</v>
      </c>
      <c r="C9" s="3" t="s">
        <v>200</v>
      </c>
      <c r="D9" s="3" t="s">
        <v>203</v>
      </c>
      <c r="E9" s="3" t="s">
        <v>47</v>
      </c>
      <c r="F9" s="3" t="s">
        <v>204</v>
      </c>
    </row>
    <row r="10" spans="1:6" s="3" customFormat="1">
      <c r="A10" s="3">
        <v>351</v>
      </c>
      <c r="B10" s="3" t="s">
        <v>198</v>
      </c>
      <c r="C10" s="3" t="s">
        <v>200</v>
      </c>
      <c r="D10" s="3" t="s">
        <v>205</v>
      </c>
      <c r="E10" s="3" t="s">
        <v>47</v>
      </c>
      <c r="F10" s="3" t="s">
        <v>206</v>
      </c>
    </row>
    <row r="11" spans="1:6" s="3" customFormat="1">
      <c r="A11" s="3">
        <v>352</v>
      </c>
      <c r="B11" s="3" t="s">
        <v>198</v>
      </c>
      <c r="C11" s="3" t="s">
        <v>200</v>
      </c>
      <c r="D11" s="3" t="s">
        <v>207</v>
      </c>
      <c r="E11" s="3" t="s">
        <v>47</v>
      </c>
      <c r="F11" s="3" t="s">
        <v>206</v>
      </c>
    </row>
    <row r="12" spans="1:6" s="3" customFormat="1" ht="112.5">
      <c r="A12" s="4">
        <v>353</v>
      </c>
      <c r="B12" s="4" t="s">
        <v>197</v>
      </c>
      <c r="C12" s="4" t="s">
        <v>199</v>
      </c>
      <c r="D12" s="4" t="s">
        <v>208</v>
      </c>
      <c r="E12" s="4" t="s">
        <v>34</v>
      </c>
      <c r="F12" s="5" t="s">
        <v>209</v>
      </c>
    </row>
    <row r="13" spans="1:6" s="3" customFormat="1">
      <c r="A13" s="4">
        <v>354</v>
      </c>
      <c r="B13" s="4" t="s">
        <v>197</v>
      </c>
      <c r="C13" s="4" t="s">
        <v>199</v>
      </c>
      <c r="D13" s="4" t="s">
        <v>210</v>
      </c>
      <c r="E13" s="4">
        <v>51051621</v>
      </c>
      <c r="F13" s="4" t="s">
        <v>70</v>
      </c>
    </row>
    <row r="14" spans="1:6" s="3" customFormat="1">
      <c r="A14" s="4">
        <v>355</v>
      </c>
      <c r="B14" s="4" t="s">
        <v>197</v>
      </c>
      <c r="C14" s="4" t="s">
        <v>199</v>
      </c>
      <c r="D14" s="4" t="s">
        <v>459</v>
      </c>
      <c r="E14" s="4">
        <v>51051926</v>
      </c>
      <c r="F14" s="4" t="s">
        <v>70</v>
      </c>
    </row>
    <row r="15" spans="1:6" s="3" customFormat="1">
      <c r="A15" s="4">
        <v>357</v>
      </c>
      <c r="B15" s="4" t="s">
        <v>197</v>
      </c>
      <c r="C15" s="4" t="s">
        <v>199</v>
      </c>
      <c r="D15" s="4" t="s">
        <v>464</v>
      </c>
      <c r="E15" s="4">
        <v>51053912</v>
      </c>
      <c r="F15" s="4" t="s">
        <v>70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9"/>
  <sheetViews>
    <sheetView workbookViewId="0">
      <selection activeCell="D8" sqref="D8"/>
    </sheetView>
  </sheetViews>
  <sheetFormatPr defaultRowHeight="18.75"/>
  <cols>
    <col min="1" max="1" width="9" style="3"/>
    <col min="2" max="2" width="35" style="3" customWidth="1"/>
    <col min="3" max="3" width="22.25" style="3" customWidth="1"/>
    <col min="4" max="4" width="9" style="3"/>
    <col min="5" max="5" width="11" style="3" customWidth="1"/>
    <col min="6" max="6" width="71" style="3" customWidth="1"/>
    <col min="7" max="16384" width="9" style="3"/>
  </cols>
  <sheetData>
    <row r="1" spans="1:6">
      <c r="A1" s="3" t="s">
        <v>81</v>
      </c>
    </row>
    <row r="2" spans="1:6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>
      <c r="A3" s="4">
        <v>5480</v>
      </c>
      <c r="B3" s="4" t="s">
        <v>523</v>
      </c>
      <c r="C3" s="6">
        <v>46261</v>
      </c>
      <c r="D3" s="7">
        <v>0.56745370370370374</v>
      </c>
      <c r="E3" s="4">
        <v>15480</v>
      </c>
      <c r="F3" s="4" t="s">
        <v>70</v>
      </c>
    </row>
    <row r="4" spans="1:6">
      <c r="A4" s="4">
        <v>5490</v>
      </c>
      <c r="B4" s="4" t="s">
        <v>523</v>
      </c>
      <c r="C4" s="6">
        <v>46261</v>
      </c>
      <c r="D4" s="7">
        <v>0.56777777777777783</v>
      </c>
      <c r="E4" s="4">
        <v>15490</v>
      </c>
      <c r="F4" s="4" t="s">
        <v>70</v>
      </c>
    </row>
    <row r="5" spans="1:6">
      <c r="A5" s="4">
        <v>5500</v>
      </c>
      <c r="B5" s="4" t="s">
        <v>523</v>
      </c>
      <c r="C5" s="6">
        <v>46261</v>
      </c>
      <c r="D5" s="7">
        <v>0.61312500000000003</v>
      </c>
      <c r="E5" s="4">
        <v>15500</v>
      </c>
      <c r="F5" s="4" t="s">
        <v>70</v>
      </c>
    </row>
    <row r="6" spans="1:6">
      <c r="A6" s="4">
        <v>190</v>
      </c>
      <c r="B6" s="4" t="s">
        <v>523</v>
      </c>
      <c r="C6" s="6">
        <v>46268</v>
      </c>
      <c r="D6" s="7">
        <v>0.75078703703703709</v>
      </c>
      <c r="E6" s="4">
        <v>10190</v>
      </c>
      <c r="F6" s="4" t="s">
        <v>70</v>
      </c>
    </row>
    <row r="7" spans="1:6">
      <c r="A7" s="4">
        <v>200</v>
      </c>
      <c r="B7" s="4" t="s">
        <v>523</v>
      </c>
      <c r="C7" s="6">
        <v>46268</v>
      </c>
      <c r="D7" s="7">
        <v>0.86019675925925931</v>
      </c>
      <c r="E7" s="4">
        <v>10200</v>
      </c>
      <c r="F7" s="4" t="s">
        <v>70</v>
      </c>
    </row>
    <row r="8" spans="1:6">
      <c r="A8" s="4">
        <v>210</v>
      </c>
      <c r="B8" s="4" t="s">
        <v>523</v>
      </c>
      <c r="C8" s="6">
        <v>46268</v>
      </c>
      <c r="D8" s="7">
        <v>0.864375</v>
      </c>
      <c r="E8" s="4">
        <v>10210</v>
      </c>
      <c r="F8" s="4" t="s">
        <v>70</v>
      </c>
    </row>
    <row r="9" spans="1:6">
      <c r="A9" s="4">
        <v>220</v>
      </c>
      <c r="B9" s="4" t="s">
        <v>523</v>
      </c>
      <c r="C9" s="6">
        <v>46268</v>
      </c>
      <c r="D9" s="7">
        <v>0.86950231481481477</v>
      </c>
      <c r="E9" s="4">
        <v>10220</v>
      </c>
      <c r="F9" s="4" t="s">
        <v>70</v>
      </c>
    </row>
    <row r="10" spans="1:6">
      <c r="A10" s="4">
        <v>230</v>
      </c>
      <c r="B10" s="4" t="s">
        <v>523</v>
      </c>
      <c r="C10" s="6">
        <v>46268</v>
      </c>
      <c r="D10" s="7">
        <v>0.93927083333333339</v>
      </c>
      <c r="E10" s="4">
        <v>10230</v>
      </c>
      <c r="F10" s="4" t="s">
        <v>70</v>
      </c>
    </row>
    <row r="11" spans="1:6">
      <c r="A11" s="4">
        <v>240</v>
      </c>
      <c r="B11" s="4" t="s">
        <v>523</v>
      </c>
      <c r="C11" s="6">
        <v>46268</v>
      </c>
      <c r="D11" s="7">
        <v>0.95758101851851851</v>
      </c>
      <c r="E11" s="4">
        <v>10240</v>
      </c>
      <c r="F11" s="4" t="s">
        <v>70</v>
      </c>
    </row>
    <row r="12" spans="1:6">
      <c r="A12" s="4">
        <v>250</v>
      </c>
      <c r="B12" s="4" t="s">
        <v>523</v>
      </c>
      <c r="C12" s="6">
        <v>46268</v>
      </c>
      <c r="D12" s="7">
        <v>0.96586805555555555</v>
      </c>
      <c r="E12" s="4">
        <v>10250</v>
      </c>
      <c r="F12" s="4" t="s">
        <v>70</v>
      </c>
    </row>
    <row r="13" spans="1:6">
      <c r="A13" s="4">
        <v>1380</v>
      </c>
      <c r="B13" s="4" t="s">
        <v>523</v>
      </c>
      <c r="C13" s="6">
        <v>46271</v>
      </c>
      <c r="D13" s="7">
        <v>0.73054398148148147</v>
      </c>
      <c r="E13" s="4">
        <v>11380</v>
      </c>
      <c r="F13" s="4" t="s">
        <v>70</v>
      </c>
    </row>
    <row r="14" spans="1:6">
      <c r="A14" s="4">
        <v>1390</v>
      </c>
      <c r="B14" s="4" t="s">
        <v>523</v>
      </c>
      <c r="C14" s="6">
        <v>46271</v>
      </c>
      <c r="D14" s="7">
        <v>0.73105324074074074</v>
      </c>
      <c r="E14" s="4">
        <v>11390</v>
      </c>
      <c r="F14" s="4" t="s">
        <v>70</v>
      </c>
    </row>
    <row r="15" spans="1:6">
      <c r="A15" s="4">
        <v>1400</v>
      </c>
      <c r="B15" s="4" t="s">
        <v>523</v>
      </c>
      <c r="C15" s="6">
        <v>46271</v>
      </c>
      <c r="D15" s="7">
        <v>0.73313657407407407</v>
      </c>
      <c r="E15" s="4">
        <v>11400</v>
      </c>
      <c r="F15" s="4" t="s">
        <v>70</v>
      </c>
    </row>
    <row r="16" spans="1:6">
      <c r="A16" s="4">
        <v>1410</v>
      </c>
      <c r="B16" s="4" t="s">
        <v>523</v>
      </c>
      <c r="C16" s="6">
        <v>46271</v>
      </c>
      <c r="D16" s="7">
        <v>0.73365740740740737</v>
      </c>
      <c r="E16" s="4">
        <v>11410</v>
      </c>
      <c r="F16" s="4" t="s">
        <v>70</v>
      </c>
    </row>
    <row r="17" spans="1:6">
      <c r="A17" s="4">
        <v>1420</v>
      </c>
      <c r="B17" s="4" t="s">
        <v>523</v>
      </c>
      <c r="C17" s="6">
        <v>46271</v>
      </c>
      <c r="D17" s="7">
        <v>0.73643518518518514</v>
      </c>
      <c r="E17" s="4">
        <v>11420</v>
      </c>
      <c r="F17" s="4" t="s">
        <v>70</v>
      </c>
    </row>
    <row r="18" spans="1:6">
      <c r="A18" s="4">
        <v>1430</v>
      </c>
      <c r="B18" s="4" t="s">
        <v>523</v>
      </c>
      <c r="C18" s="6">
        <v>46271</v>
      </c>
      <c r="D18" s="7">
        <v>0.73682870370370368</v>
      </c>
      <c r="E18" s="4">
        <v>11430</v>
      </c>
      <c r="F18" s="4" t="s">
        <v>70</v>
      </c>
    </row>
    <row r="19" spans="1:6">
      <c r="A19" s="4" t="s">
        <v>64</v>
      </c>
      <c r="B19" s="4" t="s">
        <v>64</v>
      </c>
      <c r="C19" s="4" t="s">
        <v>64</v>
      </c>
      <c r="D19" s="4" t="s">
        <v>64</v>
      </c>
      <c r="E19" s="4" t="s">
        <v>64</v>
      </c>
      <c r="F19" s="4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18"/>
  <sheetViews>
    <sheetView workbookViewId="0">
      <selection activeCell="D8" sqref="D8"/>
    </sheetView>
  </sheetViews>
  <sheetFormatPr defaultRowHeight="18.75"/>
  <cols>
    <col min="1" max="1" width="14.875" customWidth="1"/>
    <col min="3" max="3" width="14" customWidth="1"/>
    <col min="12" max="12" width="17.37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15480</v>
      </c>
      <c r="B3" s="1" t="s">
        <v>524</v>
      </c>
      <c r="C3" s="1" t="s">
        <v>525</v>
      </c>
      <c r="D3" s="1"/>
      <c r="E3" s="1"/>
      <c r="F3" s="1">
        <v>7203</v>
      </c>
      <c r="G3" s="1" t="s">
        <v>526</v>
      </c>
      <c r="H3" s="1" t="s">
        <v>36</v>
      </c>
      <c r="I3" s="1"/>
      <c r="J3" s="1" t="s">
        <v>38</v>
      </c>
      <c r="K3" s="1" t="s">
        <v>528</v>
      </c>
      <c r="L3" s="8">
        <v>46261.567453703705</v>
      </c>
      <c r="M3" s="1" t="s">
        <v>42</v>
      </c>
      <c r="N3" s="1" t="s">
        <v>527</v>
      </c>
      <c r="O3" s="1" t="s">
        <v>214</v>
      </c>
      <c r="P3" s="1">
        <v>20260827</v>
      </c>
      <c r="Q3" s="1">
        <v>100</v>
      </c>
      <c r="R3" s="1">
        <v>100</v>
      </c>
      <c r="S3" s="1">
        <v>2997.5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>
        <v>15490</v>
      </c>
      <c r="B4" s="1" t="s">
        <v>524</v>
      </c>
      <c r="C4" s="1" t="s">
        <v>525</v>
      </c>
      <c r="D4" s="1"/>
      <c r="E4" s="1"/>
      <c r="F4" s="1">
        <v>7203</v>
      </c>
      <c r="G4" s="1" t="s">
        <v>526</v>
      </c>
      <c r="H4" s="1" t="s">
        <v>36</v>
      </c>
      <c r="I4" s="1"/>
      <c r="J4" s="1" t="s">
        <v>38</v>
      </c>
      <c r="K4" s="1" t="s">
        <v>528</v>
      </c>
      <c r="L4" s="8">
        <v>46261.567777777775</v>
      </c>
      <c r="M4" s="1" t="s">
        <v>529</v>
      </c>
      <c r="N4" s="1" t="s">
        <v>530</v>
      </c>
      <c r="O4" s="1" t="s">
        <v>214</v>
      </c>
      <c r="P4" s="1">
        <v>20260827</v>
      </c>
      <c r="Q4" s="1">
        <v>100</v>
      </c>
      <c r="R4" s="1">
        <v>100</v>
      </c>
      <c r="S4" s="1">
        <v>2998.4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15500</v>
      </c>
      <c r="B5" s="1" t="s">
        <v>524</v>
      </c>
      <c r="C5" s="1" t="s">
        <v>525</v>
      </c>
      <c r="D5" s="1"/>
      <c r="E5" s="1"/>
      <c r="F5" s="1">
        <v>7203</v>
      </c>
      <c r="G5" s="1" t="s">
        <v>526</v>
      </c>
      <c r="H5" s="1" t="s">
        <v>36</v>
      </c>
      <c r="I5" s="1"/>
      <c r="J5" s="1" t="s">
        <v>38</v>
      </c>
      <c r="K5" s="1" t="s">
        <v>528</v>
      </c>
      <c r="L5" s="8">
        <v>46261.613125000003</v>
      </c>
      <c r="M5" s="1" t="s">
        <v>42</v>
      </c>
      <c r="N5" s="1" t="s">
        <v>527</v>
      </c>
      <c r="O5" s="1" t="s">
        <v>214</v>
      </c>
      <c r="P5" s="1">
        <v>20260827</v>
      </c>
      <c r="Q5" s="1">
        <v>100</v>
      </c>
      <c r="R5" s="1">
        <v>100</v>
      </c>
      <c r="S5" s="1">
        <v>2997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1">
        <v>10190</v>
      </c>
      <c r="B6" s="1" t="s">
        <v>524</v>
      </c>
      <c r="C6" s="1" t="s">
        <v>525</v>
      </c>
      <c r="D6" s="1"/>
      <c r="E6" s="1"/>
      <c r="F6" s="1">
        <v>7203</v>
      </c>
      <c r="G6" s="1" t="s">
        <v>526</v>
      </c>
      <c r="H6" s="1" t="s">
        <v>36</v>
      </c>
      <c r="I6" s="1"/>
      <c r="J6" s="1" t="s">
        <v>38</v>
      </c>
      <c r="K6" s="1" t="s">
        <v>528</v>
      </c>
      <c r="L6" s="8">
        <v>46268.750798611109</v>
      </c>
      <c r="M6" s="1" t="s">
        <v>42</v>
      </c>
      <c r="N6" s="1" t="s">
        <v>527</v>
      </c>
      <c r="O6" s="1" t="s">
        <v>214</v>
      </c>
      <c r="P6" s="1">
        <v>20260903</v>
      </c>
      <c r="Q6" s="1">
        <v>100</v>
      </c>
      <c r="R6" s="1">
        <v>100</v>
      </c>
      <c r="S6" s="1">
        <v>2997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>
      <c r="A7" s="1">
        <v>10210</v>
      </c>
      <c r="B7" s="1" t="s">
        <v>874</v>
      </c>
      <c r="C7" s="1" t="s">
        <v>525</v>
      </c>
      <c r="D7" s="1"/>
      <c r="E7" s="1"/>
      <c r="F7" s="1">
        <v>7203</v>
      </c>
      <c r="G7" s="1" t="s">
        <v>526</v>
      </c>
      <c r="H7" s="1" t="s">
        <v>36</v>
      </c>
      <c r="I7" s="1"/>
      <c r="J7" s="1" t="s">
        <v>38</v>
      </c>
      <c r="K7" s="1" t="s">
        <v>528</v>
      </c>
      <c r="L7" s="8">
        <v>46268.864374999997</v>
      </c>
      <c r="M7" s="1" t="s">
        <v>875</v>
      </c>
      <c r="N7" s="1" t="s">
        <v>527</v>
      </c>
      <c r="O7" s="1" t="s">
        <v>214</v>
      </c>
      <c r="P7" s="1">
        <v>20260903</v>
      </c>
      <c r="Q7" s="1">
        <v>100</v>
      </c>
      <c r="R7" s="1">
        <v>100</v>
      </c>
      <c r="S7" s="1">
        <v>2997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>
      <c r="A8" s="1">
        <v>10220</v>
      </c>
      <c r="B8" s="1" t="s">
        <v>874</v>
      </c>
      <c r="C8" s="1" t="s">
        <v>525</v>
      </c>
      <c r="D8" s="1"/>
      <c r="E8" s="1"/>
      <c r="F8" s="1">
        <v>7203</v>
      </c>
      <c r="G8" s="1" t="s">
        <v>526</v>
      </c>
      <c r="H8" s="1" t="s">
        <v>36</v>
      </c>
      <c r="I8" s="1"/>
      <c r="J8" s="1" t="s">
        <v>38</v>
      </c>
      <c r="K8" s="1" t="s">
        <v>528</v>
      </c>
      <c r="L8" s="8">
        <v>46268.869502314818</v>
      </c>
      <c r="M8" s="1" t="s">
        <v>875</v>
      </c>
      <c r="N8" s="1" t="s">
        <v>527</v>
      </c>
      <c r="O8" s="1" t="s">
        <v>214</v>
      </c>
      <c r="P8" s="1">
        <v>20260903</v>
      </c>
      <c r="Q8" s="1">
        <v>100</v>
      </c>
      <c r="R8" s="1">
        <v>100</v>
      </c>
      <c r="S8" s="1">
        <v>2997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>
      <c r="A9" s="1">
        <v>10230</v>
      </c>
      <c r="B9" s="1" t="s">
        <v>874</v>
      </c>
      <c r="C9" s="1" t="s">
        <v>525</v>
      </c>
      <c r="D9" s="1"/>
      <c r="E9" s="1"/>
      <c r="F9" s="1">
        <v>7203</v>
      </c>
      <c r="G9" s="1" t="s">
        <v>526</v>
      </c>
      <c r="H9" s="1" t="s">
        <v>36</v>
      </c>
      <c r="I9" s="1"/>
      <c r="J9" s="1" t="s">
        <v>38</v>
      </c>
      <c r="K9" s="1" t="s">
        <v>528</v>
      </c>
      <c r="L9" s="8">
        <v>46268.939282407409</v>
      </c>
      <c r="M9" s="1" t="s">
        <v>875</v>
      </c>
      <c r="N9" s="1" t="s">
        <v>527</v>
      </c>
      <c r="O9" s="1" t="s">
        <v>214</v>
      </c>
      <c r="P9" s="1">
        <v>20260903</v>
      </c>
      <c r="Q9" s="1">
        <v>100</v>
      </c>
      <c r="R9" s="1">
        <v>100</v>
      </c>
      <c r="S9" s="1">
        <v>2997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>
      <c r="A10" s="1">
        <v>10240</v>
      </c>
      <c r="B10" s="1" t="s">
        <v>874</v>
      </c>
      <c r="C10" s="1" t="s">
        <v>525</v>
      </c>
      <c r="D10" s="1"/>
      <c r="E10" s="1"/>
      <c r="F10" s="1">
        <v>7203</v>
      </c>
      <c r="G10" s="1" t="s">
        <v>526</v>
      </c>
      <c r="H10" s="1" t="s">
        <v>36</v>
      </c>
      <c r="I10" s="1"/>
      <c r="J10" s="1" t="s">
        <v>38</v>
      </c>
      <c r="K10" s="1" t="s">
        <v>528</v>
      </c>
      <c r="L10" s="8">
        <v>46268.95758101852</v>
      </c>
      <c r="M10" s="1" t="s">
        <v>875</v>
      </c>
      <c r="N10" s="1" t="s">
        <v>527</v>
      </c>
      <c r="O10" s="1" t="s">
        <v>214</v>
      </c>
      <c r="P10" s="1">
        <v>20260903</v>
      </c>
      <c r="Q10" s="1">
        <v>100</v>
      </c>
      <c r="R10" s="1">
        <v>100</v>
      </c>
      <c r="S10" s="1">
        <v>2997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>
      <c r="A11" s="1">
        <v>10250</v>
      </c>
      <c r="B11" s="1" t="s">
        <v>874</v>
      </c>
      <c r="C11" s="1" t="s">
        <v>525</v>
      </c>
      <c r="D11" s="1"/>
      <c r="E11" s="1"/>
      <c r="F11" s="1">
        <v>7203</v>
      </c>
      <c r="G11" s="1" t="s">
        <v>526</v>
      </c>
      <c r="H11" s="1" t="s">
        <v>36</v>
      </c>
      <c r="I11" s="1"/>
      <c r="J11" s="1" t="s">
        <v>38</v>
      </c>
      <c r="K11" s="1" t="s">
        <v>528</v>
      </c>
      <c r="L11" s="8">
        <v>46268.965868055559</v>
      </c>
      <c r="M11" s="1" t="s">
        <v>875</v>
      </c>
      <c r="N11" s="1" t="s">
        <v>527</v>
      </c>
      <c r="O11" s="1" t="s">
        <v>214</v>
      </c>
      <c r="P11" s="1">
        <v>20260903</v>
      </c>
      <c r="Q11" s="1">
        <v>100</v>
      </c>
      <c r="R11" s="1">
        <v>100</v>
      </c>
      <c r="S11" s="1">
        <v>2997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>
      <c r="A12" s="1">
        <v>11380</v>
      </c>
      <c r="B12" s="1" t="s">
        <v>874</v>
      </c>
      <c r="C12" s="1" t="s">
        <v>525</v>
      </c>
      <c r="D12" s="1"/>
      <c r="E12" s="1"/>
      <c r="F12" s="1">
        <v>7203</v>
      </c>
      <c r="G12" s="1" t="s">
        <v>526</v>
      </c>
      <c r="H12" s="1" t="s">
        <v>36</v>
      </c>
      <c r="I12" s="1"/>
      <c r="J12" s="1" t="s">
        <v>38</v>
      </c>
      <c r="K12" s="1" t="s">
        <v>528</v>
      </c>
      <c r="L12" s="8">
        <v>46271.730543981481</v>
      </c>
      <c r="M12" s="1" t="s">
        <v>875</v>
      </c>
      <c r="N12" s="1" t="s">
        <v>527</v>
      </c>
      <c r="O12" s="1" t="s">
        <v>214</v>
      </c>
      <c r="P12" s="1">
        <v>20260906</v>
      </c>
      <c r="Q12" s="1">
        <v>100</v>
      </c>
      <c r="R12" s="1">
        <v>100</v>
      </c>
      <c r="S12" s="1">
        <v>2997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>
      <c r="A13" s="1">
        <v>11390</v>
      </c>
      <c r="B13" s="1" t="s">
        <v>874</v>
      </c>
      <c r="C13" s="1" t="s">
        <v>525</v>
      </c>
      <c r="D13" s="1"/>
      <c r="E13" s="1"/>
      <c r="F13" s="1">
        <v>7203</v>
      </c>
      <c r="G13" s="1" t="s">
        <v>526</v>
      </c>
      <c r="H13" s="1" t="s">
        <v>36</v>
      </c>
      <c r="I13" s="1"/>
      <c r="J13" s="1" t="s">
        <v>38</v>
      </c>
      <c r="K13" s="1" t="s">
        <v>528</v>
      </c>
      <c r="L13" s="8">
        <v>46271.731064814812</v>
      </c>
      <c r="M13" s="1" t="s">
        <v>880</v>
      </c>
      <c r="N13" s="1" t="s">
        <v>530</v>
      </c>
      <c r="O13" s="1" t="s">
        <v>214</v>
      </c>
      <c r="P13" s="1">
        <v>20260906</v>
      </c>
      <c r="Q13" s="1">
        <v>100</v>
      </c>
      <c r="R13" s="1">
        <v>100</v>
      </c>
      <c r="S13" s="1">
        <v>2996.8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>
      <c r="A14" s="1">
        <v>11400</v>
      </c>
      <c r="B14" s="1" t="s">
        <v>874</v>
      </c>
      <c r="C14" s="1" t="s">
        <v>525</v>
      </c>
      <c r="D14" s="1"/>
      <c r="E14" s="1"/>
      <c r="F14" s="1">
        <v>7203</v>
      </c>
      <c r="G14" s="1" t="s">
        <v>526</v>
      </c>
      <c r="H14" s="1" t="s">
        <v>36</v>
      </c>
      <c r="I14" s="1"/>
      <c r="J14" s="1" t="s">
        <v>38</v>
      </c>
      <c r="K14" s="1" t="s">
        <v>528</v>
      </c>
      <c r="L14" s="8">
        <v>46271.733148148145</v>
      </c>
      <c r="M14" s="1" t="s">
        <v>875</v>
      </c>
      <c r="N14" s="1" t="s">
        <v>527</v>
      </c>
      <c r="O14" s="1" t="s">
        <v>214</v>
      </c>
      <c r="P14" s="1">
        <v>20260906</v>
      </c>
      <c r="Q14" s="1">
        <v>100</v>
      </c>
      <c r="R14" s="1">
        <v>100</v>
      </c>
      <c r="S14" s="1">
        <v>2997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>
      <c r="A15" s="1">
        <v>11410</v>
      </c>
      <c r="B15" s="1" t="s">
        <v>874</v>
      </c>
      <c r="C15" s="1" t="s">
        <v>525</v>
      </c>
      <c r="D15" s="1"/>
      <c r="E15" s="1"/>
      <c r="F15" s="1">
        <v>7203</v>
      </c>
      <c r="G15" s="1" t="s">
        <v>526</v>
      </c>
      <c r="H15" s="1" t="s">
        <v>36</v>
      </c>
      <c r="I15" s="1"/>
      <c r="J15" s="1" t="s">
        <v>38</v>
      </c>
      <c r="K15" s="1" t="s">
        <v>528</v>
      </c>
      <c r="L15" s="8">
        <v>46271.733657407407</v>
      </c>
      <c r="M15" s="1" t="s">
        <v>880</v>
      </c>
      <c r="N15" s="1" t="s">
        <v>530</v>
      </c>
      <c r="O15" s="1" t="s">
        <v>214</v>
      </c>
      <c r="P15" s="1">
        <v>20260906</v>
      </c>
      <c r="Q15" s="1">
        <v>100</v>
      </c>
      <c r="R15" s="1">
        <v>100</v>
      </c>
      <c r="S15" s="1">
        <v>2996.8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>
      <c r="A16" s="1">
        <v>11420</v>
      </c>
      <c r="B16" s="1" t="s">
        <v>874</v>
      </c>
      <c r="C16" s="1" t="s">
        <v>525</v>
      </c>
      <c r="D16" s="1"/>
      <c r="E16" s="1"/>
      <c r="F16" s="1">
        <v>7203</v>
      </c>
      <c r="G16" s="1" t="s">
        <v>526</v>
      </c>
      <c r="H16" s="1" t="s">
        <v>36</v>
      </c>
      <c r="I16" s="1"/>
      <c r="J16" s="1" t="s">
        <v>38</v>
      </c>
      <c r="K16" s="1" t="s">
        <v>528</v>
      </c>
      <c r="L16" s="8">
        <v>46271.736435185187</v>
      </c>
      <c r="M16" s="1" t="s">
        <v>875</v>
      </c>
      <c r="N16" s="1" t="s">
        <v>527</v>
      </c>
      <c r="O16" s="1" t="s">
        <v>214</v>
      </c>
      <c r="P16" s="1">
        <v>20260906</v>
      </c>
      <c r="Q16" s="1">
        <v>100</v>
      </c>
      <c r="R16" s="1">
        <v>100</v>
      </c>
      <c r="S16" s="1">
        <v>2997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>
      <c r="A17" s="1">
        <v>11430</v>
      </c>
      <c r="B17" s="1" t="s">
        <v>874</v>
      </c>
      <c r="C17" s="1" t="s">
        <v>525</v>
      </c>
      <c r="D17" s="1"/>
      <c r="E17" s="1"/>
      <c r="F17" s="1">
        <v>7203</v>
      </c>
      <c r="G17" s="1" t="s">
        <v>526</v>
      </c>
      <c r="H17" s="1" t="s">
        <v>36</v>
      </c>
      <c r="I17" s="1"/>
      <c r="J17" s="1" t="s">
        <v>38</v>
      </c>
      <c r="K17" s="1" t="s">
        <v>528</v>
      </c>
      <c r="L17" s="8">
        <v>46271.736840277779</v>
      </c>
      <c r="M17" s="1" t="s">
        <v>880</v>
      </c>
      <c r="N17" s="1" t="s">
        <v>530</v>
      </c>
      <c r="O17" s="1" t="s">
        <v>214</v>
      </c>
      <c r="P17" s="1">
        <v>20260906</v>
      </c>
      <c r="Q17" s="1">
        <v>100</v>
      </c>
      <c r="R17" s="1">
        <v>100</v>
      </c>
      <c r="S17" s="1">
        <v>2996.8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>
      <c r="A18" s="1" t="s">
        <v>78</v>
      </c>
      <c r="B18" s="1" t="s">
        <v>78</v>
      </c>
      <c r="C18" s="1" t="s">
        <v>78</v>
      </c>
      <c r="D18" s="1" t="s">
        <v>78</v>
      </c>
      <c r="E18" s="1" t="s">
        <v>78</v>
      </c>
      <c r="F18" s="1" t="s">
        <v>78</v>
      </c>
      <c r="G18" s="1" t="s">
        <v>78</v>
      </c>
      <c r="H18" s="1" t="s">
        <v>78</v>
      </c>
      <c r="I18" s="1" t="s">
        <v>78</v>
      </c>
      <c r="J18" s="1" t="s">
        <v>78</v>
      </c>
      <c r="K18" s="1" t="s">
        <v>78</v>
      </c>
      <c r="L18" s="1" t="s">
        <v>78</v>
      </c>
      <c r="M18" s="1" t="s">
        <v>78</v>
      </c>
      <c r="N18" s="1" t="s">
        <v>78</v>
      </c>
      <c r="O18" s="1" t="s">
        <v>78</v>
      </c>
      <c r="P18" s="1" t="s">
        <v>78</v>
      </c>
      <c r="Q18" s="1" t="s">
        <v>78</v>
      </c>
      <c r="R18" s="1" t="s">
        <v>78</v>
      </c>
      <c r="S18" s="1" t="s">
        <v>78</v>
      </c>
      <c r="T18" s="1" t="s">
        <v>78</v>
      </c>
      <c r="U18" s="1" t="s">
        <v>78</v>
      </c>
      <c r="V18" s="1" t="s">
        <v>78</v>
      </c>
      <c r="W18" s="1" t="s">
        <v>78</v>
      </c>
      <c r="X18" s="1" t="s">
        <v>78</v>
      </c>
      <c r="Y18" s="1" t="s">
        <v>78</v>
      </c>
      <c r="Z18" s="1" t="s">
        <v>78</v>
      </c>
      <c r="AA18" s="1" t="s">
        <v>78</v>
      </c>
      <c r="AB18" s="1" t="s">
        <v>78</v>
      </c>
      <c r="AC18" s="1" t="s">
        <v>78</v>
      </c>
      <c r="AD18" s="1" t="s">
        <v>78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AD589-8B96-4BA9-A545-6179123737A2}">
  <dimension ref="A1:AD180"/>
  <sheetViews>
    <sheetView workbookViewId="0">
      <selection activeCell="K91" sqref="K91"/>
    </sheetView>
  </sheetViews>
  <sheetFormatPr defaultRowHeight="18.75"/>
  <cols>
    <col min="12" max="12" width="22.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  <c r="U3" s="1" t="s">
        <v>78</v>
      </c>
      <c r="V3" s="1" t="s">
        <v>78</v>
      </c>
      <c r="W3" s="1" t="s">
        <v>78</v>
      </c>
      <c r="X3" s="1" t="s">
        <v>78</v>
      </c>
      <c r="Y3" s="1" t="s">
        <v>78</v>
      </c>
      <c r="Z3" s="1" t="s">
        <v>78</v>
      </c>
      <c r="AA3" s="1" t="s">
        <v>78</v>
      </c>
      <c r="AB3" s="1" t="s">
        <v>78</v>
      </c>
      <c r="AC3" s="1" t="s">
        <v>78</v>
      </c>
      <c r="AD3" s="1" t="s">
        <v>78</v>
      </c>
    </row>
    <row r="4" spans="1:3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53248847</v>
      </c>
      <c r="B5" s="1" t="s">
        <v>52</v>
      </c>
      <c r="C5" s="1" t="s">
        <v>53</v>
      </c>
      <c r="D5" s="1" t="s">
        <v>47</v>
      </c>
      <c r="E5" s="1" t="s">
        <v>35</v>
      </c>
      <c r="F5" s="1">
        <v>9432</v>
      </c>
      <c r="G5" s="1" t="s">
        <v>54</v>
      </c>
      <c r="H5" s="1" t="s">
        <v>45</v>
      </c>
      <c r="I5" s="1" t="s">
        <v>48</v>
      </c>
      <c r="J5" s="1" t="s">
        <v>35</v>
      </c>
      <c r="K5" s="1" t="s">
        <v>35</v>
      </c>
      <c r="L5" s="1" t="s">
        <v>56</v>
      </c>
      <c r="M5" s="1" t="s">
        <v>57</v>
      </c>
      <c r="N5" s="1" t="s">
        <v>58</v>
      </c>
      <c r="O5" s="1" t="s">
        <v>60</v>
      </c>
      <c r="P5" s="1">
        <v>20260724</v>
      </c>
      <c r="Q5" s="1">
        <v>100</v>
      </c>
      <c r="R5" s="1">
        <v>0</v>
      </c>
      <c r="S5" s="1">
        <v>146.9</v>
      </c>
      <c r="T5" s="1" t="s">
        <v>49</v>
      </c>
      <c r="U5" s="1" t="s">
        <v>47</v>
      </c>
      <c r="V5" s="1" t="s">
        <v>47</v>
      </c>
      <c r="W5" s="1" t="s">
        <v>47</v>
      </c>
      <c r="X5" s="1" t="s">
        <v>35</v>
      </c>
      <c r="Y5" s="1" t="s">
        <v>47</v>
      </c>
      <c r="Z5" s="1" t="s">
        <v>35</v>
      </c>
      <c r="AA5" s="1" t="s">
        <v>50</v>
      </c>
      <c r="AB5" s="1" t="s">
        <v>35</v>
      </c>
      <c r="AC5" s="1" t="s">
        <v>56</v>
      </c>
      <c r="AD5" s="1" t="s">
        <v>62</v>
      </c>
    </row>
    <row r="6" spans="1:30">
      <c r="A6" t="s">
        <v>63</v>
      </c>
    </row>
    <row r="7" spans="1:30">
      <c r="A7" s="1">
        <v>53248847</v>
      </c>
      <c r="B7" s="1" t="s">
        <v>51</v>
      </c>
      <c r="C7" s="1" t="s">
        <v>44</v>
      </c>
      <c r="D7" s="1" t="s">
        <v>34</v>
      </c>
      <c r="E7" s="1" t="s">
        <v>35</v>
      </c>
      <c r="F7" s="1">
        <v>9432</v>
      </c>
      <c r="G7" s="1" t="s">
        <v>41</v>
      </c>
      <c r="H7" s="1" t="s">
        <v>36</v>
      </c>
      <c r="I7" s="1" t="s">
        <v>37</v>
      </c>
      <c r="J7" s="1" t="s">
        <v>35</v>
      </c>
      <c r="K7" s="1" t="s">
        <v>35</v>
      </c>
      <c r="L7" s="1" t="s">
        <v>55</v>
      </c>
      <c r="M7" s="1" t="s">
        <v>42</v>
      </c>
      <c r="N7" s="1" t="s">
        <v>43</v>
      </c>
      <c r="O7" s="1" t="s">
        <v>59</v>
      </c>
      <c r="P7" s="1">
        <v>20260724</v>
      </c>
      <c r="Q7" s="1">
        <v>100</v>
      </c>
      <c r="R7" s="1">
        <v>0</v>
      </c>
      <c r="S7" s="1">
        <v>146.9</v>
      </c>
      <c r="T7" s="1" t="s">
        <v>39</v>
      </c>
      <c r="U7" s="1" t="s">
        <v>34</v>
      </c>
      <c r="V7" s="1" t="s">
        <v>34</v>
      </c>
      <c r="W7" s="1" t="s">
        <v>34</v>
      </c>
      <c r="X7" s="1" t="s">
        <v>35</v>
      </c>
      <c r="Y7" s="1" t="s">
        <v>34</v>
      </c>
      <c r="Z7" s="1" t="s">
        <v>35</v>
      </c>
      <c r="AA7" s="1" t="s">
        <v>40</v>
      </c>
      <c r="AB7" s="1" t="s">
        <v>35</v>
      </c>
      <c r="AC7" s="1" t="s">
        <v>55</v>
      </c>
      <c r="AD7" s="1" t="s">
        <v>61</v>
      </c>
    </row>
    <row r="11" spans="1:30">
      <c r="A11" s="1">
        <v>54053073</v>
      </c>
      <c r="B11" s="1" t="s">
        <v>71</v>
      </c>
      <c r="C11" s="1" t="s">
        <v>72</v>
      </c>
      <c r="D11" s="1" t="s">
        <v>47</v>
      </c>
      <c r="E11" s="1" t="s">
        <v>35</v>
      </c>
      <c r="F11" s="1">
        <v>9432</v>
      </c>
      <c r="G11" s="1" t="s">
        <v>54</v>
      </c>
      <c r="H11" s="1" t="s">
        <v>46</v>
      </c>
      <c r="I11" s="1" t="s">
        <v>48</v>
      </c>
      <c r="J11" s="1" t="s">
        <v>35</v>
      </c>
      <c r="K11" s="1" t="s">
        <v>35</v>
      </c>
      <c r="L11" s="1" t="s">
        <v>73</v>
      </c>
      <c r="M11" s="1" t="s">
        <v>57</v>
      </c>
      <c r="N11" s="1" t="s">
        <v>58</v>
      </c>
      <c r="O11" s="1" t="s">
        <v>60</v>
      </c>
      <c r="P11" s="1">
        <v>20260724</v>
      </c>
      <c r="Q11" s="1">
        <v>100</v>
      </c>
      <c r="R11" s="1">
        <v>0</v>
      </c>
      <c r="S11" s="1">
        <v>145</v>
      </c>
      <c r="T11" s="1" t="s">
        <v>49</v>
      </c>
      <c r="U11" s="1" t="s">
        <v>47</v>
      </c>
      <c r="V11" s="1" t="s">
        <v>47</v>
      </c>
      <c r="W11" s="1" t="s">
        <v>47</v>
      </c>
      <c r="X11" s="1" t="s">
        <v>35</v>
      </c>
      <c r="Y11" s="1" t="s">
        <v>47</v>
      </c>
      <c r="Z11" s="1" t="s">
        <v>35</v>
      </c>
      <c r="AA11" s="1" t="s">
        <v>50</v>
      </c>
      <c r="AB11" s="1" t="s">
        <v>35</v>
      </c>
      <c r="AC11" s="1" t="s">
        <v>73</v>
      </c>
      <c r="AD11" s="1" t="s">
        <v>74</v>
      </c>
    </row>
    <row r="12" spans="1:30">
      <c r="A12" t="s">
        <v>63</v>
      </c>
    </row>
    <row r="13" spans="1:30">
      <c r="A13" s="1">
        <v>54053073</v>
      </c>
      <c r="B13" s="1" t="s">
        <v>75</v>
      </c>
      <c r="C13" s="1" t="s">
        <v>44</v>
      </c>
      <c r="D13" s="1" t="s">
        <v>34</v>
      </c>
      <c r="E13" s="1" t="s">
        <v>35</v>
      </c>
      <c r="F13" s="1">
        <v>9432</v>
      </c>
      <c r="G13" s="1" t="s">
        <v>41</v>
      </c>
      <c r="H13" s="1" t="s">
        <v>38</v>
      </c>
      <c r="I13" s="1" t="s">
        <v>37</v>
      </c>
      <c r="J13" s="1" t="s">
        <v>35</v>
      </c>
      <c r="K13" s="1" t="s">
        <v>35</v>
      </c>
      <c r="L13" s="1" t="s">
        <v>76</v>
      </c>
      <c r="M13" s="1" t="s">
        <v>42</v>
      </c>
      <c r="N13" s="1" t="s">
        <v>43</v>
      </c>
      <c r="O13" s="1" t="s">
        <v>59</v>
      </c>
      <c r="P13" s="1">
        <v>20260724</v>
      </c>
      <c r="Q13" s="1">
        <v>100</v>
      </c>
      <c r="R13" s="1">
        <v>0</v>
      </c>
      <c r="S13" s="1">
        <v>145</v>
      </c>
      <c r="T13" s="1" t="s">
        <v>39</v>
      </c>
      <c r="U13" s="1" t="s">
        <v>34</v>
      </c>
      <c r="V13" s="1" t="s">
        <v>34</v>
      </c>
      <c r="W13" s="1" t="s">
        <v>34</v>
      </c>
      <c r="X13" s="1" t="s">
        <v>35</v>
      </c>
      <c r="Y13" s="1" t="s">
        <v>34</v>
      </c>
      <c r="Z13" s="1" t="s">
        <v>35</v>
      </c>
      <c r="AA13" s="1" t="s">
        <v>40</v>
      </c>
      <c r="AB13" s="1" t="s">
        <v>35</v>
      </c>
      <c r="AC13" s="1" t="s">
        <v>76</v>
      </c>
      <c r="AD13" s="1" t="s">
        <v>77</v>
      </c>
    </row>
    <row r="16" spans="1:30">
      <c r="A16" s="1">
        <v>55097302</v>
      </c>
      <c r="B16" s="1" t="s">
        <v>211</v>
      </c>
      <c r="C16" s="1" t="s">
        <v>212</v>
      </c>
      <c r="D16" s="1" t="s">
        <v>47</v>
      </c>
      <c r="E16" s="1" t="s">
        <v>35</v>
      </c>
      <c r="F16" s="1">
        <v>5016</v>
      </c>
      <c r="G16" s="1" t="s">
        <v>139</v>
      </c>
      <c r="H16" s="1" t="s">
        <v>45</v>
      </c>
      <c r="I16" s="1" t="s">
        <v>48</v>
      </c>
      <c r="J16" s="1" t="s">
        <v>46</v>
      </c>
      <c r="K16" s="1" t="s">
        <v>116</v>
      </c>
      <c r="L16" s="1" t="s">
        <v>213</v>
      </c>
      <c r="M16" s="1" t="s">
        <v>118</v>
      </c>
      <c r="N16" s="1" t="s">
        <v>117</v>
      </c>
      <c r="O16" s="1" t="s">
        <v>215</v>
      </c>
      <c r="P16" s="1">
        <v>20260814</v>
      </c>
      <c r="Q16" s="1">
        <v>100</v>
      </c>
      <c r="R16" s="1">
        <v>100</v>
      </c>
      <c r="S16" s="1" t="s">
        <v>217</v>
      </c>
      <c r="T16" s="1" t="s">
        <v>49</v>
      </c>
      <c r="U16" s="1" t="s">
        <v>47</v>
      </c>
      <c r="V16" s="1" t="s">
        <v>47</v>
      </c>
      <c r="W16" s="1" t="s">
        <v>47</v>
      </c>
      <c r="X16" s="1" t="s">
        <v>35</v>
      </c>
      <c r="Y16" s="1" t="s">
        <v>47</v>
      </c>
      <c r="Z16" s="1" t="s">
        <v>35</v>
      </c>
      <c r="AA16" s="1" t="s">
        <v>50</v>
      </c>
      <c r="AB16" s="1" t="s">
        <v>35</v>
      </c>
      <c r="AC16" s="1" t="s">
        <v>213</v>
      </c>
      <c r="AD16" s="1" t="s">
        <v>218</v>
      </c>
    </row>
    <row r="17" spans="1:30">
      <c r="A17">
        <v>55099117</v>
      </c>
      <c r="B17" t="s">
        <v>219</v>
      </c>
      <c r="C17" t="s">
        <v>212</v>
      </c>
      <c r="D17" t="s">
        <v>47</v>
      </c>
      <c r="E17" t="s">
        <v>35</v>
      </c>
      <c r="F17">
        <v>5803</v>
      </c>
      <c r="G17" t="s">
        <v>176</v>
      </c>
      <c r="H17" t="s">
        <v>45</v>
      </c>
      <c r="I17" t="s">
        <v>48</v>
      </c>
      <c r="J17" t="s">
        <v>46</v>
      </c>
      <c r="K17" t="s">
        <v>116</v>
      </c>
      <c r="L17" t="s">
        <v>220</v>
      </c>
      <c r="M17" t="s">
        <v>118</v>
      </c>
      <c r="N17" t="s">
        <v>117</v>
      </c>
      <c r="O17" t="s">
        <v>215</v>
      </c>
      <c r="P17">
        <v>20260814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35</v>
      </c>
      <c r="Y17" t="s">
        <v>47</v>
      </c>
      <c r="Z17" t="s">
        <v>35</v>
      </c>
      <c r="AA17" t="s">
        <v>50</v>
      </c>
      <c r="AB17" t="s">
        <v>35</v>
      </c>
      <c r="AC17" t="s">
        <v>220</v>
      </c>
      <c r="AD17" t="s">
        <v>221</v>
      </c>
    </row>
    <row r="18" spans="1:30">
      <c r="A18">
        <v>55112035</v>
      </c>
      <c r="B18" t="s">
        <v>222</v>
      </c>
      <c r="C18" t="s">
        <v>212</v>
      </c>
      <c r="D18" t="s">
        <v>47</v>
      </c>
      <c r="E18" t="s">
        <v>35</v>
      </c>
      <c r="F18">
        <v>9984</v>
      </c>
      <c r="G18" t="s">
        <v>191</v>
      </c>
      <c r="H18" t="s">
        <v>45</v>
      </c>
      <c r="I18" t="s">
        <v>48</v>
      </c>
      <c r="J18" t="s">
        <v>223</v>
      </c>
      <c r="K18" t="s">
        <v>224</v>
      </c>
      <c r="L18" t="s">
        <v>225</v>
      </c>
      <c r="M18" t="s">
        <v>124</v>
      </c>
      <c r="N18" t="s">
        <v>123</v>
      </c>
      <c r="O18" t="s">
        <v>215</v>
      </c>
      <c r="P18">
        <v>20260814</v>
      </c>
      <c r="Q18">
        <v>100</v>
      </c>
      <c r="R18">
        <v>100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225</v>
      </c>
      <c r="AD18" t="s">
        <v>226</v>
      </c>
    </row>
    <row r="19" spans="1:30">
      <c r="A19">
        <v>55113031</v>
      </c>
      <c r="B19" t="s">
        <v>227</v>
      </c>
      <c r="C19" t="s">
        <v>212</v>
      </c>
      <c r="D19" t="s">
        <v>47</v>
      </c>
      <c r="E19" t="s">
        <v>35</v>
      </c>
      <c r="F19">
        <v>9984</v>
      </c>
      <c r="G19" t="s">
        <v>191</v>
      </c>
      <c r="H19" t="s">
        <v>45</v>
      </c>
      <c r="I19" t="s">
        <v>48</v>
      </c>
      <c r="J19" t="s">
        <v>46</v>
      </c>
      <c r="K19" t="s">
        <v>116</v>
      </c>
      <c r="L19" t="s">
        <v>228</v>
      </c>
      <c r="M19" t="s">
        <v>118</v>
      </c>
      <c r="N19" t="s">
        <v>117</v>
      </c>
      <c r="O19" t="s">
        <v>215</v>
      </c>
      <c r="P19">
        <v>20260814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229</v>
      </c>
      <c r="AD19" t="s">
        <v>230</v>
      </c>
    </row>
    <row r="20" spans="1:30">
      <c r="A20">
        <v>55114915</v>
      </c>
      <c r="B20" t="s">
        <v>231</v>
      </c>
      <c r="C20" t="s">
        <v>212</v>
      </c>
      <c r="D20" t="s">
        <v>232</v>
      </c>
      <c r="E20" t="s">
        <v>35</v>
      </c>
      <c r="F20">
        <v>9984</v>
      </c>
      <c r="G20" t="s">
        <v>191</v>
      </c>
      <c r="H20" t="s">
        <v>45</v>
      </c>
      <c r="I20" t="s">
        <v>48</v>
      </c>
      <c r="J20" t="s">
        <v>46</v>
      </c>
      <c r="K20" t="s">
        <v>116</v>
      </c>
      <c r="L20" t="s">
        <v>233</v>
      </c>
      <c r="M20" t="s">
        <v>124</v>
      </c>
      <c r="N20" t="s">
        <v>123</v>
      </c>
      <c r="O20" t="s">
        <v>215</v>
      </c>
      <c r="P20">
        <v>20260814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233</v>
      </c>
      <c r="AD20" t="s">
        <v>234</v>
      </c>
    </row>
    <row r="21" spans="1:30">
      <c r="A21">
        <v>55115721</v>
      </c>
      <c r="B21" t="s">
        <v>235</v>
      </c>
      <c r="C21" t="s">
        <v>212</v>
      </c>
      <c r="D21" t="s">
        <v>47</v>
      </c>
      <c r="E21" t="s">
        <v>35</v>
      </c>
      <c r="F21">
        <v>9984</v>
      </c>
      <c r="G21" t="s">
        <v>191</v>
      </c>
      <c r="H21" t="s">
        <v>45</v>
      </c>
      <c r="I21" t="s">
        <v>48</v>
      </c>
      <c r="J21" t="s">
        <v>46</v>
      </c>
      <c r="K21" t="s">
        <v>116</v>
      </c>
      <c r="L21" t="s">
        <v>236</v>
      </c>
      <c r="M21" t="s">
        <v>118</v>
      </c>
      <c r="N21" t="s">
        <v>117</v>
      </c>
      <c r="O21" t="s">
        <v>215</v>
      </c>
      <c r="P21">
        <v>20260814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236</v>
      </c>
      <c r="AD21" t="s">
        <v>237</v>
      </c>
    </row>
    <row r="22" spans="1:30">
      <c r="A22">
        <v>55118261</v>
      </c>
      <c r="B22" t="s">
        <v>238</v>
      </c>
      <c r="C22" t="s">
        <v>212</v>
      </c>
      <c r="D22" t="s">
        <v>232</v>
      </c>
      <c r="E22" t="s">
        <v>35</v>
      </c>
      <c r="F22">
        <v>9984</v>
      </c>
      <c r="G22" t="s">
        <v>191</v>
      </c>
      <c r="H22" t="s">
        <v>45</v>
      </c>
      <c r="I22" t="s">
        <v>48</v>
      </c>
      <c r="J22" t="s">
        <v>46</v>
      </c>
      <c r="K22" t="s">
        <v>116</v>
      </c>
      <c r="L22" t="s">
        <v>239</v>
      </c>
      <c r="M22" t="s">
        <v>124</v>
      </c>
      <c r="N22" t="s">
        <v>123</v>
      </c>
      <c r="O22" t="s">
        <v>215</v>
      </c>
      <c r="P22">
        <v>20260814</v>
      </c>
      <c r="Q22">
        <v>100</v>
      </c>
      <c r="R22">
        <v>100</v>
      </c>
      <c r="S22" t="s">
        <v>217</v>
      </c>
      <c r="T22" t="s">
        <v>49</v>
      </c>
      <c r="U22" t="s">
        <v>47</v>
      </c>
      <c r="V22" t="s">
        <v>47</v>
      </c>
      <c r="W22" t="s">
        <v>47</v>
      </c>
      <c r="X22" t="s">
        <v>125</v>
      </c>
      <c r="Y22" t="s">
        <v>47</v>
      </c>
      <c r="Z22" t="s">
        <v>35</v>
      </c>
      <c r="AA22" t="s">
        <v>50</v>
      </c>
      <c r="AB22" t="s">
        <v>35</v>
      </c>
      <c r="AC22" t="s">
        <v>239</v>
      </c>
      <c r="AD22" t="s">
        <v>240</v>
      </c>
    </row>
    <row r="23" spans="1:30">
      <c r="A23">
        <v>55120795</v>
      </c>
      <c r="B23" t="s">
        <v>241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242</v>
      </c>
      <c r="M23" t="s">
        <v>118</v>
      </c>
      <c r="N23" t="s">
        <v>117</v>
      </c>
      <c r="O23" t="s">
        <v>215</v>
      </c>
      <c r="P23">
        <v>20260814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35</v>
      </c>
      <c r="Y23" t="s">
        <v>47</v>
      </c>
      <c r="Z23" t="s">
        <v>35</v>
      </c>
      <c r="AA23" t="s">
        <v>50</v>
      </c>
      <c r="AB23" t="s">
        <v>35</v>
      </c>
      <c r="AC23" t="s">
        <v>242</v>
      </c>
      <c r="AD23" t="s">
        <v>243</v>
      </c>
    </row>
    <row r="24" spans="1:30">
      <c r="A24">
        <v>55123176</v>
      </c>
      <c r="B24" t="s">
        <v>244</v>
      </c>
      <c r="C24" t="s">
        <v>212</v>
      </c>
      <c r="D24" t="s">
        <v>232</v>
      </c>
      <c r="E24" t="s">
        <v>35</v>
      </c>
      <c r="F24">
        <v>3436</v>
      </c>
      <c r="G24" t="s">
        <v>152</v>
      </c>
      <c r="H24" t="s">
        <v>45</v>
      </c>
      <c r="I24" t="s">
        <v>48</v>
      </c>
      <c r="J24" t="s">
        <v>46</v>
      </c>
      <c r="K24" t="s">
        <v>116</v>
      </c>
      <c r="L24" t="s">
        <v>245</v>
      </c>
      <c r="M24" t="s">
        <v>124</v>
      </c>
      <c r="N24" t="s">
        <v>123</v>
      </c>
      <c r="O24" t="s">
        <v>215</v>
      </c>
      <c r="P24">
        <v>20260814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125</v>
      </c>
      <c r="Y24" t="s">
        <v>47</v>
      </c>
      <c r="Z24" t="s">
        <v>35</v>
      </c>
      <c r="AA24" t="s">
        <v>50</v>
      </c>
      <c r="AB24" t="s">
        <v>35</v>
      </c>
      <c r="AC24" t="s">
        <v>245</v>
      </c>
      <c r="AD24" t="s">
        <v>246</v>
      </c>
    </row>
    <row r="25" spans="1:30">
      <c r="A25">
        <v>55124666</v>
      </c>
      <c r="B25" t="s">
        <v>247</v>
      </c>
      <c r="C25" t="s">
        <v>212</v>
      </c>
      <c r="D25" t="s">
        <v>47</v>
      </c>
      <c r="E25" t="s">
        <v>35</v>
      </c>
      <c r="F25">
        <v>6613</v>
      </c>
      <c r="G25" t="s">
        <v>165</v>
      </c>
      <c r="H25" t="s">
        <v>45</v>
      </c>
      <c r="I25" t="s">
        <v>48</v>
      </c>
      <c r="J25" t="s">
        <v>46</v>
      </c>
      <c r="K25" t="s">
        <v>116</v>
      </c>
      <c r="L25" t="s">
        <v>248</v>
      </c>
      <c r="M25" t="s">
        <v>118</v>
      </c>
      <c r="N25" t="s">
        <v>117</v>
      </c>
      <c r="O25" t="s">
        <v>215</v>
      </c>
      <c r="P25">
        <v>20260814</v>
      </c>
      <c r="Q25">
        <v>100</v>
      </c>
      <c r="R25">
        <v>100</v>
      </c>
      <c r="S25" t="s">
        <v>217</v>
      </c>
      <c r="T25" t="s">
        <v>49</v>
      </c>
      <c r="U25" t="s">
        <v>47</v>
      </c>
      <c r="V25" t="s">
        <v>47</v>
      </c>
      <c r="W25" t="s">
        <v>47</v>
      </c>
      <c r="X25" t="s">
        <v>35</v>
      </c>
      <c r="Y25" t="s">
        <v>47</v>
      </c>
      <c r="Z25" t="s">
        <v>35</v>
      </c>
      <c r="AA25" t="s">
        <v>50</v>
      </c>
      <c r="AB25" t="s">
        <v>35</v>
      </c>
      <c r="AC25" t="s">
        <v>248</v>
      </c>
      <c r="AD25" t="s">
        <v>249</v>
      </c>
    </row>
    <row r="26" spans="1:30">
      <c r="A26">
        <v>55130431</v>
      </c>
      <c r="B26" t="s">
        <v>250</v>
      </c>
      <c r="C26" t="s">
        <v>212</v>
      </c>
      <c r="D26" t="s">
        <v>47</v>
      </c>
      <c r="E26" t="s">
        <v>35</v>
      </c>
      <c r="F26">
        <v>6613</v>
      </c>
      <c r="G26" t="s">
        <v>165</v>
      </c>
      <c r="H26" t="s">
        <v>45</v>
      </c>
      <c r="I26" t="s">
        <v>48</v>
      </c>
      <c r="J26" t="s">
        <v>46</v>
      </c>
      <c r="K26" t="s">
        <v>116</v>
      </c>
      <c r="L26" t="s">
        <v>251</v>
      </c>
      <c r="M26" t="s">
        <v>124</v>
      </c>
      <c r="N26" t="s">
        <v>123</v>
      </c>
      <c r="O26" t="s">
        <v>215</v>
      </c>
      <c r="P26">
        <v>20260814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125</v>
      </c>
      <c r="Y26" t="s">
        <v>47</v>
      </c>
      <c r="Z26" t="s">
        <v>35</v>
      </c>
      <c r="AA26" t="s">
        <v>50</v>
      </c>
      <c r="AB26" t="s">
        <v>35</v>
      </c>
      <c r="AC26" t="s">
        <v>251</v>
      </c>
      <c r="AD26" t="s">
        <v>252</v>
      </c>
    </row>
    <row r="27" spans="1:30">
      <c r="A27">
        <v>55130795</v>
      </c>
      <c r="B27" t="s">
        <v>253</v>
      </c>
      <c r="C27" t="s">
        <v>212</v>
      </c>
      <c r="D27" t="s">
        <v>47</v>
      </c>
      <c r="E27" t="s">
        <v>35</v>
      </c>
      <c r="F27">
        <v>9984</v>
      </c>
      <c r="G27" t="s">
        <v>191</v>
      </c>
      <c r="H27" t="s">
        <v>45</v>
      </c>
      <c r="I27" t="s">
        <v>48</v>
      </c>
      <c r="J27" t="s">
        <v>46</v>
      </c>
      <c r="K27" t="s">
        <v>116</v>
      </c>
      <c r="L27" t="s">
        <v>254</v>
      </c>
      <c r="M27" t="s">
        <v>118</v>
      </c>
      <c r="N27" t="s">
        <v>117</v>
      </c>
      <c r="O27" t="s">
        <v>215</v>
      </c>
      <c r="P27">
        <v>20260814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35</v>
      </c>
      <c r="Y27" t="s">
        <v>47</v>
      </c>
      <c r="Z27" t="s">
        <v>35</v>
      </c>
      <c r="AA27" t="s">
        <v>50</v>
      </c>
      <c r="AB27" t="s">
        <v>35</v>
      </c>
      <c r="AC27" t="s">
        <v>254</v>
      </c>
      <c r="AD27" t="s">
        <v>255</v>
      </c>
    </row>
    <row r="28" spans="1:30">
      <c r="A28">
        <v>55131941</v>
      </c>
      <c r="B28" t="s">
        <v>256</v>
      </c>
      <c r="C28" t="s">
        <v>212</v>
      </c>
      <c r="D28" t="s">
        <v>47</v>
      </c>
      <c r="E28" t="s">
        <v>35</v>
      </c>
      <c r="F28">
        <v>9984</v>
      </c>
      <c r="G28" t="s">
        <v>191</v>
      </c>
      <c r="H28" t="s">
        <v>45</v>
      </c>
      <c r="I28" t="s">
        <v>48</v>
      </c>
      <c r="J28" t="s">
        <v>46</v>
      </c>
      <c r="K28" t="s">
        <v>116</v>
      </c>
      <c r="L28" t="s">
        <v>257</v>
      </c>
      <c r="M28" t="s">
        <v>124</v>
      </c>
      <c r="N28" t="s">
        <v>123</v>
      </c>
      <c r="O28" t="s">
        <v>215</v>
      </c>
      <c r="P28">
        <v>20260814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257</v>
      </c>
      <c r="AD28" t="s">
        <v>258</v>
      </c>
    </row>
    <row r="29" spans="1:30">
      <c r="A29">
        <v>55135851</v>
      </c>
      <c r="B29" t="s">
        <v>259</v>
      </c>
      <c r="C29" t="s">
        <v>212</v>
      </c>
      <c r="D29" t="s">
        <v>47</v>
      </c>
      <c r="E29" t="s">
        <v>35</v>
      </c>
      <c r="F29">
        <v>5803</v>
      </c>
      <c r="G29" t="s">
        <v>176</v>
      </c>
      <c r="H29" t="s">
        <v>45</v>
      </c>
      <c r="I29" t="s">
        <v>48</v>
      </c>
      <c r="J29" t="s">
        <v>46</v>
      </c>
      <c r="K29" t="s">
        <v>116</v>
      </c>
      <c r="L29" t="s">
        <v>260</v>
      </c>
      <c r="M29" t="s">
        <v>118</v>
      </c>
      <c r="N29" t="s">
        <v>117</v>
      </c>
      <c r="O29" t="s">
        <v>215</v>
      </c>
      <c r="P29">
        <v>20260814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260</v>
      </c>
      <c r="AD29" t="s">
        <v>261</v>
      </c>
    </row>
    <row r="30" spans="1:30">
      <c r="A30">
        <v>55143414</v>
      </c>
      <c r="B30" t="s">
        <v>262</v>
      </c>
      <c r="C30" t="s">
        <v>212</v>
      </c>
      <c r="D30" t="s">
        <v>47</v>
      </c>
      <c r="E30" t="s">
        <v>35</v>
      </c>
      <c r="F30">
        <v>5803</v>
      </c>
      <c r="G30" t="s">
        <v>176</v>
      </c>
      <c r="H30" t="s">
        <v>45</v>
      </c>
      <c r="I30" t="s">
        <v>48</v>
      </c>
      <c r="J30" t="s">
        <v>46</v>
      </c>
      <c r="K30" t="s">
        <v>116</v>
      </c>
      <c r="L30" t="s">
        <v>263</v>
      </c>
      <c r="M30" t="s">
        <v>124</v>
      </c>
      <c r="N30" t="s">
        <v>123</v>
      </c>
      <c r="O30" t="s">
        <v>215</v>
      </c>
      <c r="P30">
        <v>20260814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125</v>
      </c>
      <c r="Y30" t="s">
        <v>47</v>
      </c>
      <c r="Z30" t="s">
        <v>35</v>
      </c>
      <c r="AA30" t="s">
        <v>50</v>
      </c>
      <c r="AB30" t="s">
        <v>35</v>
      </c>
      <c r="AC30" t="s">
        <v>263</v>
      </c>
      <c r="AD30" t="s">
        <v>264</v>
      </c>
    </row>
    <row r="31" spans="1:30">
      <c r="A31">
        <v>55145092</v>
      </c>
      <c r="B31" t="s">
        <v>265</v>
      </c>
      <c r="C31" t="s">
        <v>212</v>
      </c>
      <c r="D31" t="s">
        <v>47</v>
      </c>
      <c r="E31" t="s">
        <v>35</v>
      </c>
      <c r="F31">
        <v>5016</v>
      </c>
      <c r="G31" t="s">
        <v>139</v>
      </c>
      <c r="H31" t="s">
        <v>45</v>
      </c>
      <c r="I31" t="s">
        <v>48</v>
      </c>
      <c r="J31" t="s">
        <v>46</v>
      </c>
      <c r="K31" t="s">
        <v>116</v>
      </c>
      <c r="L31" t="s">
        <v>266</v>
      </c>
      <c r="M31" t="s">
        <v>118</v>
      </c>
      <c r="N31" t="s">
        <v>117</v>
      </c>
      <c r="O31" t="s">
        <v>215</v>
      </c>
      <c r="P31">
        <v>20260814</v>
      </c>
      <c r="Q31">
        <v>100</v>
      </c>
      <c r="R31">
        <v>100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35</v>
      </c>
      <c r="Y31" t="s">
        <v>47</v>
      </c>
      <c r="Z31" t="s">
        <v>35</v>
      </c>
      <c r="AA31" t="s">
        <v>50</v>
      </c>
      <c r="AB31" t="s">
        <v>35</v>
      </c>
      <c r="AC31" t="s">
        <v>266</v>
      </c>
      <c r="AD31" t="s">
        <v>267</v>
      </c>
    </row>
    <row r="32" spans="1:30">
      <c r="A32">
        <v>55147070</v>
      </c>
      <c r="B32" t="s">
        <v>268</v>
      </c>
      <c r="C32" t="s">
        <v>212</v>
      </c>
      <c r="D32" t="s">
        <v>47</v>
      </c>
      <c r="E32" t="s">
        <v>35</v>
      </c>
      <c r="F32">
        <v>5016</v>
      </c>
      <c r="G32" t="s">
        <v>139</v>
      </c>
      <c r="H32" t="s">
        <v>45</v>
      </c>
      <c r="I32" t="s">
        <v>48</v>
      </c>
      <c r="J32" t="s">
        <v>46</v>
      </c>
      <c r="K32" t="s">
        <v>116</v>
      </c>
      <c r="L32" t="s">
        <v>269</v>
      </c>
      <c r="M32" t="s">
        <v>124</v>
      </c>
      <c r="N32" t="s">
        <v>123</v>
      </c>
      <c r="O32" t="s">
        <v>215</v>
      </c>
      <c r="P32">
        <v>20260814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125</v>
      </c>
      <c r="Y32" t="s">
        <v>47</v>
      </c>
      <c r="Z32" t="s">
        <v>35</v>
      </c>
      <c r="AA32" t="s">
        <v>50</v>
      </c>
      <c r="AB32" t="s">
        <v>35</v>
      </c>
      <c r="AC32" t="s">
        <v>269</v>
      </c>
      <c r="AD32" t="s">
        <v>267</v>
      </c>
    </row>
    <row r="33" spans="1:30">
      <c r="A33">
        <v>55147887</v>
      </c>
      <c r="B33" t="s">
        <v>270</v>
      </c>
      <c r="C33" t="s">
        <v>212</v>
      </c>
      <c r="D33" t="s">
        <v>47</v>
      </c>
      <c r="E33" t="s">
        <v>35</v>
      </c>
      <c r="F33">
        <v>5016</v>
      </c>
      <c r="G33" t="s">
        <v>139</v>
      </c>
      <c r="H33" t="s">
        <v>45</v>
      </c>
      <c r="I33" t="s">
        <v>48</v>
      </c>
      <c r="J33" t="s">
        <v>46</v>
      </c>
      <c r="K33" t="s">
        <v>116</v>
      </c>
      <c r="L33" t="s">
        <v>271</v>
      </c>
      <c r="M33" t="s">
        <v>118</v>
      </c>
      <c r="N33" t="s">
        <v>117</v>
      </c>
      <c r="O33" t="s">
        <v>215</v>
      </c>
      <c r="P33">
        <v>20260814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271</v>
      </c>
      <c r="AD33" t="s">
        <v>272</v>
      </c>
    </row>
    <row r="34" spans="1:30">
      <c r="A34">
        <v>55160502</v>
      </c>
      <c r="B34" t="s">
        <v>273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274</v>
      </c>
      <c r="M34" t="s">
        <v>118</v>
      </c>
      <c r="N34" t="s">
        <v>117</v>
      </c>
      <c r="O34" t="s">
        <v>215</v>
      </c>
      <c r="P34">
        <v>20260814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274</v>
      </c>
      <c r="AD34" t="s">
        <v>275</v>
      </c>
    </row>
    <row r="35" spans="1:30">
      <c r="A35">
        <v>55161885</v>
      </c>
      <c r="B35" t="s">
        <v>276</v>
      </c>
      <c r="C35" t="s">
        <v>212</v>
      </c>
      <c r="D35" t="s">
        <v>47</v>
      </c>
      <c r="E35" t="s">
        <v>35</v>
      </c>
      <c r="F35">
        <v>5803</v>
      </c>
      <c r="G35" t="s">
        <v>176</v>
      </c>
      <c r="H35" t="s">
        <v>45</v>
      </c>
      <c r="I35" t="s">
        <v>48</v>
      </c>
      <c r="J35" t="s">
        <v>46</v>
      </c>
      <c r="K35" t="s">
        <v>116</v>
      </c>
      <c r="L35" t="s">
        <v>277</v>
      </c>
      <c r="M35" t="s">
        <v>124</v>
      </c>
      <c r="N35" t="s">
        <v>123</v>
      </c>
      <c r="O35" t="s">
        <v>215</v>
      </c>
      <c r="P35">
        <v>20260814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277</v>
      </c>
      <c r="AD35" t="s">
        <v>278</v>
      </c>
    </row>
    <row r="36" spans="1:30">
      <c r="A36">
        <v>55163487</v>
      </c>
      <c r="B36" t="s">
        <v>279</v>
      </c>
      <c r="C36" t="s">
        <v>212</v>
      </c>
      <c r="D36" t="s">
        <v>47</v>
      </c>
      <c r="E36" t="s">
        <v>35</v>
      </c>
      <c r="F36">
        <v>6613</v>
      </c>
      <c r="G36" t="s">
        <v>165</v>
      </c>
      <c r="H36" t="s">
        <v>45</v>
      </c>
      <c r="I36" t="s">
        <v>48</v>
      </c>
      <c r="J36" t="s">
        <v>46</v>
      </c>
      <c r="K36" t="s">
        <v>116</v>
      </c>
      <c r="L36" t="s">
        <v>280</v>
      </c>
      <c r="M36" t="s">
        <v>124</v>
      </c>
      <c r="N36" t="s">
        <v>123</v>
      </c>
      <c r="O36" t="s">
        <v>215</v>
      </c>
      <c r="P36">
        <v>20260814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125</v>
      </c>
      <c r="Y36" t="s">
        <v>47</v>
      </c>
      <c r="Z36" t="s">
        <v>35</v>
      </c>
      <c r="AA36" t="s">
        <v>50</v>
      </c>
      <c r="AB36" t="s">
        <v>35</v>
      </c>
      <c r="AC36" t="s">
        <v>280</v>
      </c>
      <c r="AD36" t="s">
        <v>281</v>
      </c>
    </row>
    <row r="37" spans="1:30">
      <c r="A37">
        <v>55165362</v>
      </c>
      <c r="B37" t="s">
        <v>282</v>
      </c>
      <c r="C37" t="s">
        <v>212</v>
      </c>
      <c r="D37" t="s">
        <v>47</v>
      </c>
      <c r="E37" t="s">
        <v>35</v>
      </c>
      <c r="F37">
        <v>5016</v>
      </c>
      <c r="G37" t="s">
        <v>139</v>
      </c>
      <c r="H37" t="s">
        <v>45</v>
      </c>
      <c r="I37" t="s">
        <v>48</v>
      </c>
      <c r="J37" t="s">
        <v>46</v>
      </c>
      <c r="K37" t="s">
        <v>116</v>
      </c>
      <c r="L37" t="s">
        <v>283</v>
      </c>
      <c r="M37" t="s">
        <v>118</v>
      </c>
      <c r="N37" t="s">
        <v>117</v>
      </c>
      <c r="O37" t="s">
        <v>215</v>
      </c>
      <c r="P37">
        <v>20260814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35</v>
      </c>
      <c r="Y37" t="s">
        <v>47</v>
      </c>
      <c r="Z37" t="s">
        <v>35</v>
      </c>
      <c r="AA37" t="s">
        <v>50</v>
      </c>
      <c r="AB37" t="s">
        <v>35</v>
      </c>
      <c r="AC37" t="s">
        <v>283</v>
      </c>
      <c r="AD37" t="s">
        <v>284</v>
      </c>
    </row>
    <row r="38" spans="1:30">
      <c r="A38">
        <v>55167713</v>
      </c>
      <c r="B38" t="s">
        <v>285</v>
      </c>
      <c r="C38" t="s">
        <v>212</v>
      </c>
      <c r="D38" t="s">
        <v>47</v>
      </c>
      <c r="E38" t="s">
        <v>35</v>
      </c>
      <c r="F38">
        <v>5803</v>
      </c>
      <c r="G38" t="s">
        <v>176</v>
      </c>
      <c r="H38" t="s">
        <v>45</v>
      </c>
      <c r="I38" t="s">
        <v>48</v>
      </c>
      <c r="J38" t="s">
        <v>46</v>
      </c>
      <c r="K38" t="s">
        <v>116</v>
      </c>
      <c r="L38" t="s">
        <v>286</v>
      </c>
      <c r="M38" t="s">
        <v>118</v>
      </c>
      <c r="N38" t="s">
        <v>117</v>
      </c>
      <c r="O38" t="s">
        <v>215</v>
      </c>
      <c r="P38">
        <v>20260814</v>
      </c>
      <c r="Q38">
        <v>100</v>
      </c>
      <c r="R38">
        <v>100</v>
      </c>
      <c r="S38">
        <v>5753</v>
      </c>
      <c r="T38" t="s">
        <v>49</v>
      </c>
      <c r="U38" t="s">
        <v>47</v>
      </c>
      <c r="V38" t="s">
        <v>47</v>
      </c>
      <c r="W38" t="s">
        <v>47</v>
      </c>
      <c r="X38" t="s">
        <v>35</v>
      </c>
      <c r="Y38" t="s">
        <v>47</v>
      </c>
      <c r="Z38" t="s">
        <v>35</v>
      </c>
      <c r="AA38" t="s">
        <v>50</v>
      </c>
      <c r="AB38" t="s">
        <v>35</v>
      </c>
      <c r="AC38" t="s">
        <v>287</v>
      </c>
      <c r="AD38" t="s">
        <v>288</v>
      </c>
    </row>
    <row r="39" spans="1:30">
      <c r="A39">
        <v>55182279</v>
      </c>
      <c r="B39" t="s">
        <v>289</v>
      </c>
      <c r="C39" t="s">
        <v>290</v>
      </c>
      <c r="D39" t="s">
        <v>47</v>
      </c>
      <c r="E39" t="s">
        <v>35</v>
      </c>
      <c r="F39">
        <v>5803</v>
      </c>
      <c r="G39" t="s">
        <v>176</v>
      </c>
      <c r="H39" t="s">
        <v>45</v>
      </c>
      <c r="I39" t="s">
        <v>48</v>
      </c>
      <c r="J39" t="s">
        <v>46</v>
      </c>
      <c r="K39" t="s">
        <v>116</v>
      </c>
      <c r="L39" t="s">
        <v>291</v>
      </c>
      <c r="M39" t="s">
        <v>124</v>
      </c>
      <c r="N39" t="s">
        <v>123</v>
      </c>
      <c r="O39" t="s">
        <v>215</v>
      </c>
      <c r="P39">
        <v>20260814</v>
      </c>
      <c r="Q39">
        <v>100</v>
      </c>
      <c r="R39">
        <v>0</v>
      </c>
      <c r="S39">
        <v>5742</v>
      </c>
      <c r="T39" t="s">
        <v>49</v>
      </c>
      <c r="U39" t="s">
        <v>47</v>
      </c>
      <c r="V39" t="s">
        <v>47</v>
      </c>
      <c r="W39" t="s">
        <v>47</v>
      </c>
      <c r="X39" t="s">
        <v>125</v>
      </c>
      <c r="Y39" t="s">
        <v>47</v>
      </c>
      <c r="Z39" t="s">
        <v>35</v>
      </c>
      <c r="AA39" t="s">
        <v>50</v>
      </c>
      <c r="AB39" t="s">
        <v>35</v>
      </c>
      <c r="AC39" t="s">
        <v>291</v>
      </c>
      <c r="AD39" t="s">
        <v>292</v>
      </c>
    </row>
    <row r="40" spans="1:30">
      <c r="A40">
        <v>55184002</v>
      </c>
      <c r="B40" t="s">
        <v>293</v>
      </c>
      <c r="C40" t="s">
        <v>212</v>
      </c>
      <c r="D40" t="s">
        <v>47</v>
      </c>
      <c r="E40" t="s">
        <v>35</v>
      </c>
      <c r="F40">
        <v>5803</v>
      </c>
      <c r="G40" t="s">
        <v>176</v>
      </c>
      <c r="H40" t="s">
        <v>45</v>
      </c>
      <c r="I40" t="s">
        <v>48</v>
      </c>
      <c r="J40" t="s">
        <v>46</v>
      </c>
      <c r="K40" t="s">
        <v>116</v>
      </c>
      <c r="L40" t="s">
        <v>294</v>
      </c>
      <c r="M40" t="s">
        <v>124</v>
      </c>
      <c r="N40" t="s">
        <v>123</v>
      </c>
      <c r="O40" t="s">
        <v>215</v>
      </c>
      <c r="P40">
        <v>20260814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294</v>
      </c>
      <c r="AD40" t="s">
        <v>295</v>
      </c>
    </row>
    <row r="41" spans="1:30">
      <c r="A41">
        <v>55185966</v>
      </c>
      <c r="B41" t="s">
        <v>296</v>
      </c>
      <c r="C41" t="s">
        <v>212</v>
      </c>
      <c r="D41" t="s">
        <v>47</v>
      </c>
      <c r="E41" t="s">
        <v>35</v>
      </c>
      <c r="F41">
        <v>5016</v>
      </c>
      <c r="G41" t="s">
        <v>139</v>
      </c>
      <c r="H41" t="s">
        <v>45</v>
      </c>
      <c r="I41" t="s">
        <v>48</v>
      </c>
      <c r="J41" t="s">
        <v>46</v>
      </c>
      <c r="K41" t="s">
        <v>116</v>
      </c>
      <c r="L41" t="s">
        <v>297</v>
      </c>
      <c r="M41" t="s">
        <v>124</v>
      </c>
      <c r="N41" t="s">
        <v>123</v>
      </c>
      <c r="O41" t="s">
        <v>215</v>
      </c>
      <c r="P41">
        <v>20260814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125</v>
      </c>
      <c r="Y41" t="s">
        <v>47</v>
      </c>
      <c r="Z41" t="s">
        <v>35</v>
      </c>
      <c r="AA41" t="s">
        <v>50</v>
      </c>
      <c r="AB41" t="s">
        <v>35</v>
      </c>
      <c r="AC41" t="s">
        <v>297</v>
      </c>
      <c r="AD41" t="s">
        <v>298</v>
      </c>
    </row>
    <row r="42" spans="1:30">
      <c r="A42">
        <v>55186137</v>
      </c>
      <c r="B42" t="s">
        <v>299</v>
      </c>
      <c r="C42" t="s">
        <v>212</v>
      </c>
      <c r="D42" t="s">
        <v>47</v>
      </c>
      <c r="E42" t="s">
        <v>35</v>
      </c>
      <c r="F42">
        <v>5803</v>
      </c>
      <c r="G42" t="s">
        <v>176</v>
      </c>
      <c r="H42" t="s">
        <v>45</v>
      </c>
      <c r="I42" t="s">
        <v>48</v>
      </c>
      <c r="J42" t="s">
        <v>46</v>
      </c>
      <c r="K42" t="s">
        <v>116</v>
      </c>
      <c r="L42" t="s">
        <v>300</v>
      </c>
      <c r="M42" t="s">
        <v>118</v>
      </c>
      <c r="N42" t="s">
        <v>117</v>
      </c>
      <c r="O42" t="s">
        <v>215</v>
      </c>
      <c r="P42">
        <v>20260814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300</v>
      </c>
      <c r="AD42" t="s">
        <v>301</v>
      </c>
    </row>
    <row r="43" spans="1:30">
      <c r="A43">
        <v>55189216</v>
      </c>
      <c r="B43" t="s">
        <v>302</v>
      </c>
      <c r="C43" t="s">
        <v>212</v>
      </c>
      <c r="D43" t="s">
        <v>47</v>
      </c>
      <c r="E43" t="s">
        <v>35</v>
      </c>
      <c r="F43">
        <v>5803</v>
      </c>
      <c r="G43" t="s">
        <v>176</v>
      </c>
      <c r="H43" t="s">
        <v>45</v>
      </c>
      <c r="I43" t="s">
        <v>48</v>
      </c>
      <c r="J43" t="s">
        <v>46</v>
      </c>
      <c r="K43" t="s">
        <v>116</v>
      </c>
      <c r="L43" t="s">
        <v>303</v>
      </c>
      <c r="M43" t="s">
        <v>124</v>
      </c>
      <c r="N43" t="s">
        <v>123</v>
      </c>
      <c r="O43" t="s">
        <v>215</v>
      </c>
      <c r="P43">
        <v>20260814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303</v>
      </c>
      <c r="AD43" t="s">
        <v>292</v>
      </c>
    </row>
    <row r="44" spans="1:30">
      <c r="A44">
        <v>55190871</v>
      </c>
      <c r="B44" t="s">
        <v>304</v>
      </c>
      <c r="C44" t="s">
        <v>212</v>
      </c>
      <c r="D44" t="s">
        <v>47</v>
      </c>
      <c r="E44" t="s">
        <v>35</v>
      </c>
      <c r="F44">
        <v>5803</v>
      </c>
      <c r="G44" t="s">
        <v>176</v>
      </c>
      <c r="H44" t="s">
        <v>45</v>
      </c>
      <c r="I44" t="s">
        <v>48</v>
      </c>
      <c r="J44" t="s">
        <v>46</v>
      </c>
      <c r="K44" t="s">
        <v>116</v>
      </c>
      <c r="L44" t="s">
        <v>305</v>
      </c>
      <c r="M44" t="s">
        <v>118</v>
      </c>
      <c r="N44" t="s">
        <v>117</v>
      </c>
      <c r="O44" t="s">
        <v>215</v>
      </c>
      <c r="P44">
        <v>20260814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305</v>
      </c>
      <c r="AD44" t="s">
        <v>306</v>
      </c>
    </row>
    <row r="45" spans="1:30">
      <c r="A45">
        <v>55193078</v>
      </c>
      <c r="B45" t="s">
        <v>307</v>
      </c>
      <c r="C45" t="s">
        <v>212</v>
      </c>
      <c r="D45" t="s">
        <v>47</v>
      </c>
      <c r="E45" t="s">
        <v>35</v>
      </c>
      <c r="F45">
        <v>5803</v>
      </c>
      <c r="G45" t="s">
        <v>176</v>
      </c>
      <c r="H45" t="s">
        <v>45</v>
      </c>
      <c r="I45" t="s">
        <v>48</v>
      </c>
      <c r="J45" t="s">
        <v>46</v>
      </c>
      <c r="K45" t="s">
        <v>116</v>
      </c>
      <c r="L45" t="s">
        <v>308</v>
      </c>
      <c r="M45" t="s">
        <v>124</v>
      </c>
      <c r="N45" t="s">
        <v>123</v>
      </c>
      <c r="O45" t="s">
        <v>215</v>
      </c>
      <c r="P45">
        <v>20260814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308</v>
      </c>
      <c r="AD45" t="s">
        <v>309</v>
      </c>
    </row>
    <row r="46" spans="1:30">
      <c r="A46">
        <v>55193693</v>
      </c>
      <c r="B46" t="s">
        <v>310</v>
      </c>
      <c r="C46" t="s">
        <v>212</v>
      </c>
      <c r="D46" t="s">
        <v>47</v>
      </c>
      <c r="E46" t="s">
        <v>35</v>
      </c>
      <c r="F46">
        <v>5803</v>
      </c>
      <c r="G46" t="s">
        <v>176</v>
      </c>
      <c r="H46" t="s">
        <v>45</v>
      </c>
      <c r="I46" t="s">
        <v>48</v>
      </c>
      <c r="J46" t="s">
        <v>46</v>
      </c>
      <c r="K46" t="s">
        <v>116</v>
      </c>
      <c r="L46" t="s">
        <v>311</v>
      </c>
      <c r="M46" t="s">
        <v>118</v>
      </c>
      <c r="N46" t="s">
        <v>117</v>
      </c>
      <c r="O46" t="s">
        <v>215</v>
      </c>
      <c r="P46">
        <v>20260814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35</v>
      </c>
      <c r="Y46" t="s">
        <v>47</v>
      </c>
      <c r="Z46" t="s">
        <v>35</v>
      </c>
      <c r="AA46" t="s">
        <v>50</v>
      </c>
      <c r="AB46" t="s">
        <v>35</v>
      </c>
      <c r="AC46" t="s">
        <v>312</v>
      </c>
      <c r="AD46" t="s">
        <v>313</v>
      </c>
    </row>
    <row r="47" spans="1:30">
      <c r="A47">
        <v>55195337</v>
      </c>
      <c r="B47" t="s">
        <v>314</v>
      </c>
      <c r="C47" t="s">
        <v>212</v>
      </c>
      <c r="D47" t="s">
        <v>47</v>
      </c>
      <c r="E47" t="s">
        <v>35</v>
      </c>
      <c r="F47">
        <v>5803</v>
      </c>
      <c r="G47" t="s">
        <v>176</v>
      </c>
      <c r="H47" t="s">
        <v>45</v>
      </c>
      <c r="I47" t="s">
        <v>48</v>
      </c>
      <c r="J47" t="s">
        <v>46</v>
      </c>
      <c r="K47" t="s">
        <v>116</v>
      </c>
      <c r="L47" t="s">
        <v>315</v>
      </c>
      <c r="M47" t="s">
        <v>124</v>
      </c>
      <c r="N47" t="s">
        <v>123</v>
      </c>
      <c r="O47" t="s">
        <v>215</v>
      </c>
      <c r="P47">
        <v>20260814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125</v>
      </c>
      <c r="Y47" t="s">
        <v>47</v>
      </c>
      <c r="Z47" t="s">
        <v>35</v>
      </c>
      <c r="AA47" t="s">
        <v>50</v>
      </c>
      <c r="AB47" t="s">
        <v>35</v>
      </c>
      <c r="AC47" t="s">
        <v>315</v>
      </c>
      <c r="AD47" t="s">
        <v>316</v>
      </c>
    </row>
    <row r="48" spans="1:30">
      <c r="A48">
        <v>55196511</v>
      </c>
      <c r="B48" t="s">
        <v>317</v>
      </c>
      <c r="C48" t="s">
        <v>212</v>
      </c>
      <c r="D48" t="s">
        <v>47</v>
      </c>
      <c r="E48" t="s">
        <v>35</v>
      </c>
      <c r="F48">
        <v>5016</v>
      </c>
      <c r="G48" t="s">
        <v>139</v>
      </c>
      <c r="H48" t="s">
        <v>45</v>
      </c>
      <c r="I48" t="s">
        <v>48</v>
      </c>
      <c r="J48" t="s">
        <v>46</v>
      </c>
      <c r="K48" t="s">
        <v>116</v>
      </c>
      <c r="L48" t="s">
        <v>318</v>
      </c>
      <c r="M48" t="s">
        <v>124</v>
      </c>
      <c r="N48" t="s">
        <v>123</v>
      </c>
      <c r="O48" t="s">
        <v>215</v>
      </c>
      <c r="P48">
        <v>20260814</v>
      </c>
      <c r="Q48">
        <v>200</v>
      </c>
      <c r="R48">
        <v>200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125</v>
      </c>
      <c r="Y48" t="s">
        <v>47</v>
      </c>
      <c r="Z48" t="s">
        <v>35</v>
      </c>
      <c r="AA48" t="s">
        <v>50</v>
      </c>
      <c r="AB48" t="s">
        <v>35</v>
      </c>
      <c r="AC48" t="s">
        <v>318</v>
      </c>
      <c r="AD48" t="s">
        <v>319</v>
      </c>
    </row>
    <row r="49" spans="1:30">
      <c r="A49">
        <v>55197512</v>
      </c>
      <c r="B49" t="s">
        <v>320</v>
      </c>
      <c r="C49" t="s">
        <v>212</v>
      </c>
      <c r="D49" t="s">
        <v>47</v>
      </c>
      <c r="E49" t="s">
        <v>35</v>
      </c>
      <c r="F49">
        <v>5803</v>
      </c>
      <c r="G49" t="s">
        <v>176</v>
      </c>
      <c r="H49" t="s">
        <v>45</v>
      </c>
      <c r="I49" t="s">
        <v>48</v>
      </c>
      <c r="J49" t="s">
        <v>46</v>
      </c>
      <c r="K49" t="s">
        <v>116</v>
      </c>
      <c r="L49" t="s">
        <v>321</v>
      </c>
      <c r="M49" t="s">
        <v>118</v>
      </c>
      <c r="N49" t="s">
        <v>117</v>
      </c>
      <c r="O49" t="s">
        <v>215</v>
      </c>
      <c r="P49">
        <v>20260814</v>
      </c>
      <c r="Q49">
        <v>100</v>
      </c>
      <c r="R49">
        <v>100</v>
      </c>
      <c r="S49" t="s">
        <v>217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321</v>
      </c>
      <c r="AD49" t="s">
        <v>322</v>
      </c>
    </row>
    <row r="50" spans="1:30">
      <c r="A50">
        <v>55199058</v>
      </c>
      <c r="B50" t="s">
        <v>323</v>
      </c>
      <c r="C50" t="s">
        <v>212</v>
      </c>
      <c r="D50" t="s">
        <v>47</v>
      </c>
      <c r="E50" t="s">
        <v>35</v>
      </c>
      <c r="F50">
        <v>5803</v>
      </c>
      <c r="G50" t="s">
        <v>176</v>
      </c>
      <c r="H50" t="s">
        <v>45</v>
      </c>
      <c r="I50" t="s">
        <v>48</v>
      </c>
      <c r="J50" t="s">
        <v>46</v>
      </c>
      <c r="K50" t="s">
        <v>116</v>
      </c>
      <c r="L50" t="s">
        <v>324</v>
      </c>
      <c r="M50" t="s">
        <v>118</v>
      </c>
      <c r="N50" t="s">
        <v>117</v>
      </c>
      <c r="O50" t="s">
        <v>215</v>
      </c>
      <c r="P50">
        <v>20260814</v>
      </c>
      <c r="Q50">
        <v>100</v>
      </c>
      <c r="R50">
        <v>100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35</v>
      </c>
      <c r="Y50" t="s">
        <v>47</v>
      </c>
      <c r="Z50" t="s">
        <v>35</v>
      </c>
      <c r="AA50" t="s">
        <v>50</v>
      </c>
      <c r="AB50" t="s">
        <v>35</v>
      </c>
      <c r="AC50" t="s">
        <v>324</v>
      </c>
      <c r="AD50" t="s">
        <v>325</v>
      </c>
    </row>
    <row r="51" spans="1:30">
      <c r="A51">
        <v>55201601</v>
      </c>
      <c r="B51" t="s">
        <v>326</v>
      </c>
      <c r="C51" t="s">
        <v>212</v>
      </c>
      <c r="D51" t="s">
        <v>47</v>
      </c>
      <c r="E51" t="s">
        <v>35</v>
      </c>
      <c r="F51">
        <v>5016</v>
      </c>
      <c r="G51" t="s">
        <v>139</v>
      </c>
      <c r="H51" t="s">
        <v>45</v>
      </c>
      <c r="I51" t="s">
        <v>48</v>
      </c>
      <c r="J51" t="s">
        <v>46</v>
      </c>
      <c r="K51" t="s">
        <v>116</v>
      </c>
      <c r="L51" t="s">
        <v>327</v>
      </c>
      <c r="M51" t="s">
        <v>118</v>
      </c>
      <c r="N51" t="s">
        <v>117</v>
      </c>
      <c r="O51" t="s">
        <v>215</v>
      </c>
      <c r="P51">
        <v>20260814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327</v>
      </c>
      <c r="AD51" t="s">
        <v>328</v>
      </c>
    </row>
    <row r="52" spans="1:30">
      <c r="A52">
        <v>55203563</v>
      </c>
      <c r="B52" t="s">
        <v>329</v>
      </c>
      <c r="C52" t="s">
        <v>212</v>
      </c>
      <c r="D52" t="s">
        <v>47</v>
      </c>
      <c r="E52" t="s">
        <v>35</v>
      </c>
      <c r="F52">
        <v>5803</v>
      </c>
      <c r="G52" t="s">
        <v>176</v>
      </c>
      <c r="H52" t="s">
        <v>45</v>
      </c>
      <c r="I52" t="s">
        <v>48</v>
      </c>
      <c r="J52" t="s">
        <v>46</v>
      </c>
      <c r="K52" t="s">
        <v>116</v>
      </c>
      <c r="L52" t="s">
        <v>330</v>
      </c>
      <c r="M52" t="s">
        <v>124</v>
      </c>
      <c r="N52" t="s">
        <v>123</v>
      </c>
      <c r="O52" t="s">
        <v>215</v>
      </c>
      <c r="P52">
        <v>20260814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330</v>
      </c>
      <c r="AD52" t="s">
        <v>331</v>
      </c>
    </row>
    <row r="53" spans="1:30">
      <c r="A53">
        <v>55203834</v>
      </c>
      <c r="B53" t="s">
        <v>332</v>
      </c>
      <c r="C53" t="s">
        <v>212</v>
      </c>
      <c r="D53" t="s">
        <v>47</v>
      </c>
      <c r="E53" t="s">
        <v>35</v>
      </c>
      <c r="F53">
        <v>5016</v>
      </c>
      <c r="G53" t="s">
        <v>139</v>
      </c>
      <c r="H53" t="s">
        <v>45</v>
      </c>
      <c r="I53" t="s">
        <v>48</v>
      </c>
      <c r="J53" t="s">
        <v>46</v>
      </c>
      <c r="K53" t="s">
        <v>116</v>
      </c>
      <c r="L53" t="s">
        <v>333</v>
      </c>
      <c r="M53" t="s">
        <v>118</v>
      </c>
      <c r="N53" t="s">
        <v>117</v>
      </c>
      <c r="O53" t="s">
        <v>215</v>
      </c>
      <c r="P53">
        <v>20260814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333</v>
      </c>
      <c r="AD53" t="s">
        <v>334</v>
      </c>
    </row>
    <row r="54" spans="1:30">
      <c r="A54">
        <v>55210451</v>
      </c>
      <c r="B54" t="s">
        <v>335</v>
      </c>
      <c r="C54" t="s">
        <v>212</v>
      </c>
      <c r="D54" t="s">
        <v>47</v>
      </c>
      <c r="E54" t="s">
        <v>35</v>
      </c>
      <c r="F54">
        <v>6613</v>
      </c>
      <c r="G54" t="s">
        <v>165</v>
      </c>
      <c r="H54" t="s">
        <v>45</v>
      </c>
      <c r="I54" t="s">
        <v>48</v>
      </c>
      <c r="J54" t="s">
        <v>46</v>
      </c>
      <c r="K54" t="s">
        <v>116</v>
      </c>
      <c r="L54" t="s">
        <v>336</v>
      </c>
      <c r="M54" t="s">
        <v>118</v>
      </c>
      <c r="N54" t="s">
        <v>117</v>
      </c>
      <c r="O54" t="s">
        <v>215</v>
      </c>
      <c r="P54">
        <v>20260814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336</v>
      </c>
      <c r="AD54" t="s">
        <v>337</v>
      </c>
    </row>
    <row r="55" spans="1:30">
      <c r="A55">
        <v>55215596</v>
      </c>
      <c r="B55" t="s">
        <v>338</v>
      </c>
      <c r="C55" t="s">
        <v>212</v>
      </c>
      <c r="D55" t="s">
        <v>47</v>
      </c>
      <c r="E55" t="s">
        <v>35</v>
      </c>
      <c r="F55">
        <v>5803</v>
      </c>
      <c r="G55" t="s">
        <v>176</v>
      </c>
      <c r="H55" t="s">
        <v>45</v>
      </c>
      <c r="I55" t="s">
        <v>48</v>
      </c>
      <c r="J55" t="s">
        <v>46</v>
      </c>
      <c r="K55" t="s">
        <v>116</v>
      </c>
      <c r="L55" t="s">
        <v>339</v>
      </c>
      <c r="M55" t="s">
        <v>124</v>
      </c>
      <c r="N55" t="s">
        <v>123</v>
      </c>
      <c r="O55" t="s">
        <v>215</v>
      </c>
      <c r="P55">
        <v>20260814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339</v>
      </c>
      <c r="AD55" t="s">
        <v>340</v>
      </c>
    </row>
    <row r="56" spans="1:30">
      <c r="A56">
        <v>55216493</v>
      </c>
      <c r="B56" t="s">
        <v>341</v>
      </c>
      <c r="C56" t="s">
        <v>212</v>
      </c>
      <c r="D56" t="s">
        <v>47</v>
      </c>
      <c r="E56" t="s">
        <v>35</v>
      </c>
      <c r="F56">
        <v>5803</v>
      </c>
      <c r="G56" t="s">
        <v>176</v>
      </c>
      <c r="H56" t="s">
        <v>45</v>
      </c>
      <c r="I56" t="s">
        <v>48</v>
      </c>
      <c r="J56" t="s">
        <v>46</v>
      </c>
      <c r="K56" t="s">
        <v>116</v>
      </c>
      <c r="L56" t="s">
        <v>342</v>
      </c>
      <c r="M56" t="s">
        <v>118</v>
      </c>
      <c r="N56" t="s">
        <v>117</v>
      </c>
      <c r="O56" t="s">
        <v>215</v>
      </c>
      <c r="P56">
        <v>20260814</v>
      </c>
      <c r="Q56">
        <v>100</v>
      </c>
      <c r="R56">
        <v>100</v>
      </c>
      <c r="S56">
        <v>5690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342</v>
      </c>
      <c r="AD56" t="s">
        <v>343</v>
      </c>
    </row>
    <row r="57" spans="1:30">
      <c r="A57">
        <v>55221293</v>
      </c>
      <c r="B57" t="s">
        <v>344</v>
      </c>
      <c r="C57" t="s">
        <v>212</v>
      </c>
      <c r="D57" t="s">
        <v>47</v>
      </c>
      <c r="E57" t="s">
        <v>35</v>
      </c>
      <c r="F57">
        <v>5803</v>
      </c>
      <c r="G57" t="s">
        <v>176</v>
      </c>
      <c r="H57" t="s">
        <v>45</v>
      </c>
      <c r="I57" t="s">
        <v>48</v>
      </c>
      <c r="J57" t="s">
        <v>46</v>
      </c>
      <c r="K57" t="s">
        <v>116</v>
      </c>
      <c r="L57" t="s">
        <v>345</v>
      </c>
      <c r="M57" t="s">
        <v>124</v>
      </c>
      <c r="N57" t="s">
        <v>123</v>
      </c>
      <c r="O57" t="s">
        <v>215</v>
      </c>
      <c r="P57">
        <v>20260814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345</v>
      </c>
      <c r="AD57" t="s">
        <v>346</v>
      </c>
    </row>
    <row r="58" spans="1:30">
      <c r="A58">
        <v>55221955</v>
      </c>
      <c r="B58" t="s">
        <v>347</v>
      </c>
      <c r="C58" t="s">
        <v>212</v>
      </c>
      <c r="D58" t="s">
        <v>47</v>
      </c>
      <c r="E58" t="s">
        <v>35</v>
      </c>
      <c r="F58">
        <v>5803</v>
      </c>
      <c r="G58" t="s">
        <v>176</v>
      </c>
      <c r="H58" t="s">
        <v>45</v>
      </c>
      <c r="I58" t="s">
        <v>48</v>
      </c>
      <c r="J58" t="s">
        <v>46</v>
      </c>
      <c r="K58" t="s">
        <v>116</v>
      </c>
      <c r="L58" t="s">
        <v>348</v>
      </c>
      <c r="M58" t="s">
        <v>118</v>
      </c>
      <c r="N58" t="s">
        <v>117</v>
      </c>
      <c r="O58" t="s">
        <v>215</v>
      </c>
      <c r="P58">
        <v>20260814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35</v>
      </c>
      <c r="Y58" t="s">
        <v>47</v>
      </c>
      <c r="Z58" t="s">
        <v>35</v>
      </c>
      <c r="AA58" t="s">
        <v>50</v>
      </c>
      <c r="AB58" t="s">
        <v>35</v>
      </c>
      <c r="AC58" t="s">
        <v>348</v>
      </c>
      <c r="AD58" t="s">
        <v>349</v>
      </c>
    </row>
    <row r="59" spans="1:30">
      <c r="A59">
        <v>55234682</v>
      </c>
      <c r="B59" t="s">
        <v>350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351</v>
      </c>
      <c r="M59" t="s">
        <v>124</v>
      </c>
      <c r="N59" t="s">
        <v>123</v>
      </c>
      <c r="O59" t="s">
        <v>215</v>
      </c>
      <c r="P59">
        <v>20260814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351</v>
      </c>
      <c r="AD59" t="s">
        <v>352</v>
      </c>
    </row>
    <row r="60" spans="1:30">
      <c r="A60">
        <v>55235031</v>
      </c>
      <c r="B60" t="s">
        <v>353</v>
      </c>
      <c r="C60" t="s">
        <v>212</v>
      </c>
      <c r="D60" t="s">
        <v>47</v>
      </c>
      <c r="E60" t="s">
        <v>35</v>
      </c>
      <c r="F60">
        <v>5803</v>
      </c>
      <c r="G60" t="s">
        <v>176</v>
      </c>
      <c r="H60" t="s">
        <v>45</v>
      </c>
      <c r="I60" t="s">
        <v>48</v>
      </c>
      <c r="J60" t="s">
        <v>46</v>
      </c>
      <c r="K60" t="s">
        <v>116</v>
      </c>
      <c r="L60" t="s">
        <v>354</v>
      </c>
      <c r="M60" t="s">
        <v>124</v>
      </c>
      <c r="N60" t="s">
        <v>123</v>
      </c>
      <c r="O60" t="s">
        <v>215</v>
      </c>
      <c r="P60">
        <v>20260814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125</v>
      </c>
      <c r="Y60" t="s">
        <v>47</v>
      </c>
      <c r="Z60" t="s">
        <v>35</v>
      </c>
      <c r="AA60" t="s">
        <v>50</v>
      </c>
      <c r="AB60" t="s">
        <v>35</v>
      </c>
      <c r="AC60" t="s">
        <v>354</v>
      </c>
      <c r="AD60" t="s">
        <v>355</v>
      </c>
    </row>
    <row r="61" spans="1:30">
      <c r="A61">
        <v>55235159</v>
      </c>
      <c r="B61" t="s">
        <v>356</v>
      </c>
      <c r="C61" t="s">
        <v>212</v>
      </c>
      <c r="D61" t="s">
        <v>47</v>
      </c>
      <c r="E61" t="s">
        <v>35</v>
      </c>
      <c r="F61">
        <v>3436</v>
      </c>
      <c r="G61" t="s">
        <v>152</v>
      </c>
      <c r="H61" t="s">
        <v>45</v>
      </c>
      <c r="I61" t="s">
        <v>48</v>
      </c>
      <c r="J61" t="s">
        <v>46</v>
      </c>
      <c r="K61" t="s">
        <v>116</v>
      </c>
      <c r="L61" t="s">
        <v>357</v>
      </c>
      <c r="M61" t="s">
        <v>118</v>
      </c>
      <c r="N61" t="s">
        <v>117</v>
      </c>
      <c r="O61" t="s">
        <v>215</v>
      </c>
      <c r="P61">
        <v>20260814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357</v>
      </c>
      <c r="AD61" t="s">
        <v>358</v>
      </c>
    </row>
    <row r="62" spans="1:30">
      <c r="A62">
        <v>55237579</v>
      </c>
      <c r="B62" t="s">
        <v>359</v>
      </c>
      <c r="C62" t="s">
        <v>212</v>
      </c>
      <c r="D62" t="s">
        <v>47</v>
      </c>
      <c r="E62" t="s">
        <v>35</v>
      </c>
      <c r="F62">
        <v>5016</v>
      </c>
      <c r="G62" t="s">
        <v>139</v>
      </c>
      <c r="H62" t="s">
        <v>45</v>
      </c>
      <c r="I62" t="s">
        <v>48</v>
      </c>
      <c r="J62" t="s">
        <v>46</v>
      </c>
      <c r="K62" t="s">
        <v>116</v>
      </c>
      <c r="L62" t="s">
        <v>360</v>
      </c>
      <c r="M62" t="s">
        <v>124</v>
      </c>
      <c r="N62" t="s">
        <v>123</v>
      </c>
      <c r="O62" t="s">
        <v>215</v>
      </c>
      <c r="P62">
        <v>20260814</v>
      </c>
      <c r="Q62">
        <v>200</v>
      </c>
      <c r="R62">
        <v>200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125</v>
      </c>
      <c r="Y62" t="s">
        <v>47</v>
      </c>
      <c r="Z62" t="s">
        <v>35</v>
      </c>
      <c r="AA62" t="s">
        <v>50</v>
      </c>
      <c r="AB62" t="s">
        <v>35</v>
      </c>
      <c r="AC62" t="s">
        <v>360</v>
      </c>
      <c r="AD62" t="s">
        <v>361</v>
      </c>
    </row>
    <row r="63" spans="1:30">
      <c r="A63">
        <v>55237916</v>
      </c>
      <c r="B63" t="s">
        <v>362</v>
      </c>
      <c r="C63" t="s">
        <v>212</v>
      </c>
      <c r="D63" t="s">
        <v>47</v>
      </c>
      <c r="E63" t="s">
        <v>35</v>
      </c>
      <c r="F63">
        <v>5803</v>
      </c>
      <c r="G63" t="s">
        <v>176</v>
      </c>
      <c r="H63" t="s">
        <v>45</v>
      </c>
      <c r="I63" t="s">
        <v>48</v>
      </c>
      <c r="J63" t="s">
        <v>46</v>
      </c>
      <c r="K63" t="s">
        <v>116</v>
      </c>
      <c r="L63" t="s">
        <v>363</v>
      </c>
      <c r="M63" t="s">
        <v>118</v>
      </c>
      <c r="N63" t="s">
        <v>117</v>
      </c>
      <c r="O63" t="s">
        <v>215</v>
      </c>
      <c r="P63">
        <v>20260814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35</v>
      </c>
      <c r="Y63" t="s">
        <v>47</v>
      </c>
      <c r="Z63" t="s">
        <v>35</v>
      </c>
      <c r="AA63" t="s">
        <v>50</v>
      </c>
      <c r="AB63" t="s">
        <v>35</v>
      </c>
      <c r="AC63" t="s">
        <v>363</v>
      </c>
      <c r="AD63" t="s">
        <v>349</v>
      </c>
    </row>
    <row r="64" spans="1:30">
      <c r="A64">
        <v>55238616</v>
      </c>
      <c r="B64" t="s">
        <v>364</v>
      </c>
      <c r="C64" t="s">
        <v>212</v>
      </c>
      <c r="D64" t="s">
        <v>47</v>
      </c>
      <c r="E64" t="s">
        <v>35</v>
      </c>
      <c r="F64">
        <v>5016</v>
      </c>
      <c r="G64" t="s">
        <v>139</v>
      </c>
      <c r="H64" t="s">
        <v>45</v>
      </c>
      <c r="I64" t="s">
        <v>48</v>
      </c>
      <c r="J64" t="s">
        <v>46</v>
      </c>
      <c r="K64" t="s">
        <v>116</v>
      </c>
      <c r="L64" t="s">
        <v>365</v>
      </c>
      <c r="M64" t="s">
        <v>118</v>
      </c>
      <c r="N64" t="s">
        <v>117</v>
      </c>
      <c r="O64" t="s">
        <v>215</v>
      </c>
      <c r="P64">
        <v>20260814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35</v>
      </c>
      <c r="Y64" t="s">
        <v>47</v>
      </c>
      <c r="Z64" t="s">
        <v>35</v>
      </c>
      <c r="AA64" t="s">
        <v>50</v>
      </c>
      <c r="AB64" t="s">
        <v>35</v>
      </c>
      <c r="AC64" t="s">
        <v>365</v>
      </c>
      <c r="AD64" t="s">
        <v>366</v>
      </c>
    </row>
    <row r="65" spans="1:30">
      <c r="A65">
        <v>55240357</v>
      </c>
      <c r="B65" t="s">
        <v>367</v>
      </c>
      <c r="C65" t="s">
        <v>212</v>
      </c>
      <c r="D65" t="s">
        <v>47</v>
      </c>
      <c r="E65" t="s">
        <v>35</v>
      </c>
      <c r="F65">
        <v>3436</v>
      </c>
      <c r="G65" t="s">
        <v>152</v>
      </c>
      <c r="H65" t="s">
        <v>45</v>
      </c>
      <c r="I65" t="s">
        <v>48</v>
      </c>
      <c r="J65" t="s">
        <v>46</v>
      </c>
      <c r="K65" t="s">
        <v>116</v>
      </c>
      <c r="L65" t="s">
        <v>368</v>
      </c>
      <c r="M65" t="s">
        <v>124</v>
      </c>
      <c r="N65" t="s">
        <v>123</v>
      </c>
      <c r="O65" t="s">
        <v>215</v>
      </c>
      <c r="P65">
        <v>20260814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125</v>
      </c>
      <c r="Y65" t="s">
        <v>47</v>
      </c>
      <c r="Z65" t="s">
        <v>35</v>
      </c>
      <c r="AA65" t="s">
        <v>50</v>
      </c>
      <c r="AB65" t="s">
        <v>35</v>
      </c>
      <c r="AC65" t="s">
        <v>368</v>
      </c>
      <c r="AD65" t="s">
        <v>369</v>
      </c>
    </row>
    <row r="66" spans="1:30">
      <c r="A66">
        <v>55241364</v>
      </c>
      <c r="B66" t="s">
        <v>370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371</v>
      </c>
      <c r="M66" t="s">
        <v>118</v>
      </c>
      <c r="N66" t="s">
        <v>117</v>
      </c>
      <c r="O66" t="s">
        <v>215</v>
      </c>
      <c r="P66">
        <v>20260814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35</v>
      </c>
      <c r="Y66" t="s">
        <v>47</v>
      </c>
      <c r="Z66" t="s">
        <v>35</v>
      </c>
      <c r="AA66" t="s">
        <v>50</v>
      </c>
      <c r="AB66" t="s">
        <v>35</v>
      </c>
      <c r="AC66" t="s">
        <v>371</v>
      </c>
      <c r="AD66" t="s">
        <v>372</v>
      </c>
    </row>
    <row r="67" spans="1:30">
      <c r="A67">
        <v>55243264</v>
      </c>
      <c r="B67" t="s">
        <v>373</v>
      </c>
      <c r="C67" t="s">
        <v>212</v>
      </c>
      <c r="D67" t="s">
        <v>47</v>
      </c>
      <c r="E67" t="s">
        <v>35</v>
      </c>
      <c r="F67">
        <v>5016</v>
      </c>
      <c r="G67" t="s">
        <v>139</v>
      </c>
      <c r="H67" t="s">
        <v>45</v>
      </c>
      <c r="I67" t="s">
        <v>48</v>
      </c>
      <c r="J67" t="s">
        <v>46</v>
      </c>
      <c r="K67" t="s">
        <v>116</v>
      </c>
      <c r="L67" t="s">
        <v>374</v>
      </c>
      <c r="M67" t="s">
        <v>124</v>
      </c>
      <c r="N67" t="s">
        <v>123</v>
      </c>
      <c r="O67" t="s">
        <v>215</v>
      </c>
      <c r="P67">
        <v>20260814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374</v>
      </c>
      <c r="AD67" t="s">
        <v>375</v>
      </c>
    </row>
    <row r="68" spans="1:30">
      <c r="A68">
        <v>55244562</v>
      </c>
      <c r="B68" t="s">
        <v>376</v>
      </c>
      <c r="C68" t="s">
        <v>212</v>
      </c>
      <c r="D68" t="s">
        <v>47</v>
      </c>
      <c r="E68" t="s">
        <v>35</v>
      </c>
      <c r="F68">
        <v>5016</v>
      </c>
      <c r="G68" t="s">
        <v>139</v>
      </c>
      <c r="H68" t="s">
        <v>45</v>
      </c>
      <c r="I68" t="s">
        <v>48</v>
      </c>
      <c r="J68" t="s">
        <v>46</v>
      </c>
      <c r="K68" t="s">
        <v>116</v>
      </c>
      <c r="L68" t="s">
        <v>377</v>
      </c>
      <c r="M68" t="s">
        <v>118</v>
      </c>
      <c r="N68" t="s">
        <v>117</v>
      </c>
      <c r="O68" t="s">
        <v>215</v>
      </c>
      <c r="P68">
        <v>20260814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35</v>
      </c>
      <c r="Y68" t="s">
        <v>47</v>
      </c>
      <c r="Z68" t="s">
        <v>35</v>
      </c>
      <c r="AA68" t="s">
        <v>50</v>
      </c>
      <c r="AB68" t="s">
        <v>35</v>
      </c>
      <c r="AC68" t="s">
        <v>377</v>
      </c>
      <c r="AD68" t="s">
        <v>378</v>
      </c>
    </row>
    <row r="69" spans="1:30">
      <c r="A69">
        <v>55254063</v>
      </c>
      <c r="B69" t="s">
        <v>379</v>
      </c>
      <c r="C69" t="s">
        <v>212</v>
      </c>
      <c r="D69" t="s">
        <v>47</v>
      </c>
      <c r="E69" t="s">
        <v>35</v>
      </c>
      <c r="F69">
        <v>3436</v>
      </c>
      <c r="G69" t="s">
        <v>152</v>
      </c>
      <c r="H69" t="s">
        <v>45</v>
      </c>
      <c r="I69" t="s">
        <v>48</v>
      </c>
      <c r="J69" t="s">
        <v>46</v>
      </c>
      <c r="K69" t="s">
        <v>116</v>
      </c>
      <c r="L69" t="s">
        <v>380</v>
      </c>
      <c r="M69" t="s">
        <v>124</v>
      </c>
      <c r="N69" t="s">
        <v>123</v>
      </c>
      <c r="O69" t="s">
        <v>215</v>
      </c>
      <c r="P69">
        <v>20260814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125</v>
      </c>
      <c r="Y69" t="s">
        <v>47</v>
      </c>
      <c r="Z69" t="s">
        <v>35</v>
      </c>
      <c r="AA69" t="s">
        <v>50</v>
      </c>
      <c r="AB69" t="s">
        <v>35</v>
      </c>
      <c r="AC69" t="s">
        <v>380</v>
      </c>
      <c r="AD69" t="s">
        <v>381</v>
      </c>
    </row>
    <row r="70" spans="1:30">
      <c r="A70">
        <v>55254403</v>
      </c>
      <c r="B70" t="s">
        <v>382</v>
      </c>
      <c r="C70" t="s">
        <v>212</v>
      </c>
      <c r="D70" t="s">
        <v>47</v>
      </c>
      <c r="E70" t="s">
        <v>35</v>
      </c>
      <c r="F70">
        <v>5016</v>
      </c>
      <c r="G70" t="s">
        <v>139</v>
      </c>
      <c r="H70" t="s">
        <v>45</v>
      </c>
      <c r="I70" t="s">
        <v>48</v>
      </c>
      <c r="J70" t="s">
        <v>46</v>
      </c>
      <c r="K70" t="s">
        <v>116</v>
      </c>
      <c r="L70" t="s">
        <v>383</v>
      </c>
      <c r="M70" t="s">
        <v>124</v>
      </c>
      <c r="N70" t="s">
        <v>123</v>
      </c>
      <c r="O70" t="s">
        <v>215</v>
      </c>
      <c r="P70">
        <v>20260814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125</v>
      </c>
      <c r="Y70" t="s">
        <v>47</v>
      </c>
      <c r="Z70" t="s">
        <v>35</v>
      </c>
      <c r="AA70" t="s">
        <v>50</v>
      </c>
      <c r="AB70" t="s">
        <v>35</v>
      </c>
      <c r="AC70" t="s">
        <v>383</v>
      </c>
      <c r="AD70" t="s">
        <v>384</v>
      </c>
    </row>
    <row r="71" spans="1:30">
      <c r="A71">
        <v>55254824</v>
      </c>
      <c r="B71" t="s">
        <v>385</v>
      </c>
      <c r="C71" t="s">
        <v>212</v>
      </c>
      <c r="D71" t="s">
        <v>47</v>
      </c>
      <c r="E71" t="s">
        <v>35</v>
      </c>
      <c r="F71">
        <v>5016</v>
      </c>
      <c r="G71" t="s">
        <v>139</v>
      </c>
      <c r="H71" t="s">
        <v>45</v>
      </c>
      <c r="I71" t="s">
        <v>48</v>
      </c>
      <c r="J71" t="s">
        <v>46</v>
      </c>
      <c r="K71" t="s">
        <v>116</v>
      </c>
      <c r="L71" t="s">
        <v>386</v>
      </c>
      <c r="M71" t="s">
        <v>118</v>
      </c>
      <c r="N71" t="s">
        <v>117</v>
      </c>
      <c r="O71" t="s">
        <v>215</v>
      </c>
      <c r="P71">
        <v>20260814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386</v>
      </c>
      <c r="AD71" t="s">
        <v>387</v>
      </c>
    </row>
    <row r="72" spans="1:30">
      <c r="A72">
        <v>55256048</v>
      </c>
      <c r="B72" t="s">
        <v>388</v>
      </c>
      <c r="C72" t="s">
        <v>212</v>
      </c>
      <c r="D72" t="s">
        <v>47</v>
      </c>
      <c r="E72" t="s">
        <v>35</v>
      </c>
      <c r="F72">
        <v>3436</v>
      </c>
      <c r="G72" t="s">
        <v>152</v>
      </c>
      <c r="H72" t="s">
        <v>45</v>
      </c>
      <c r="I72" t="s">
        <v>48</v>
      </c>
      <c r="J72" t="s">
        <v>46</v>
      </c>
      <c r="K72" t="s">
        <v>116</v>
      </c>
      <c r="L72" t="s">
        <v>389</v>
      </c>
      <c r="M72" t="s">
        <v>118</v>
      </c>
      <c r="N72" t="s">
        <v>117</v>
      </c>
      <c r="O72" t="s">
        <v>215</v>
      </c>
      <c r="P72">
        <v>20260814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389</v>
      </c>
      <c r="AD72" t="s">
        <v>390</v>
      </c>
    </row>
    <row r="73" spans="1:30">
      <c r="A73">
        <v>55257759</v>
      </c>
      <c r="B73" t="s">
        <v>391</v>
      </c>
      <c r="C73" t="s">
        <v>212</v>
      </c>
      <c r="D73" t="s">
        <v>47</v>
      </c>
      <c r="E73" t="s">
        <v>35</v>
      </c>
      <c r="F73">
        <v>5016</v>
      </c>
      <c r="G73" t="s">
        <v>139</v>
      </c>
      <c r="H73" t="s">
        <v>45</v>
      </c>
      <c r="I73" t="s">
        <v>48</v>
      </c>
      <c r="J73" t="s">
        <v>46</v>
      </c>
      <c r="K73" t="s">
        <v>116</v>
      </c>
      <c r="L73" t="s">
        <v>392</v>
      </c>
      <c r="M73" t="s">
        <v>124</v>
      </c>
      <c r="N73" t="s">
        <v>123</v>
      </c>
      <c r="O73" t="s">
        <v>215</v>
      </c>
      <c r="P73">
        <v>20260814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392</v>
      </c>
      <c r="AD73" t="s">
        <v>393</v>
      </c>
    </row>
    <row r="74" spans="1:30">
      <c r="A74">
        <v>55258062</v>
      </c>
      <c r="B74" t="s">
        <v>394</v>
      </c>
      <c r="C74" t="s">
        <v>212</v>
      </c>
      <c r="D74" t="s">
        <v>47</v>
      </c>
      <c r="E74" t="s">
        <v>35</v>
      </c>
      <c r="F74">
        <v>5803</v>
      </c>
      <c r="G74" t="s">
        <v>176</v>
      </c>
      <c r="H74" t="s">
        <v>45</v>
      </c>
      <c r="I74" t="s">
        <v>48</v>
      </c>
      <c r="J74" t="s">
        <v>46</v>
      </c>
      <c r="K74" t="s">
        <v>116</v>
      </c>
      <c r="L74" t="s">
        <v>395</v>
      </c>
      <c r="M74" t="s">
        <v>124</v>
      </c>
      <c r="N74" t="s">
        <v>123</v>
      </c>
      <c r="O74" t="s">
        <v>215</v>
      </c>
      <c r="P74">
        <v>20260814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125</v>
      </c>
      <c r="Y74" t="s">
        <v>47</v>
      </c>
      <c r="Z74" t="s">
        <v>35</v>
      </c>
      <c r="AA74" t="s">
        <v>50</v>
      </c>
      <c r="AB74" t="s">
        <v>35</v>
      </c>
      <c r="AC74" t="s">
        <v>396</v>
      </c>
      <c r="AD74" t="s">
        <v>397</v>
      </c>
    </row>
    <row r="75" spans="1:30">
      <c r="A75">
        <v>55258326</v>
      </c>
      <c r="B75" t="s">
        <v>398</v>
      </c>
      <c r="C75" t="s">
        <v>212</v>
      </c>
      <c r="D75" t="s">
        <v>47</v>
      </c>
      <c r="E75" t="s">
        <v>35</v>
      </c>
      <c r="F75">
        <v>5016</v>
      </c>
      <c r="G75" t="s">
        <v>139</v>
      </c>
      <c r="H75" t="s">
        <v>45</v>
      </c>
      <c r="I75" t="s">
        <v>48</v>
      </c>
      <c r="J75" t="s">
        <v>46</v>
      </c>
      <c r="K75" t="s">
        <v>116</v>
      </c>
      <c r="L75" t="s">
        <v>399</v>
      </c>
      <c r="M75" t="s">
        <v>118</v>
      </c>
      <c r="N75" t="s">
        <v>117</v>
      </c>
      <c r="O75" t="s">
        <v>215</v>
      </c>
      <c r="P75">
        <v>20260814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399</v>
      </c>
      <c r="AD75" t="s">
        <v>387</v>
      </c>
    </row>
    <row r="76" spans="1:30">
      <c r="A76">
        <v>55260747</v>
      </c>
      <c r="B76" t="s">
        <v>400</v>
      </c>
      <c r="C76" t="s">
        <v>212</v>
      </c>
      <c r="D76" t="s">
        <v>47</v>
      </c>
      <c r="E76" t="s">
        <v>35</v>
      </c>
      <c r="F76">
        <v>5016</v>
      </c>
      <c r="G76" t="s">
        <v>139</v>
      </c>
      <c r="H76" t="s">
        <v>45</v>
      </c>
      <c r="I76" t="s">
        <v>48</v>
      </c>
      <c r="J76" t="s">
        <v>46</v>
      </c>
      <c r="K76" t="s">
        <v>116</v>
      </c>
      <c r="L76" t="s">
        <v>401</v>
      </c>
      <c r="M76" t="s">
        <v>124</v>
      </c>
      <c r="N76" t="s">
        <v>123</v>
      </c>
      <c r="O76" t="s">
        <v>215</v>
      </c>
      <c r="P76">
        <v>20260814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401</v>
      </c>
      <c r="AD76" t="s">
        <v>402</v>
      </c>
    </row>
    <row r="77" spans="1:30">
      <c r="A77">
        <v>55262609</v>
      </c>
      <c r="B77" t="s">
        <v>403</v>
      </c>
      <c r="C77" t="s">
        <v>212</v>
      </c>
      <c r="D77" t="s">
        <v>47</v>
      </c>
      <c r="E77" t="s">
        <v>35</v>
      </c>
      <c r="F77">
        <v>7013</v>
      </c>
      <c r="G77" t="s">
        <v>404</v>
      </c>
      <c r="H77" t="s">
        <v>45</v>
      </c>
      <c r="I77" t="s">
        <v>48</v>
      </c>
      <c r="J77" t="s">
        <v>46</v>
      </c>
      <c r="K77" t="s">
        <v>116</v>
      </c>
      <c r="L77" t="s">
        <v>405</v>
      </c>
      <c r="M77" t="s">
        <v>118</v>
      </c>
      <c r="N77" t="s">
        <v>117</v>
      </c>
      <c r="O77" t="s">
        <v>215</v>
      </c>
      <c r="P77">
        <v>20260814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406</v>
      </c>
      <c r="AD77" t="s">
        <v>407</v>
      </c>
    </row>
    <row r="78" spans="1:30">
      <c r="A78">
        <v>55263415</v>
      </c>
      <c r="B78" t="s">
        <v>408</v>
      </c>
      <c r="C78" t="s">
        <v>212</v>
      </c>
      <c r="D78" t="s">
        <v>47</v>
      </c>
      <c r="E78" t="s">
        <v>35</v>
      </c>
      <c r="F78">
        <v>5016</v>
      </c>
      <c r="G78" t="s">
        <v>139</v>
      </c>
      <c r="H78" t="s">
        <v>45</v>
      </c>
      <c r="I78" t="s">
        <v>48</v>
      </c>
      <c r="J78" t="s">
        <v>46</v>
      </c>
      <c r="K78" t="s">
        <v>116</v>
      </c>
      <c r="L78" t="s">
        <v>409</v>
      </c>
      <c r="M78" t="s">
        <v>118</v>
      </c>
      <c r="N78" t="s">
        <v>117</v>
      </c>
      <c r="O78" t="s">
        <v>215</v>
      </c>
      <c r="P78">
        <v>20260814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35</v>
      </c>
      <c r="Y78" t="s">
        <v>47</v>
      </c>
      <c r="Z78" t="s">
        <v>35</v>
      </c>
      <c r="AA78" t="s">
        <v>50</v>
      </c>
      <c r="AB78" t="s">
        <v>35</v>
      </c>
      <c r="AC78" t="s">
        <v>409</v>
      </c>
      <c r="AD78" t="s">
        <v>410</v>
      </c>
    </row>
    <row r="79" spans="1:30">
      <c r="A79">
        <v>55265765</v>
      </c>
      <c r="B79" t="s">
        <v>411</v>
      </c>
      <c r="C79" t="s">
        <v>212</v>
      </c>
      <c r="D79" t="s">
        <v>47</v>
      </c>
      <c r="E79" t="s">
        <v>35</v>
      </c>
      <c r="F79">
        <v>3436</v>
      </c>
      <c r="G79" t="s">
        <v>152</v>
      </c>
      <c r="H79" t="s">
        <v>45</v>
      </c>
      <c r="I79" t="s">
        <v>48</v>
      </c>
      <c r="J79" t="s">
        <v>46</v>
      </c>
      <c r="K79" t="s">
        <v>116</v>
      </c>
      <c r="L79" t="s">
        <v>412</v>
      </c>
      <c r="M79" t="s">
        <v>124</v>
      </c>
      <c r="N79" t="s">
        <v>123</v>
      </c>
      <c r="O79" t="s">
        <v>215</v>
      </c>
      <c r="P79">
        <v>20260814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412</v>
      </c>
      <c r="AD79" t="s">
        <v>413</v>
      </c>
    </row>
    <row r="80" spans="1:30">
      <c r="A80">
        <v>55266150</v>
      </c>
      <c r="B80" t="s">
        <v>414</v>
      </c>
      <c r="C80" t="s">
        <v>212</v>
      </c>
      <c r="D80" t="s">
        <v>47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415</v>
      </c>
      <c r="M80" t="s">
        <v>118</v>
      </c>
      <c r="N80" t="s">
        <v>117</v>
      </c>
      <c r="O80" t="s">
        <v>215</v>
      </c>
      <c r="P80">
        <v>20260814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35</v>
      </c>
      <c r="Y80" t="s">
        <v>47</v>
      </c>
      <c r="Z80" t="s">
        <v>35</v>
      </c>
      <c r="AA80" t="s">
        <v>50</v>
      </c>
      <c r="AB80" t="s">
        <v>35</v>
      </c>
      <c r="AC80" t="s">
        <v>415</v>
      </c>
      <c r="AD80" t="s">
        <v>416</v>
      </c>
    </row>
    <row r="81" spans="1:30">
      <c r="A81">
        <v>55267758</v>
      </c>
      <c r="B81" t="s">
        <v>417</v>
      </c>
      <c r="C81" t="s">
        <v>212</v>
      </c>
      <c r="D81" t="s">
        <v>47</v>
      </c>
      <c r="E81" t="s">
        <v>35</v>
      </c>
      <c r="F81">
        <v>5803</v>
      </c>
      <c r="G81" t="s">
        <v>176</v>
      </c>
      <c r="H81" t="s">
        <v>45</v>
      </c>
      <c r="I81" t="s">
        <v>48</v>
      </c>
      <c r="J81" t="s">
        <v>46</v>
      </c>
      <c r="K81" t="s">
        <v>116</v>
      </c>
      <c r="L81" t="s">
        <v>418</v>
      </c>
      <c r="M81" t="s">
        <v>124</v>
      </c>
      <c r="N81" t="s">
        <v>123</v>
      </c>
      <c r="O81" t="s">
        <v>215</v>
      </c>
      <c r="P81">
        <v>20260814</v>
      </c>
      <c r="Q81">
        <v>100</v>
      </c>
      <c r="R81">
        <v>100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418</v>
      </c>
      <c r="AD81" t="s">
        <v>419</v>
      </c>
    </row>
    <row r="82" spans="1:30">
      <c r="A82">
        <v>55267894</v>
      </c>
      <c r="B82" t="s">
        <v>420</v>
      </c>
      <c r="C82" t="s">
        <v>212</v>
      </c>
      <c r="D82" t="s">
        <v>47</v>
      </c>
      <c r="E82" t="s">
        <v>35</v>
      </c>
      <c r="F82">
        <v>5016</v>
      </c>
      <c r="G82" t="s">
        <v>139</v>
      </c>
      <c r="H82" t="s">
        <v>45</v>
      </c>
      <c r="I82" t="s">
        <v>48</v>
      </c>
      <c r="J82" t="s">
        <v>46</v>
      </c>
      <c r="K82" t="s">
        <v>116</v>
      </c>
      <c r="L82" t="s">
        <v>421</v>
      </c>
      <c r="M82" t="s">
        <v>124</v>
      </c>
      <c r="N82" t="s">
        <v>123</v>
      </c>
      <c r="O82" t="s">
        <v>215</v>
      </c>
      <c r="P82">
        <v>20260814</v>
      </c>
      <c r="Q82">
        <v>100</v>
      </c>
      <c r="R82">
        <v>100</v>
      </c>
      <c r="S82" t="s">
        <v>217</v>
      </c>
      <c r="T82" t="s">
        <v>49</v>
      </c>
      <c r="U82" t="s">
        <v>47</v>
      </c>
      <c r="V82" t="s">
        <v>47</v>
      </c>
      <c r="W82" t="s">
        <v>47</v>
      </c>
      <c r="X82" t="s">
        <v>125</v>
      </c>
      <c r="Y82" t="s">
        <v>47</v>
      </c>
      <c r="Z82" t="s">
        <v>35</v>
      </c>
      <c r="AA82" t="s">
        <v>50</v>
      </c>
      <c r="AB82" t="s">
        <v>35</v>
      </c>
      <c r="AC82" t="s">
        <v>421</v>
      </c>
      <c r="AD82" t="s">
        <v>410</v>
      </c>
    </row>
    <row r="83" spans="1:30">
      <c r="A83">
        <v>55269453</v>
      </c>
      <c r="B83" t="s">
        <v>422</v>
      </c>
      <c r="C83" t="s">
        <v>212</v>
      </c>
      <c r="D83" t="s">
        <v>47</v>
      </c>
      <c r="E83" t="s">
        <v>35</v>
      </c>
      <c r="F83">
        <v>7013</v>
      </c>
      <c r="G83" t="s">
        <v>404</v>
      </c>
      <c r="H83" t="s">
        <v>45</v>
      </c>
      <c r="I83" t="s">
        <v>48</v>
      </c>
      <c r="J83" t="s">
        <v>46</v>
      </c>
      <c r="K83" t="s">
        <v>116</v>
      </c>
      <c r="L83" t="s">
        <v>423</v>
      </c>
      <c r="M83" t="s">
        <v>124</v>
      </c>
      <c r="N83" t="s">
        <v>123</v>
      </c>
      <c r="O83" t="s">
        <v>215</v>
      </c>
      <c r="P83">
        <v>20260814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423</v>
      </c>
      <c r="AD83" t="s">
        <v>424</v>
      </c>
    </row>
    <row r="84" spans="1:30">
      <c r="A84">
        <v>55331106</v>
      </c>
      <c r="B84" t="s">
        <v>425</v>
      </c>
      <c r="C84" t="s">
        <v>212</v>
      </c>
      <c r="D84" t="s">
        <v>47</v>
      </c>
      <c r="E84" t="s">
        <v>35</v>
      </c>
      <c r="F84">
        <v>5016</v>
      </c>
      <c r="G84" t="s">
        <v>139</v>
      </c>
      <c r="H84" t="s">
        <v>45</v>
      </c>
      <c r="I84" t="s">
        <v>48</v>
      </c>
      <c r="J84" t="s">
        <v>46</v>
      </c>
      <c r="K84" t="s">
        <v>116</v>
      </c>
      <c r="L84" t="s">
        <v>426</v>
      </c>
      <c r="M84" t="s">
        <v>118</v>
      </c>
      <c r="N84" t="s">
        <v>117</v>
      </c>
      <c r="O84" t="s">
        <v>215</v>
      </c>
      <c r="P84">
        <v>20260814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427</v>
      </c>
      <c r="AD84" t="s">
        <v>428</v>
      </c>
    </row>
    <row r="85" spans="1:30">
      <c r="A85">
        <v>55332599</v>
      </c>
      <c r="B85" t="s">
        <v>429</v>
      </c>
      <c r="C85" t="s">
        <v>212</v>
      </c>
      <c r="D85" t="s">
        <v>47</v>
      </c>
      <c r="E85" t="s">
        <v>35</v>
      </c>
      <c r="F85">
        <v>5016</v>
      </c>
      <c r="G85" t="s">
        <v>139</v>
      </c>
      <c r="H85" t="s">
        <v>45</v>
      </c>
      <c r="I85" t="s">
        <v>48</v>
      </c>
      <c r="J85" t="s">
        <v>46</v>
      </c>
      <c r="K85" t="s">
        <v>116</v>
      </c>
      <c r="L85" t="s">
        <v>430</v>
      </c>
      <c r="M85" t="s">
        <v>124</v>
      </c>
      <c r="N85" t="s">
        <v>123</v>
      </c>
      <c r="O85" t="s">
        <v>215</v>
      </c>
      <c r="P85">
        <v>20260814</v>
      </c>
      <c r="Q85">
        <v>100</v>
      </c>
      <c r="R85">
        <v>100</v>
      </c>
      <c r="S85" t="s">
        <v>217</v>
      </c>
      <c r="T85" t="s">
        <v>49</v>
      </c>
      <c r="U85" t="s">
        <v>47</v>
      </c>
      <c r="V85" t="s">
        <v>47</v>
      </c>
      <c r="W85" t="s">
        <v>47</v>
      </c>
      <c r="X85" t="s">
        <v>125</v>
      </c>
      <c r="Y85" t="s">
        <v>47</v>
      </c>
      <c r="Z85" t="s">
        <v>35</v>
      </c>
      <c r="AA85" t="s">
        <v>50</v>
      </c>
      <c r="AB85" t="s">
        <v>35</v>
      </c>
      <c r="AC85" t="s">
        <v>430</v>
      </c>
      <c r="AD85" t="s">
        <v>431</v>
      </c>
    </row>
    <row r="86" spans="1:30">
      <c r="A86">
        <v>55333252</v>
      </c>
      <c r="B86" t="s">
        <v>432</v>
      </c>
      <c r="C86" t="s">
        <v>212</v>
      </c>
      <c r="D86" t="s">
        <v>47</v>
      </c>
      <c r="E86" t="s">
        <v>35</v>
      </c>
      <c r="F86">
        <v>5803</v>
      </c>
      <c r="G86" t="s">
        <v>176</v>
      </c>
      <c r="H86" t="s">
        <v>45</v>
      </c>
      <c r="I86" t="s">
        <v>48</v>
      </c>
      <c r="J86" t="s">
        <v>46</v>
      </c>
      <c r="K86" t="s">
        <v>116</v>
      </c>
      <c r="L86" t="s">
        <v>433</v>
      </c>
      <c r="M86" t="s">
        <v>118</v>
      </c>
      <c r="N86" t="s">
        <v>117</v>
      </c>
      <c r="O86" t="s">
        <v>215</v>
      </c>
      <c r="P86">
        <v>20260814</v>
      </c>
      <c r="Q86">
        <v>200</v>
      </c>
      <c r="R86">
        <v>200</v>
      </c>
      <c r="S86" t="s">
        <v>217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433</v>
      </c>
      <c r="AD86" t="s">
        <v>434</v>
      </c>
    </row>
    <row r="87" spans="1:30">
      <c r="A87">
        <v>55335560</v>
      </c>
      <c r="B87" t="s">
        <v>435</v>
      </c>
      <c r="C87" t="s">
        <v>212</v>
      </c>
      <c r="D87" t="s">
        <v>47</v>
      </c>
      <c r="E87" t="s">
        <v>35</v>
      </c>
      <c r="F87">
        <v>5803</v>
      </c>
      <c r="G87" t="s">
        <v>176</v>
      </c>
      <c r="H87" t="s">
        <v>45</v>
      </c>
      <c r="I87" t="s">
        <v>48</v>
      </c>
      <c r="J87" t="s">
        <v>46</v>
      </c>
      <c r="K87" t="s">
        <v>116</v>
      </c>
      <c r="L87" t="s">
        <v>436</v>
      </c>
      <c r="M87" t="s">
        <v>124</v>
      </c>
      <c r="N87" t="s">
        <v>123</v>
      </c>
      <c r="O87" t="s">
        <v>215</v>
      </c>
      <c r="P87">
        <v>20260814</v>
      </c>
      <c r="Q87">
        <v>200</v>
      </c>
      <c r="R87">
        <v>200</v>
      </c>
      <c r="S87" t="s">
        <v>217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436</v>
      </c>
      <c r="AD87" t="s">
        <v>437</v>
      </c>
    </row>
    <row r="88" spans="1:30">
      <c r="A88">
        <v>55335740</v>
      </c>
      <c r="B88" t="s">
        <v>438</v>
      </c>
      <c r="C88" t="s">
        <v>212</v>
      </c>
      <c r="D88" t="s">
        <v>47</v>
      </c>
      <c r="E88" t="s">
        <v>35</v>
      </c>
      <c r="F88">
        <v>5803</v>
      </c>
      <c r="G88" t="s">
        <v>176</v>
      </c>
      <c r="H88" t="s">
        <v>45</v>
      </c>
      <c r="I88" t="s">
        <v>48</v>
      </c>
      <c r="J88" t="s">
        <v>46</v>
      </c>
      <c r="K88" t="s">
        <v>116</v>
      </c>
      <c r="L88" t="s">
        <v>439</v>
      </c>
      <c r="M88" t="s">
        <v>118</v>
      </c>
      <c r="N88" t="s">
        <v>117</v>
      </c>
      <c r="O88" t="s">
        <v>215</v>
      </c>
      <c r="P88">
        <v>20260814</v>
      </c>
      <c r="Q88">
        <v>200</v>
      </c>
      <c r="R88">
        <v>200</v>
      </c>
      <c r="S88" t="s">
        <v>217</v>
      </c>
      <c r="T88" t="s">
        <v>49</v>
      </c>
      <c r="U88" t="s">
        <v>47</v>
      </c>
      <c r="V88" t="s">
        <v>47</v>
      </c>
      <c r="W88" t="s">
        <v>47</v>
      </c>
      <c r="X88" t="s">
        <v>35</v>
      </c>
      <c r="Y88" t="s">
        <v>47</v>
      </c>
      <c r="Z88" t="s">
        <v>35</v>
      </c>
      <c r="AA88" t="s">
        <v>50</v>
      </c>
      <c r="AB88" t="s">
        <v>35</v>
      </c>
      <c r="AC88" t="s">
        <v>439</v>
      </c>
      <c r="AD88" t="s">
        <v>440</v>
      </c>
    </row>
    <row r="89" spans="1:30">
      <c r="A89">
        <v>55337617</v>
      </c>
      <c r="B89" t="s">
        <v>441</v>
      </c>
      <c r="C89" t="s">
        <v>212</v>
      </c>
      <c r="D89" t="s">
        <v>47</v>
      </c>
      <c r="E89" t="s">
        <v>35</v>
      </c>
      <c r="F89">
        <v>5803</v>
      </c>
      <c r="G89" t="s">
        <v>176</v>
      </c>
      <c r="H89" t="s">
        <v>45</v>
      </c>
      <c r="I89" t="s">
        <v>48</v>
      </c>
      <c r="J89" t="s">
        <v>46</v>
      </c>
      <c r="K89" t="s">
        <v>116</v>
      </c>
      <c r="L89" t="s">
        <v>442</v>
      </c>
      <c r="M89" t="s">
        <v>124</v>
      </c>
      <c r="N89" t="s">
        <v>123</v>
      </c>
      <c r="O89" t="s">
        <v>215</v>
      </c>
      <c r="P89">
        <v>20260814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442</v>
      </c>
      <c r="AD89" t="s">
        <v>443</v>
      </c>
    </row>
    <row r="90" spans="1:30">
      <c r="A90">
        <v>55337782</v>
      </c>
      <c r="B90" t="s">
        <v>444</v>
      </c>
      <c r="C90" t="s">
        <v>212</v>
      </c>
      <c r="D90" t="s">
        <v>47</v>
      </c>
      <c r="E90" t="s">
        <v>35</v>
      </c>
      <c r="F90">
        <v>5803</v>
      </c>
      <c r="G90" t="s">
        <v>176</v>
      </c>
      <c r="H90" t="s">
        <v>45</v>
      </c>
      <c r="I90" t="s">
        <v>48</v>
      </c>
      <c r="J90" t="s">
        <v>46</v>
      </c>
      <c r="K90" t="s">
        <v>116</v>
      </c>
      <c r="L90" t="s">
        <v>445</v>
      </c>
      <c r="M90" t="s">
        <v>124</v>
      </c>
      <c r="N90" t="s">
        <v>123</v>
      </c>
      <c r="O90" t="s">
        <v>215</v>
      </c>
      <c r="P90">
        <v>20260814</v>
      </c>
      <c r="Q90">
        <v>100</v>
      </c>
      <c r="R90">
        <v>100</v>
      </c>
      <c r="S90" t="s">
        <v>217</v>
      </c>
      <c r="T90" t="s">
        <v>49</v>
      </c>
      <c r="U90" t="s">
        <v>47</v>
      </c>
      <c r="V90" t="s">
        <v>47</v>
      </c>
      <c r="W90" t="s">
        <v>47</v>
      </c>
      <c r="X90" t="s">
        <v>125</v>
      </c>
      <c r="Y90" t="s">
        <v>47</v>
      </c>
      <c r="Z90" t="s">
        <v>35</v>
      </c>
      <c r="AA90" t="s">
        <v>50</v>
      </c>
      <c r="AB90" t="s">
        <v>35</v>
      </c>
      <c r="AC90" t="s">
        <v>445</v>
      </c>
      <c r="AD90" t="s">
        <v>446</v>
      </c>
    </row>
    <row r="91" spans="1:30">
      <c r="A91">
        <v>55340216</v>
      </c>
      <c r="B91" t="s">
        <v>447</v>
      </c>
      <c r="C91" t="s">
        <v>212</v>
      </c>
      <c r="D91" t="s">
        <v>47</v>
      </c>
      <c r="E91" t="s">
        <v>35</v>
      </c>
      <c r="F91">
        <v>8136</v>
      </c>
      <c r="G91" t="s">
        <v>172</v>
      </c>
      <c r="H91" t="s">
        <v>45</v>
      </c>
      <c r="I91" t="s">
        <v>48</v>
      </c>
      <c r="J91" t="s">
        <v>35</v>
      </c>
      <c r="K91" t="s">
        <v>35</v>
      </c>
      <c r="L91" t="s">
        <v>448</v>
      </c>
      <c r="M91" t="s">
        <v>57</v>
      </c>
      <c r="N91" t="s">
        <v>58</v>
      </c>
      <c r="O91" t="s">
        <v>215</v>
      </c>
      <c r="P91">
        <v>20260814</v>
      </c>
      <c r="Q91">
        <v>100</v>
      </c>
      <c r="R91">
        <v>100</v>
      </c>
      <c r="S91" t="s">
        <v>217</v>
      </c>
      <c r="T91" t="s">
        <v>49</v>
      </c>
      <c r="U91" t="s">
        <v>47</v>
      </c>
      <c r="V91" t="s">
        <v>47</v>
      </c>
      <c r="W91" t="s">
        <v>47</v>
      </c>
      <c r="X91" t="s">
        <v>35</v>
      </c>
      <c r="Y91" t="s">
        <v>47</v>
      </c>
      <c r="Z91" t="s">
        <v>35</v>
      </c>
      <c r="AA91" t="s">
        <v>50</v>
      </c>
      <c r="AB91" t="s">
        <v>35</v>
      </c>
      <c r="AC91" t="s">
        <v>448</v>
      </c>
      <c r="AD91" t="s">
        <v>449</v>
      </c>
    </row>
    <row r="92" spans="1:30">
      <c r="A92">
        <v>55342054</v>
      </c>
      <c r="B92" t="s">
        <v>450</v>
      </c>
      <c r="C92" t="s">
        <v>212</v>
      </c>
      <c r="D92" t="s">
        <v>47</v>
      </c>
      <c r="E92" t="s">
        <v>35</v>
      </c>
      <c r="F92">
        <v>5016</v>
      </c>
      <c r="G92" t="s">
        <v>139</v>
      </c>
      <c r="H92" t="s">
        <v>45</v>
      </c>
      <c r="I92" t="s">
        <v>48</v>
      </c>
      <c r="J92" t="s">
        <v>46</v>
      </c>
      <c r="K92" t="s">
        <v>116</v>
      </c>
      <c r="L92" t="s">
        <v>451</v>
      </c>
      <c r="M92" t="s">
        <v>118</v>
      </c>
      <c r="N92" t="s">
        <v>117</v>
      </c>
      <c r="O92" t="s">
        <v>215</v>
      </c>
      <c r="P92">
        <v>20260814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452</v>
      </c>
      <c r="AD92" t="s">
        <v>453</v>
      </c>
    </row>
    <row r="93" spans="1:30">
      <c r="A93">
        <v>55342702</v>
      </c>
      <c r="B93" t="s">
        <v>454</v>
      </c>
      <c r="C93" t="s">
        <v>212</v>
      </c>
      <c r="D93" t="s">
        <v>47</v>
      </c>
      <c r="E93" t="s">
        <v>35</v>
      </c>
      <c r="F93">
        <v>5016</v>
      </c>
      <c r="G93" t="s">
        <v>139</v>
      </c>
      <c r="H93" t="s">
        <v>45</v>
      </c>
      <c r="I93" t="s">
        <v>48</v>
      </c>
      <c r="J93" t="s">
        <v>46</v>
      </c>
      <c r="K93" t="s">
        <v>116</v>
      </c>
      <c r="L93" t="s">
        <v>455</v>
      </c>
      <c r="M93" t="s">
        <v>124</v>
      </c>
      <c r="N93" t="s">
        <v>123</v>
      </c>
      <c r="O93" t="s">
        <v>215</v>
      </c>
      <c r="P93">
        <v>20260814</v>
      </c>
      <c r="Q93">
        <v>100</v>
      </c>
      <c r="R93">
        <v>100</v>
      </c>
      <c r="S93" t="s">
        <v>217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455</v>
      </c>
      <c r="AD93" t="s">
        <v>456</v>
      </c>
    </row>
    <row r="94" spans="1:30">
      <c r="A94">
        <v>51051621</v>
      </c>
      <c r="B94" t="s">
        <v>457</v>
      </c>
      <c r="C94" t="s">
        <v>290</v>
      </c>
      <c r="D94" t="s">
        <v>47</v>
      </c>
      <c r="E94" t="s">
        <v>35</v>
      </c>
      <c r="F94">
        <v>9432</v>
      </c>
      <c r="G94" t="s">
        <v>54</v>
      </c>
      <c r="H94" t="s">
        <v>45</v>
      </c>
      <c r="I94" t="s">
        <v>48</v>
      </c>
      <c r="J94" t="s">
        <v>35</v>
      </c>
      <c r="K94" t="s">
        <v>35</v>
      </c>
      <c r="L94" t="s">
        <v>458</v>
      </c>
      <c r="M94" t="s">
        <v>57</v>
      </c>
      <c r="N94" t="s">
        <v>58</v>
      </c>
      <c r="O94" t="s">
        <v>215</v>
      </c>
      <c r="P94">
        <v>20260817</v>
      </c>
      <c r="Q94">
        <v>100</v>
      </c>
      <c r="R94">
        <v>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458</v>
      </c>
      <c r="AD94" t="s">
        <v>74</v>
      </c>
    </row>
    <row r="95" spans="1:30">
      <c r="A95" s="1">
        <v>51051926</v>
      </c>
      <c r="B95" s="1" t="s">
        <v>460</v>
      </c>
      <c r="C95" s="1" t="s">
        <v>44</v>
      </c>
      <c r="D95" s="1" t="s">
        <v>34</v>
      </c>
      <c r="E95" s="1" t="s">
        <v>35</v>
      </c>
      <c r="F95" s="1">
        <v>9432</v>
      </c>
      <c r="G95" s="1" t="s">
        <v>41</v>
      </c>
      <c r="H95" s="1" t="s">
        <v>36</v>
      </c>
      <c r="I95" s="1" t="s">
        <v>37</v>
      </c>
      <c r="J95" s="1" t="s">
        <v>35</v>
      </c>
      <c r="K95" s="1" t="s">
        <v>35</v>
      </c>
      <c r="L95" s="1" t="s">
        <v>462</v>
      </c>
      <c r="M95" s="1" t="s">
        <v>42</v>
      </c>
      <c r="N95" s="1" t="s">
        <v>43</v>
      </c>
      <c r="O95" s="1" t="s">
        <v>214</v>
      </c>
      <c r="P95" s="1">
        <v>20260817</v>
      </c>
      <c r="Q95" s="1">
        <v>100</v>
      </c>
      <c r="R95" s="1">
        <v>0</v>
      </c>
      <c r="S95" s="1" t="s">
        <v>216</v>
      </c>
      <c r="T95" s="1" t="s">
        <v>39</v>
      </c>
      <c r="U95" s="1" t="s">
        <v>34</v>
      </c>
      <c r="V95" s="1" t="s">
        <v>34</v>
      </c>
      <c r="W95" s="1" t="s">
        <v>34</v>
      </c>
      <c r="X95" s="1" t="s">
        <v>35</v>
      </c>
      <c r="Y95" s="1" t="s">
        <v>34</v>
      </c>
      <c r="Z95" s="1" t="s">
        <v>35</v>
      </c>
      <c r="AA95" s="1" t="s">
        <v>40</v>
      </c>
      <c r="AB95" s="1" t="s">
        <v>35</v>
      </c>
      <c r="AC95" s="1" t="s">
        <v>462</v>
      </c>
      <c r="AD95" s="1" t="s">
        <v>77</v>
      </c>
    </row>
    <row r="96" spans="1:30">
      <c r="A96" s="1">
        <v>51053912</v>
      </c>
      <c r="B96" s="1" t="s">
        <v>465</v>
      </c>
      <c r="C96" s="1" t="s">
        <v>44</v>
      </c>
      <c r="D96" s="1" t="s">
        <v>34</v>
      </c>
      <c r="E96" s="1" t="s">
        <v>35</v>
      </c>
      <c r="F96" s="1">
        <v>9432</v>
      </c>
      <c r="G96" s="1" t="s">
        <v>41</v>
      </c>
      <c r="H96" s="1" t="s">
        <v>36</v>
      </c>
      <c r="I96" s="1" t="s">
        <v>37</v>
      </c>
      <c r="J96" s="1" t="s">
        <v>35</v>
      </c>
      <c r="K96" s="1" t="s">
        <v>35</v>
      </c>
      <c r="L96" s="1" t="s">
        <v>466</v>
      </c>
      <c r="M96" s="1" t="s">
        <v>42</v>
      </c>
      <c r="N96" s="1" t="s">
        <v>43</v>
      </c>
      <c r="O96" s="1" t="s">
        <v>214</v>
      </c>
      <c r="P96" s="1">
        <v>20260817</v>
      </c>
      <c r="Q96" s="1">
        <v>100</v>
      </c>
      <c r="R96" s="1">
        <v>0</v>
      </c>
      <c r="S96" s="1" t="s">
        <v>216</v>
      </c>
      <c r="T96" s="1" t="s">
        <v>39</v>
      </c>
      <c r="U96" s="1" t="s">
        <v>34</v>
      </c>
      <c r="V96" s="1" t="s">
        <v>34</v>
      </c>
      <c r="W96" s="1" t="s">
        <v>34</v>
      </c>
      <c r="X96" s="1" t="s">
        <v>35</v>
      </c>
      <c r="Y96" s="1" t="s">
        <v>34</v>
      </c>
      <c r="Z96" s="1" t="s">
        <v>35</v>
      </c>
      <c r="AA96" s="1" t="s">
        <v>40</v>
      </c>
      <c r="AB96" s="1" t="s">
        <v>35</v>
      </c>
      <c r="AC96" s="1" t="s">
        <v>466</v>
      </c>
      <c r="AD96" s="1" t="s">
        <v>77</v>
      </c>
    </row>
    <row r="97" spans="1:30">
      <c r="A97">
        <v>55113031</v>
      </c>
      <c r="B97" t="s">
        <v>227</v>
      </c>
      <c r="C97" t="s">
        <v>212</v>
      </c>
      <c r="D97" t="s">
        <v>47</v>
      </c>
      <c r="E97" t="s">
        <v>35</v>
      </c>
      <c r="F97">
        <v>9984</v>
      </c>
      <c r="G97" t="s">
        <v>191</v>
      </c>
      <c r="H97" t="s">
        <v>45</v>
      </c>
      <c r="I97" t="s">
        <v>48</v>
      </c>
      <c r="J97" t="s">
        <v>46</v>
      </c>
      <c r="K97" t="s">
        <v>116</v>
      </c>
      <c r="L97" t="s">
        <v>228</v>
      </c>
      <c r="M97" t="s">
        <v>118</v>
      </c>
      <c r="N97" t="s">
        <v>117</v>
      </c>
      <c r="O97" t="s">
        <v>215</v>
      </c>
      <c r="P97">
        <v>20260814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229</v>
      </c>
      <c r="AD97" t="s">
        <v>230</v>
      </c>
    </row>
    <row r="98" spans="1:30">
      <c r="A98">
        <v>55114915</v>
      </c>
      <c r="B98" t="s">
        <v>231</v>
      </c>
      <c r="C98" t="s">
        <v>212</v>
      </c>
      <c r="D98" t="s">
        <v>232</v>
      </c>
      <c r="E98" t="s">
        <v>35</v>
      </c>
      <c r="F98">
        <v>9984</v>
      </c>
      <c r="G98" t="s">
        <v>191</v>
      </c>
      <c r="H98" t="s">
        <v>45</v>
      </c>
      <c r="I98" t="s">
        <v>48</v>
      </c>
      <c r="J98" t="s">
        <v>46</v>
      </c>
      <c r="K98" t="s">
        <v>116</v>
      </c>
      <c r="L98" t="s">
        <v>233</v>
      </c>
      <c r="M98" t="s">
        <v>124</v>
      </c>
      <c r="N98" t="s">
        <v>123</v>
      </c>
      <c r="O98" t="s">
        <v>215</v>
      </c>
      <c r="P98">
        <v>20260814</v>
      </c>
      <c r="Q98">
        <v>100</v>
      </c>
      <c r="R98">
        <v>100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233</v>
      </c>
      <c r="AD98" t="s">
        <v>234</v>
      </c>
    </row>
    <row r="99" spans="1:30">
      <c r="A99">
        <v>55115721</v>
      </c>
      <c r="B99" t="s">
        <v>235</v>
      </c>
      <c r="C99" t="s">
        <v>212</v>
      </c>
      <c r="D99" t="s">
        <v>47</v>
      </c>
      <c r="E99" t="s">
        <v>35</v>
      </c>
      <c r="F99">
        <v>9984</v>
      </c>
      <c r="G99" t="s">
        <v>191</v>
      </c>
      <c r="H99" t="s">
        <v>45</v>
      </c>
      <c r="I99" t="s">
        <v>48</v>
      </c>
      <c r="J99" t="s">
        <v>46</v>
      </c>
      <c r="K99" t="s">
        <v>116</v>
      </c>
      <c r="L99" t="s">
        <v>236</v>
      </c>
      <c r="M99" t="s">
        <v>118</v>
      </c>
      <c r="N99" t="s">
        <v>117</v>
      </c>
      <c r="O99" t="s">
        <v>215</v>
      </c>
      <c r="P99">
        <v>20260814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236</v>
      </c>
      <c r="AD99" t="s">
        <v>237</v>
      </c>
    </row>
    <row r="100" spans="1:30">
      <c r="A100">
        <v>55118261</v>
      </c>
      <c r="B100" t="s">
        <v>238</v>
      </c>
      <c r="C100" t="s">
        <v>212</v>
      </c>
      <c r="D100" t="s">
        <v>232</v>
      </c>
      <c r="E100" t="s">
        <v>35</v>
      </c>
      <c r="F100">
        <v>9984</v>
      </c>
      <c r="G100" t="s">
        <v>191</v>
      </c>
      <c r="H100" t="s">
        <v>45</v>
      </c>
      <c r="I100" t="s">
        <v>48</v>
      </c>
      <c r="J100" t="s">
        <v>46</v>
      </c>
      <c r="K100" t="s">
        <v>116</v>
      </c>
      <c r="L100" t="s">
        <v>239</v>
      </c>
      <c r="M100" t="s">
        <v>124</v>
      </c>
      <c r="N100" t="s">
        <v>123</v>
      </c>
      <c r="O100" t="s">
        <v>215</v>
      </c>
      <c r="P100">
        <v>20260814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239</v>
      </c>
      <c r="AD100" t="s">
        <v>240</v>
      </c>
    </row>
    <row r="101" spans="1:30">
      <c r="A101">
        <v>55120795</v>
      </c>
      <c r="B101" t="s">
        <v>241</v>
      </c>
      <c r="C101" t="s">
        <v>212</v>
      </c>
      <c r="D101" t="s">
        <v>47</v>
      </c>
      <c r="E101" t="s">
        <v>35</v>
      </c>
      <c r="F101">
        <v>3436</v>
      </c>
      <c r="G101" t="s">
        <v>152</v>
      </c>
      <c r="H101" t="s">
        <v>45</v>
      </c>
      <c r="I101" t="s">
        <v>48</v>
      </c>
      <c r="J101" t="s">
        <v>46</v>
      </c>
      <c r="K101" t="s">
        <v>116</v>
      </c>
      <c r="L101" t="s">
        <v>242</v>
      </c>
      <c r="M101" t="s">
        <v>118</v>
      </c>
      <c r="N101" t="s">
        <v>117</v>
      </c>
      <c r="O101" t="s">
        <v>215</v>
      </c>
      <c r="P101">
        <v>20260814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35</v>
      </c>
      <c r="Y101" t="s">
        <v>47</v>
      </c>
      <c r="Z101" t="s">
        <v>35</v>
      </c>
      <c r="AA101" t="s">
        <v>50</v>
      </c>
      <c r="AB101" t="s">
        <v>35</v>
      </c>
      <c r="AC101" t="s">
        <v>242</v>
      </c>
      <c r="AD101" t="s">
        <v>243</v>
      </c>
    </row>
    <row r="102" spans="1:30">
      <c r="A102">
        <v>55123176</v>
      </c>
      <c r="B102" t="s">
        <v>244</v>
      </c>
      <c r="C102" t="s">
        <v>212</v>
      </c>
      <c r="D102" t="s">
        <v>232</v>
      </c>
      <c r="E102" t="s">
        <v>35</v>
      </c>
      <c r="F102">
        <v>3436</v>
      </c>
      <c r="G102" t="s">
        <v>152</v>
      </c>
      <c r="H102" t="s">
        <v>45</v>
      </c>
      <c r="I102" t="s">
        <v>48</v>
      </c>
      <c r="J102" t="s">
        <v>46</v>
      </c>
      <c r="K102" t="s">
        <v>116</v>
      </c>
      <c r="L102" t="s">
        <v>245</v>
      </c>
      <c r="M102" t="s">
        <v>124</v>
      </c>
      <c r="N102" t="s">
        <v>123</v>
      </c>
      <c r="O102" t="s">
        <v>215</v>
      </c>
      <c r="P102">
        <v>20260814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125</v>
      </c>
      <c r="Y102" t="s">
        <v>47</v>
      </c>
      <c r="Z102" t="s">
        <v>35</v>
      </c>
      <c r="AA102" t="s">
        <v>50</v>
      </c>
      <c r="AB102" t="s">
        <v>35</v>
      </c>
      <c r="AC102" t="s">
        <v>245</v>
      </c>
      <c r="AD102" t="s">
        <v>246</v>
      </c>
    </row>
    <row r="103" spans="1:30">
      <c r="A103">
        <v>55124666</v>
      </c>
      <c r="B103" t="s">
        <v>247</v>
      </c>
      <c r="C103" t="s">
        <v>212</v>
      </c>
      <c r="D103" t="s">
        <v>47</v>
      </c>
      <c r="E103" t="s">
        <v>35</v>
      </c>
      <c r="F103">
        <v>6613</v>
      </c>
      <c r="G103" t="s">
        <v>165</v>
      </c>
      <c r="H103" t="s">
        <v>45</v>
      </c>
      <c r="I103" t="s">
        <v>48</v>
      </c>
      <c r="J103" t="s">
        <v>46</v>
      </c>
      <c r="K103" t="s">
        <v>116</v>
      </c>
      <c r="L103" t="s">
        <v>248</v>
      </c>
      <c r="M103" t="s">
        <v>118</v>
      </c>
      <c r="N103" t="s">
        <v>117</v>
      </c>
      <c r="O103" t="s">
        <v>215</v>
      </c>
      <c r="P103">
        <v>20260814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248</v>
      </c>
      <c r="AD103" t="s">
        <v>249</v>
      </c>
    </row>
    <row r="104" spans="1:30">
      <c r="A104">
        <v>55130431</v>
      </c>
      <c r="B104" t="s">
        <v>250</v>
      </c>
      <c r="C104" t="s">
        <v>212</v>
      </c>
      <c r="D104" t="s">
        <v>47</v>
      </c>
      <c r="E104" t="s">
        <v>35</v>
      </c>
      <c r="F104">
        <v>6613</v>
      </c>
      <c r="G104" t="s">
        <v>165</v>
      </c>
      <c r="H104" t="s">
        <v>45</v>
      </c>
      <c r="I104" t="s">
        <v>48</v>
      </c>
      <c r="J104" t="s">
        <v>46</v>
      </c>
      <c r="K104" t="s">
        <v>116</v>
      </c>
      <c r="L104" t="s">
        <v>251</v>
      </c>
      <c r="M104" t="s">
        <v>124</v>
      </c>
      <c r="N104" t="s">
        <v>123</v>
      </c>
      <c r="O104" t="s">
        <v>215</v>
      </c>
      <c r="P104">
        <v>20260814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251</v>
      </c>
      <c r="AD104" t="s">
        <v>252</v>
      </c>
    </row>
    <row r="105" spans="1:30">
      <c r="A105">
        <v>55130795</v>
      </c>
      <c r="B105" t="s">
        <v>253</v>
      </c>
      <c r="C105" t="s">
        <v>212</v>
      </c>
      <c r="D105" t="s">
        <v>47</v>
      </c>
      <c r="E105" t="s">
        <v>35</v>
      </c>
      <c r="F105">
        <v>9984</v>
      </c>
      <c r="G105" t="s">
        <v>191</v>
      </c>
      <c r="H105" t="s">
        <v>45</v>
      </c>
      <c r="I105" t="s">
        <v>48</v>
      </c>
      <c r="J105" t="s">
        <v>46</v>
      </c>
      <c r="K105" t="s">
        <v>116</v>
      </c>
      <c r="L105" t="s">
        <v>254</v>
      </c>
      <c r="M105" t="s">
        <v>118</v>
      </c>
      <c r="N105" t="s">
        <v>117</v>
      </c>
      <c r="O105" t="s">
        <v>215</v>
      </c>
      <c r="P105">
        <v>20260814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254</v>
      </c>
      <c r="AD105" t="s">
        <v>255</v>
      </c>
    </row>
    <row r="106" spans="1:30">
      <c r="A106">
        <v>55131941</v>
      </c>
      <c r="B106" t="s">
        <v>256</v>
      </c>
      <c r="C106" t="s">
        <v>212</v>
      </c>
      <c r="D106" t="s">
        <v>47</v>
      </c>
      <c r="E106" t="s">
        <v>35</v>
      </c>
      <c r="F106">
        <v>9984</v>
      </c>
      <c r="G106" t="s">
        <v>191</v>
      </c>
      <c r="H106" t="s">
        <v>45</v>
      </c>
      <c r="I106" t="s">
        <v>48</v>
      </c>
      <c r="J106" t="s">
        <v>46</v>
      </c>
      <c r="K106" t="s">
        <v>116</v>
      </c>
      <c r="L106" t="s">
        <v>257</v>
      </c>
      <c r="M106" t="s">
        <v>124</v>
      </c>
      <c r="N106" t="s">
        <v>123</v>
      </c>
      <c r="O106" t="s">
        <v>215</v>
      </c>
      <c r="P106">
        <v>20260814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257</v>
      </c>
      <c r="AD106" t="s">
        <v>258</v>
      </c>
    </row>
    <row r="107" spans="1:30">
      <c r="A107">
        <v>55135851</v>
      </c>
      <c r="B107" t="s">
        <v>259</v>
      </c>
      <c r="C107" t="s">
        <v>212</v>
      </c>
      <c r="D107" t="s">
        <v>47</v>
      </c>
      <c r="E107" t="s">
        <v>35</v>
      </c>
      <c r="F107">
        <v>5803</v>
      </c>
      <c r="G107" t="s">
        <v>176</v>
      </c>
      <c r="H107" t="s">
        <v>45</v>
      </c>
      <c r="I107" t="s">
        <v>48</v>
      </c>
      <c r="J107" t="s">
        <v>46</v>
      </c>
      <c r="K107" t="s">
        <v>116</v>
      </c>
      <c r="L107" t="s">
        <v>260</v>
      </c>
      <c r="M107" t="s">
        <v>118</v>
      </c>
      <c r="N107" t="s">
        <v>117</v>
      </c>
      <c r="O107" t="s">
        <v>215</v>
      </c>
      <c r="P107">
        <v>20260814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35</v>
      </c>
      <c r="Y107" t="s">
        <v>47</v>
      </c>
      <c r="Z107" t="s">
        <v>35</v>
      </c>
      <c r="AA107" t="s">
        <v>50</v>
      </c>
      <c r="AB107" t="s">
        <v>35</v>
      </c>
      <c r="AC107" t="s">
        <v>260</v>
      </c>
      <c r="AD107" t="s">
        <v>261</v>
      </c>
    </row>
    <row r="108" spans="1:30">
      <c r="A108">
        <v>55143414</v>
      </c>
      <c r="B108" t="s">
        <v>262</v>
      </c>
      <c r="C108" t="s">
        <v>212</v>
      </c>
      <c r="D108" t="s">
        <v>47</v>
      </c>
      <c r="E108" t="s">
        <v>35</v>
      </c>
      <c r="F108">
        <v>5803</v>
      </c>
      <c r="G108" t="s">
        <v>176</v>
      </c>
      <c r="H108" t="s">
        <v>45</v>
      </c>
      <c r="I108" t="s">
        <v>48</v>
      </c>
      <c r="J108" t="s">
        <v>46</v>
      </c>
      <c r="K108" t="s">
        <v>116</v>
      </c>
      <c r="L108" t="s">
        <v>263</v>
      </c>
      <c r="M108" t="s">
        <v>124</v>
      </c>
      <c r="N108" t="s">
        <v>123</v>
      </c>
      <c r="O108" t="s">
        <v>215</v>
      </c>
      <c r="P108">
        <v>20260814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263</v>
      </c>
      <c r="AD108" t="s">
        <v>264</v>
      </c>
    </row>
    <row r="109" spans="1:30">
      <c r="A109">
        <v>55145092</v>
      </c>
      <c r="B109" t="s">
        <v>265</v>
      </c>
      <c r="C109" t="s">
        <v>212</v>
      </c>
      <c r="D109" t="s">
        <v>47</v>
      </c>
      <c r="E109" t="s">
        <v>35</v>
      </c>
      <c r="F109">
        <v>5016</v>
      </c>
      <c r="G109" t="s">
        <v>139</v>
      </c>
      <c r="H109" t="s">
        <v>45</v>
      </c>
      <c r="I109" t="s">
        <v>48</v>
      </c>
      <c r="J109" t="s">
        <v>46</v>
      </c>
      <c r="K109" t="s">
        <v>116</v>
      </c>
      <c r="L109" t="s">
        <v>266</v>
      </c>
      <c r="M109" t="s">
        <v>118</v>
      </c>
      <c r="N109" t="s">
        <v>117</v>
      </c>
      <c r="O109" t="s">
        <v>215</v>
      </c>
      <c r="P109">
        <v>20260814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266</v>
      </c>
      <c r="AD109" t="s">
        <v>267</v>
      </c>
    </row>
    <row r="110" spans="1:30">
      <c r="A110">
        <v>55147070</v>
      </c>
      <c r="B110" t="s">
        <v>268</v>
      </c>
      <c r="C110" t="s">
        <v>212</v>
      </c>
      <c r="D110" t="s">
        <v>47</v>
      </c>
      <c r="E110" t="s">
        <v>35</v>
      </c>
      <c r="F110">
        <v>5016</v>
      </c>
      <c r="G110" t="s">
        <v>139</v>
      </c>
      <c r="H110" t="s">
        <v>45</v>
      </c>
      <c r="I110" t="s">
        <v>48</v>
      </c>
      <c r="J110" t="s">
        <v>46</v>
      </c>
      <c r="K110" t="s">
        <v>116</v>
      </c>
      <c r="L110" t="s">
        <v>269</v>
      </c>
      <c r="M110" t="s">
        <v>124</v>
      </c>
      <c r="N110" t="s">
        <v>123</v>
      </c>
      <c r="O110" t="s">
        <v>215</v>
      </c>
      <c r="P110">
        <v>20260814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125</v>
      </c>
      <c r="Y110" t="s">
        <v>47</v>
      </c>
      <c r="Z110" t="s">
        <v>35</v>
      </c>
      <c r="AA110" t="s">
        <v>50</v>
      </c>
      <c r="AB110" t="s">
        <v>35</v>
      </c>
      <c r="AC110" t="s">
        <v>269</v>
      </c>
      <c r="AD110" t="s">
        <v>267</v>
      </c>
    </row>
    <row r="111" spans="1:30">
      <c r="A111">
        <v>55147887</v>
      </c>
      <c r="B111" t="s">
        <v>270</v>
      </c>
      <c r="C111" t="s">
        <v>212</v>
      </c>
      <c r="D111" t="s">
        <v>47</v>
      </c>
      <c r="E111" t="s">
        <v>35</v>
      </c>
      <c r="F111">
        <v>5016</v>
      </c>
      <c r="G111" t="s">
        <v>139</v>
      </c>
      <c r="H111" t="s">
        <v>45</v>
      </c>
      <c r="I111" t="s">
        <v>48</v>
      </c>
      <c r="J111" t="s">
        <v>46</v>
      </c>
      <c r="K111" t="s">
        <v>116</v>
      </c>
      <c r="L111" t="s">
        <v>271</v>
      </c>
      <c r="M111" t="s">
        <v>118</v>
      </c>
      <c r="N111" t="s">
        <v>117</v>
      </c>
      <c r="O111" t="s">
        <v>215</v>
      </c>
      <c r="P111">
        <v>20260814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35</v>
      </c>
      <c r="Y111" t="s">
        <v>47</v>
      </c>
      <c r="Z111" t="s">
        <v>35</v>
      </c>
      <c r="AA111" t="s">
        <v>50</v>
      </c>
      <c r="AB111" t="s">
        <v>35</v>
      </c>
      <c r="AC111" t="s">
        <v>271</v>
      </c>
      <c r="AD111" t="s">
        <v>272</v>
      </c>
    </row>
    <row r="112" spans="1:30">
      <c r="A112">
        <v>55160502</v>
      </c>
      <c r="B112" t="s">
        <v>273</v>
      </c>
      <c r="C112" t="s">
        <v>212</v>
      </c>
      <c r="D112" t="s">
        <v>47</v>
      </c>
      <c r="E112" t="s">
        <v>35</v>
      </c>
      <c r="F112">
        <v>6613</v>
      </c>
      <c r="G112" t="s">
        <v>165</v>
      </c>
      <c r="H112" t="s">
        <v>45</v>
      </c>
      <c r="I112" t="s">
        <v>48</v>
      </c>
      <c r="J112" t="s">
        <v>46</v>
      </c>
      <c r="K112" t="s">
        <v>116</v>
      </c>
      <c r="L112" t="s">
        <v>274</v>
      </c>
      <c r="M112" t="s">
        <v>118</v>
      </c>
      <c r="N112" t="s">
        <v>117</v>
      </c>
      <c r="O112" t="s">
        <v>215</v>
      </c>
      <c r="P112">
        <v>20260814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35</v>
      </c>
      <c r="Y112" t="s">
        <v>47</v>
      </c>
      <c r="Z112" t="s">
        <v>35</v>
      </c>
      <c r="AA112" t="s">
        <v>50</v>
      </c>
      <c r="AB112" t="s">
        <v>35</v>
      </c>
      <c r="AC112" t="s">
        <v>274</v>
      </c>
      <c r="AD112" t="s">
        <v>275</v>
      </c>
    </row>
    <row r="113" spans="1:30">
      <c r="A113">
        <v>55161885</v>
      </c>
      <c r="B113" t="s">
        <v>276</v>
      </c>
      <c r="C113" t="s">
        <v>212</v>
      </c>
      <c r="D113" t="s">
        <v>47</v>
      </c>
      <c r="E113" t="s">
        <v>35</v>
      </c>
      <c r="F113">
        <v>5803</v>
      </c>
      <c r="G113" t="s">
        <v>176</v>
      </c>
      <c r="H113" t="s">
        <v>45</v>
      </c>
      <c r="I113" t="s">
        <v>48</v>
      </c>
      <c r="J113" t="s">
        <v>46</v>
      </c>
      <c r="K113" t="s">
        <v>116</v>
      </c>
      <c r="L113" t="s">
        <v>277</v>
      </c>
      <c r="M113" t="s">
        <v>124</v>
      </c>
      <c r="N113" t="s">
        <v>123</v>
      </c>
      <c r="O113" t="s">
        <v>215</v>
      </c>
      <c r="P113">
        <v>20260814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125</v>
      </c>
      <c r="Y113" t="s">
        <v>47</v>
      </c>
      <c r="Z113" t="s">
        <v>35</v>
      </c>
      <c r="AA113" t="s">
        <v>50</v>
      </c>
      <c r="AB113" t="s">
        <v>35</v>
      </c>
      <c r="AC113" t="s">
        <v>277</v>
      </c>
      <c r="AD113" t="s">
        <v>278</v>
      </c>
    </row>
    <row r="114" spans="1:30">
      <c r="A114">
        <v>55163487</v>
      </c>
      <c r="B114" t="s">
        <v>279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280</v>
      </c>
      <c r="M114" t="s">
        <v>124</v>
      </c>
      <c r="N114" t="s">
        <v>123</v>
      </c>
      <c r="O114" t="s">
        <v>215</v>
      </c>
      <c r="P114">
        <v>20260814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125</v>
      </c>
      <c r="Y114" t="s">
        <v>47</v>
      </c>
      <c r="Z114" t="s">
        <v>35</v>
      </c>
      <c r="AA114" t="s">
        <v>50</v>
      </c>
      <c r="AB114" t="s">
        <v>35</v>
      </c>
      <c r="AC114" t="s">
        <v>280</v>
      </c>
      <c r="AD114" t="s">
        <v>281</v>
      </c>
    </row>
    <row r="115" spans="1:30">
      <c r="A115">
        <v>55165362</v>
      </c>
      <c r="B115" t="s">
        <v>282</v>
      </c>
      <c r="C115" t="s">
        <v>212</v>
      </c>
      <c r="D115" t="s">
        <v>47</v>
      </c>
      <c r="E115" t="s">
        <v>35</v>
      </c>
      <c r="F115">
        <v>5016</v>
      </c>
      <c r="G115" t="s">
        <v>139</v>
      </c>
      <c r="H115" t="s">
        <v>45</v>
      </c>
      <c r="I115" t="s">
        <v>48</v>
      </c>
      <c r="J115" t="s">
        <v>46</v>
      </c>
      <c r="K115" t="s">
        <v>116</v>
      </c>
      <c r="L115" t="s">
        <v>283</v>
      </c>
      <c r="M115" t="s">
        <v>118</v>
      </c>
      <c r="N115" t="s">
        <v>117</v>
      </c>
      <c r="O115" t="s">
        <v>215</v>
      </c>
      <c r="P115">
        <v>20260814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283</v>
      </c>
      <c r="AD115" t="s">
        <v>284</v>
      </c>
    </row>
    <row r="116" spans="1:30">
      <c r="A116">
        <v>55167713</v>
      </c>
      <c r="B116" t="s">
        <v>285</v>
      </c>
      <c r="C116" t="s">
        <v>212</v>
      </c>
      <c r="D116" t="s">
        <v>47</v>
      </c>
      <c r="E116" t="s">
        <v>35</v>
      </c>
      <c r="F116">
        <v>5803</v>
      </c>
      <c r="G116" t="s">
        <v>176</v>
      </c>
      <c r="H116" t="s">
        <v>45</v>
      </c>
      <c r="I116" t="s">
        <v>48</v>
      </c>
      <c r="J116" t="s">
        <v>46</v>
      </c>
      <c r="K116" t="s">
        <v>116</v>
      </c>
      <c r="L116" t="s">
        <v>286</v>
      </c>
      <c r="M116" t="s">
        <v>118</v>
      </c>
      <c r="N116" t="s">
        <v>117</v>
      </c>
      <c r="O116" t="s">
        <v>215</v>
      </c>
      <c r="P116">
        <v>20260814</v>
      </c>
      <c r="Q116">
        <v>100</v>
      </c>
      <c r="R116">
        <v>100</v>
      </c>
      <c r="S116">
        <v>5753</v>
      </c>
      <c r="T116" t="s">
        <v>49</v>
      </c>
      <c r="U116" t="s">
        <v>47</v>
      </c>
      <c r="V116" t="s">
        <v>47</v>
      </c>
      <c r="W116" t="s">
        <v>47</v>
      </c>
      <c r="X116" t="s">
        <v>35</v>
      </c>
      <c r="Y116" t="s">
        <v>47</v>
      </c>
      <c r="Z116" t="s">
        <v>35</v>
      </c>
      <c r="AA116" t="s">
        <v>50</v>
      </c>
      <c r="AB116" t="s">
        <v>35</v>
      </c>
      <c r="AC116" t="s">
        <v>287</v>
      </c>
      <c r="AD116" t="s">
        <v>288</v>
      </c>
    </row>
    <row r="117" spans="1:30">
      <c r="A117">
        <v>55182279</v>
      </c>
      <c r="B117" t="s">
        <v>289</v>
      </c>
      <c r="C117" t="s">
        <v>290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291</v>
      </c>
      <c r="M117" t="s">
        <v>124</v>
      </c>
      <c r="N117" t="s">
        <v>123</v>
      </c>
      <c r="O117" t="s">
        <v>215</v>
      </c>
      <c r="P117">
        <v>20260814</v>
      </c>
      <c r="Q117">
        <v>100</v>
      </c>
      <c r="R117">
        <v>0</v>
      </c>
      <c r="S117">
        <v>5742</v>
      </c>
      <c r="T117" t="s">
        <v>49</v>
      </c>
      <c r="U117" t="s">
        <v>47</v>
      </c>
      <c r="V117" t="s">
        <v>47</v>
      </c>
      <c r="W117" t="s">
        <v>47</v>
      </c>
      <c r="X117" t="s">
        <v>125</v>
      </c>
      <c r="Y117" t="s">
        <v>47</v>
      </c>
      <c r="Z117" t="s">
        <v>35</v>
      </c>
      <c r="AA117" t="s">
        <v>50</v>
      </c>
      <c r="AB117" t="s">
        <v>35</v>
      </c>
      <c r="AC117" t="s">
        <v>291</v>
      </c>
      <c r="AD117" t="s">
        <v>292</v>
      </c>
    </row>
    <row r="118" spans="1:30">
      <c r="A118">
        <v>55184002</v>
      </c>
      <c r="B118" t="s">
        <v>293</v>
      </c>
      <c r="C118" t="s">
        <v>212</v>
      </c>
      <c r="D118" t="s">
        <v>47</v>
      </c>
      <c r="E118" t="s">
        <v>35</v>
      </c>
      <c r="F118">
        <v>5803</v>
      </c>
      <c r="G118" t="s">
        <v>176</v>
      </c>
      <c r="H118" t="s">
        <v>45</v>
      </c>
      <c r="I118" t="s">
        <v>48</v>
      </c>
      <c r="J118" t="s">
        <v>46</v>
      </c>
      <c r="K118" t="s">
        <v>116</v>
      </c>
      <c r="L118" t="s">
        <v>294</v>
      </c>
      <c r="M118" t="s">
        <v>124</v>
      </c>
      <c r="N118" t="s">
        <v>123</v>
      </c>
      <c r="O118" t="s">
        <v>215</v>
      </c>
      <c r="P118">
        <v>20260814</v>
      </c>
      <c r="Q118">
        <v>100</v>
      </c>
      <c r="R118">
        <v>100</v>
      </c>
      <c r="S118" t="s">
        <v>217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294</v>
      </c>
      <c r="AD118" t="s">
        <v>295</v>
      </c>
    </row>
    <row r="119" spans="1:30">
      <c r="A119">
        <v>55185966</v>
      </c>
      <c r="B119" t="s">
        <v>296</v>
      </c>
      <c r="C119" t="s">
        <v>212</v>
      </c>
      <c r="D119" t="s">
        <v>47</v>
      </c>
      <c r="E119" t="s">
        <v>35</v>
      </c>
      <c r="F119">
        <v>5016</v>
      </c>
      <c r="G119" t="s">
        <v>139</v>
      </c>
      <c r="H119" t="s">
        <v>45</v>
      </c>
      <c r="I119" t="s">
        <v>48</v>
      </c>
      <c r="J119" t="s">
        <v>46</v>
      </c>
      <c r="K119" t="s">
        <v>116</v>
      </c>
      <c r="L119" t="s">
        <v>297</v>
      </c>
      <c r="M119" t="s">
        <v>124</v>
      </c>
      <c r="N119" t="s">
        <v>123</v>
      </c>
      <c r="O119" t="s">
        <v>215</v>
      </c>
      <c r="P119">
        <v>20260814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297</v>
      </c>
      <c r="AD119" t="s">
        <v>298</v>
      </c>
    </row>
    <row r="120" spans="1:30">
      <c r="A120">
        <v>55186137</v>
      </c>
      <c r="B120" t="s">
        <v>299</v>
      </c>
      <c r="C120" t="s">
        <v>212</v>
      </c>
      <c r="D120" t="s">
        <v>47</v>
      </c>
      <c r="E120" t="s">
        <v>35</v>
      </c>
      <c r="F120">
        <v>5803</v>
      </c>
      <c r="G120" t="s">
        <v>176</v>
      </c>
      <c r="H120" t="s">
        <v>45</v>
      </c>
      <c r="I120" t="s">
        <v>48</v>
      </c>
      <c r="J120" t="s">
        <v>46</v>
      </c>
      <c r="K120" t="s">
        <v>116</v>
      </c>
      <c r="L120" t="s">
        <v>300</v>
      </c>
      <c r="M120" t="s">
        <v>118</v>
      </c>
      <c r="N120" t="s">
        <v>117</v>
      </c>
      <c r="O120" t="s">
        <v>215</v>
      </c>
      <c r="P120">
        <v>20260814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300</v>
      </c>
      <c r="AD120" t="s">
        <v>301</v>
      </c>
    </row>
    <row r="121" spans="1:30">
      <c r="A121">
        <v>55189216</v>
      </c>
      <c r="B121" t="s">
        <v>302</v>
      </c>
      <c r="C121" t="s">
        <v>212</v>
      </c>
      <c r="D121" t="s">
        <v>47</v>
      </c>
      <c r="E121" t="s">
        <v>35</v>
      </c>
      <c r="F121">
        <v>5803</v>
      </c>
      <c r="G121" t="s">
        <v>176</v>
      </c>
      <c r="H121" t="s">
        <v>45</v>
      </c>
      <c r="I121" t="s">
        <v>48</v>
      </c>
      <c r="J121" t="s">
        <v>46</v>
      </c>
      <c r="K121" t="s">
        <v>116</v>
      </c>
      <c r="L121" t="s">
        <v>303</v>
      </c>
      <c r="M121" t="s">
        <v>124</v>
      </c>
      <c r="N121" t="s">
        <v>123</v>
      </c>
      <c r="O121" t="s">
        <v>215</v>
      </c>
      <c r="P121">
        <v>20260814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303</v>
      </c>
      <c r="AD121" t="s">
        <v>292</v>
      </c>
    </row>
    <row r="122" spans="1:30">
      <c r="A122">
        <v>55190871</v>
      </c>
      <c r="B122" t="s">
        <v>304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305</v>
      </c>
      <c r="M122" t="s">
        <v>118</v>
      </c>
      <c r="N122" t="s">
        <v>117</v>
      </c>
      <c r="O122" t="s">
        <v>215</v>
      </c>
      <c r="P122">
        <v>20260814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35</v>
      </c>
      <c r="Y122" t="s">
        <v>47</v>
      </c>
      <c r="Z122" t="s">
        <v>35</v>
      </c>
      <c r="AA122" t="s">
        <v>50</v>
      </c>
      <c r="AB122" t="s">
        <v>35</v>
      </c>
      <c r="AC122" t="s">
        <v>305</v>
      </c>
      <c r="AD122" t="s">
        <v>306</v>
      </c>
    </row>
    <row r="123" spans="1:30">
      <c r="A123">
        <v>55193078</v>
      </c>
      <c r="B123" t="s">
        <v>307</v>
      </c>
      <c r="C123" t="s">
        <v>212</v>
      </c>
      <c r="D123" t="s">
        <v>47</v>
      </c>
      <c r="E123" t="s">
        <v>35</v>
      </c>
      <c r="F123">
        <v>5803</v>
      </c>
      <c r="G123" t="s">
        <v>176</v>
      </c>
      <c r="H123" t="s">
        <v>45</v>
      </c>
      <c r="I123" t="s">
        <v>48</v>
      </c>
      <c r="J123" t="s">
        <v>46</v>
      </c>
      <c r="K123" t="s">
        <v>116</v>
      </c>
      <c r="L123" t="s">
        <v>308</v>
      </c>
      <c r="M123" t="s">
        <v>124</v>
      </c>
      <c r="N123" t="s">
        <v>123</v>
      </c>
      <c r="O123" t="s">
        <v>215</v>
      </c>
      <c r="P123">
        <v>20260814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125</v>
      </c>
      <c r="Y123" t="s">
        <v>47</v>
      </c>
      <c r="Z123" t="s">
        <v>35</v>
      </c>
      <c r="AA123" t="s">
        <v>50</v>
      </c>
      <c r="AB123" t="s">
        <v>35</v>
      </c>
      <c r="AC123" t="s">
        <v>308</v>
      </c>
      <c r="AD123" t="s">
        <v>309</v>
      </c>
    </row>
    <row r="124" spans="1:30">
      <c r="A124">
        <v>55193693</v>
      </c>
      <c r="B124" t="s">
        <v>310</v>
      </c>
      <c r="C124" t="s">
        <v>212</v>
      </c>
      <c r="D124" t="s">
        <v>47</v>
      </c>
      <c r="E124" t="s">
        <v>35</v>
      </c>
      <c r="F124">
        <v>5803</v>
      </c>
      <c r="G124" t="s">
        <v>176</v>
      </c>
      <c r="H124" t="s">
        <v>45</v>
      </c>
      <c r="I124" t="s">
        <v>48</v>
      </c>
      <c r="J124" t="s">
        <v>46</v>
      </c>
      <c r="K124" t="s">
        <v>116</v>
      </c>
      <c r="L124" t="s">
        <v>311</v>
      </c>
      <c r="M124" t="s">
        <v>118</v>
      </c>
      <c r="N124" t="s">
        <v>117</v>
      </c>
      <c r="O124" t="s">
        <v>215</v>
      </c>
      <c r="P124">
        <v>20260814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312</v>
      </c>
      <c r="AD124" t="s">
        <v>313</v>
      </c>
    </row>
    <row r="125" spans="1:30">
      <c r="A125">
        <v>55195337</v>
      </c>
      <c r="B125" t="s">
        <v>314</v>
      </c>
      <c r="C125" t="s">
        <v>212</v>
      </c>
      <c r="D125" t="s">
        <v>47</v>
      </c>
      <c r="E125" t="s">
        <v>35</v>
      </c>
      <c r="F125">
        <v>5803</v>
      </c>
      <c r="G125" t="s">
        <v>176</v>
      </c>
      <c r="H125" t="s">
        <v>45</v>
      </c>
      <c r="I125" t="s">
        <v>48</v>
      </c>
      <c r="J125" t="s">
        <v>46</v>
      </c>
      <c r="K125" t="s">
        <v>116</v>
      </c>
      <c r="L125" t="s">
        <v>315</v>
      </c>
      <c r="M125" t="s">
        <v>124</v>
      </c>
      <c r="N125" t="s">
        <v>123</v>
      </c>
      <c r="O125" t="s">
        <v>215</v>
      </c>
      <c r="P125">
        <v>20260814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315</v>
      </c>
      <c r="AD125" t="s">
        <v>316</v>
      </c>
    </row>
    <row r="126" spans="1:30">
      <c r="A126">
        <v>55196511</v>
      </c>
      <c r="B126" t="s">
        <v>317</v>
      </c>
      <c r="C126" t="s">
        <v>212</v>
      </c>
      <c r="D126" t="s">
        <v>47</v>
      </c>
      <c r="E126" t="s">
        <v>35</v>
      </c>
      <c r="F126">
        <v>5016</v>
      </c>
      <c r="G126" t="s">
        <v>139</v>
      </c>
      <c r="H126" t="s">
        <v>45</v>
      </c>
      <c r="I126" t="s">
        <v>48</v>
      </c>
      <c r="J126" t="s">
        <v>46</v>
      </c>
      <c r="K126" t="s">
        <v>116</v>
      </c>
      <c r="L126" t="s">
        <v>318</v>
      </c>
      <c r="M126" t="s">
        <v>124</v>
      </c>
      <c r="N126" t="s">
        <v>123</v>
      </c>
      <c r="O126" t="s">
        <v>215</v>
      </c>
      <c r="P126">
        <v>20260814</v>
      </c>
      <c r="Q126">
        <v>200</v>
      </c>
      <c r="R126">
        <v>200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125</v>
      </c>
      <c r="Y126" t="s">
        <v>47</v>
      </c>
      <c r="Z126" t="s">
        <v>35</v>
      </c>
      <c r="AA126" t="s">
        <v>50</v>
      </c>
      <c r="AB126" t="s">
        <v>35</v>
      </c>
      <c r="AC126" t="s">
        <v>318</v>
      </c>
      <c r="AD126" t="s">
        <v>319</v>
      </c>
    </row>
    <row r="127" spans="1:30">
      <c r="A127">
        <v>55197512</v>
      </c>
      <c r="B127" t="s">
        <v>320</v>
      </c>
      <c r="C127" t="s">
        <v>212</v>
      </c>
      <c r="D127" t="s">
        <v>47</v>
      </c>
      <c r="E127" t="s">
        <v>35</v>
      </c>
      <c r="F127">
        <v>5803</v>
      </c>
      <c r="G127" t="s">
        <v>176</v>
      </c>
      <c r="H127" t="s">
        <v>45</v>
      </c>
      <c r="I127" t="s">
        <v>48</v>
      </c>
      <c r="J127" t="s">
        <v>46</v>
      </c>
      <c r="K127" t="s">
        <v>116</v>
      </c>
      <c r="L127" t="s">
        <v>321</v>
      </c>
      <c r="M127" t="s">
        <v>118</v>
      </c>
      <c r="N127" t="s">
        <v>117</v>
      </c>
      <c r="O127" t="s">
        <v>215</v>
      </c>
      <c r="P127">
        <v>20260814</v>
      </c>
      <c r="Q127">
        <v>100</v>
      </c>
      <c r="R127">
        <v>100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35</v>
      </c>
      <c r="Y127" t="s">
        <v>47</v>
      </c>
      <c r="Z127" t="s">
        <v>35</v>
      </c>
      <c r="AA127" t="s">
        <v>50</v>
      </c>
      <c r="AB127" t="s">
        <v>35</v>
      </c>
      <c r="AC127" t="s">
        <v>321</v>
      </c>
      <c r="AD127" t="s">
        <v>322</v>
      </c>
    </row>
    <row r="128" spans="1:30">
      <c r="A128">
        <v>55199058</v>
      </c>
      <c r="B128" t="s">
        <v>323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324</v>
      </c>
      <c r="M128" t="s">
        <v>118</v>
      </c>
      <c r="N128" t="s">
        <v>117</v>
      </c>
      <c r="O128" t="s">
        <v>215</v>
      </c>
      <c r="P128">
        <v>20260814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324</v>
      </c>
      <c r="AD128" t="s">
        <v>325</v>
      </c>
    </row>
    <row r="129" spans="1:30">
      <c r="A129">
        <v>55201601</v>
      </c>
      <c r="B129" t="s">
        <v>326</v>
      </c>
      <c r="C129" t="s">
        <v>212</v>
      </c>
      <c r="D129" t="s">
        <v>47</v>
      </c>
      <c r="E129" t="s">
        <v>35</v>
      </c>
      <c r="F129">
        <v>5016</v>
      </c>
      <c r="G129" t="s">
        <v>139</v>
      </c>
      <c r="H129" t="s">
        <v>45</v>
      </c>
      <c r="I129" t="s">
        <v>48</v>
      </c>
      <c r="J129" t="s">
        <v>46</v>
      </c>
      <c r="K129" t="s">
        <v>116</v>
      </c>
      <c r="L129" t="s">
        <v>327</v>
      </c>
      <c r="M129" t="s">
        <v>118</v>
      </c>
      <c r="N129" t="s">
        <v>117</v>
      </c>
      <c r="O129" t="s">
        <v>215</v>
      </c>
      <c r="P129">
        <v>20260814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35</v>
      </c>
      <c r="Y129" t="s">
        <v>47</v>
      </c>
      <c r="Z129" t="s">
        <v>35</v>
      </c>
      <c r="AA129" t="s">
        <v>50</v>
      </c>
      <c r="AB129" t="s">
        <v>35</v>
      </c>
      <c r="AC129" t="s">
        <v>327</v>
      </c>
      <c r="AD129" t="s">
        <v>328</v>
      </c>
    </row>
    <row r="130" spans="1:30">
      <c r="A130">
        <v>55203563</v>
      </c>
      <c r="B130" t="s">
        <v>329</v>
      </c>
      <c r="C130" t="s">
        <v>212</v>
      </c>
      <c r="D130" t="s">
        <v>47</v>
      </c>
      <c r="E130" t="s">
        <v>35</v>
      </c>
      <c r="F130">
        <v>5803</v>
      </c>
      <c r="G130" t="s">
        <v>176</v>
      </c>
      <c r="H130" t="s">
        <v>45</v>
      </c>
      <c r="I130" t="s">
        <v>48</v>
      </c>
      <c r="J130" t="s">
        <v>46</v>
      </c>
      <c r="K130" t="s">
        <v>116</v>
      </c>
      <c r="L130" t="s">
        <v>330</v>
      </c>
      <c r="M130" t="s">
        <v>124</v>
      </c>
      <c r="N130" t="s">
        <v>123</v>
      </c>
      <c r="O130" t="s">
        <v>215</v>
      </c>
      <c r="P130">
        <v>20260814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125</v>
      </c>
      <c r="Y130" t="s">
        <v>47</v>
      </c>
      <c r="Z130" t="s">
        <v>35</v>
      </c>
      <c r="AA130" t="s">
        <v>50</v>
      </c>
      <c r="AB130" t="s">
        <v>35</v>
      </c>
      <c r="AC130" t="s">
        <v>330</v>
      </c>
      <c r="AD130" t="s">
        <v>331</v>
      </c>
    </row>
    <row r="131" spans="1:30">
      <c r="A131">
        <v>55203834</v>
      </c>
      <c r="B131" t="s">
        <v>332</v>
      </c>
      <c r="C131" t="s">
        <v>212</v>
      </c>
      <c r="D131" t="s">
        <v>47</v>
      </c>
      <c r="E131" t="s">
        <v>35</v>
      </c>
      <c r="F131">
        <v>5016</v>
      </c>
      <c r="G131" t="s">
        <v>139</v>
      </c>
      <c r="H131" t="s">
        <v>45</v>
      </c>
      <c r="I131" t="s">
        <v>48</v>
      </c>
      <c r="J131" t="s">
        <v>46</v>
      </c>
      <c r="K131" t="s">
        <v>116</v>
      </c>
      <c r="L131" t="s">
        <v>333</v>
      </c>
      <c r="M131" t="s">
        <v>118</v>
      </c>
      <c r="N131" t="s">
        <v>117</v>
      </c>
      <c r="O131" t="s">
        <v>215</v>
      </c>
      <c r="P131">
        <v>20260814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35</v>
      </c>
      <c r="Y131" t="s">
        <v>47</v>
      </c>
      <c r="Z131" t="s">
        <v>35</v>
      </c>
      <c r="AA131" t="s">
        <v>50</v>
      </c>
      <c r="AB131" t="s">
        <v>35</v>
      </c>
      <c r="AC131" t="s">
        <v>333</v>
      </c>
      <c r="AD131" t="s">
        <v>334</v>
      </c>
    </row>
    <row r="132" spans="1:30">
      <c r="A132">
        <v>55210451</v>
      </c>
      <c r="B132" t="s">
        <v>335</v>
      </c>
      <c r="C132" t="s">
        <v>212</v>
      </c>
      <c r="D132" t="s">
        <v>47</v>
      </c>
      <c r="E132" t="s">
        <v>35</v>
      </c>
      <c r="F132">
        <v>6613</v>
      </c>
      <c r="G132" t="s">
        <v>165</v>
      </c>
      <c r="H132" t="s">
        <v>45</v>
      </c>
      <c r="I132" t="s">
        <v>48</v>
      </c>
      <c r="J132" t="s">
        <v>46</v>
      </c>
      <c r="K132" t="s">
        <v>116</v>
      </c>
      <c r="L132" t="s">
        <v>336</v>
      </c>
      <c r="M132" t="s">
        <v>118</v>
      </c>
      <c r="N132" t="s">
        <v>117</v>
      </c>
      <c r="O132" t="s">
        <v>215</v>
      </c>
      <c r="P132">
        <v>20260814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35</v>
      </c>
      <c r="Y132" t="s">
        <v>47</v>
      </c>
      <c r="Z132" t="s">
        <v>35</v>
      </c>
      <c r="AA132" t="s">
        <v>50</v>
      </c>
      <c r="AB132" t="s">
        <v>35</v>
      </c>
      <c r="AC132" t="s">
        <v>336</v>
      </c>
      <c r="AD132" t="s">
        <v>337</v>
      </c>
    </row>
    <row r="133" spans="1:30">
      <c r="A133">
        <v>55215596</v>
      </c>
      <c r="B133" t="s">
        <v>338</v>
      </c>
      <c r="C133" t="s">
        <v>212</v>
      </c>
      <c r="D133" t="s">
        <v>47</v>
      </c>
      <c r="E133" t="s">
        <v>35</v>
      </c>
      <c r="F133">
        <v>5803</v>
      </c>
      <c r="G133" t="s">
        <v>176</v>
      </c>
      <c r="H133" t="s">
        <v>45</v>
      </c>
      <c r="I133" t="s">
        <v>48</v>
      </c>
      <c r="J133" t="s">
        <v>46</v>
      </c>
      <c r="K133" t="s">
        <v>116</v>
      </c>
      <c r="L133" t="s">
        <v>339</v>
      </c>
      <c r="M133" t="s">
        <v>124</v>
      </c>
      <c r="N133" t="s">
        <v>123</v>
      </c>
      <c r="O133" t="s">
        <v>215</v>
      </c>
      <c r="P133">
        <v>20260814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125</v>
      </c>
      <c r="Y133" t="s">
        <v>47</v>
      </c>
      <c r="Z133" t="s">
        <v>35</v>
      </c>
      <c r="AA133" t="s">
        <v>50</v>
      </c>
      <c r="AB133" t="s">
        <v>35</v>
      </c>
      <c r="AC133" t="s">
        <v>339</v>
      </c>
      <c r="AD133" t="s">
        <v>340</v>
      </c>
    </row>
    <row r="134" spans="1:30">
      <c r="A134">
        <v>55216493</v>
      </c>
      <c r="B134" t="s">
        <v>341</v>
      </c>
      <c r="C134" t="s">
        <v>212</v>
      </c>
      <c r="D134" t="s">
        <v>47</v>
      </c>
      <c r="E134" t="s">
        <v>35</v>
      </c>
      <c r="F134">
        <v>5803</v>
      </c>
      <c r="G134" t="s">
        <v>176</v>
      </c>
      <c r="H134" t="s">
        <v>45</v>
      </c>
      <c r="I134" t="s">
        <v>48</v>
      </c>
      <c r="J134" t="s">
        <v>46</v>
      </c>
      <c r="K134" t="s">
        <v>116</v>
      </c>
      <c r="L134" t="s">
        <v>342</v>
      </c>
      <c r="M134" t="s">
        <v>118</v>
      </c>
      <c r="N134" t="s">
        <v>117</v>
      </c>
      <c r="O134" t="s">
        <v>215</v>
      </c>
      <c r="P134">
        <v>20260814</v>
      </c>
      <c r="Q134">
        <v>100</v>
      </c>
      <c r="R134">
        <v>100</v>
      </c>
      <c r="S134">
        <v>5690</v>
      </c>
      <c r="T134" t="s">
        <v>49</v>
      </c>
      <c r="U134" t="s">
        <v>47</v>
      </c>
      <c r="V134" t="s">
        <v>47</v>
      </c>
      <c r="W134" t="s">
        <v>47</v>
      </c>
      <c r="X134" t="s">
        <v>35</v>
      </c>
      <c r="Y134" t="s">
        <v>47</v>
      </c>
      <c r="Z134" t="s">
        <v>35</v>
      </c>
      <c r="AA134" t="s">
        <v>50</v>
      </c>
      <c r="AB134" t="s">
        <v>35</v>
      </c>
      <c r="AC134" t="s">
        <v>342</v>
      </c>
      <c r="AD134" t="s">
        <v>343</v>
      </c>
    </row>
    <row r="135" spans="1:30">
      <c r="A135">
        <v>55221293</v>
      </c>
      <c r="B135" t="s">
        <v>344</v>
      </c>
      <c r="C135" t="s">
        <v>212</v>
      </c>
      <c r="D135" t="s">
        <v>47</v>
      </c>
      <c r="E135" t="s">
        <v>35</v>
      </c>
      <c r="F135">
        <v>5803</v>
      </c>
      <c r="G135" t="s">
        <v>176</v>
      </c>
      <c r="H135" t="s">
        <v>45</v>
      </c>
      <c r="I135" t="s">
        <v>48</v>
      </c>
      <c r="J135" t="s">
        <v>46</v>
      </c>
      <c r="K135" t="s">
        <v>116</v>
      </c>
      <c r="L135" t="s">
        <v>345</v>
      </c>
      <c r="M135" t="s">
        <v>124</v>
      </c>
      <c r="N135" t="s">
        <v>123</v>
      </c>
      <c r="O135" t="s">
        <v>215</v>
      </c>
      <c r="P135">
        <v>20260814</v>
      </c>
      <c r="Q135">
        <v>100</v>
      </c>
      <c r="R135">
        <v>100</v>
      </c>
      <c r="S135" t="s">
        <v>217</v>
      </c>
      <c r="T135" t="s">
        <v>49</v>
      </c>
      <c r="U135" t="s">
        <v>47</v>
      </c>
      <c r="V135" t="s">
        <v>47</v>
      </c>
      <c r="W135" t="s">
        <v>47</v>
      </c>
      <c r="X135" t="s">
        <v>125</v>
      </c>
      <c r="Y135" t="s">
        <v>47</v>
      </c>
      <c r="Z135" t="s">
        <v>35</v>
      </c>
      <c r="AA135" t="s">
        <v>50</v>
      </c>
      <c r="AB135" t="s">
        <v>35</v>
      </c>
      <c r="AC135" t="s">
        <v>345</v>
      </c>
      <c r="AD135" t="s">
        <v>346</v>
      </c>
    </row>
    <row r="136" spans="1:30">
      <c r="A136">
        <v>55221955</v>
      </c>
      <c r="B136" t="s">
        <v>347</v>
      </c>
      <c r="C136" t="s">
        <v>212</v>
      </c>
      <c r="D136" t="s">
        <v>47</v>
      </c>
      <c r="E136" t="s">
        <v>35</v>
      </c>
      <c r="F136">
        <v>5803</v>
      </c>
      <c r="G136" t="s">
        <v>176</v>
      </c>
      <c r="H136" t="s">
        <v>45</v>
      </c>
      <c r="I136" t="s">
        <v>48</v>
      </c>
      <c r="J136" t="s">
        <v>46</v>
      </c>
      <c r="K136" t="s">
        <v>116</v>
      </c>
      <c r="L136" t="s">
        <v>348</v>
      </c>
      <c r="M136" t="s">
        <v>118</v>
      </c>
      <c r="N136" t="s">
        <v>117</v>
      </c>
      <c r="O136" t="s">
        <v>215</v>
      </c>
      <c r="P136">
        <v>20260814</v>
      </c>
      <c r="Q136">
        <v>100</v>
      </c>
      <c r="R136">
        <v>100</v>
      </c>
      <c r="S136" t="s">
        <v>217</v>
      </c>
      <c r="T136" t="s">
        <v>49</v>
      </c>
      <c r="U136" t="s">
        <v>47</v>
      </c>
      <c r="V136" t="s">
        <v>47</v>
      </c>
      <c r="W136" t="s">
        <v>47</v>
      </c>
      <c r="X136" t="s">
        <v>35</v>
      </c>
      <c r="Y136" t="s">
        <v>47</v>
      </c>
      <c r="Z136" t="s">
        <v>35</v>
      </c>
      <c r="AA136" t="s">
        <v>50</v>
      </c>
      <c r="AB136" t="s">
        <v>35</v>
      </c>
      <c r="AC136" t="s">
        <v>348</v>
      </c>
      <c r="AD136" t="s">
        <v>349</v>
      </c>
    </row>
    <row r="137" spans="1:30">
      <c r="A137">
        <v>55234682</v>
      </c>
      <c r="B137" t="s">
        <v>350</v>
      </c>
      <c r="C137" t="s">
        <v>212</v>
      </c>
      <c r="D137" t="s">
        <v>47</v>
      </c>
      <c r="E137" t="s">
        <v>35</v>
      </c>
      <c r="F137">
        <v>6613</v>
      </c>
      <c r="G137" t="s">
        <v>165</v>
      </c>
      <c r="H137" t="s">
        <v>45</v>
      </c>
      <c r="I137" t="s">
        <v>48</v>
      </c>
      <c r="J137" t="s">
        <v>46</v>
      </c>
      <c r="K137" t="s">
        <v>116</v>
      </c>
      <c r="L137" t="s">
        <v>351</v>
      </c>
      <c r="M137" t="s">
        <v>124</v>
      </c>
      <c r="N137" t="s">
        <v>123</v>
      </c>
      <c r="O137" t="s">
        <v>215</v>
      </c>
      <c r="P137">
        <v>20260814</v>
      </c>
      <c r="Q137">
        <v>100</v>
      </c>
      <c r="R137">
        <v>100</v>
      </c>
      <c r="S137" t="s">
        <v>217</v>
      </c>
      <c r="T137" t="s">
        <v>49</v>
      </c>
      <c r="U137" t="s">
        <v>47</v>
      </c>
      <c r="V137" t="s">
        <v>47</v>
      </c>
      <c r="W137" t="s">
        <v>47</v>
      </c>
      <c r="X137" t="s">
        <v>125</v>
      </c>
      <c r="Y137" t="s">
        <v>47</v>
      </c>
      <c r="Z137" t="s">
        <v>35</v>
      </c>
      <c r="AA137" t="s">
        <v>50</v>
      </c>
      <c r="AB137" t="s">
        <v>35</v>
      </c>
      <c r="AC137" t="s">
        <v>351</v>
      </c>
      <c r="AD137" t="s">
        <v>352</v>
      </c>
    </row>
    <row r="138" spans="1:30">
      <c r="A138">
        <v>55235031</v>
      </c>
      <c r="B138" t="s">
        <v>353</v>
      </c>
      <c r="C138" t="s">
        <v>212</v>
      </c>
      <c r="D138" t="s">
        <v>47</v>
      </c>
      <c r="E138" t="s">
        <v>35</v>
      </c>
      <c r="F138">
        <v>5803</v>
      </c>
      <c r="G138" t="s">
        <v>176</v>
      </c>
      <c r="H138" t="s">
        <v>45</v>
      </c>
      <c r="I138" t="s">
        <v>48</v>
      </c>
      <c r="J138" t="s">
        <v>46</v>
      </c>
      <c r="K138" t="s">
        <v>116</v>
      </c>
      <c r="L138" t="s">
        <v>354</v>
      </c>
      <c r="M138" t="s">
        <v>124</v>
      </c>
      <c r="N138" t="s">
        <v>123</v>
      </c>
      <c r="O138" t="s">
        <v>215</v>
      </c>
      <c r="P138">
        <v>20260814</v>
      </c>
      <c r="Q138">
        <v>100</v>
      </c>
      <c r="R138">
        <v>100</v>
      </c>
      <c r="S138" t="s">
        <v>217</v>
      </c>
      <c r="T138" t="s">
        <v>49</v>
      </c>
      <c r="U138" t="s">
        <v>47</v>
      </c>
      <c r="V138" t="s">
        <v>47</v>
      </c>
      <c r="W138" t="s">
        <v>47</v>
      </c>
      <c r="X138" t="s">
        <v>125</v>
      </c>
      <c r="Y138" t="s">
        <v>47</v>
      </c>
      <c r="Z138" t="s">
        <v>35</v>
      </c>
      <c r="AA138" t="s">
        <v>50</v>
      </c>
      <c r="AB138" t="s">
        <v>35</v>
      </c>
      <c r="AC138" t="s">
        <v>354</v>
      </c>
      <c r="AD138" t="s">
        <v>355</v>
      </c>
    </row>
    <row r="139" spans="1:30">
      <c r="A139">
        <v>55235159</v>
      </c>
      <c r="B139" t="s">
        <v>356</v>
      </c>
      <c r="C139" t="s">
        <v>212</v>
      </c>
      <c r="D139" t="s">
        <v>47</v>
      </c>
      <c r="E139" t="s">
        <v>35</v>
      </c>
      <c r="F139">
        <v>3436</v>
      </c>
      <c r="G139" t="s">
        <v>152</v>
      </c>
      <c r="H139" t="s">
        <v>45</v>
      </c>
      <c r="I139" t="s">
        <v>48</v>
      </c>
      <c r="J139" t="s">
        <v>46</v>
      </c>
      <c r="K139" t="s">
        <v>116</v>
      </c>
      <c r="L139" t="s">
        <v>357</v>
      </c>
      <c r="M139" t="s">
        <v>118</v>
      </c>
      <c r="N139" t="s">
        <v>117</v>
      </c>
      <c r="O139" t="s">
        <v>215</v>
      </c>
      <c r="P139">
        <v>20260814</v>
      </c>
      <c r="Q139">
        <v>100</v>
      </c>
      <c r="R139">
        <v>100</v>
      </c>
      <c r="S139" t="s">
        <v>217</v>
      </c>
      <c r="T139" t="s">
        <v>49</v>
      </c>
      <c r="U139" t="s">
        <v>47</v>
      </c>
      <c r="V139" t="s">
        <v>47</v>
      </c>
      <c r="W139" t="s">
        <v>47</v>
      </c>
      <c r="X139" t="s">
        <v>35</v>
      </c>
      <c r="Y139" t="s">
        <v>47</v>
      </c>
      <c r="Z139" t="s">
        <v>35</v>
      </c>
      <c r="AA139" t="s">
        <v>50</v>
      </c>
      <c r="AB139" t="s">
        <v>35</v>
      </c>
      <c r="AC139" t="s">
        <v>357</v>
      </c>
      <c r="AD139" t="s">
        <v>358</v>
      </c>
    </row>
    <row r="140" spans="1:30">
      <c r="A140">
        <v>55237579</v>
      </c>
      <c r="B140" t="s">
        <v>359</v>
      </c>
      <c r="C140" t="s">
        <v>212</v>
      </c>
      <c r="D140" t="s">
        <v>47</v>
      </c>
      <c r="E140" t="s">
        <v>35</v>
      </c>
      <c r="F140">
        <v>5016</v>
      </c>
      <c r="G140" t="s">
        <v>139</v>
      </c>
      <c r="H140" t="s">
        <v>45</v>
      </c>
      <c r="I140" t="s">
        <v>48</v>
      </c>
      <c r="J140" t="s">
        <v>46</v>
      </c>
      <c r="K140" t="s">
        <v>116</v>
      </c>
      <c r="L140" t="s">
        <v>360</v>
      </c>
      <c r="M140" t="s">
        <v>124</v>
      </c>
      <c r="N140" t="s">
        <v>123</v>
      </c>
      <c r="O140" t="s">
        <v>215</v>
      </c>
      <c r="P140">
        <v>20260814</v>
      </c>
      <c r="Q140">
        <v>200</v>
      </c>
      <c r="R140">
        <v>200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360</v>
      </c>
      <c r="AD140" t="s">
        <v>361</v>
      </c>
    </row>
    <row r="141" spans="1:30">
      <c r="A141">
        <v>55237916</v>
      </c>
      <c r="B141" t="s">
        <v>362</v>
      </c>
      <c r="C141" t="s">
        <v>212</v>
      </c>
      <c r="D141" t="s">
        <v>47</v>
      </c>
      <c r="E141" t="s">
        <v>35</v>
      </c>
      <c r="F141">
        <v>5803</v>
      </c>
      <c r="G141" t="s">
        <v>176</v>
      </c>
      <c r="H141" t="s">
        <v>45</v>
      </c>
      <c r="I141" t="s">
        <v>48</v>
      </c>
      <c r="J141" t="s">
        <v>46</v>
      </c>
      <c r="K141" t="s">
        <v>116</v>
      </c>
      <c r="L141" t="s">
        <v>363</v>
      </c>
      <c r="M141" t="s">
        <v>118</v>
      </c>
      <c r="N141" t="s">
        <v>117</v>
      </c>
      <c r="O141" t="s">
        <v>215</v>
      </c>
      <c r="P141">
        <v>20260814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363</v>
      </c>
      <c r="AD141" t="s">
        <v>349</v>
      </c>
    </row>
    <row r="142" spans="1:30">
      <c r="A142">
        <v>55238616</v>
      </c>
      <c r="B142" t="s">
        <v>364</v>
      </c>
      <c r="C142" t="s">
        <v>212</v>
      </c>
      <c r="D142" t="s">
        <v>47</v>
      </c>
      <c r="E142" t="s">
        <v>35</v>
      </c>
      <c r="F142">
        <v>5016</v>
      </c>
      <c r="G142" t="s">
        <v>139</v>
      </c>
      <c r="H142" t="s">
        <v>45</v>
      </c>
      <c r="I142" t="s">
        <v>48</v>
      </c>
      <c r="J142" t="s">
        <v>46</v>
      </c>
      <c r="K142" t="s">
        <v>116</v>
      </c>
      <c r="L142" t="s">
        <v>365</v>
      </c>
      <c r="M142" t="s">
        <v>118</v>
      </c>
      <c r="N142" t="s">
        <v>117</v>
      </c>
      <c r="O142" t="s">
        <v>215</v>
      </c>
      <c r="P142">
        <v>20260814</v>
      </c>
      <c r="Q142">
        <v>100</v>
      </c>
      <c r="R142">
        <v>100</v>
      </c>
      <c r="S142" t="s">
        <v>217</v>
      </c>
      <c r="T142" t="s">
        <v>49</v>
      </c>
      <c r="U142" t="s">
        <v>47</v>
      </c>
      <c r="V142" t="s">
        <v>47</v>
      </c>
      <c r="W142" t="s">
        <v>47</v>
      </c>
      <c r="X142" t="s">
        <v>35</v>
      </c>
      <c r="Y142" t="s">
        <v>47</v>
      </c>
      <c r="Z142" t="s">
        <v>35</v>
      </c>
      <c r="AA142" t="s">
        <v>50</v>
      </c>
      <c r="AB142" t="s">
        <v>35</v>
      </c>
      <c r="AC142" t="s">
        <v>365</v>
      </c>
      <c r="AD142" t="s">
        <v>366</v>
      </c>
    </row>
    <row r="143" spans="1:30">
      <c r="A143">
        <v>55240357</v>
      </c>
      <c r="B143" t="s">
        <v>367</v>
      </c>
      <c r="C143" t="s">
        <v>212</v>
      </c>
      <c r="D143" t="s">
        <v>47</v>
      </c>
      <c r="E143" t="s">
        <v>35</v>
      </c>
      <c r="F143">
        <v>3436</v>
      </c>
      <c r="G143" t="s">
        <v>152</v>
      </c>
      <c r="H143" t="s">
        <v>45</v>
      </c>
      <c r="I143" t="s">
        <v>48</v>
      </c>
      <c r="J143" t="s">
        <v>46</v>
      </c>
      <c r="K143" t="s">
        <v>116</v>
      </c>
      <c r="L143" t="s">
        <v>368</v>
      </c>
      <c r="M143" t="s">
        <v>124</v>
      </c>
      <c r="N143" t="s">
        <v>123</v>
      </c>
      <c r="O143" t="s">
        <v>215</v>
      </c>
      <c r="P143">
        <v>20260814</v>
      </c>
      <c r="Q143">
        <v>100</v>
      </c>
      <c r="R143">
        <v>100</v>
      </c>
      <c r="S143" t="s">
        <v>217</v>
      </c>
      <c r="T143" t="s">
        <v>49</v>
      </c>
      <c r="U143" t="s">
        <v>47</v>
      </c>
      <c r="V143" t="s">
        <v>47</v>
      </c>
      <c r="W143" t="s">
        <v>47</v>
      </c>
      <c r="X143" t="s">
        <v>125</v>
      </c>
      <c r="Y143" t="s">
        <v>47</v>
      </c>
      <c r="Z143" t="s">
        <v>35</v>
      </c>
      <c r="AA143" t="s">
        <v>50</v>
      </c>
      <c r="AB143" t="s">
        <v>35</v>
      </c>
      <c r="AC143" t="s">
        <v>368</v>
      </c>
      <c r="AD143" t="s">
        <v>369</v>
      </c>
    </row>
    <row r="144" spans="1:30">
      <c r="A144">
        <v>55241364</v>
      </c>
      <c r="B144" t="s">
        <v>370</v>
      </c>
      <c r="C144" t="s">
        <v>212</v>
      </c>
      <c r="D144" t="s">
        <v>47</v>
      </c>
      <c r="E144" t="s">
        <v>35</v>
      </c>
      <c r="F144">
        <v>3436</v>
      </c>
      <c r="G144" t="s">
        <v>152</v>
      </c>
      <c r="H144" t="s">
        <v>45</v>
      </c>
      <c r="I144" t="s">
        <v>48</v>
      </c>
      <c r="J144" t="s">
        <v>46</v>
      </c>
      <c r="K144" t="s">
        <v>116</v>
      </c>
      <c r="L144" t="s">
        <v>371</v>
      </c>
      <c r="M144" t="s">
        <v>118</v>
      </c>
      <c r="N144" t="s">
        <v>117</v>
      </c>
      <c r="O144" t="s">
        <v>215</v>
      </c>
      <c r="P144">
        <v>20260814</v>
      </c>
      <c r="Q144">
        <v>100</v>
      </c>
      <c r="R144">
        <v>100</v>
      </c>
      <c r="S144" t="s">
        <v>217</v>
      </c>
      <c r="T144" t="s">
        <v>49</v>
      </c>
      <c r="U144" t="s">
        <v>47</v>
      </c>
      <c r="V144" t="s">
        <v>47</v>
      </c>
      <c r="W144" t="s">
        <v>47</v>
      </c>
      <c r="X144" t="s">
        <v>35</v>
      </c>
      <c r="Y144" t="s">
        <v>47</v>
      </c>
      <c r="Z144" t="s">
        <v>35</v>
      </c>
      <c r="AA144" t="s">
        <v>50</v>
      </c>
      <c r="AB144" t="s">
        <v>35</v>
      </c>
      <c r="AC144" t="s">
        <v>371</v>
      </c>
      <c r="AD144" t="s">
        <v>372</v>
      </c>
    </row>
    <row r="145" spans="1:30">
      <c r="A145">
        <v>55243264</v>
      </c>
      <c r="B145" t="s">
        <v>373</v>
      </c>
      <c r="C145" t="s">
        <v>212</v>
      </c>
      <c r="D145" t="s">
        <v>47</v>
      </c>
      <c r="E145" t="s">
        <v>35</v>
      </c>
      <c r="F145">
        <v>5016</v>
      </c>
      <c r="G145" t="s">
        <v>139</v>
      </c>
      <c r="H145" t="s">
        <v>45</v>
      </c>
      <c r="I145" t="s">
        <v>48</v>
      </c>
      <c r="J145" t="s">
        <v>46</v>
      </c>
      <c r="K145" t="s">
        <v>116</v>
      </c>
      <c r="L145" t="s">
        <v>374</v>
      </c>
      <c r="M145" t="s">
        <v>124</v>
      </c>
      <c r="N145" t="s">
        <v>123</v>
      </c>
      <c r="O145" t="s">
        <v>215</v>
      </c>
      <c r="P145">
        <v>20260814</v>
      </c>
      <c r="Q145">
        <v>100</v>
      </c>
      <c r="R145">
        <v>100</v>
      </c>
      <c r="S145" t="s">
        <v>217</v>
      </c>
      <c r="T145" t="s">
        <v>49</v>
      </c>
      <c r="U145" t="s">
        <v>47</v>
      </c>
      <c r="V145" t="s">
        <v>47</v>
      </c>
      <c r="W145" t="s">
        <v>47</v>
      </c>
      <c r="X145" t="s">
        <v>125</v>
      </c>
      <c r="Y145" t="s">
        <v>47</v>
      </c>
      <c r="Z145" t="s">
        <v>35</v>
      </c>
      <c r="AA145" t="s">
        <v>50</v>
      </c>
      <c r="AB145" t="s">
        <v>35</v>
      </c>
      <c r="AC145" t="s">
        <v>374</v>
      </c>
      <c r="AD145" t="s">
        <v>375</v>
      </c>
    </row>
    <row r="146" spans="1:30">
      <c r="A146">
        <v>55244562</v>
      </c>
      <c r="B146" t="s">
        <v>376</v>
      </c>
      <c r="C146" t="s">
        <v>212</v>
      </c>
      <c r="D146" t="s">
        <v>47</v>
      </c>
      <c r="E146" t="s">
        <v>35</v>
      </c>
      <c r="F146">
        <v>5016</v>
      </c>
      <c r="G146" t="s">
        <v>139</v>
      </c>
      <c r="H146" t="s">
        <v>45</v>
      </c>
      <c r="I146" t="s">
        <v>48</v>
      </c>
      <c r="J146" t="s">
        <v>46</v>
      </c>
      <c r="K146" t="s">
        <v>116</v>
      </c>
      <c r="L146" t="s">
        <v>377</v>
      </c>
      <c r="M146" t="s">
        <v>118</v>
      </c>
      <c r="N146" t="s">
        <v>117</v>
      </c>
      <c r="O146" t="s">
        <v>215</v>
      </c>
      <c r="P146">
        <v>20260814</v>
      </c>
      <c r="Q146">
        <v>100</v>
      </c>
      <c r="R146">
        <v>100</v>
      </c>
      <c r="S146" t="s">
        <v>217</v>
      </c>
      <c r="T146" t="s">
        <v>49</v>
      </c>
      <c r="U146" t="s">
        <v>47</v>
      </c>
      <c r="V146" t="s">
        <v>47</v>
      </c>
      <c r="W146" t="s">
        <v>47</v>
      </c>
      <c r="X146" t="s">
        <v>35</v>
      </c>
      <c r="Y146" t="s">
        <v>47</v>
      </c>
      <c r="Z146" t="s">
        <v>35</v>
      </c>
      <c r="AA146" t="s">
        <v>50</v>
      </c>
      <c r="AB146" t="s">
        <v>35</v>
      </c>
      <c r="AC146" t="s">
        <v>377</v>
      </c>
      <c r="AD146" t="s">
        <v>378</v>
      </c>
    </row>
    <row r="147" spans="1:30">
      <c r="A147">
        <v>55254063</v>
      </c>
      <c r="B147" t="s">
        <v>379</v>
      </c>
      <c r="C147" t="s">
        <v>212</v>
      </c>
      <c r="D147" t="s">
        <v>47</v>
      </c>
      <c r="E147" t="s">
        <v>35</v>
      </c>
      <c r="F147">
        <v>3436</v>
      </c>
      <c r="G147" t="s">
        <v>152</v>
      </c>
      <c r="H147" t="s">
        <v>45</v>
      </c>
      <c r="I147" t="s">
        <v>48</v>
      </c>
      <c r="J147" t="s">
        <v>46</v>
      </c>
      <c r="K147" t="s">
        <v>116</v>
      </c>
      <c r="L147" t="s">
        <v>380</v>
      </c>
      <c r="M147" t="s">
        <v>124</v>
      </c>
      <c r="N147" t="s">
        <v>123</v>
      </c>
      <c r="O147" t="s">
        <v>215</v>
      </c>
      <c r="P147">
        <v>20260814</v>
      </c>
      <c r="Q147">
        <v>100</v>
      </c>
      <c r="R147">
        <v>100</v>
      </c>
      <c r="S147" t="s">
        <v>217</v>
      </c>
      <c r="T147" t="s">
        <v>49</v>
      </c>
      <c r="U147" t="s">
        <v>47</v>
      </c>
      <c r="V147" t="s">
        <v>47</v>
      </c>
      <c r="W147" t="s">
        <v>47</v>
      </c>
      <c r="X147" t="s">
        <v>125</v>
      </c>
      <c r="Y147" t="s">
        <v>47</v>
      </c>
      <c r="Z147" t="s">
        <v>35</v>
      </c>
      <c r="AA147" t="s">
        <v>50</v>
      </c>
      <c r="AB147" t="s">
        <v>35</v>
      </c>
      <c r="AC147" t="s">
        <v>380</v>
      </c>
      <c r="AD147" t="s">
        <v>381</v>
      </c>
    </row>
    <row r="148" spans="1:30">
      <c r="A148">
        <v>55254403</v>
      </c>
      <c r="B148" t="s">
        <v>382</v>
      </c>
      <c r="C148" t="s">
        <v>212</v>
      </c>
      <c r="D148" t="s">
        <v>47</v>
      </c>
      <c r="E148" t="s">
        <v>35</v>
      </c>
      <c r="F148">
        <v>5016</v>
      </c>
      <c r="G148" t="s">
        <v>139</v>
      </c>
      <c r="H148" t="s">
        <v>45</v>
      </c>
      <c r="I148" t="s">
        <v>48</v>
      </c>
      <c r="J148" t="s">
        <v>46</v>
      </c>
      <c r="K148" t="s">
        <v>116</v>
      </c>
      <c r="L148" t="s">
        <v>383</v>
      </c>
      <c r="M148" t="s">
        <v>124</v>
      </c>
      <c r="N148" t="s">
        <v>123</v>
      </c>
      <c r="O148" t="s">
        <v>215</v>
      </c>
      <c r="P148">
        <v>20260814</v>
      </c>
      <c r="Q148">
        <v>100</v>
      </c>
      <c r="R148">
        <v>100</v>
      </c>
      <c r="S148" t="s">
        <v>217</v>
      </c>
      <c r="T148" t="s">
        <v>49</v>
      </c>
      <c r="U148" t="s">
        <v>47</v>
      </c>
      <c r="V148" t="s">
        <v>47</v>
      </c>
      <c r="W148" t="s">
        <v>47</v>
      </c>
      <c r="X148" t="s">
        <v>125</v>
      </c>
      <c r="Y148" t="s">
        <v>47</v>
      </c>
      <c r="Z148" t="s">
        <v>35</v>
      </c>
      <c r="AA148" t="s">
        <v>50</v>
      </c>
      <c r="AB148" t="s">
        <v>35</v>
      </c>
      <c r="AC148" t="s">
        <v>383</v>
      </c>
      <c r="AD148" t="s">
        <v>384</v>
      </c>
    </row>
    <row r="149" spans="1:30">
      <c r="A149">
        <v>55254824</v>
      </c>
      <c r="B149" t="s">
        <v>385</v>
      </c>
      <c r="C149" t="s">
        <v>212</v>
      </c>
      <c r="D149" t="s">
        <v>47</v>
      </c>
      <c r="E149" t="s">
        <v>35</v>
      </c>
      <c r="F149">
        <v>5016</v>
      </c>
      <c r="G149" t="s">
        <v>139</v>
      </c>
      <c r="H149" t="s">
        <v>45</v>
      </c>
      <c r="I149" t="s">
        <v>48</v>
      </c>
      <c r="J149" t="s">
        <v>46</v>
      </c>
      <c r="K149" t="s">
        <v>116</v>
      </c>
      <c r="L149" t="s">
        <v>386</v>
      </c>
      <c r="M149" t="s">
        <v>118</v>
      </c>
      <c r="N149" t="s">
        <v>117</v>
      </c>
      <c r="O149" t="s">
        <v>215</v>
      </c>
      <c r="P149">
        <v>20260814</v>
      </c>
      <c r="Q149">
        <v>100</v>
      </c>
      <c r="R149">
        <v>100</v>
      </c>
      <c r="S149" t="s">
        <v>217</v>
      </c>
      <c r="T149" t="s">
        <v>49</v>
      </c>
      <c r="U149" t="s">
        <v>47</v>
      </c>
      <c r="V149" t="s">
        <v>47</v>
      </c>
      <c r="W149" t="s">
        <v>47</v>
      </c>
      <c r="X149" t="s">
        <v>35</v>
      </c>
      <c r="Y149" t="s">
        <v>47</v>
      </c>
      <c r="Z149" t="s">
        <v>35</v>
      </c>
      <c r="AA149" t="s">
        <v>50</v>
      </c>
      <c r="AB149" t="s">
        <v>35</v>
      </c>
      <c r="AC149" t="s">
        <v>386</v>
      </c>
      <c r="AD149" t="s">
        <v>387</v>
      </c>
    </row>
    <row r="150" spans="1:30">
      <c r="A150">
        <v>55256048</v>
      </c>
      <c r="B150" t="s">
        <v>388</v>
      </c>
      <c r="C150" t="s">
        <v>212</v>
      </c>
      <c r="D150" t="s">
        <v>47</v>
      </c>
      <c r="E150" t="s">
        <v>35</v>
      </c>
      <c r="F150">
        <v>3436</v>
      </c>
      <c r="G150" t="s">
        <v>152</v>
      </c>
      <c r="H150" t="s">
        <v>45</v>
      </c>
      <c r="I150" t="s">
        <v>48</v>
      </c>
      <c r="J150" t="s">
        <v>46</v>
      </c>
      <c r="K150" t="s">
        <v>116</v>
      </c>
      <c r="L150" t="s">
        <v>389</v>
      </c>
      <c r="M150" t="s">
        <v>118</v>
      </c>
      <c r="N150" t="s">
        <v>117</v>
      </c>
      <c r="O150" t="s">
        <v>215</v>
      </c>
      <c r="P150">
        <v>20260814</v>
      </c>
      <c r="Q150">
        <v>100</v>
      </c>
      <c r="R150">
        <v>100</v>
      </c>
      <c r="S150" t="s">
        <v>217</v>
      </c>
      <c r="T150" t="s">
        <v>49</v>
      </c>
      <c r="U150" t="s">
        <v>47</v>
      </c>
      <c r="V150" t="s">
        <v>47</v>
      </c>
      <c r="W150" t="s">
        <v>47</v>
      </c>
      <c r="X150" t="s">
        <v>35</v>
      </c>
      <c r="Y150" t="s">
        <v>47</v>
      </c>
      <c r="Z150" t="s">
        <v>35</v>
      </c>
      <c r="AA150" t="s">
        <v>50</v>
      </c>
      <c r="AB150" t="s">
        <v>35</v>
      </c>
      <c r="AC150" t="s">
        <v>389</v>
      </c>
      <c r="AD150" t="s">
        <v>390</v>
      </c>
    </row>
    <row r="151" spans="1:30">
      <c r="A151">
        <v>55257759</v>
      </c>
      <c r="B151" t="s">
        <v>391</v>
      </c>
      <c r="C151" t="s">
        <v>212</v>
      </c>
      <c r="D151" t="s">
        <v>47</v>
      </c>
      <c r="E151" t="s">
        <v>35</v>
      </c>
      <c r="F151">
        <v>5016</v>
      </c>
      <c r="G151" t="s">
        <v>139</v>
      </c>
      <c r="H151" t="s">
        <v>45</v>
      </c>
      <c r="I151" t="s">
        <v>48</v>
      </c>
      <c r="J151" t="s">
        <v>46</v>
      </c>
      <c r="K151" t="s">
        <v>116</v>
      </c>
      <c r="L151" t="s">
        <v>392</v>
      </c>
      <c r="M151" t="s">
        <v>124</v>
      </c>
      <c r="N151" t="s">
        <v>123</v>
      </c>
      <c r="O151" t="s">
        <v>215</v>
      </c>
      <c r="P151">
        <v>20260814</v>
      </c>
      <c r="Q151">
        <v>100</v>
      </c>
      <c r="R151">
        <v>100</v>
      </c>
      <c r="S151" t="s">
        <v>217</v>
      </c>
      <c r="T151" t="s">
        <v>49</v>
      </c>
      <c r="U151" t="s">
        <v>47</v>
      </c>
      <c r="V151" t="s">
        <v>47</v>
      </c>
      <c r="W151" t="s">
        <v>47</v>
      </c>
      <c r="X151" t="s">
        <v>125</v>
      </c>
      <c r="Y151" t="s">
        <v>47</v>
      </c>
      <c r="Z151" t="s">
        <v>35</v>
      </c>
      <c r="AA151" t="s">
        <v>50</v>
      </c>
      <c r="AB151" t="s">
        <v>35</v>
      </c>
      <c r="AC151" t="s">
        <v>392</v>
      </c>
      <c r="AD151" t="s">
        <v>393</v>
      </c>
    </row>
    <row r="152" spans="1:30">
      <c r="A152">
        <v>55258062</v>
      </c>
      <c r="B152" t="s">
        <v>394</v>
      </c>
      <c r="C152" t="s">
        <v>212</v>
      </c>
      <c r="D152" t="s">
        <v>47</v>
      </c>
      <c r="E152" t="s">
        <v>35</v>
      </c>
      <c r="F152">
        <v>5803</v>
      </c>
      <c r="G152" t="s">
        <v>176</v>
      </c>
      <c r="H152" t="s">
        <v>45</v>
      </c>
      <c r="I152" t="s">
        <v>48</v>
      </c>
      <c r="J152" t="s">
        <v>46</v>
      </c>
      <c r="K152" t="s">
        <v>116</v>
      </c>
      <c r="L152" t="s">
        <v>395</v>
      </c>
      <c r="M152" t="s">
        <v>124</v>
      </c>
      <c r="N152" t="s">
        <v>123</v>
      </c>
      <c r="O152" t="s">
        <v>215</v>
      </c>
      <c r="P152">
        <v>20260814</v>
      </c>
      <c r="Q152">
        <v>100</v>
      </c>
      <c r="R152">
        <v>100</v>
      </c>
      <c r="S152" t="s">
        <v>217</v>
      </c>
      <c r="T152" t="s">
        <v>49</v>
      </c>
      <c r="U152" t="s">
        <v>47</v>
      </c>
      <c r="V152" t="s">
        <v>47</v>
      </c>
      <c r="W152" t="s">
        <v>47</v>
      </c>
      <c r="X152" t="s">
        <v>125</v>
      </c>
      <c r="Y152" t="s">
        <v>47</v>
      </c>
      <c r="Z152" t="s">
        <v>35</v>
      </c>
      <c r="AA152" t="s">
        <v>50</v>
      </c>
      <c r="AB152" t="s">
        <v>35</v>
      </c>
      <c r="AC152" t="s">
        <v>396</v>
      </c>
      <c r="AD152" t="s">
        <v>397</v>
      </c>
    </row>
    <row r="153" spans="1:30">
      <c r="A153">
        <v>55258326</v>
      </c>
      <c r="B153" t="s">
        <v>398</v>
      </c>
      <c r="C153" t="s">
        <v>212</v>
      </c>
      <c r="D153" t="s">
        <v>47</v>
      </c>
      <c r="E153" t="s">
        <v>35</v>
      </c>
      <c r="F153">
        <v>5016</v>
      </c>
      <c r="G153" t="s">
        <v>139</v>
      </c>
      <c r="H153" t="s">
        <v>45</v>
      </c>
      <c r="I153" t="s">
        <v>48</v>
      </c>
      <c r="J153" t="s">
        <v>46</v>
      </c>
      <c r="K153" t="s">
        <v>116</v>
      </c>
      <c r="L153" t="s">
        <v>399</v>
      </c>
      <c r="M153" t="s">
        <v>118</v>
      </c>
      <c r="N153" t="s">
        <v>117</v>
      </c>
      <c r="O153" t="s">
        <v>215</v>
      </c>
      <c r="P153">
        <v>20260814</v>
      </c>
      <c r="Q153">
        <v>100</v>
      </c>
      <c r="R153">
        <v>100</v>
      </c>
      <c r="S153" t="s">
        <v>217</v>
      </c>
      <c r="T153" t="s">
        <v>49</v>
      </c>
      <c r="U153" t="s">
        <v>47</v>
      </c>
      <c r="V153" t="s">
        <v>47</v>
      </c>
      <c r="W153" t="s">
        <v>47</v>
      </c>
      <c r="X153" t="s">
        <v>35</v>
      </c>
      <c r="Y153" t="s">
        <v>47</v>
      </c>
      <c r="Z153" t="s">
        <v>35</v>
      </c>
      <c r="AA153" t="s">
        <v>50</v>
      </c>
      <c r="AB153" t="s">
        <v>35</v>
      </c>
      <c r="AC153" t="s">
        <v>399</v>
      </c>
      <c r="AD153" t="s">
        <v>387</v>
      </c>
    </row>
    <row r="154" spans="1:30">
      <c r="A154">
        <v>55260747</v>
      </c>
      <c r="B154" t="s">
        <v>400</v>
      </c>
      <c r="C154" t="s">
        <v>212</v>
      </c>
      <c r="D154" t="s">
        <v>47</v>
      </c>
      <c r="E154" t="s">
        <v>35</v>
      </c>
      <c r="F154">
        <v>5016</v>
      </c>
      <c r="G154" t="s">
        <v>139</v>
      </c>
      <c r="H154" t="s">
        <v>45</v>
      </c>
      <c r="I154" t="s">
        <v>48</v>
      </c>
      <c r="J154" t="s">
        <v>46</v>
      </c>
      <c r="K154" t="s">
        <v>116</v>
      </c>
      <c r="L154" t="s">
        <v>401</v>
      </c>
      <c r="M154" t="s">
        <v>124</v>
      </c>
      <c r="N154" t="s">
        <v>123</v>
      </c>
      <c r="O154" t="s">
        <v>215</v>
      </c>
      <c r="P154">
        <v>20260814</v>
      </c>
      <c r="Q154">
        <v>100</v>
      </c>
      <c r="R154">
        <v>100</v>
      </c>
      <c r="S154" t="s">
        <v>217</v>
      </c>
      <c r="T154" t="s">
        <v>49</v>
      </c>
      <c r="U154" t="s">
        <v>47</v>
      </c>
      <c r="V154" t="s">
        <v>47</v>
      </c>
      <c r="W154" t="s">
        <v>47</v>
      </c>
      <c r="X154" t="s">
        <v>125</v>
      </c>
      <c r="Y154" t="s">
        <v>47</v>
      </c>
      <c r="Z154" t="s">
        <v>35</v>
      </c>
      <c r="AA154" t="s">
        <v>50</v>
      </c>
      <c r="AB154" t="s">
        <v>35</v>
      </c>
      <c r="AC154" t="s">
        <v>401</v>
      </c>
      <c r="AD154" t="s">
        <v>402</v>
      </c>
    </row>
    <row r="155" spans="1:30">
      <c r="A155">
        <v>55262609</v>
      </c>
      <c r="B155" t="s">
        <v>403</v>
      </c>
      <c r="C155" t="s">
        <v>212</v>
      </c>
      <c r="D155" t="s">
        <v>47</v>
      </c>
      <c r="E155" t="s">
        <v>35</v>
      </c>
      <c r="F155">
        <v>7013</v>
      </c>
      <c r="G155" t="s">
        <v>404</v>
      </c>
      <c r="H155" t="s">
        <v>45</v>
      </c>
      <c r="I155" t="s">
        <v>48</v>
      </c>
      <c r="J155" t="s">
        <v>46</v>
      </c>
      <c r="K155" t="s">
        <v>116</v>
      </c>
      <c r="L155" t="s">
        <v>405</v>
      </c>
      <c r="M155" t="s">
        <v>118</v>
      </c>
      <c r="N155" t="s">
        <v>117</v>
      </c>
      <c r="O155" t="s">
        <v>215</v>
      </c>
      <c r="P155">
        <v>20260814</v>
      </c>
      <c r="Q155">
        <v>100</v>
      </c>
      <c r="R155">
        <v>100</v>
      </c>
      <c r="S155" t="s">
        <v>217</v>
      </c>
      <c r="T155" t="s">
        <v>49</v>
      </c>
      <c r="U155" t="s">
        <v>47</v>
      </c>
      <c r="V155" t="s">
        <v>47</v>
      </c>
      <c r="W155" t="s">
        <v>47</v>
      </c>
      <c r="X155" t="s">
        <v>35</v>
      </c>
      <c r="Y155" t="s">
        <v>47</v>
      </c>
      <c r="Z155" t="s">
        <v>35</v>
      </c>
      <c r="AA155" t="s">
        <v>50</v>
      </c>
      <c r="AB155" t="s">
        <v>35</v>
      </c>
      <c r="AC155" t="s">
        <v>406</v>
      </c>
      <c r="AD155" t="s">
        <v>407</v>
      </c>
    </row>
    <row r="156" spans="1:30">
      <c r="A156">
        <v>55263415</v>
      </c>
      <c r="B156" t="s">
        <v>408</v>
      </c>
      <c r="C156" t="s">
        <v>212</v>
      </c>
      <c r="D156" t="s">
        <v>47</v>
      </c>
      <c r="E156" t="s">
        <v>35</v>
      </c>
      <c r="F156">
        <v>5016</v>
      </c>
      <c r="G156" t="s">
        <v>139</v>
      </c>
      <c r="H156" t="s">
        <v>45</v>
      </c>
      <c r="I156" t="s">
        <v>48</v>
      </c>
      <c r="J156" t="s">
        <v>46</v>
      </c>
      <c r="K156" t="s">
        <v>116</v>
      </c>
      <c r="L156" t="s">
        <v>409</v>
      </c>
      <c r="M156" t="s">
        <v>118</v>
      </c>
      <c r="N156" t="s">
        <v>117</v>
      </c>
      <c r="O156" t="s">
        <v>215</v>
      </c>
      <c r="P156">
        <v>20260814</v>
      </c>
      <c r="Q156">
        <v>100</v>
      </c>
      <c r="R156">
        <v>100</v>
      </c>
      <c r="S156" t="s">
        <v>217</v>
      </c>
      <c r="T156" t="s">
        <v>49</v>
      </c>
      <c r="U156" t="s">
        <v>47</v>
      </c>
      <c r="V156" t="s">
        <v>47</v>
      </c>
      <c r="W156" t="s">
        <v>47</v>
      </c>
      <c r="X156" t="s">
        <v>35</v>
      </c>
      <c r="Y156" t="s">
        <v>47</v>
      </c>
      <c r="Z156" t="s">
        <v>35</v>
      </c>
      <c r="AA156" t="s">
        <v>50</v>
      </c>
      <c r="AB156" t="s">
        <v>35</v>
      </c>
      <c r="AC156" t="s">
        <v>409</v>
      </c>
      <c r="AD156" t="s">
        <v>410</v>
      </c>
    </row>
    <row r="157" spans="1:30">
      <c r="A157">
        <v>55265765</v>
      </c>
      <c r="B157" t="s">
        <v>411</v>
      </c>
      <c r="C157" t="s">
        <v>212</v>
      </c>
      <c r="D157" t="s">
        <v>47</v>
      </c>
      <c r="E157" t="s">
        <v>35</v>
      </c>
      <c r="F157">
        <v>3436</v>
      </c>
      <c r="G157" t="s">
        <v>152</v>
      </c>
      <c r="H157" t="s">
        <v>45</v>
      </c>
      <c r="I157" t="s">
        <v>48</v>
      </c>
      <c r="J157" t="s">
        <v>46</v>
      </c>
      <c r="K157" t="s">
        <v>116</v>
      </c>
      <c r="L157" t="s">
        <v>412</v>
      </c>
      <c r="M157" t="s">
        <v>124</v>
      </c>
      <c r="N157" t="s">
        <v>123</v>
      </c>
      <c r="O157" t="s">
        <v>215</v>
      </c>
      <c r="P157">
        <v>20260814</v>
      </c>
      <c r="Q157">
        <v>100</v>
      </c>
      <c r="R157">
        <v>100</v>
      </c>
      <c r="S157" t="s">
        <v>217</v>
      </c>
      <c r="T157" t="s">
        <v>49</v>
      </c>
      <c r="U157" t="s">
        <v>47</v>
      </c>
      <c r="V157" t="s">
        <v>47</v>
      </c>
      <c r="W157" t="s">
        <v>47</v>
      </c>
      <c r="X157" t="s">
        <v>125</v>
      </c>
      <c r="Y157" t="s">
        <v>47</v>
      </c>
      <c r="Z157" t="s">
        <v>35</v>
      </c>
      <c r="AA157" t="s">
        <v>50</v>
      </c>
      <c r="AB157" t="s">
        <v>35</v>
      </c>
      <c r="AC157" t="s">
        <v>412</v>
      </c>
      <c r="AD157" t="s">
        <v>413</v>
      </c>
    </row>
    <row r="158" spans="1:30">
      <c r="A158">
        <v>55266150</v>
      </c>
      <c r="B158" t="s">
        <v>414</v>
      </c>
      <c r="C158" t="s">
        <v>212</v>
      </c>
      <c r="D158" t="s">
        <v>47</v>
      </c>
      <c r="E158" t="s">
        <v>35</v>
      </c>
      <c r="F158">
        <v>5803</v>
      </c>
      <c r="G158" t="s">
        <v>176</v>
      </c>
      <c r="H158" t="s">
        <v>45</v>
      </c>
      <c r="I158" t="s">
        <v>48</v>
      </c>
      <c r="J158" t="s">
        <v>46</v>
      </c>
      <c r="K158" t="s">
        <v>116</v>
      </c>
      <c r="L158" t="s">
        <v>415</v>
      </c>
      <c r="M158" t="s">
        <v>118</v>
      </c>
      <c r="N158" t="s">
        <v>117</v>
      </c>
      <c r="O158" t="s">
        <v>215</v>
      </c>
      <c r="P158">
        <v>20260814</v>
      </c>
      <c r="Q158">
        <v>100</v>
      </c>
      <c r="R158">
        <v>100</v>
      </c>
      <c r="S158" t="s">
        <v>217</v>
      </c>
      <c r="T158" t="s">
        <v>49</v>
      </c>
      <c r="U158" t="s">
        <v>47</v>
      </c>
      <c r="V158" t="s">
        <v>47</v>
      </c>
      <c r="W158" t="s">
        <v>47</v>
      </c>
      <c r="X158" t="s">
        <v>35</v>
      </c>
      <c r="Y158" t="s">
        <v>47</v>
      </c>
      <c r="Z158" t="s">
        <v>35</v>
      </c>
      <c r="AA158" t="s">
        <v>50</v>
      </c>
      <c r="AB158" t="s">
        <v>35</v>
      </c>
      <c r="AC158" t="s">
        <v>415</v>
      </c>
      <c r="AD158" t="s">
        <v>416</v>
      </c>
    </row>
    <row r="159" spans="1:30">
      <c r="A159">
        <v>55267758</v>
      </c>
      <c r="B159" t="s">
        <v>417</v>
      </c>
      <c r="C159" t="s">
        <v>212</v>
      </c>
      <c r="D159" t="s">
        <v>47</v>
      </c>
      <c r="E159" t="s">
        <v>35</v>
      </c>
      <c r="F159">
        <v>5803</v>
      </c>
      <c r="G159" t="s">
        <v>176</v>
      </c>
      <c r="H159" t="s">
        <v>45</v>
      </c>
      <c r="I159" t="s">
        <v>48</v>
      </c>
      <c r="J159" t="s">
        <v>46</v>
      </c>
      <c r="K159" t="s">
        <v>116</v>
      </c>
      <c r="L159" t="s">
        <v>418</v>
      </c>
      <c r="M159" t="s">
        <v>124</v>
      </c>
      <c r="N159" t="s">
        <v>123</v>
      </c>
      <c r="O159" t="s">
        <v>215</v>
      </c>
      <c r="P159">
        <v>20260814</v>
      </c>
      <c r="Q159">
        <v>100</v>
      </c>
      <c r="R159">
        <v>100</v>
      </c>
      <c r="S159" t="s">
        <v>217</v>
      </c>
      <c r="T159" t="s">
        <v>49</v>
      </c>
      <c r="U159" t="s">
        <v>47</v>
      </c>
      <c r="V159" t="s">
        <v>47</v>
      </c>
      <c r="W159" t="s">
        <v>47</v>
      </c>
      <c r="X159" t="s">
        <v>125</v>
      </c>
      <c r="Y159" t="s">
        <v>47</v>
      </c>
      <c r="Z159" t="s">
        <v>35</v>
      </c>
      <c r="AA159" t="s">
        <v>50</v>
      </c>
      <c r="AB159" t="s">
        <v>35</v>
      </c>
      <c r="AC159" t="s">
        <v>418</v>
      </c>
      <c r="AD159" t="s">
        <v>419</v>
      </c>
    </row>
    <row r="160" spans="1:30">
      <c r="A160">
        <v>55267894</v>
      </c>
      <c r="B160" t="s">
        <v>420</v>
      </c>
      <c r="C160" t="s">
        <v>212</v>
      </c>
      <c r="D160" t="s">
        <v>47</v>
      </c>
      <c r="E160" t="s">
        <v>35</v>
      </c>
      <c r="F160">
        <v>5016</v>
      </c>
      <c r="G160" t="s">
        <v>139</v>
      </c>
      <c r="H160" t="s">
        <v>45</v>
      </c>
      <c r="I160" t="s">
        <v>48</v>
      </c>
      <c r="J160" t="s">
        <v>46</v>
      </c>
      <c r="K160" t="s">
        <v>116</v>
      </c>
      <c r="L160" t="s">
        <v>421</v>
      </c>
      <c r="M160" t="s">
        <v>124</v>
      </c>
      <c r="N160" t="s">
        <v>123</v>
      </c>
      <c r="O160" t="s">
        <v>215</v>
      </c>
      <c r="P160">
        <v>20260814</v>
      </c>
      <c r="Q160">
        <v>100</v>
      </c>
      <c r="R160">
        <v>100</v>
      </c>
      <c r="S160" t="s">
        <v>217</v>
      </c>
      <c r="T160" t="s">
        <v>49</v>
      </c>
      <c r="U160" t="s">
        <v>47</v>
      </c>
      <c r="V160" t="s">
        <v>47</v>
      </c>
      <c r="W160" t="s">
        <v>47</v>
      </c>
      <c r="X160" t="s">
        <v>125</v>
      </c>
      <c r="Y160" t="s">
        <v>47</v>
      </c>
      <c r="Z160" t="s">
        <v>35</v>
      </c>
      <c r="AA160" t="s">
        <v>50</v>
      </c>
      <c r="AB160" t="s">
        <v>35</v>
      </c>
      <c r="AC160" t="s">
        <v>421</v>
      </c>
      <c r="AD160" t="s">
        <v>410</v>
      </c>
    </row>
    <row r="161" spans="1:30">
      <c r="A161">
        <v>55269453</v>
      </c>
      <c r="B161" t="s">
        <v>422</v>
      </c>
      <c r="C161" t="s">
        <v>212</v>
      </c>
      <c r="D161" t="s">
        <v>47</v>
      </c>
      <c r="E161" t="s">
        <v>35</v>
      </c>
      <c r="F161">
        <v>7013</v>
      </c>
      <c r="G161" t="s">
        <v>404</v>
      </c>
      <c r="H161" t="s">
        <v>45</v>
      </c>
      <c r="I161" t="s">
        <v>48</v>
      </c>
      <c r="J161" t="s">
        <v>46</v>
      </c>
      <c r="K161" t="s">
        <v>116</v>
      </c>
      <c r="L161" t="s">
        <v>423</v>
      </c>
      <c r="M161" t="s">
        <v>124</v>
      </c>
      <c r="N161" t="s">
        <v>123</v>
      </c>
      <c r="O161" t="s">
        <v>215</v>
      </c>
      <c r="P161">
        <v>20260814</v>
      </c>
      <c r="Q161">
        <v>100</v>
      </c>
      <c r="R161">
        <v>100</v>
      </c>
      <c r="S161" t="s">
        <v>217</v>
      </c>
      <c r="T161" t="s">
        <v>49</v>
      </c>
      <c r="U161" t="s">
        <v>47</v>
      </c>
      <c r="V161" t="s">
        <v>47</v>
      </c>
      <c r="W161" t="s">
        <v>47</v>
      </c>
      <c r="X161" t="s">
        <v>125</v>
      </c>
      <c r="Y161" t="s">
        <v>47</v>
      </c>
      <c r="Z161" t="s">
        <v>35</v>
      </c>
      <c r="AA161" t="s">
        <v>50</v>
      </c>
      <c r="AB161" t="s">
        <v>35</v>
      </c>
      <c r="AC161" t="s">
        <v>423</v>
      </c>
      <c r="AD161" t="s">
        <v>424</v>
      </c>
    </row>
    <row r="162" spans="1:30">
      <c r="A162">
        <v>55331106</v>
      </c>
      <c r="B162" t="s">
        <v>425</v>
      </c>
      <c r="C162" t="s">
        <v>212</v>
      </c>
      <c r="D162" t="s">
        <v>47</v>
      </c>
      <c r="E162" t="s">
        <v>35</v>
      </c>
      <c r="F162">
        <v>5016</v>
      </c>
      <c r="G162" t="s">
        <v>139</v>
      </c>
      <c r="H162" t="s">
        <v>45</v>
      </c>
      <c r="I162" t="s">
        <v>48</v>
      </c>
      <c r="J162" t="s">
        <v>46</v>
      </c>
      <c r="K162" t="s">
        <v>116</v>
      </c>
      <c r="L162" t="s">
        <v>426</v>
      </c>
      <c r="M162" t="s">
        <v>118</v>
      </c>
      <c r="N162" t="s">
        <v>117</v>
      </c>
      <c r="O162" t="s">
        <v>215</v>
      </c>
      <c r="P162">
        <v>20260814</v>
      </c>
      <c r="Q162">
        <v>100</v>
      </c>
      <c r="R162">
        <v>100</v>
      </c>
      <c r="S162" t="s">
        <v>217</v>
      </c>
      <c r="T162" t="s">
        <v>49</v>
      </c>
      <c r="U162" t="s">
        <v>47</v>
      </c>
      <c r="V162" t="s">
        <v>47</v>
      </c>
      <c r="W162" t="s">
        <v>47</v>
      </c>
      <c r="X162" t="s">
        <v>35</v>
      </c>
      <c r="Y162" t="s">
        <v>47</v>
      </c>
      <c r="Z162" t="s">
        <v>35</v>
      </c>
      <c r="AA162" t="s">
        <v>50</v>
      </c>
      <c r="AB162" t="s">
        <v>35</v>
      </c>
      <c r="AC162" t="s">
        <v>427</v>
      </c>
      <c r="AD162" t="s">
        <v>428</v>
      </c>
    </row>
    <row r="163" spans="1:30">
      <c r="A163">
        <v>55332599</v>
      </c>
      <c r="B163" t="s">
        <v>429</v>
      </c>
      <c r="C163" t="s">
        <v>212</v>
      </c>
      <c r="D163" t="s">
        <v>47</v>
      </c>
      <c r="E163" t="s">
        <v>35</v>
      </c>
      <c r="F163">
        <v>5016</v>
      </c>
      <c r="G163" t="s">
        <v>139</v>
      </c>
      <c r="H163" t="s">
        <v>45</v>
      </c>
      <c r="I163" t="s">
        <v>48</v>
      </c>
      <c r="J163" t="s">
        <v>46</v>
      </c>
      <c r="K163" t="s">
        <v>116</v>
      </c>
      <c r="L163" t="s">
        <v>430</v>
      </c>
      <c r="M163" t="s">
        <v>124</v>
      </c>
      <c r="N163" t="s">
        <v>123</v>
      </c>
      <c r="O163" t="s">
        <v>215</v>
      </c>
      <c r="P163">
        <v>20260814</v>
      </c>
      <c r="Q163">
        <v>100</v>
      </c>
      <c r="R163">
        <v>100</v>
      </c>
      <c r="S163" t="s">
        <v>217</v>
      </c>
      <c r="T163" t="s">
        <v>49</v>
      </c>
      <c r="U163" t="s">
        <v>47</v>
      </c>
      <c r="V163" t="s">
        <v>47</v>
      </c>
      <c r="W163" t="s">
        <v>47</v>
      </c>
      <c r="X163" t="s">
        <v>125</v>
      </c>
      <c r="Y163" t="s">
        <v>47</v>
      </c>
      <c r="Z163" t="s">
        <v>35</v>
      </c>
      <c r="AA163" t="s">
        <v>50</v>
      </c>
      <c r="AB163" t="s">
        <v>35</v>
      </c>
      <c r="AC163" t="s">
        <v>430</v>
      </c>
      <c r="AD163" t="s">
        <v>431</v>
      </c>
    </row>
    <row r="164" spans="1:30">
      <c r="A164">
        <v>55333252</v>
      </c>
      <c r="B164" t="s">
        <v>432</v>
      </c>
      <c r="C164" t="s">
        <v>212</v>
      </c>
      <c r="D164" t="s">
        <v>47</v>
      </c>
      <c r="E164" t="s">
        <v>35</v>
      </c>
      <c r="F164">
        <v>5803</v>
      </c>
      <c r="G164" t="s">
        <v>176</v>
      </c>
      <c r="H164" t="s">
        <v>45</v>
      </c>
      <c r="I164" t="s">
        <v>48</v>
      </c>
      <c r="J164" t="s">
        <v>46</v>
      </c>
      <c r="K164" t="s">
        <v>116</v>
      </c>
      <c r="L164" t="s">
        <v>433</v>
      </c>
      <c r="M164" t="s">
        <v>118</v>
      </c>
      <c r="N164" t="s">
        <v>117</v>
      </c>
      <c r="O164" t="s">
        <v>215</v>
      </c>
      <c r="P164">
        <v>20260814</v>
      </c>
      <c r="Q164">
        <v>200</v>
      </c>
      <c r="R164">
        <v>200</v>
      </c>
      <c r="S164" t="s">
        <v>217</v>
      </c>
      <c r="T164" t="s">
        <v>49</v>
      </c>
      <c r="U164" t="s">
        <v>47</v>
      </c>
      <c r="V164" t="s">
        <v>47</v>
      </c>
      <c r="W164" t="s">
        <v>47</v>
      </c>
      <c r="X164" t="s">
        <v>35</v>
      </c>
      <c r="Y164" t="s">
        <v>47</v>
      </c>
      <c r="Z164" t="s">
        <v>35</v>
      </c>
      <c r="AA164" t="s">
        <v>50</v>
      </c>
      <c r="AB164" t="s">
        <v>35</v>
      </c>
      <c r="AC164" t="s">
        <v>433</v>
      </c>
      <c r="AD164" t="s">
        <v>434</v>
      </c>
    </row>
    <row r="165" spans="1:30">
      <c r="A165">
        <v>55335560</v>
      </c>
      <c r="B165" t="s">
        <v>435</v>
      </c>
      <c r="C165" t="s">
        <v>212</v>
      </c>
      <c r="D165" t="s">
        <v>47</v>
      </c>
      <c r="E165" t="s">
        <v>35</v>
      </c>
      <c r="F165">
        <v>5803</v>
      </c>
      <c r="G165" t="s">
        <v>176</v>
      </c>
      <c r="H165" t="s">
        <v>45</v>
      </c>
      <c r="I165" t="s">
        <v>48</v>
      </c>
      <c r="J165" t="s">
        <v>46</v>
      </c>
      <c r="K165" t="s">
        <v>116</v>
      </c>
      <c r="L165" t="s">
        <v>436</v>
      </c>
      <c r="M165" t="s">
        <v>124</v>
      </c>
      <c r="N165" t="s">
        <v>123</v>
      </c>
      <c r="O165" t="s">
        <v>215</v>
      </c>
      <c r="P165">
        <v>20260814</v>
      </c>
      <c r="Q165">
        <v>200</v>
      </c>
      <c r="R165">
        <v>200</v>
      </c>
      <c r="S165" t="s">
        <v>217</v>
      </c>
      <c r="T165" t="s">
        <v>49</v>
      </c>
      <c r="U165" t="s">
        <v>47</v>
      </c>
      <c r="V165" t="s">
        <v>47</v>
      </c>
      <c r="W165" t="s">
        <v>47</v>
      </c>
      <c r="X165" t="s">
        <v>125</v>
      </c>
      <c r="Y165" t="s">
        <v>47</v>
      </c>
      <c r="Z165" t="s">
        <v>35</v>
      </c>
      <c r="AA165" t="s">
        <v>50</v>
      </c>
      <c r="AB165" t="s">
        <v>35</v>
      </c>
      <c r="AC165" t="s">
        <v>436</v>
      </c>
      <c r="AD165" t="s">
        <v>437</v>
      </c>
    </row>
    <row r="166" spans="1:30">
      <c r="A166">
        <v>55335740</v>
      </c>
      <c r="B166" t="s">
        <v>438</v>
      </c>
      <c r="C166" t="s">
        <v>212</v>
      </c>
      <c r="D166" t="s">
        <v>47</v>
      </c>
      <c r="E166" t="s">
        <v>35</v>
      </c>
      <c r="F166">
        <v>5803</v>
      </c>
      <c r="G166" t="s">
        <v>176</v>
      </c>
      <c r="H166" t="s">
        <v>45</v>
      </c>
      <c r="I166" t="s">
        <v>48</v>
      </c>
      <c r="J166" t="s">
        <v>46</v>
      </c>
      <c r="K166" t="s">
        <v>116</v>
      </c>
      <c r="L166" t="s">
        <v>439</v>
      </c>
      <c r="M166" t="s">
        <v>118</v>
      </c>
      <c r="N166" t="s">
        <v>117</v>
      </c>
      <c r="O166" t="s">
        <v>215</v>
      </c>
      <c r="P166">
        <v>20260814</v>
      </c>
      <c r="Q166">
        <v>200</v>
      </c>
      <c r="R166">
        <v>200</v>
      </c>
      <c r="S166" t="s">
        <v>217</v>
      </c>
      <c r="T166" t="s">
        <v>49</v>
      </c>
      <c r="U166" t="s">
        <v>47</v>
      </c>
      <c r="V166" t="s">
        <v>47</v>
      </c>
      <c r="W166" t="s">
        <v>47</v>
      </c>
      <c r="X166" t="s">
        <v>35</v>
      </c>
      <c r="Y166" t="s">
        <v>47</v>
      </c>
      <c r="Z166" t="s">
        <v>35</v>
      </c>
      <c r="AA166" t="s">
        <v>50</v>
      </c>
      <c r="AB166" t="s">
        <v>35</v>
      </c>
      <c r="AC166" t="s">
        <v>439</v>
      </c>
      <c r="AD166" t="s">
        <v>440</v>
      </c>
    </row>
    <row r="167" spans="1:30">
      <c r="A167">
        <v>55337617</v>
      </c>
      <c r="B167" t="s">
        <v>441</v>
      </c>
      <c r="C167" t="s">
        <v>212</v>
      </c>
      <c r="D167" t="s">
        <v>47</v>
      </c>
      <c r="E167" t="s">
        <v>35</v>
      </c>
      <c r="F167">
        <v>5803</v>
      </c>
      <c r="G167" t="s">
        <v>176</v>
      </c>
      <c r="H167" t="s">
        <v>45</v>
      </c>
      <c r="I167" t="s">
        <v>48</v>
      </c>
      <c r="J167" t="s">
        <v>46</v>
      </c>
      <c r="K167" t="s">
        <v>116</v>
      </c>
      <c r="L167" t="s">
        <v>442</v>
      </c>
      <c r="M167" t="s">
        <v>124</v>
      </c>
      <c r="N167" t="s">
        <v>123</v>
      </c>
      <c r="O167" t="s">
        <v>215</v>
      </c>
      <c r="P167">
        <v>20260814</v>
      </c>
      <c r="Q167">
        <v>100</v>
      </c>
      <c r="R167">
        <v>100</v>
      </c>
      <c r="S167" t="s">
        <v>217</v>
      </c>
      <c r="T167" t="s">
        <v>49</v>
      </c>
      <c r="U167" t="s">
        <v>47</v>
      </c>
      <c r="V167" t="s">
        <v>47</v>
      </c>
      <c r="W167" t="s">
        <v>47</v>
      </c>
      <c r="X167" t="s">
        <v>125</v>
      </c>
      <c r="Y167" t="s">
        <v>47</v>
      </c>
      <c r="Z167" t="s">
        <v>35</v>
      </c>
      <c r="AA167" t="s">
        <v>50</v>
      </c>
      <c r="AB167" t="s">
        <v>35</v>
      </c>
      <c r="AC167" t="s">
        <v>442</v>
      </c>
      <c r="AD167" t="s">
        <v>443</v>
      </c>
    </row>
    <row r="168" spans="1:30">
      <c r="A168">
        <v>55337782</v>
      </c>
      <c r="B168" t="s">
        <v>444</v>
      </c>
      <c r="C168" t="s">
        <v>212</v>
      </c>
      <c r="D168" t="s">
        <v>47</v>
      </c>
      <c r="E168" t="s">
        <v>35</v>
      </c>
      <c r="F168">
        <v>5803</v>
      </c>
      <c r="G168" t="s">
        <v>176</v>
      </c>
      <c r="H168" t="s">
        <v>45</v>
      </c>
      <c r="I168" t="s">
        <v>48</v>
      </c>
      <c r="J168" t="s">
        <v>46</v>
      </c>
      <c r="K168" t="s">
        <v>116</v>
      </c>
      <c r="L168" t="s">
        <v>445</v>
      </c>
      <c r="M168" t="s">
        <v>124</v>
      </c>
      <c r="N168" t="s">
        <v>123</v>
      </c>
      <c r="O168" t="s">
        <v>215</v>
      </c>
      <c r="P168">
        <v>20260814</v>
      </c>
      <c r="Q168">
        <v>100</v>
      </c>
      <c r="R168">
        <v>100</v>
      </c>
      <c r="S168" t="s">
        <v>217</v>
      </c>
      <c r="T168" t="s">
        <v>49</v>
      </c>
      <c r="U168" t="s">
        <v>47</v>
      </c>
      <c r="V168" t="s">
        <v>47</v>
      </c>
      <c r="W168" t="s">
        <v>47</v>
      </c>
      <c r="X168" t="s">
        <v>125</v>
      </c>
      <c r="Y168" t="s">
        <v>47</v>
      </c>
      <c r="Z168" t="s">
        <v>35</v>
      </c>
      <c r="AA168" t="s">
        <v>50</v>
      </c>
      <c r="AB168" t="s">
        <v>35</v>
      </c>
      <c r="AC168" t="s">
        <v>445</v>
      </c>
      <c r="AD168" t="s">
        <v>446</v>
      </c>
    </row>
    <row r="169" spans="1:30">
      <c r="A169">
        <v>55340216</v>
      </c>
      <c r="B169" t="s">
        <v>447</v>
      </c>
      <c r="C169" t="s">
        <v>212</v>
      </c>
      <c r="D169" t="s">
        <v>47</v>
      </c>
      <c r="E169" t="s">
        <v>35</v>
      </c>
      <c r="F169">
        <v>8136</v>
      </c>
      <c r="G169" t="s">
        <v>172</v>
      </c>
      <c r="H169" t="s">
        <v>45</v>
      </c>
      <c r="I169" t="s">
        <v>48</v>
      </c>
      <c r="J169" t="s">
        <v>35</v>
      </c>
      <c r="K169" t="s">
        <v>35</v>
      </c>
      <c r="L169" t="s">
        <v>448</v>
      </c>
      <c r="M169" t="s">
        <v>57</v>
      </c>
      <c r="N169" t="s">
        <v>58</v>
      </c>
      <c r="O169" t="s">
        <v>215</v>
      </c>
      <c r="P169">
        <v>20260814</v>
      </c>
      <c r="Q169">
        <v>100</v>
      </c>
      <c r="R169">
        <v>100</v>
      </c>
      <c r="S169" t="s">
        <v>217</v>
      </c>
      <c r="T169" t="s">
        <v>49</v>
      </c>
      <c r="U169" t="s">
        <v>47</v>
      </c>
      <c r="V169" t="s">
        <v>47</v>
      </c>
      <c r="W169" t="s">
        <v>47</v>
      </c>
      <c r="X169" t="s">
        <v>35</v>
      </c>
      <c r="Y169" t="s">
        <v>47</v>
      </c>
      <c r="Z169" t="s">
        <v>35</v>
      </c>
      <c r="AA169" t="s">
        <v>50</v>
      </c>
      <c r="AB169" t="s">
        <v>35</v>
      </c>
      <c r="AC169" t="s">
        <v>448</v>
      </c>
      <c r="AD169" t="s">
        <v>449</v>
      </c>
    </row>
    <row r="170" spans="1:30">
      <c r="A170">
        <v>55342054</v>
      </c>
      <c r="B170" t="s">
        <v>450</v>
      </c>
      <c r="C170" t="s">
        <v>212</v>
      </c>
      <c r="D170" t="s">
        <v>47</v>
      </c>
      <c r="E170" t="s">
        <v>35</v>
      </c>
      <c r="F170">
        <v>5016</v>
      </c>
      <c r="G170" t="s">
        <v>139</v>
      </c>
      <c r="H170" t="s">
        <v>45</v>
      </c>
      <c r="I170" t="s">
        <v>48</v>
      </c>
      <c r="J170" t="s">
        <v>46</v>
      </c>
      <c r="K170" t="s">
        <v>116</v>
      </c>
      <c r="L170" t="s">
        <v>451</v>
      </c>
      <c r="M170" t="s">
        <v>118</v>
      </c>
      <c r="N170" t="s">
        <v>117</v>
      </c>
      <c r="O170" t="s">
        <v>215</v>
      </c>
      <c r="P170">
        <v>20260814</v>
      </c>
      <c r="Q170">
        <v>100</v>
      </c>
      <c r="R170">
        <v>100</v>
      </c>
      <c r="S170" t="s">
        <v>217</v>
      </c>
      <c r="T170" t="s">
        <v>49</v>
      </c>
      <c r="U170" t="s">
        <v>47</v>
      </c>
      <c r="V170" t="s">
        <v>47</v>
      </c>
      <c r="W170" t="s">
        <v>47</v>
      </c>
      <c r="X170" t="s">
        <v>35</v>
      </c>
      <c r="Y170" t="s">
        <v>47</v>
      </c>
      <c r="Z170" t="s">
        <v>35</v>
      </c>
      <c r="AA170" t="s">
        <v>50</v>
      </c>
      <c r="AB170" t="s">
        <v>35</v>
      </c>
      <c r="AC170" t="s">
        <v>452</v>
      </c>
      <c r="AD170" t="s">
        <v>453</v>
      </c>
    </row>
    <row r="171" spans="1:30">
      <c r="A171">
        <v>55342702</v>
      </c>
      <c r="B171" t="s">
        <v>454</v>
      </c>
      <c r="C171" t="s">
        <v>212</v>
      </c>
      <c r="D171" t="s">
        <v>47</v>
      </c>
      <c r="E171" t="s">
        <v>35</v>
      </c>
      <c r="F171">
        <v>5016</v>
      </c>
      <c r="G171" t="s">
        <v>139</v>
      </c>
      <c r="H171" t="s">
        <v>45</v>
      </c>
      <c r="I171" t="s">
        <v>48</v>
      </c>
      <c r="J171" t="s">
        <v>46</v>
      </c>
      <c r="K171" t="s">
        <v>116</v>
      </c>
      <c r="L171" t="s">
        <v>455</v>
      </c>
      <c r="M171" t="s">
        <v>124</v>
      </c>
      <c r="N171" t="s">
        <v>123</v>
      </c>
      <c r="O171" t="s">
        <v>215</v>
      </c>
      <c r="P171">
        <v>20260814</v>
      </c>
      <c r="Q171">
        <v>100</v>
      </c>
      <c r="R171">
        <v>100</v>
      </c>
      <c r="S171" t="s">
        <v>217</v>
      </c>
      <c r="T171" t="s">
        <v>49</v>
      </c>
      <c r="U171" t="s">
        <v>47</v>
      </c>
      <c r="V171" t="s">
        <v>47</v>
      </c>
      <c r="W171" t="s">
        <v>47</v>
      </c>
      <c r="X171" t="s">
        <v>125</v>
      </c>
      <c r="Y171" t="s">
        <v>47</v>
      </c>
      <c r="Z171" t="s">
        <v>35</v>
      </c>
      <c r="AA171" t="s">
        <v>50</v>
      </c>
      <c r="AB171" t="s">
        <v>35</v>
      </c>
      <c r="AC171" t="s">
        <v>455</v>
      </c>
      <c r="AD171" t="s">
        <v>456</v>
      </c>
    </row>
    <row r="172" spans="1:30">
      <c r="A172">
        <v>51051621</v>
      </c>
      <c r="B172" t="s">
        <v>457</v>
      </c>
      <c r="C172" t="s">
        <v>290</v>
      </c>
      <c r="D172" t="s">
        <v>47</v>
      </c>
      <c r="E172" t="s">
        <v>35</v>
      </c>
      <c r="F172">
        <v>9432</v>
      </c>
      <c r="G172" t="s">
        <v>54</v>
      </c>
      <c r="H172" t="s">
        <v>45</v>
      </c>
      <c r="I172" t="s">
        <v>48</v>
      </c>
      <c r="J172" t="s">
        <v>35</v>
      </c>
      <c r="K172" t="s">
        <v>35</v>
      </c>
      <c r="L172" t="s">
        <v>458</v>
      </c>
      <c r="M172" t="s">
        <v>57</v>
      </c>
      <c r="N172" t="s">
        <v>58</v>
      </c>
      <c r="O172" t="s">
        <v>215</v>
      </c>
      <c r="P172">
        <v>20260817</v>
      </c>
      <c r="Q172">
        <v>100</v>
      </c>
      <c r="R172">
        <v>0</v>
      </c>
      <c r="S172" t="s">
        <v>217</v>
      </c>
      <c r="T172" t="s">
        <v>49</v>
      </c>
      <c r="U172" t="s">
        <v>47</v>
      </c>
      <c r="V172" t="s">
        <v>47</v>
      </c>
      <c r="W172" t="s">
        <v>47</v>
      </c>
      <c r="X172" t="s">
        <v>35</v>
      </c>
      <c r="Y172" t="s">
        <v>47</v>
      </c>
      <c r="Z172" t="s">
        <v>35</v>
      </c>
      <c r="AA172" t="s">
        <v>50</v>
      </c>
      <c r="AB172" t="s">
        <v>35</v>
      </c>
      <c r="AC172" t="s">
        <v>458</v>
      </c>
      <c r="AD172" t="s">
        <v>74</v>
      </c>
    </row>
    <row r="174" spans="1:30">
      <c r="A174" s="1">
        <v>51051926</v>
      </c>
      <c r="B174" s="1" t="s">
        <v>461</v>
      </c>
      <c r="C174" s="1" t="s">
        <v>72</v>
      </c>
      <c r="D174" s="1" t="s">
        <v>47</v>
      </c>
      <c r="E174" s="1" t="s">
        <v>35</v>
      </c>
      <c r="F174" s="1">
        <v>9432</v>
      </c>
      <c r="G174" s="1" t="s">
        <v>54</v>
      </c>
      <c r="H174" s="1" t="s">
        <v>45</v>
      </c>
      <c r="I174" s="1" t="s">
        <v>48</v>
      </c>
      <c r="J174" s="1" t="s">
        <v>35</v>
      </c>
      <c r="K174" s="1" t="s">
        <v>35</v>
      </c>
      <c r="L174" s="1" t="s">
        <v>463</v>
      </c>
      <c r="M174" s="1" t="s">
        <v>57</v>
      </c>
      <c r="N174" s="1" t="s">
        <v>58</v>
      </c>
      <c r="O174" s="1" t="s">
        <v>215</v>
      </c>
      <c r="P174" s="1">
        <v>20260817</v>
      </c>
      <c r="Q174" s="1">
        <v>100</v>
      </c>
      <c r="R174" s="1">
        <v>0</v>
      </c>
      <c r="S174" s="1" t="s">
        <v>217</v>
      </c>
      <c r="T174" s="1" t="s">
        <v>49</v>
      </c>
      <c r="U174" s="1" t="s">
        <v>47</v>
      </c>
      <c r="V174" s="1" t="s">
        <v>47</v>
      </c>
      <c r="W174" s="1" t="s">
        <v>47</v>
      </c>
      <c r="X174" s="1" t="s">
        <v>35</v>
      </c>
      <c r="Y174" s="1" t="s">
        <v>47</v>
      </c>
      <c r="Z174" s="1" t="s">
        <v>35</v>
      </c>
      <c r="AA174" s="1" t="s">
        <v>50</v>
      </c>
      <c r="AB174" s="1" t="s">
        <v>35</v>
      </c>
      <c r="AC174" s="1" t="s">
        <v>463</v>
      </c>
      <c r="AD174" s="1" t="s">
        <v>74</v>
      </c>
    </row>
    <row r="175" spans="1:30">
      <c r="A175" s="1">
        <v>51051926</v>
      </c>
      <c r="B175" s="1" t="s">
        <v>460</v>
      </c>
      <c r="C175" s="1" t="s">
        <v>44</v>
      </c>
      <c r="D175" s="1" t="s">
        <v>34</v>
      </c>
      <c r="E175" s="1" t="s">
        <v>35</v>
      </c>
      <c r="F175" s="1">
        <v>9432</v>
      </c>
      <c r="G175" s="1" t="s">
        <v>41</v>
      </c>
      <c r="H175" s="1" t="s">
        <v>36</v>
      </c>
      <c r="I175" s="1" t="s">
        <v>37</v>
      </c>
      <c r="J175" s="1" t="s">
        <v>35</v>
      </c>
      <c r="K175" s="1" t="s">
        <v>35</v>
      </c>
      <c r="L175" s="1" t="s">
        <v>462</v>
      </c>
      <c r="M175" s="1" t="s">
        <v>42</v>
      </c>
      <c r="N175" s="1" t="s">
        <v>43</v>
      </c>
      <c r="O175" s="1" t="s">
        <v>214</v>
      </c>
      <c r="P175" s="1">
        <v>20260817</v>
      </c>
      <c r="Q175" s="1">
        <v>100</v>
      </c>
      <c r="R175" s="1">
        <v>0</v>
      </c>
      <c r="S175" s="1" t="s">
        <v>216</v>
      </c>
      <c r="T175" s="1" t="s">
        <v>39</v>
      </c>
      <c r="U175" s="1" t="s">
        <v>34</v>
      </c>
      <c r="V175" s="1" t="s">
        <v>34</v>
      </c>
      <c r="W175" s="1" t="s">
        <v>34</v>
      </c>
      <c r="X175" s="1" t="s">
        <v>35</v>
      </c>
      <c r="Y175" s="1" t="s">
        <v>34</v>
      </c>
      <c r="Z175" s="1" t="s">
        <v>35</v>
      </c>
      <c r="AA175" s="1" t="s">
        <v>40</v>
      </c>
      <c r="AB175" s="1" t="s">
        <v>35</v>
      </c>
      <c r="AC175" s="1" t="s">
        <v>462</v>
      </c>
      <c r="AD175" s="1" t="s">
        <v>77</v>
      </c>
    </row>
    <row r="177" spans="1:30">
      <c r="A177" t="s">
        <v>4</v>
      </c>
      <c r="B177" t="s">
        <v>6</v>
      </c>
      <c r="C177" t="s">
        <v>7</v>
      </c>
      <c r="D177" t="s">
        <v>8</v>
      </c>
      <c r="E177" t="s">
        <v>9</v>
      </c>
      <c r="F177" t="s">
        <v>10</v>
      </c>
      <c r="G177" t="s">
        <v>11</v>
      </c>
      <c r="H177" t="s">
        <v>12</v>
      </c>
      <c r="I177" t="s">
        <v>13</v>
      </c>
      <c r="J177" t="s">
        <v>14</v>
      </c>
      <c r="K177" t="s">
        <v>15</v>
      </c>
      <c r="L177" t="s">
        <v>866</v>
      </c>
      <c r="M177" t="s">
        <v>16</v>
      </c>
      <c r="N177" t="s">
        <v>17</v>
      </c>
      <c r="O177" t="s">
        <v>18</v>
      </c>
      <c r="P177" t="s">
        <v>19</v>
      </c>
      <c r="Q177" t="s">
        <v>20</v>
      </c>
      <c r="R177" t="s">
        <v>21</v>
      </c>
      <c r="S177" t="s">
        <v>22</v>
      </c>
      <c r="T177" t="s">
        <v>23</v>
      </c>
      <c r="U177" t="s">
        <v>24</v>
      </c>
      <c r="V177" t="s">
        <v>25</v>
      </c>
      <c r="W177" t="s">
        <v>26</v>
      </c>
      <c r="X177" t="s">
        <v>27</v>
      </c>
      <c r="Y177" t="s">
        <v>28</v>
      </c>
      <c r="Z177" t="s">
        <v>29</v>
      </c>
      <c r="AA177" t="s">
        <v>30</v>
      </c>
      <c r="AB177" t="s">
        <v>31</v>
      </c>
      <c r="AC177" t="s">
        <v>32</v>
      </c>
      <c r="AD177" t="s">
        <v>33</v>
      </c>
    </row>
    <row r="178" spans="1:30">
      <c r="A178" s="1">
        <v>53095981</v>
      </c>
      <c r="B178" s="1" t="s">
        <v>867</v>
      </c>
      <c r="C178" s="1" t="s">
        <v>212</v>
      </c>
      <c r="D178" s="1" t="s">
        <v>47</v>
      </c>
      <c r="E178" s="1" t="s">
        <v>35</v>
      </c>
      <c r="F178" s="1">
        <v>7012</v>
      </c>
      <c r="G178" s="1" t="s">
        <v>120</v>
      </c>
      <c r="H178" s="1" t="s">
        <v>45</v>
      </c>
      <c r="I178" s="1" t="s">
        <v>48</v>
      </c>
      <c r="J178" s="1" t="s">
        <v>46</v>
      </c>
      <c r="K178" s="1" t="s">
        <v>116</v>
      </c>
      <c r="L178" s="1" t="s">
        <v>868</v>
      </c>
      <c r="M178" s="1" t="s">
        <v>118</v>
      </c>
      <c r="N178" s="1" t="s">
        <v>117</v>
      </c>
      <c r="O178" s="1" t="s">
        <v>215</v>
      </c>
      <c r="P178" s="1">
        <v>20260902</v>
      </c>
      <c r="Q178" s="1">
        <v>100</v>
      </c>
      <c r="R178" s="1">
        <v>100</v>
      </c>
      <c r="S178" s="1">
        <v>2446.5</v>
      </c>
      <c r="T178" s="1" t="s">
        <v>49</v>
      </c>
      <c r="U178" s="1" t="s">
        <v>47</v>
      </c>
      <c r="V178" s="1" t="s">
        <v>47</v>
      </c>
      <c r="W178" s="1" t="s">
        <v>47</v>
      </c>
      <c r="X178" s="1" t="s">
        <v>35</v>
      </c>
      <c r="Y178" s="1" t="s">
        <v>47</v>
      </c>
      <c r="Z178" s="1" t="s">
        <v>35</v>
      </c>
      <c r="AA178" s="1" t="s">
        <v>50</v>
      </c>
      <c r="AB178" s="1" t="s">
        <v>35</v>
      </c>
      <c r="AC178" s="1" t="s">
        <v>868</v>
      </c>
      <c r="AD178" s="1" t="s">
        <v>869</v>
      </c>
    </row>
    <row r="179" spans="1:30">
      <c r="A179">
        <v>53114625</v>
      </c>
      <c r="B179" t="s">
        <v>870</v>
      </c>
      <c r="C179" t="s">
        <v>212</v>
      </c>
      <c r="D179" t="s">
        <v>47</v>
      </c>
      <c r="E179" t="s">
        <v>35</v>
      </c>
      <c r="F179">
        <v>7012</v>
      </c>
      <c r="G179" t="s">
        <v>120</v>
      </c>
      <c r="H179" t="s">
        <v>45</v>
      </c>
      <c r="I179" t="s">
        <v>48</v>
      </c>
      <c r="J179" t="s">
        <v>46</v>
      </c>
      <c r="K179" t="s">
        <v>116</v>
      </c>
      <c r="L179" t="s">
        <v>871</v>
      </c>
      <c r="M179" t="s">
        <v>124</v>
      </c>
      <c r="N179" t="s">
        <v>123</v>
      </c>
      <c r="O179" t="s">
        <v>215</v>
      </c>
      <c r="P179">
        <v>20260902</v>
      </c>
      <c r="Q179">
        <v>100</v>
      </c>
      <c r="R179">
        <v>100</v>
      </c>
      <c r="S179" t="s">
        <v>217</v>
      </c>
      <c r="T179" t="s">
        <v>49</v>
      </c>
      <c r="U179" t="s">
        <v>47</v>
      </c>
      <c r="V179" t="s">
        <v>47</v>
      </c>
      <c r="W179" t="s">
        <v>47</v>
      </c>
      <c r="X179" t="s">
        <v>125</v>
      </c>
      <c r="Y179" t="s">
        <v>47</v>
      </c>
      <c r="Z179" t="s">
        <v>35</v>
      </c>
      <c r="AA179" t="s">
        <v>50</v>
      </c>
      <c r="AB179" t="s">
        <v>35</v>
      </c>
      <c r="AC179" t="s">
        <v>871</v>
      </c>
      <c r="AD179" t="s">
        <v>872</v>
      </c>
    </row>
    <row r="180" spans="1:30">
      <c r="A180" s="1" t="s">
        <v>78</v>
      </c>
      <c r="B180" s="1" t="s">
        <v>78</v>
      </c>
      <c r="C180" s="1" t="s">
        <v>78</v>
      </c>
      <c r="D180" s="1" t="s">
        <v>78</v>
      </c>
      <c r="E180" s="1" t="s">
        <v>78</v>
      </c>
      <c r="F180" s="1" t="s">
        <v>78</v>
      </c>
      <c r="G180" s="1" t="s">
        <v>78</v>
      </c>
      <c r="H180" s="1" t="s">
        <v>78</v>
      </c>
      <c r="I180" s="1" t="s">
        <v>78</v>
      </c>
      <c r="J180" s="1" t="s">
        <v>78</v>
      </c>
      <c r="K180" s="1" t="s">
        <v>78</v>
      </c>
      <c r="L180" s="1" t="s">
        <v>78</v>
      </c>
      <c r="M180" s="1" t="s">
        <v>78</v>
      </c>
      <c r="N180" s="1" t="s">
        <v>78</v>
      </c>
      <c r="O180" s="1" t="s">
        <v>78</v>
      </c>
      <c r="P180" s="1" t="s">
        <v>78</v>
      </c>
      <c r="Q180" s="1" t="s">
        <v>78</v>
      </c>
      <c r="R180" s="1" t="s">
        <v>78</v>
      </c>
      <c r="S180" s="1" t="s">
        <v>78</v>
      </c>
      <c r="T180" s="1" t="s">
        <v>78</v>
      </c>
      <c r="U180" s="1" t="s">
        <v>78</v>
      </c>
      <c r="V180" s="1" t="s">
        <v>78</v>
      </c>
      <c r="W180" s="1" t="s">
        <v>78</v>
      </c>
      <c r="X180" s="1" t="s">
        <v>78</v>
      </c>
      <c r="Y180" s="1" t="s">
        <v>78</v>
      </c>
      <c r="Z180" s="1" t="s">
        <v>78</v>
      </c>
      <c r="AA180" s="1" t="s">
        <v>78</v>
      </c>
      <c r="AB180" s="1" t="s">
        <v>78</v>
      </c>
      <c r="AC180" s="1" t="s">
        <v>78</v>
      </c>
      <c r="AD180" s="1" t="s">
        <v>78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6A2A-102C-4C09-BED6-7CC88446CEB1}">
  <dimension ref="A1:O9"/>
  <sheetViews>
    <sheetView workbookViewId="0">
      <selection activeCell="E9" sqref="E9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862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8">
        <v>46271.730543981481</v>
      </c>
      <c r="B3" s="1">
        <v>20260910</v>
      </c>
      <c r="C3" s="1">
        <v>7203</v>
      </c>
      <c r="D3" s="1" t="s">
        <v>526</v>
      </c>
      <c r="E3" s="1" t="s">
        <v>36</v>
      </c>
      <c r="F3" s="1" t="s">
        <v>535</v>
      </c>
      <c r="G3" s="1" t="s">
        <v>38</v>
      </c>
      <c r="H3" s="1" t="s">
        <v>528</v>
      </c>
      <c r="I3" s="1" t="s">
        <v>527</v>
      </c>
      <c r="J3" s="1" t="s">
        <v>875</v>
      </c>
      <c r="K3" s="1">
        <v>100</v>
      </c>
      <c r="L3" s="1">
        <v>2997</v>
      </c>
      <c r="M3" s="1">
        <v>299700</v>
      </c>
      <c r="N3" s="1" t="s">
        <v>876</v>
      </c>
      <c r="O3" s="1">
        <v>0</v>
      </c>
    </row>
    <row r="4" spans="1:15">
      <c r="A4" s="8">
        <v>46271.731064814812</v>
      </c>
      <c r="B4" s="1">
        <v>20260910</v>
      </c>
      <c r="C4" s="1">
        <v>7203</v>
      </c>
      <c r="D4" s="1" t="s">
        <v>526</v>
      </c>
      <c r="E4" s="1" t="s">
        <v>36</v>
      </c>
      <c r="F4" s="1" t="s">
        <v>535</v>
      </c>
      <c r="G4" s="1" t="s">
        <v>38</v>
      </c>
      <c r="H4" s="1" t="s">
        <v>528</v>
      </c>
      <c r="I4" s="1" t="s">
        <v>530</v>
      </c>
      <c r="J4" s="1" t="s">
        <v>880</v>
      </c>
      <c r="K4" s="1">
        <v>100</v>
      </c>
      <c r="L4" s="1">
        <v>2996.8</v>
      </c>
      <c r="M4" s="1">
        <v>299680</v>
      </c>
      <c r="N4" s="1" t="s">
        <v>876</v>
      </c>
      <c r="O4" s="1">
        <v>0</v>
      </c>
    </row>
    <row r="5" spans="1:15">
      <c r="A5" s="8">
        <v>46271.733148148145</v>
      </c>
      <c r="B5" s="1">
        <v>20260910</v>
      </c>
      <c r="C5" s="1">
        <v>7203</v>
      </c>
      <c r="D5" s="1" t="s">
        <v>526</v>
      </c>
      <c r="E5" s="1" t="s">
        <v>36</v>
      </c>
      <c r="F5" s="1" t="s">
        <v>535</v>
      </c>
      <c r="G5" s="1" t="s">
        <v>38</v>
      </c>
      <c r="H5" s="1" t="s">
        <v>528</v>
      </c>
      <c r="I5" s="1" t="s">
        <v>527</v>
      </c>
      <c r="J5" s="1" t="s">
        <v>875</v>
      </c>
      <c r="K5" s="1">
        <v>100</v>
      </c>
      <c r="L5" s="1">
        <v>2997</v>
      </c>
      <c r="M5" s="1">
        <v>299700</v>
      </c>
      <c r="N5" s="1" t="s">
        <v>876</v>
      </c>
      <c r="O5" s="1">
        <v>0</v>
      </c>
    </row>
    <row r="6" spans="1:15">
      <c r="A6" s="8">
        <v>46271.733657407407</v>
      </c>
      <c r="B6" s="1">
        <v>20260910</v>
      </c>
      <c r="C6" s="1">
        <v>7203</v>
      </c>
      <c r="D6" s="1" t="s">
        <v>526</v>
      </c>
      <c r="E6" s="1" t="s">
        <v>36</v>
      </c>
      <c r="F6" s="1" t="s">
        <v>535</v>
      </c>
      <c r="G6" s="1" t="s">
        <v>38</v>
      </c>
      <c r="H6" s="1" t="s">
        <v>528</v>
      </c>
      <c r="I6" s="1" t="s">
        <v>530</v>
      </c>
      <c r="J6" s="1" t="s">
        <v>880</v>
      </c>
      <c r="K6" s="1">
        <v>100</v>
      </c>
      <c r="L6" s="1">
        <v>2996.8</v>
      </c>
      <c r="M6" s="1">
        <v>299680</v>
      </c>
      <c r="N6" s="1" t="s">
        <v>876</v>
      </c>
      <c r="O6" s="1">
        <v>0</v>
      </c>
    </row>
    <row r="7" spans="1:15">
      <c r="A7" s="8">
        <v>46271.736435185187</v>
      </c>
      <c r="B7" s="1">
        <v>20260910</v>
      </c>
      <c r="C7" s="1">
        <v>7203</v>
      </c>
      <c r="D7" s="1" t="s">
        <v>526</v>
      </c>
      <c r="E7" s="1" t="s">
        <v>36</v>
      </c>
      <c r="F7" s="1" t="s">
        <v>535</v>
      </c>
      <c r="G7" s="1" t="s">
        <v>38</v>
      </c>
      <c r="H7" s="1" t="s">
        <v>528</v>
      </c>
      <c r="I7" s="1" t="s">
        <v>527</v>
      </c>
      <c r="J7" s="1" t="s">
        <v>875</v>
      </c>
      <c r="K7" s="1">
        <v>100</v>
      </c>
      <c r="L7" s="1">
        <v>2997</v>
      </c>
      <c r="M7" s="1">
        <v>299700</v>
      </c>
      <c r="N7" s="1" t="s">
        <v>876</v>
      </c>
      <c r="O7" s="1">
        <v>0</v>
      </c>
    </row>
    <row r="8" spans="1:15">
      <c r="A8" s="8">
        <v>46271.736840277779</v>
      </c>
      <c r="B8" s="1">
        <v>20260910</v>
      </c>
      <c r="C8" s="1">
        <v>7203</v>
      </c>
      <c r="D8" s="1" t="s">
        <v>526</v>
      </c>
      <c r="E8" s="1" t="s">
        <v>36</v>
      </c>
      <c r="F8" s="1" t="s">
        <v>535</v>
      </c>
      <c r="G8" s="1" t="s">
        <v>38</v>
      </c>
      <c r="H8" s="1" t="s">
        <v>528</v>
      </c>
      <c r="I8" s="1" t="s">
        <v>530</v>
      </c>
      <c r="J8" s="1" t="s">
        <v>880</v>
      </c>
      <c r="K8" s="1">
        <v>100</v>
      </c>
      <c r="L8" s="1">
        <v>2996.8</v>
      </c>
      <c r="M8" s="1">
        <v>299680</v>
      </c>
      <c r="N8" s="1" t="s">
        <v>876</v>
      </c>
      <c r="O8" s="1">
        <v>0</v>
      </c>
    </row>
    <row r="9" spans="1:15">
      <c r="A9" s="1" t="s">
        <v>64</v>
      </c>
      <c r="B9" s="1" t="s">
        <v>64</v>
      </c>
      <c r="C9" s="1" t="s">
        <v>64</v>
      </c>
      <c r="D9" s="1" t="s">
        <v>64</v>
      </c>
      <c r="E9" s="1" t="s">
        <v>64</v>
      </c>
      <c r="F9" s="1" t="s">
        <v>64</v>
      </c>
      <c r="G9" s="1" t="s">
        <v>64</v>
      </c>
      <c r="H9" s="1" t="s">
        <v>64</v>
      </c>
      <c r="I9" s="1" t="s">
        <v>64</v>
      </c>
      <c r="J9" s="1" t="s">
        <v>64</v>
      </c>
      <c r="K9" s="1" t="s">
        <v>64</v>
      </c>
      <c r="L9" s="1" t="s">
        <v>64</v>
      </c>
      <c r="M9" s="1" t="s">
        <v>64</v>
      </c>
      <c r="N9" s="1" t="s">
        <v>64</v>
      </c>
      <c r="O9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0713-3839-4EF2-AC3A-4AFF405FA6D8}">
  <dimension ref="A1:O81"/>
  <sheetViews>
    <sheetView topLeftCell="A61" workbookViewId="0">
      <selection activeCell="E1" sqref="E1"/>
    </sheetView>
  </sheetViews>
  <sheetFormatPr defaultRowHeight="18.75"/>
  <cols>
    <col min="1" max="1" width="19.25" customWidth="1"/>
    <col min="2" max="2" width="13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862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8">
        <v>46268.489386574074</v>
      </c>
      <c r="B3" s="1">
        <v>20260907</v>
      </c>
      <c r="C3" s="1">
        <v>7203</v>
      </c>
      <c r="D3" s="1" t="s">
        <v>526</v>
      </c>
      <c r="E3" s="1" t="s">
        <v>36</v>
      </c>
      <c r="F3" s="1" t="s">
        <v>535</v>
      </c>
      <c r="G3" s="1" t="s">
        <v>38</v>
      </c>
      <c r="H3" s="1" t="s">
        <v>528</v>
      </c>
      <c r="I3" s="1" t="s">
        <v>527</v>
      </c>
      <c r="J3" s="1" t="s">
        <v>875</v>
      </c>
      <c r="K3" s="1">
        <v>100</v>
      </c>
      <c r="L3" s="1">
        <v>2997</v>
      </c>
      <c r="M3" s="1">
        <v>299700</v>
      </c>
      <c r="N3" s="1" t="s">
        <v>876</v>
      </c>
      <c r="O3" s="1">
        <v>0</v>
      </c>
    </row>
    <row r="4" spans="1:15">
      <c r="A4" s="8">
        <v>46268.494513888887</v>
      </c>
      <c r="B4" s="1">
        <v>20260907</v>
      </c>
      <c r="C4" s="1">
        <v>7203</v>
      </c>
      <c r="D4" s="1" t="s">
        <v>526</v>
      </c>
      <c r="E4" s="1" t="s">
        <v>36</v>
      </c>
      <c r="F4" s="1" t="s">
        <v>535</v>
      </c>
      <c r="G4" s="1" t="s">
        <v>38</v>
      </c>
      <c r="H4" s="1" t="s">
        <v>528</v>
      </c>
      <c r="I4" s="1" t="s">
        <v>527</v>
      </c>
      <c r="J4" s="1" t="s">
        <v>875</v>
      </c>
      <c r="K4" s="1">
        <v>100</v>
      </c>
      <c r="L4" s="1">
        <v>2997</v>
      </c>
      <c r="M4" s="1">
        <v>299700</v>
      </c>
      <c r="N4" s="1" t="s">
        <v>876</v>
      </c>
      <c r="O4" s="1">
        <v>0</v>
      </c>
    </row>
    <row r="5" spans="1:15">
      <c r="A5" s="8">
        <v>46268.564282407409</v>
      </c>
      <c r="B5" s="1">
        <v>20260907</v>
      </c>
      <c r="C5" s="1">
        <v>7203</v>
      </c>
      <c r="D5" s="1" t="s">
        <v>526</v>
      </c>
      <c r="E5" s="1" t="s">
        <v>36</v>
      </c>
      <c r="F5" s="1" t="s">
        <v>535</v>
      </c>
      <c r="G5" s="1" t="s">
        <v>38</v>
      </c>
      <c r="H5" s="1" t="s">
        <v>528</v>
      </c>
      <c r="I5" s="1" t="s">
        <v>527</v>
      </c>
      <c r="J5" s="1" t="s">
        <v>875</v>
      </c>
      <c r="K5" s="1">
        <v>100</v>
      </c>
      <c r="L5" s="1">
        <v>2997</v>
      </c>
      <c r="M5" s="1">
        <v>299700</v>
      </c>
      <c r="N5" s="1" t="s">
        <v>876</v>
      </c>
      <c r="O5" s="1">
        <v>0</v>
      </c>
    </row>
    <row r="6" spans="1:15">
      <c r="A6" s="1" t="s">
        <v>64</v>
      </c>
      <c r="B6" s="1" t="s">
        <v>64</v>
      </c>
      <c r="C6" s="1" t="s">
        <v>64</v>
      </c>
      <c r="D6" s="1" t="s">
        <v>64</v>
      </c>
      <c r="E6" s="1" t="s">
        <v>64</v>
      </c>
      <c r="F6" s="1" t="s">
        <v>64</v>
      </c>
      <c r="G6" s="1" t="s">
        <v>64</v>
      </c>
      <c r="H6" s="1" t="s">
        <v>64</v>
      </c>
      <c r="I6" s="1" t="s">
        <v>64</v>
      </c>
      <c r="J6" s="1" t="s">
        <v>64</v>
      </c>
      <c r="K6" s="1" t="s">
        <v>64</v>
      </c>
      <c r="L6" s="1" t="s">
        <v>64</v>
      </c>
      <c r="M6" s="1" t="s">
        <v>64</v>
      </c>
      <c r="N6" s="1" t="s">
        <v>64</v>
      </c>
      <c r="O6" s="1" t="s">
        <v>64</v>
      </c>
    </row>
    <row r="7" spans="1:15">
      <c r="A7" t="s">
        <v>229</v>
      </c>
      <c r="B7">
        <v>20260818</v>
      </c>
      <c r="C7">
        <v>9984</v>
      </c>
      <c r="D7" t="s">
        <v>191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5895</v>
      </c>
      <c r="M7">
        <v>589500</v>
      </c>
      <c r="N7" t="s">
        <v>35</v>
      </c>
      <c r="O7">
        <v>0</v>
      </c>
    </row>
    <row r="8" spans="1:15">
      <c r="A8" t="s">
        <v>233</v>
      </c>
      <c r="B8">
        <v>20260818</v>
      </c>
      <c r="C8">
        <v>9984</v>
      </c>
      <c r="D8" t="s">
        <v>191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5905</v>
      </c>
      <c r="M8">
        <v>590500</v>
      </c>
      <c r="N8" t="s">
        <v>125</v>
      </c>
      <c r="O8">
        <v>0</v>
      </c>
    </row>
    <row r="9" spans="1:15">
      <c r="A9" t="s">
        <v>236</v>
      </c>
      <c r="B9">
        <v>20260818</v>
      </c>
      <c r="C9">
        <v>9984</v>
      </c>
      <c r="D9" t="s">
        <v>191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5942.9</v>
      </c>
      <c r="M9">
        <v>594290</v>
      </c>
      <c r="N9" t="s">
        <v>35</v>
      </c>
      <c r="O9">
        <v>0</v>
      </c>
    </row>
    <row r="10" spans="1:15">
      <c r="A10" t="s">
        <v>239</v>
      </c>
      <c r="B10">
        <v>20260818</v>
      </c>
      <c r="C10">
        <v>9984</v>
      </c>
      <c r="D10" t="s">
        <v>191</v>
      </c>
      <c r="E10" t="s">
        <v>45</v>
      </c>
      <c r="F10" t="s">
        <v>130</v>
      </c>
      <c r="G10" t="s">
        <v>46</v>
      </c>
      <c r="H10" t="s">
        <v>116</v>
      </c>
      <c r="I10" t="s">
        <v>123</v>
      </c>
      <c r="J10" t="s">
        <v>124</v>
      </c>
      <c r="K10">
        <v>100</v>
      </c>
      <c r="L10">
        <v>5960</v>
      </c>
      <c r="M10">
        <v>596000</v>
      </c>
      <c r="N10" t="s">
        <v>125</v>
      </c>
      <c r="O10">
        <v>0</v>
      </c>
    </row>
    <row r="11" spans="1:15">
      <c r="A11" t="s">
        <v>242</v>
      </c>
      <c r="B11">
        <v>20260818</v>
      </c>
      <c r="C11">
        <v>3436</v>
      </c>
      <c r="D11" t="s">
        <v>152</v>
      </c>
      <c r="E11" t="s">
        <v>45</v>
      </c>
      <c r="F11" t="s">
        <v>115</v>
      </c>
      <c r="G11" t="s">
        <v>46</v>
      </c>
      <c r="H11" t="s">
        <v>116</v>
      </c>
      <c r="I11" t="s">
        <v>117</v>
      </c>
      <c r="J11" t="s">
        <v>118</v>
      </c>
      <c r="K11">
        <v>100</v>
      </c>
      <c r="L11">
        <v>4204.8</v>
      </c>
      <c r="M11">
        <v>420480</v>
      </c>
      <c r="N11" t="s">
        <v>35</v>
      </c>
      <c r="O11">
        <v>0</v>
      </c>
    </row>
    <row r="12" spans="1:15">
      <c r="A12" t="s">
        <v>245</v>
      </c>
      <c r="B12">
        <v>20260818</v>
      </c>
      <c r="C12">
        <v>3436</v>
      </c>
      <c r="D12" t="s">
        <v>152</v>
      </c>
      <c r="E12" t="s">
        <v>45</v>
      </c>
      <c r="F12" t="s">
        <v>130</v>
      </c>
      <c r="G12" t="s">
        <v>46</v>
      </c>
      <c r="H12" t="s">
        <v>116</v>
      </c>
      <c r="I12" t="s">
        <v>123</v>
      </c>
      <c r="J12" t="s">
        <v>124</v>
      </c>
      <c r="K12">
        <v>100</v>
      </c>
      <c r="L12">
        <v>4222</v>
      </c>
      <c r="M12">
        <v>422200</v>
      </c>
      <c r="N12" t="s">
        <v>125</v>
      </c>
      <c r="O12">
        <v>0</v>
      </c>
    </row>
    <row r="13" spans="1:15">
      <c r="A13" t="s">
        <v>248</v>
      </c>
      <c r="B13">
        <v>20260818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1782</v>
      </c>
      <c r="M13">
        <v>178200</v>
      </c>
      <c r="N13" t="s">
        <v>35</v>
      </c>
      <c r="O13">
        <v>0</v>
      </c>
    </row>
    <row r="14" spans="1:15">
      <c r="A14" t="s">
        <v>251</v>
      </c>
      <c r="B14">
        <v>20260818</v>
      </c>
      <c r="C14">
        <v>6613</v>
      </c>
      <c r="D14" t="s">
        <v>165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1790.9</v>
      </c>
      <c r="M14">
        <v>179090</v>
      </c>
      <c r="N14" t="s">
        <v>125</v>
      </c>
      <c r="O14">
        <v>0</v>
      </c>
    </row>
    <row r="15" spans="1:15">
      <c r="A15" t="s">
        <v>254</v>
      </c>
      <c r="B15">
        <v>20260818</v>
      </c>
      <c r="C15">
        <v>9984</v>
      </c>
      <c r="D15" t="s">
        <v>191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5909</v>
      </c>
      <c r="M15">
        <v>590900</v>
      </c>
      <c r="N15" t="s">
        <v>35</v>
      </c>
      <c r="O15">
        <v>0</v>
      </c>
    </row>
    <row r="16" spans="1:15">
      <c r="A16" t="s">
        <v>257</v>
      </c>
      <c r="B16">
        <v>20260818</v>
      </c>
      <c r="C16">
        <v>9984</v>
      </c>
      <c r="D16" t="s">
        <v>191</v>
      </c>
      <c r="E16" t="s">
        <v>45</v>
      </c>
      <c r="F16" t="s">
        <v>130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5932</v>
      </c>
      <c r="M16">
        <v>593200</v>
      </c>
      <c r="N16" t="s">
        <v>125</v>
      </c>
      <c r="O16">
        <v>0</v>
      </c>
    </row>
    <row r="17" spans="1:15">
      <c r="A17" t="s">
        <v>260</v>
      </c>
      <c r="B17">
        <v>20260818</v>
      </c>
      <c r="C17">
        <v>5803</v>
      </c>
      <c r="D17" t="s">
        <v>176</v>
      </c>
      <c r="E17" t="s">
        <v>45</v>
      </c>
      <c r="F17" t="s">
        <v>115</v>
      </c>
      <c r="G17" t="s">
        <v>46</v>
      </c>
      <c r="H17" t="s">
        <v>116</v>
      </c>
      <c r="I17" t="s">
        <v>117</v>
      </c>
      <c r="J17" t="s">
        <v>118</v>
      </c>
      <c r="K17">
        <v>100</v>
      </c>
      <c r="L17">
        <v>5689</v>
      </c>
      <c r="M17">
        <v>568900</v>
      </c>
      <c r="N17" t="s">
        <v>35</v>
      </c>
      <c r="O17">
        <v>0</v>
      </c>
    </row>
    <row r="18" spans="1:15">
      <c r="A18" t="s">
        <v>263</v>
      </c>
      <c r="B18">
        <v>20260818</v>
      </c>
      <c r="C18">
        <v>5803</v>
      </c>
      <c r="D18" t="s">
        <v>176</v>
      </c>
      <c r="E18" t="s">
        <v>45</v>
      </c>
      <c r="F18" t="s">
        <v>115</v>
      </c>
      <c r="G18" t="s">
        <v>46</v>
      </c>
      <c r="H18" t="s">
        <v>116</v>
      </c>
      <c r="I18" t="s">
        <v>123</v>
      </c>
      <c r="J18" t="s">
        <v>124</v>
      </c>
      <c r="K18">
        <v>100</v>
      </c>
      <c r="L18">
        <v>5713.4</v>
      </c>
      <c r="M18">
        <v>571340</v>
      </c>
      <c r="N18" t="s">
        <v>125</v>
      </c>
      <c r="O18">
        <v>0</v>
      </c>
    </row>
    <row r="19" spans="1:15">
      <c r="A19" t="s">
        <v>266</v>
      </c>
      <c r="B19">
        <v>20260818</v>
      </c>
      <c r="C19">
        <v>5016</v>
      </c>
      <c r="D19" t="s">
        <v>139</v>
      </c>
      <c r="E19" t="s">
        <v>45</v>
      </c>
      <c r="F19" t="s">
        <v>130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3871</v>
      </c>
      <c r="M19">
        <v>387100</v>
      </c>
      <c r="N19" t="s">
        <v>35</v>
      </c>
      <c r="O19">
        <v>0</v>
      </c>
    </row>
    <row r="20" spans="1:15">
      <c r="A20" t="s">
        <v>269</v>
      </c>
      <c r="B20">
        <v>20260818</v>
      </c>
      <c r="C20">
        <v>5016</v>
      </c>
      <c r="D20" t="s">
        <v>139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3870.5</v>
      </c>
      <c r="M20">
        <v>387050</v>
      </c>
      <c r="N20" t="s">
        <v>125</v>
      </c>
      <c r="O20">
        <v>0</v>
      </c>
    </row>
    <row r="21" spans="1:15">
      <c r="A21" t="s">
        <v>271</v>
      </c>
      <c r="B21">
        <v>20260818</v>
      </c>
      <c r="C21">
        <v>5016</v>
      </c>
      <c r="D21" t="s">
        <v>139</v>
      </c>
      <c r="E21" t="s">
        <v>45</v>
      </c>
      <c r="F21" t="s">
        <v>115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3878</v>
      </c>
      <c r="M21">
        <v>387800</v>
      </c>
      <c r="N21" t="s">
        <v>35</v>
      </c>
      <c r="O21">
        <v>0</v>
      </c>
    </row>
    <row r="22" spans="1:15">
      <c r="A22" t="s">
        <v>274</v>
      </c>
      <c r="B22">
        <v>20260818</v>
      </c>
      <c r="C22">
        <v>6613</v>
      </c>
      <c r="D22" t="s">
        <v>165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1816</v>
      </c>
      <c r="M22">
        <v>181600</v>
      </c>
      <c r="N22" t="s">
        <v>35</v>
      </c>
      <c r="O22">
        <v>0</v>
      </c>
    </row>
    <row r="23" spans="1:15">
      <c r="A23" t="s">
        <v>277</v>
      </c>
      <c r="B23">
        <v>20260818</v>
      </c>
      <c r="C23">
        <v>5803</v>
      </c>
      <c r="D23" t="s">
        <v>176</v>
      </c>
      <c r="E23" t="s">
        <v>45</v>
      </c>
      <c r="F23" t="s">
        <v>130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5781</v>
      </c>
      <c r="M23">
        <v>578100</v>
      </c>
      <c r="N23" t="s">
        <v>125</v>
      </c>
      <c r="O23">
        <v>0</v>
      </c>
    </row>
    <row r="24" spans="1:15">
      <c r="A24" t="s">
        <v>280</v>
      </c>
      <c r="B24">
        <v>20260818</v>
      </c>
      <c r="C24">
        <v>6613</v>
      </c>
      <c r="D24" t="s">
        <v>165</v>
      </c>
      <c r="E24" t="s">
        <v>45</v>
      </c>
      <c r="F24" t="s">
        <v>115</v>
      </c>
      <c r="G24" t="s">
        <v>46</v>
      </c>
      <c r="H24" t="s">
        <v>116</v>
      </c>
      <c r="I24" t="s">
        <v>123</v>
      </c>
      <c r="J24" t="s">
        <v>124</v>
      </c>
      <c r="K24">
        <v>100</v>
      </c>
      <c r="L24">
        <v>1821.2</v>
      </c>
      <c r="M24">
        <v>182120</v>
      </c>
      <c r="N24" t="s">
        <v>125</v>
      </c>
      <c r="O24">
        <v>0</v>
      </c>
    </row>
    <row r="25" spans="1:15">
      <c r="A25" t="s">
        <v>283</v>
      </c>
      <c r="B25">
        <v>20260818</v>
      </c>
      <c r="C25">
        <v>5016</v>
      </c>
      <c r="D25" t="s">
        <v>139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3856</v>
      </c>
      <c r="M25">
        <v>385600</v>
      </c>
      <c r="N25" t="s">
        <v>35</v>
      </c>
      <c r="O25">
        <v>0</v>
      </c>
    </row>
    <row r="26" spans="1:15">
      <c r="A26" t="s">
        <v>467</v>
      </c>
      <c r="B26">
        <v>20260818</v>
      </c>
      <c r="C26">
        <v>5803</v>
      </c>
      <c r="D26" t="s">
        <v>176</v>
      </c>
      <c r="E26" t="s">
        <v>45</v>
      </c>
      <c r="F26" t="s">
        <v>130</v>
      </c>
      <c r="G26" t="s">
        <v>46</v>
      </c>
      <c r="H26" t="s">
        <v>116</v>
      </c>
      <c r="I26" t="s">
        <v>117</v>
      </c>
      <c r="J26" t="s">
        <v>118</v>
      </c>
      <c r="K26">
        <v>100</v>
      </c>
      <c r="L26">
        <v>5753</v>
      </c>
      <c r="M26">
        <v>575300</v>
      </c>
      <c r="N26" t="s">
        <v>35</v>
      </c>
      <c r="O26">
        <v>0</v>
      </c>
    </row>
    <row r="27" spans="1:15">
      <c r="A27" t="s">
        <v>294</v>
      </c>
      <c r="B27">
        <v>20260818</v>
      </c>
      <c r="C27">
        <v>5803</v>
      </c>
      <c r="D27" t="s">
        <v>176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5712.4</v>
      </c>
      <c r="M27">
        <v>571240</v>
      </c>
      <c r="N27" t="s">
        <v>125</v>
      </c>
      <c r="O27">
        <v>0</v>
      </c>
    </row>
    <row r="28" spans="1:15">
      <c r="A28" t="s">
        <v>297</v>
      </c>
      <c r="B28">
        <v>20260818</v>
      </c>
      <c r="C28">
        <v>5016</v>
      </c>
      <c r="D28" t="s">
        <v>139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3829.4</v>
      </c>
      <c r="M28">
        <v>382940</v>
      </c>
      <c r="N28" t="s">
        <v>125</v>
      </c>
      <c r="O28">
        <v>0</v>
      </c>
    </row>
    <row r="29" spans="1:15">
      <c r="A29" t="s">
        <v>468</v>
      </c>
      <c r="B29">
        <v>20260818</v>
      </c>
      <c r="C29">
        <v>5803</v>
      </c>
      <c r="D29" t="s">
        <v>176</v>
      </c>
      <c r="E29" t="s">
        <v>45</v>
      </c>
      <c r="F29" t="s">
        <v>130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5715</v>
      </c>
      <c r="M29">
        <v>571500</v>
      </c>
      <c r="N29" t="s">
        <v>35</v>
      </c>
      <c r="O29">
        <v>0</v>
      </c>
    </row>
    <row r="30" spans="1:15">
      <c r="A30" t="s">
        <v>303</v>
      </c>
      <c r="B30">
        <v>20260818</v>
      </c>
      <c r="C30">
        <v>5803</v>
      </c>
      <c r="D30" t="s">
        <v>176</v>
      </c>
      <c r="E30" t="s">
        <v>45</v>
      </c>
      <c r="F30" t="s">
        <v>115</v>
      </c>
      <c r="G30" t="s">
        <v>46</v>
      </c>
      <c r="H30" t="s">
        <v>116</v>
      </c>
      <c r="I30" t="s">
        <v>123</v>
      </c>
      <c r="J30" t="s">
        <v>124</v>
      </c>
      <c r="K30">
        <v>100</v>
      </c>
      <c r="L30">
        <v>5739.4</v>
      </c>
      <c r="M30">
        <v>573940</v>
      </c>
      <c r="N30" t="s">
        <v>125</v>
      </c>
      <c r="O30">
        <v>0</v>
      </c>
    </row>
    <row r="31" spans="1:15">
      <c r="A31" t="s">
        <v>305</v>
      </c>
      <c r="B31">
        <v>20260818</v>
      </c>
      <c r="C31">
        <v>5803</v>
      </c>
      <c r="D31" t="s">
        <v>176</v>
      </c>
      <c r="E31" t="s">
        <v>45</v>
      </c>
      <c r="F31" t="s">
        <v>115</v>
      </c>
      <c r="G31" t="s">
        <v>46</v>
      </c>
      <c r="H31" t="s">
        <v>116</v>
      </c>
      <c r="I31" t="s">
        <v>117</v>
      </c>
      <c r="J31" t="s">
        <v>118</v>
      </c>
      <c r="K31">
        <v>100</v>
      </c>
      <c r="L31">
        <v>5763.6</v>
      </c>
      <c r="M31">
        <v>576360</v>
      </c>
      <c r="N31" t="s">
        <v>35</v>
      </c>
      <c r="O31">
        <v>0</v>
      </c>
    </row>
    <row r="32" spans="1:15">
      <c r="A32" t="s">
        <v>308</v>
      </c>
      <c r="B32">
        <v>20260818</v>
      </c>
      <c r="C32">
        <v>5803</v>
      </c>
      <c r="D32" t="s">
        <v>176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5755.1</v>
      </c>
      <c r="M32">
        <v>575510</v>
      </c>
      <c r="N32" t="s">
        <v>125</v>
      </c>
      <c r="O32">
        <v>0</v>
      </c>
    </row>
    <row r="33" spans="1:15">
      <c r="A33" t="s">
        <v>312</v>
      </c>
      <c r="B33">
        <v>20260818</v>
      </c>
      <c r="C33">
        <v>5803</v>
      </c>
      <c r="D33" t="s">
        <v>176</v>
      </c>
      <c r="E33" t="s">
        <v>45</v>
      </c>
      <c r="F33" t="s">
        <v>115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5744</v>
      </c>
      <c r="M33">
        <v>574400</v>
      </c>
      <c r="N33" t="s">
        <v>35</v>
      </c>
      <c r="O33">
        <v>0</v>
      </c>
    </row>
    <row r="34" spans="1:15">
      <c r="A34" t="s">
        <v>315</v>
      </c>
      <c r="B34">
        <v>20260818</v>
      </c>
      <c r="C34">
        <v>5803</v>
      </c>
      <c r="D34" t="s">
        <v>176</v>
      </c>
      <c r="E34" t="s">
        <v>45</v>
      </c>
      <c r="F34" t="s">
        <v>115</v>
      </c>
      <c r="G34" t="s">
        <v>46</v>
      </c>
      <c r="H34" t="s">
        <v>116</v>
      </c>
      <c r="I34" t="s">
        <v>123</v>
      </c>
      <c r="J34" t="s">
        <v>124</v>
      </c>
      <c r="K34">
        <v>100</v>
      </c>
      <c r="L34">
        <v>5715.2</v>
      </c>
      <c r="M34">
        <v>571520</v>
      </c>
      <c r="N34" t="s">
        <v>125</v>
      </c>
      <c r="O34">
        <v>0</v>
      </c>
    </row>
    <row r="35" spans="1:15">
      <c r="A35" t="s">
        <v>318</v>
      </c>
      <c r="B35">
        <v>20260818</v>
      </c>
      <c r="C35">
        <v>5016</v>
      </c>
      <c r="D35" t="s">
        <v>139</v>
      </c>
      <c r="E35" t="s">
        <v>45</v>
      </c>
      <c r="F35" t="s">
        <v>115</v>
      </c>
      <c r="G35" t="s">
        <v>46</v>
      </c>
      <c r="H35" t="s">
        <v>116</v>
      </c>
      <c r="I35" t="s">
        <v>123</v>
      </c>
      <c r="J35" t="s">
        <v>124</v>
      </c>
      <c r="K35">
        <v>200</v>
      </c>
      <c r="L35">
        <v>3810.5</v>
      </c>
      <c r="M35">
        <v>762100</v>
      </c>
      <c r="N35" t="s">
        <v>125</v>
      </c>
      <c r="O35">
        <v>0</v>
      </c>
    </row>
    <row r="36" spans="1:15">
      <c r="A36" t="s">
        <v>321</v>
      </c>
      <c r="B36">
        <v>20260818</v>
      </c>
      <c r="C36">
        <v>5803</v>
      </c>
      <c r="D36" t="s">
        <v>176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5699.2</v>
      </c>
      <c r="M36">
        <v>569920</v>
      </c>
      <c r="N36" t="s">
        <v>35</v>
      </c>
      <c r="O36">
        <v>0</v>
      </c>
    </row>
    <row r="37" spans="1:15">
      <c r="A37" t="s">
        <v>324</v>
      </c>
      <c r="B37">
        <v>20260818</v>
      </c>
      <c r="C37">
        <v>5803</v>
      </c>
      <c r="D37" t="s">
        <v>176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5691.9</v>
      </c>
      <c r="M37">
        <v>569190</v>
      </c>
      <c r="N37" t="s">
        <v>35</v>
      </c>
      <c r="O37">
        <v>0</v>
      </c>
    </row>
    <row r="38" spans="1:15">
      <c r="A38" t="s">
        <v>327</v>
      </c>
      <c r="B38">
        <v>20260818</v>
      </c>
      <c r="C38">
        <v>5016</v>
      </c>
      <c r="D38" t="s">
        <v>139</v>
      </c>
      <c r="E38" t="s">
        <v>45</v>
      </c>
      <c r="F38" t="s">
        <v>115</v>
      </c>
      <c r="G38" t="s">
        <v>46</v>
      </c>
      <c r="H38" t="s">
        <v>116</v>
      </c>
      <c r="I38" t="s">
        <v>117</v>
      </c>
      <c r="J38" t="s">
        <v>118</v>
      </c>
      <c r="K38">
        <v>100</v>
      </c>
      <c r="L38">
        <v>3821.9</v>
      </c>
      <c r="M38">
        <v>382190</v>
      </c>
      <c r="N38" t="s">
        <v>35</v>
      </c>
      <c r="O38">
        <v>0</v>
      </c>
    </row>
    <row r="39" spans="1:15">
      <c r="A39" t="s">
        <v>330</v>
      </c>
      <c r="B39">
        <v>20260818</v>
      </c>
      <c r="C39">
        <v>5803</v>
      </c>
      <c r="D39" t="s">
        <v>176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5722</v>
      </c>
      <c r="M39">
        <v>572200</v>
      </c>
      <c r="N39" t="s">
        <v>125</v>
      </c>
      <c r="O39">
        <v>0</v>
      </c>
    </row>
    <row r="40" spans="1:15">
      <c r="A40" t="s">
        <v>333</v>
      </c>
      <c r="B40">
        <v>20260818</v>
      </c>
      <c r="C40">
        <v>5016</v>
      </c>
      <c r="D40" t="s">
        <v>139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3839.6</v>
      </c>
      <c r="M40">
        <v>383960</v>
      </c>
      <c r="N40" t="s">
        <v>35</v>
      </c>
      <c r="O40">
        <v>0</v>
      </c>
    </row>
    <row r="41" spans="1:15">
      <c r="A41" t="s">
        <v>336</v>
      </c>
      <c r="B41">
        <v>20260818</v>
      </c>
      <c r="C41">
        <v>6613</v>
      </c>
      <c r="D41" t="s">
        <v>165</v>
      </c>
      <c r="E41" t="s">
        <v>45</v>
      </c>
      <c r="F41" t="s">
        <v>115</v>
      </c>
      <c r="G41" t="s">
        <v>46</v>
      </c>
      <c r="H41" t="s">
        <v>116</v>
      </c>
      <c r="I41" t="s">
        <v>117</v>
      </c>
      <c r="J41" t="s">
        <v>118</v>
      </c>
      <c r="K41">
        <v>100</v>
      </c>
      <c r="L41">
        <v>1784.2</v>
      </c>
      <c r="M41">
        <v>178420</v>
      </c>
      <c r="N41" t="s">
        <v>35</v>
      </c>
      <c r="O41">
        <v>0</v>
      </c>
    </row>
    <row r="42" spans="1:15">
      <c r="A42" t="s">
        <v>339</v>
      </c>
      <c r="B42">
        <v>20260818</v>
      </c>
      <c r="C42">
        <v>5803</v>
      </c>
      <c r="D42" t="s">
        <v>176</v>
      </c>
      <c r="E42" t="s">
        <v>45</v>
      </c>
      <c r="F42" t="s">
        <v>130</v>
      </c>
      <c r="G42" t="s">
        <v>46</v>
      </c>
      <c r="H42" t="s">
        <v>116</v>
      </c>
      <c r="I42" t="s">
        <v>123</v>
      </c>
      <c r="J42" t="s">
        <v>124</v>
      </c>
      <c r="K42">
        <v>100</v>
      </c>
      <c r="L42">
        <v>5697</v>
      </c>
      <c r="M42">
        <v>569700</v>
      </c>
      <c r="N42" t="s">
        <v>125</v>
      </c>
      <c r="O42">
        <v>0</v>
      </c>
    </row>
    <row r="43" spans="1:15">
      <c r="A43" t="s">
        <v>342</v>
      </c>
      <c r="B43">
        <v>20260818</v>
      </c>
      <c r="C43">
        <v>5803</v>
      </c>
      <c r="D43" t="s">
        <v>176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5687.7</v>
      </c>
      <c r="M43">
        <v>568770</v>
      </c>
      <c r="N43" t="s">
        <v>35</v>
      </c>
      <c r="O43">
        <v>0</v>
      </c>
    </row>
    <row r="44" spans="1:15">
      <c r="A44" t="s">
        <v>345</v>
      </c>
      <c r="B44">
        <v>20260818</v>
      </c>
      <c r="C44">
        <v>5803</v>
      </c>
      <c r="D44" t="s">
        <v>176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5706.2</v>
      </c>
      <c r="M44">
        <v>570620</v>
      </c>
      <c r="N44" t="s">
        <v>125</v>
      </c>
      <c r="O44">
        <v>0</v>
      </c>
    </row>
    <row r="45" spans="1:15">
      <c r="A45" t="s">
        <v>469</v>
      </c>
      <c r="B45">
        <v>20260818</v>
      </c>
      <c r="C45">
        <v>5803</v>
      </c>
      <c r="D45" t="s">
        <v>176</v>
      </c>
      <c r="E45" t="s">
        <v>45</v>
      </c>
      <c r="F45" t="s">
        <v>130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5694</v>
      </c>
      <c r="M45">
        <v>569400</v>
      </c>
      <c r="N45" t="s">
        <v>35</v>
      </c>
      <c r="O45">
        <v>0</v>
      </c>
    </row>
    <row r="46" spans="1:15">
      <c r="A46" t="s">
        <v>351</v>
      </c>
      <c r="B46">
        <v>20260818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1785.8</v>
      </c>
      <c r="M46">
        <v>178580</v>
      </c>
      <c r="N46" t="s">
        <v>125</v>
      </c>
      <c r="O46">
        <v>0</v>
      </c>
    </row>
    <row r="47" spans="1:15">
      <c r="A47" t="s">
        <v>354</v>
      </c>
      <c r="B47">
        <v>20260818</v>
      </c>
      <c r="C47">
        <v>5803</v>
      </c>
      <c r="D47" t="s">
        <v>176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5679.3</v>
      </c>
      <c r="M47">
        <v>567930</v>
      </c>
      <c r="N47" t="s">
        <v>125</v>
      </c>
      <c r="O47">
        <v>0</v>
      </c>
    </row>
    <row r="48" spans="1:15">
      <c r="A48" t="s">
        <v>357</v>
      </c>
      <c r="B48">
        <v>20260818</v>
      </c>
      <c r="C48">
        <v>3436</v>
      </c>
      <c r="D48" t="s">
        <v>152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3929</v>
      </c>
      <c r="M48">
        <v>392900</v>
      </c>
      <c r="N48" t="s">
        <v>35</v>
      </c>
      <c r="O48">
        <v>0</v>
      </c>
    </row>
    <row r="49" spans="1:15">
      <c r="A49" t="s">
        <v>360</v>
      </c>
      <c r="B49">
        <v>20260818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200</v>
      </c>
      <c r="L49">
        <v>3857.4</v>
      </c>
      <c r="M49">
        <v>771480</v>
      </c>
      <c r="N49" t="s">
        <v>125</v>
      </c>
      <c r="O49">
        <v>0</v>
      </c>
    </row>
    <row r="50" spans="1:15">
      <c r="A50" t="s">
        <v>363</v>
      </c>
      <c r="B50">
        <v>20260818</v>
      </c>
      <c r="C50">
        <v>5803</v>
      </c>
      <c r="D50" t="s">
        <v>176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5702.6</v>
      </c>
      <c r="M50">
        <v>570260</v>
      </c>
      <c r="N50" t="s">
        <v>35</v>
      </c>
      <c r="O50">
        <v>0</v>
      </c>
    </row>
    <row r="51" spans="1:15">
      <c r="A51" t="s">
        <v>365</v>
      </c>
      <c r="B51">
        <v>20260818</v>
      </c>
      <c r="C51">
        <v>5016</v>
      </c>
      <c r="D51" t="s">
        <v>139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3856.9</v>
      </c>
      <c r="M51">
        <v>385690</v>
      </c>
      <c r="N51" t="s">
        <v>35</v>
      </c>
      <c r="O51">
        <v>0</v>
      </c>
    </row>
    <row r="52" spans="1:15">
      <c r="A52" t="s">
        <v>368</v>
      </c>
      <c r="B52">
        <v>20260818</v>
      </c>
      <c r="C52">
        <v>3436</v>
      </c>
      <c r="D52" t="s">
        <v>152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3942.1</v>
      </c>
      <c r="M52">
        <v>394210</v>
      </c>
      <c r="N52" t="s">
        <v>125</v>
      </c>
      <c r="O52">
        <v>0</v>
      </c>
    </row>
    <row r="53" spans="1:15">
      <c r="A53" t="s">
        <v>371</v>
      </c>
      <c r="B53">
        <v>20260818</v>
      </c>
      <c r="C53">
        <v>3436</v>
      </c>
      <c r="D53" t="s">
        <v>152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3952.9</v>
      </c>
      <c r="M53">
        <v>395290</v>
      </c>
      <c r="N53" t="s">
        <v>35</v>
      </c>
      <c r="O53">
        <v>0</v>
      </c>
    </row>
    <row r="54" spans="1:15">
      <c r="A54" t="s">
        <v>374</v>
      </c>
      <c r="B54">
        <v>20260818</v>
      </c>
      <c r="C54">
        <v>5016</v>
      </c>
      <c r="D54" t="s">
        <v>139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3843.4</v>
      </c>
      <c r="M54">
        <v>384340</v>
      </c>
      <c r="N54" t="s">
        <v>125</v>
      </c>
      <c r="O54">
        <v>0</v>
      </c>
    </row>
    <row r="55" spans="1:15">
      <c r="A55" t="s">
        <v>377</v>
      </c>
      <c r="B55">
        <v>20260818</v>
      </c>
      <c r="C55">
        <v>5016</v>
      </c>
      <c r="D55" t="s">
        <v>139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3840.9</v>
      </c>
      <c r="M55">
        <v>384090</v>
      </c>
      <c r="N55" t="s">
        <v>35</v>
      </c>
      <c r="O55">
        <v>0</v>
      </c>
    </row>
    <row r="56" spans="1:15">
      <c r="A56" t="s">
        <v>380</v>
      </c>
      <c r="B56">
        <v>20260818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3981.8</v>
      </c>
      <c r="M56">
        <v>398180</v>
      </c>
      <c r="N56" t="s">
        <v>125</v>
      </c>
      <c r="O56">
        <v>0</v>
      </c>
    </row>
    <row r="57" spans="1:15">
      <c r="A57" t="s">
        <v>383</v>
      </c>
      <c r="B57">
        <v>20260818</v>
      </c>
      <c r="C57">
        <v>5016</v>
      </c>
      <c r="D57" t="s">
        <v>139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3835.2</v>
      </c>
      <c r="M57">
        <v>383520</v>
      </c>
      <c r="N57" t="s">
        <v>125</v>
      </c>
      <c r="O57">
        <v>0</v>
      </c>
    </row>
    <row r="58" spans="1:15">
      <c r="A58" t="s">
        <v>386</v>
      </c>
      <c r="B58">
        <v>20260818</v>
      </c>
      <c r="C58">
        <v>5016</v>
      </c>
      <c r="D58" t="s">
        <v>139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3832.1</v>
      </c>
      <c r="M58">
        <v>383210</v>
      </c>
      <c r="N58" t="s">
        <v>35</v>
      </c>
      <c r="O58">
        <v>0</v>
      </c>
    </row>
    <row r="59" spans="1:15">
      <c r="A59" t="s">
        <v>389</v>
      </c>
      <c r="B59">
        <v>20260818</v>
      </c>
      <c r="C59">
        <v>3436</v>
      </c>
      <c r="D59" t="s">
        <v>152</v>
      </c>
      <c r="E59" t="s">
        <v>45</v>
      </c>
      <c r="F59" t="s">
        <v>115</v>
      </c>
      <c r="G59" t="s">
        <v>46</v>
      </c>
      <c r="H59" t="s">
        <v>116</v>
      </c>
      <c r="I59" t="s">
        <v>117</v>
      </c>
      <c r="J59" t="s">
        <v>118</v>
      </c>
      <c r="K59">
        <v>100</v>
      </c>
      <c r="L59">
        <v>3964.9</v>
      </c>
      <c r="M59">
        <v>396490</v>
      </c>
      <c r="N59" t="s">
        <v>35</v>
      </c>
      <c r="O59">
        <v>0</v>
      </c>
    </row>
    <row r="60" spans="1:15">
      <c r="A60" t="s">
        <v>392</v>
      </c>
      <c r="B60">
        <v>20260818</v>
      </c>
      <c r="C60">
        <v>5016</v>
      </c>
      <c r="D60" t="s">
        <v>139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3831.9</v>
      </c>
      <c r="M60">
        <v>383190</v>
      </c>
      <c r="N60" t="s">
        <v>125</v>
      </c>
      <c r="O60">
        <v>0</v>
      </c>
    </row>
    <row r="61" spans="1:15">
      <c r="A61" t="s">
        <v>396</v>
      </c>
      <c r="B61">
        <v>20260818</v>
      </c>
      <c r="C61">
        <v>5803</v>
      </c>
      <c r="D61" t="s">
        <v>176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5652</v>
      </c>
      <c r="M61">
        <v>565200</v>
      </c>
      <c r="N61" t="s">
        <v>125</v>
      </c>
      <c r="O61">
        <v>0</v>
      </c>
    </row>
    <row r="62" spans="1:15">
      <c r="A62" t="s">
        <v>399</v>
      </c>
      <c r="B62">
        <v>20260818</v>
      </c>
      <c r="C62">
        <v>5016</v>
      </c>
      <c r="D62" t="s">
        <v>139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3832.9</v>
      </c>
      <c r="M62">
        <v>383290</v>
      </c>
      <c r="N62" t="s">
        <v>35</v>
      </c>
      <c r="O62">
        <v>0</v>
      </c>
    </row>
    <row r="63" spans="1:15">
      <c r="A63" t="s">
        <v>401</v>
      </c>
      <c r="B63">
        <v>20260818</v>
      </c>
      <c r="C63">
        <v>5016</v>
      </c>
      <c r="D63" t="s">
        <v>139</v>
      </c>
      <c r="E63" t="s">
        <v>45</v>
      </c>
      <c r="F63" t="s">
        <v>115</v>
      </c>
      <c r="G63" t="s">
        <v>46</v>
      </c>
      <c r="H63" t="s">
        <v>116</v>
      </c>
      <c r="I63" t="s">
        <v>123</v>
      </c>
      <c r="J63" t="s">
        <v>124</v>
      </c>
      <c r="K63">
        <v>100</v>
      </c>
      <c r="L63">
        <v>3827.1</v>
      </c>
      <c r="M63">
        <v>382710</v>
      </c>
      <c r="N63" t="s">
        <v>125</v>
      </c>
      <c r="O63">
        <v>0</v>
      </c>
    </row>
    <row r="64" spans="1:15">
      <c r="A64" t="s">
        <v>406</v>
      </c>
      <c r="B64">
        <v>20260818</v>
      </c>
      <c r="C64">
        <v>7013</v>
      </c>
      <c r="D64" t="s">
        <v>404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3037.4</v>
      </c>
      <c r="M64">
        <v>303740</v>
      </c>
      <c r="N64" t="s">
        <v>35</v>
      </c>
      <c r="O64">
        <v>0</v>
      </c>
    </row>
    <row r="65" spans="1:15">
      <c r="A65" t="s">
        <v>409</v>
      </c>
      <c r="B65">
        <v>20260818</v>
      </c>
      <c r="C65">
        <v>5016</v>
      </c>
      <c r="D65" t="s">
        <v>139</v>
      </c>
      <c r="E65" t="s">
        <v>45</v>
      </c>
      <c r="F65" t="s">
        <v>115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3822.1</v>
      </c>
      <c r="M65">
        <v>382210</v>
      </c>
      <c r="N65" t="s">
        <v>35</v>
      </c>
      <c r="O65">
        <v>0</v>
      </c>
    </row>
    <row r="66" spans="1:15">
      <c r="A66" t="s">
        <v>412</v>
      </c>
      <c r="B66">
        <v>20260818</v>
      </c>
      <c r="C66">
        <v>3436</v>
      </c>
      <c r="D66" t="s">
        <v>152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3946.9</v>
      </c>
      <c r="M66">
        <v>394690</v>
      </c>
      <c r="N66" t="s">
        <v>125</v>
      </c>
      <c r="O66">
        <v>0</v>
      </c>
    </row>
    <row r="67" spans="1:15">
      <c r="A67" t="s">
        <v>415</v>
      </c>
      <c r="B67">
        <v>20260818</v>
      </c>
      <c r="C67">
        <v>5803</v>
      </c>
      <c r="D67" t="s">
        <v>176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5654.2</v>
      </c>
      <c r="M67">
        <v>565420</v>
      </c>
      <c r="N67" t="s">
        <v>35</v>
      </c>
      <c r="O67">
        <v>0</v>
      </c>
    </row>
    <row r="68" spans="1:15">
      <c r="A68" t="s">
        <v>418</v>
      </c>
      <c r="B68">
        <v>20260818</v>
      </c>
      <c r="C68">
        <v>5803</v>
      </c>
      <c r="D68" t="s">
        <v>176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5644.5</v>
      </c>
      <c r="M68">
        <v>564450</v>
      </c>
      <c r="N68" t="s">
        <v>125</v>
      </c>
      <c r="O68">
        <v>0</v>
      </c>
    </row>
    <row r="69" spans="1:15">
      <c r="A69" t="s">
        <v>421</v>
      </c>
      <c r="B69">
        <v>20260818</v>
      </c>
      <c r="C69">
        <v>5016</v>
      </c>
      <c r="D69" t="s">
        <v>139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3822.1</v>
      </c>
      <c r="M69">
        <v>382210</v>
      </c>
      <c r="N69" t="s">
        <v>125</v>
      </c>
      <c r="O69">
        <v>0</v>
      </c>
    </row>
    <row r="70" spans="1:15">
      <c r="A70" t="s">
        <v>423</v>
      </c>
      <c r="B70">
        <v>20260818</v>
      </c>
      <c r="C70">
        <v>7013</v>
      </c>
      <c r="D70" t="s">
        <v>404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3031.4</v>
      </c>
      <c r="M70">
        <v>303140</v>
      </c>
      <c r="N70" t="s">
        <v>125</v>
      </c>
      <c r="O70">
        <v>0</v>
      </c>
    </row>
    <row r="71" spans="1:15">
      <c r="A71" t="s">
        <v>427</v>
      </c>
      <c r="B71">
        <v>20260818</v>
      </c>
      <c r="C71">
        <v>5016</v>
      </c>
      <c r="D71" t="s">
        <v>139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3797.4</v>
      </c>
      <c r="M71">
        <v>379740</v>
      </c>
      <c r="N71" t="s">
        <v>35</v>
      </c>
      <c r="O71">
        <v>0</v>
      </c>
    </row>
    <row r="72" spans="1:15">
      <c r="A72" t="s">
        <v>430</v>
      </c>
      <c r="B72">
        <v>20260818</v>
      </c>
      <c r="C72">
        <v>5016</v>
      </c>
      <c r="D72" t="s">
        <v>139</v>
      </c>
      <c r="E72" t="s">
        <v>45</v>
      </c>
      <c r="F72" t="s">
        <v>115</v>
      </c>
      <c r="G72" t="s">
        <v>46</v>
      </c>
      <c r="H72" t="s">
        <v>116</v>
      </c>
      <c r="I72" t="s">
        <v>123</v>
      </c>
      <c r="J72" t="s">
        <v>124</v>
      </c>
      <c r="K72">
        <v>100</v>
      </c>
      <c r="L72">
        <v>3801.9</v>
      </c>
      <c r="M72">
        <v>380190</v>
      </c>
      <c r="N72" t="s">
        <v>125</v>
      </c>
      <c r="O72">
        <v>0</v>
      </c>
    </row>
    <row r="73" spans="1:15">
      <c r="A73" t="s">
        <v>433</v>
      </c>
      <c r="B73">
        <v>20260818</v>
      </c>
      <c r="C73">
        <v>5803</v>
      </c>
      <c r="D73" t="s">
        <v>176</v>
      </c>
      <c r="E73" t="s">
        <v>45</v>
      </c>
      <c r="F73" t="s">
        <v>115</v>
      </c>
      <c r="G73" t="s">
        <v>46</v>
      </c>
      <c r="H73" t="s">
        <v>116</v>
      </c>
      <c r="I73" t="s">
        <v>117</v>
      </c>
      <c r="J73" t="s">
        <v>118</v>
      </c>
      <c r="K73">
        <v>200</v>
      </c>
      <c r="L73">
        <v>5714.4</v>
      </c>
      <c r="M73">
        <v>1142880</v>
      </c>
      <c r="N73" t="s">
        <v>35</v>
      </c>
      <c r="O73">
        <v>0</v>
      </c>
    </row>
    <row r="74" spans="1:15">
      <c r="A74" t="s">
        <v>436</v>
      </c>
      <c r="B74">
        <v>20260818</v>
      </c>
      <c r="C74">
        <v>5803</v>
      </c>
      <c r="D74" t="s">
        <v>176</v>
      </c>
      <c r="E74" t="s">
        <v>45</v>
      </c>
      <c r="F74" t="s">
        <v>115</v>
      </c>
      <c r="G74" t="s">
        <v>46</v>
      </c>
      <c r="H74" t="s">
        <v>116</v>
      </c>
      <c r="I74" t="s">
        <v>123</v>
      </c>
      <c r="J74" t="s">
        <v>124</v>
      </c>
      <c r="K74">
        <v>200</v>
      </c>
      <c r="L74">
        <v>5721.1</v>
      </c>
      <c r="M74">
        <v>1144220</v>
      </c>
      <c r="N74" t="s">
        <v>125</v>
      </c>
      <c r="O74">
        <v>0</v>
      </c>
    </row>
    <row r="75" spans="1:15">
      <c r="A75" t="s">
        <v>439</v>
      </c>
      <c r="B75">
        <v>20260818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117</v>
      </c>
      <c r="J75" t="s">
        <v>118</v>
      </c>
      <c r="K75">
        <v>100</v>
      </c>
      <c r="L75">
        <v>5723</v>
      </c>
      <c r="M75">
        <v>572300</v>
      </c>
      <c r="N75" t="s">
        <v>35</v>
      </c>
      <c r="O75">
        <v>0</v>
      </c>
    </row>
    <row r="76" spans="1:15">
      <c r="A76" t="s">
        <v>439</v>
      </c>
      <c r="B76">
        <v>20260818</v>
      </c>
      <c r="C76">
        <v>5803</v>
      </c>
      <c r="D76" t="s">
        <v>176</v>
      </c>
      <c r="E76" t="s">
        <v>45</v>
      </c>
      <c r="F76" t="s">
        <v>130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5723</v>
      </c>
      <c r="M76">
        <v>572300</v>
      </c>
      <c r="N76" t="s">
        <v>35</v>
      </c>
      <c r="O76">
        <v>0</v>
      </c>
    </row>
    <row r="77" spans="1:15">
      <c r="A77" t="s">
        <v>442</v>
      </c>
      <c r="B77">
        <v>20260818</v>
      </c>
      <c r="C77">
        <v>5803</v>
      </c>
      <c r="D77" t="s">
        <v>176</v>
      </c>
      <c r="E77" t="s">
        <v>45</v>
      </c>
      <c r="F77" t="s">
        <v>130</v>
      </c>
      <c r="G77" t="s">
        <v>46</v>
      </c>
      <c r="H77" t="s">
        <v>116</v>
      </c>
      <c r="I77" t="s">
        <v>123</v>
      </c>
      <c r="J77" t="s">
        <v>124</v>
      </c>
      <c r="K77">
        <v>100</v>
      </c>
      <c r="L77">
        <v>5705</v>
      </c>
      <c r="M77">
        <v>570500</v>
      </c>
      <c r="N77" t="s">
        <v>125</v>
      </c>
      <c r="O77">
        <v>0</v>
      </c>
    </row>
    <row r="78" spans="1:15">
      <c r="A78" t="s">
        <v>445</v>
      </c>
      <c r="B78">
        <v>20260818</v>
      </c>
      <c r="C78">
        <v>5803</v>
      </c>
      <c r="D78" t="s">
        <v>176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5700</v>
      </c>
      <c r="M78">
        <v>570000</v>
      </c>
      <c r="N78" t="s">
        <v>125</v>
      </c>
      <c r="O78">
        <v>0</v>
      </c>
    </row>
    <row r="79" spans="1:15">
      <c r="A79" t="s">
        <v>452</v>
      </c>
      <c r="B79">
        <v>20260818</v>
      </c>
      <c r="C79">
        <v>5016</v>
      </c>
      <c r="D79" t="s">
        <v>139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3802.8</v>
      </c>
      <c r="M79">
        <v>380280</v>
      </c>
      <c r="N79" t="s">
        <v>35</v>
      </c>
      <c r="O79">
        <v>0</v>
      </c>
    </row>
    <row r="80" spans="1:15">
      <c r="A80" t="s">
        <v>455</v>
      </c>
      <c r="B80">
        <v>20260818</v>
      </c>
      <c r="C80">
        <v>5016</v>
      </c>
      <c r="D80" t="s">
        <v>139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3798</v>
      </c>
      <c r="M80">
        <v>379800</v>
      </c>
      <c r="N80" t="s">
        <v>125</v>
      </c>
      <c r="O80">
        <v>0</v>
      </c>
    </row>
    <row r="81" spans="1:15">
      <c r="A81" s="1" t="s">
        <v>64</v>
      </c>
      <c r="B81" s="1" t="s">
        <v>64</v>
      </c>
      <c r="C81" s="1" t="s">
        <v>64</v>
      </c>
      <c r="D81" s="1" t="s">
        <v>64</v>
      </c>
      <c r="E81" s="1" t="s">
        <v>64</v>
      </c>
      <c r="F81" s="1" t="s">
        <v>64</v>
      </c>
      <c r="G81" s="1" t="s">
        <v>64</v>
      </c>
      <c r="H81" s="1" t="s">
        <v>64</v>
      </c>
      <c r="I81" s="1" t="s">
        <v>64</v>
      </c>
      <c r="J81" s="1" t="s">
        <v>64</v>
      </c>
      <c r="K81" s="1" t="s">
        <v>64</v>
      </c>
      <c r="L81" s="1" t="s">
        <v>64</v>
      </c>
      <c r="M81" s="1" t="s">
        <v>64</v>
      </c>
      <c r="N81" s="1" t="s">
        <v>64</v>
      </c>
      <c r="O81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E28C-5E7D-4D1D-82E4-F23D7DC8206C}">
  <dimension ref="A1:R15"/>
  <sheetViews>
    <sheetView workbookViewId="0">
      <selection activeCell="D8" sqref="D8"/>
    </sheetView>
  </sheetViews>
  <sheetFormatPr defaultRowHeight="18.75"/>
  <sheetData>
    <row r="1" spans="1:18">
      <c r="A1" t="s">
        <v>503</v>
      </c>
    </row>
    <row r="2" spans="1:18">
      <c r="A2" t="s">
        <v>470</v>
      </c>
      <c r="B2" t="s">
        <v>11</v>
      </c>
      <c r="C2" t="s">
        <v>12</v>
      </c>
      <c r="D2" t="s">
        <v>471</v>
      </c>
      <c r="E2" t="s">
        <v>472</v>
      </c>
      <c r="F2" t="s">
        <v>473</v>
      </c>
      <c r="G2" t="s">
        <v>474</v>
      </c>
      <c r="H2" t="s">
        <v>475</v>
      </c>
      <c r="I2" t="s">
        <v>476</v>
      </c>
      <c r="J2" t="s">
        <v>477</v>
      </c>
      <c r="K2" t="s">
        <v>478</v>
      </c>
      <c r="L2" t="s">
        <v>479</v>
      </c>
      <c r="M2" t="s">
        <v>480</v>
      </c>
      <c r="N2" t="s">
        <v>481</v>
      </c>
      <c r="O2" t="s">
        <v>482</v>
      </c>
      <c r="P2" t="s">
        <v>483</v>
      </c>
      <c r="Q2" t="s">
        <v>484</v>
      </c>
      <c r="R2" t="s">
        <v>485</v>
      </c>
    </row>
    <row r="3" spans="1:18">
      <c r="A3">
        <v>1605</v>
      </c>
      <c r="B3" t="s">
        <v>486</v>
      </c>
      <c r="C3" t="s">
        <v>36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34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499</v>
      </c>
      <c r="B4" t="s">
        <v>500</v>
      </c>
      <c r="C4" t="s">
        <v>45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501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499</v>
      </c>
      <c r="B5" t="s">
        <v>500</v>
      </c>
      <c r="C5" t="s">
        <v>502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501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489</v>
      </c>
      <c r="C6" t="s">
        <v>488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487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490</v>
      </c>
      <c r="C7" t="s">
        <v>488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34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491</v>
      </c>
      <c r="C8" t="s">
        <v>36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492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493</v>
      </c>
      <c r="C9" t="s">
        <v>488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34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494</v>
      </c>
      <c r="C10" t="s">
        <v>488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34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495</v>
      </c>
      <c r="C11" t="s">
        <v>488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34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496</v>
      </c>
      <c r="C12" t="s">
        <v>488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34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497</v>
      </c>
      <c r="C13" t="s">
        <v>488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34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498</v>
      </c>
      <c r="C14" t="s">
        <v>488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487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64</v>
      </c>
      <c r="B15" s="1" t="s">
        <v>64</v>
      </c>
      <c r="C15" s="1" t="s">
        <v>64</v>
      </c>
      <c r="D15" s="1" t="s">
        <v>64</v>
      </c>
      <c r="E15" s="1" t="s">
        <v>64</v>
      </c>
      <c r="F15" s="1" t="s">
        <v>64</v>
      </c>
      <c r="G15" s="1" t="s">
        <v>64</v>
      </c>
      <c r="H15" s="1" t="s">
        <v>64</v>
      </c>
      <c r="I15" s="1" t="s">
        <v>64</v>
      </c>
      <c r="J15" s="1" t="s">
        <v>64</v>
      </c>
      <c r="K15" s="1" t="s">
        <v>64</v>
      </c>
      <c r="L15" s="1" t="s">
        <v>64</v>
      </c>
      <c r="M15" s="1" t="s">
        <v>64</v>
      </c>
      <c r="N15" s="1" t="s">
        <v>64</v>
      </c>
      <c r="O15" s="1" t="s">
        <v>64</v>
      </c>
      <c r="P15" s="1" t="s">
        <v>64</v>
      </c>
      <c r="Q15" s="1" t="s">
        <v>64</v>
      </c>
      <c r="R15" s="1" t="s">
        <v>64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B15A-499A-4F9F-93CF-814D299E598C}">
  <dimension ref="A1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1" spans="1:5">
      <c r="C1" t="s">
        <v>515</v>
      </c>
      <c r="D1" t="s">
        <v>516</v>
      </c>
      <c r="E1" t="s">
        <v>517</v>
      </c>
    </row>
    <row r="2" spans="1:5">
      <c r="A2" t="str" cm="1">
        <f t="array" ref="A2">_xll.RssMarketDes(C1:E1, B2)</f>
        <v>=RssMarketDes(C1:E1, B2) =&gt; 完了</v>
      </c>
      <c r="B2">
        <v>7203</v>
      </c>
      <c r="C2">
        <v>100</v>
      </c>
      <c r="D2">
        <v>2381</v>
      </c>
      <c r="E2">
        <v>3781</v>
      </c>
    </row>
    <row r="3" spans="1:5">
      <c r="B3" s="1"/>
      <c r="C3" s="1" t="s">
        <v>64</v>
      </c>
      <c r="D3" s="1" t="s">
        <v>64</v>
      </c>
      <c r="E3" s="1" t="s">
        <v>64</v>
      </c>
    </row>
    <row r="4" spans="1:5">
      <c r="B4" s="1"/>
      <c r="C4" t="s">
        <v>515</v>
      </c>
      <c r="D4" t="s">
        <v>516</v>
      </c>
      <c r="E4" t="s">
        <v>517</v>
      </c>
    </row>
    <row r="5" spans="1:5">
      <c r="A5" t="str" cm="1">
        <f t="array" ref="A5">_xll.RssMarketDes(C4:E4, B5)</f>
        <v>=RssMarketDes(C4:E4, B5) =&gt; 完了</v>
      </c>
      <c r="B5" s="1">
        <v>3436</v>
      </c>
      <c r="C5" s="1">
        <v>100</v>
      </c>
      <c r="D5" s="1">
        <v>2529</v>
      </c>
      <c r="E5" s="1">
        <v>3929</v>
      </c>
    </row>
    <row r="6" spans="1:5">
      <c r="B6" s="1"/>
      <c r="C6" s="1" t="s">
        <v>64</v>
      </c>
      <c r="D6" s="1" t="s">
        <v>64</v>
      </c>
      <c r="E6" s="1" t="s">
        <v>64</v>
      </c>
    </row>
    <row r="7" spans="1:5">
      <c r="C7" t="s">
        <v>515</v>
      </c>
      <c r="D7" t="s">
        <v>518</v>
      </c>
      <c r="E7" t="s">
        <v>517</v>
      </c>
    </row>
    <row r="8" spans="1:5">
      <c r="A8" t="str" cm="1">
        <f t="array" ref="A8">_xll.RssMarketDes(C7:E7, B8)</f>
        <v>=RssMarketDes(C7:E7, B8) =&gt; 完了</v>
      </c>
      <c r="B8">
        <v>9432</v>
      </c>
      <c r="C8">
        <v>100</v>
      </c>
      <c r="D8">
        <v>122.6</v>
      </c>
      <c r="E8">
        <v>222.6</v>
      </c>
    </row>
    <row r="9" spans="1:5">
      <c r="C9" s="1" t="s">
        <v>64</v>
      </c>
      <c r="D9" s="1" t="s">
        <v>64</v>
      </c>
      <c r="E9" s="1" t="s">
        <v>64</v>
      </c>
    </row>
    <row r="10" spans="1:5">
      <c r="C10" t="s">
        <v>515</v>
      </c>
      <c r="D10" t="s">
        <v>516</v>
      </c>
      <c r="E10" t="s">
        <v>517</v>
      </c>
    </row>
    <row r="11" spans="1:5">
      <c r="A11" t="str" cm="1">
        <f t="array" ref="A11">_xll.RssMarketDes(C10:E10, B11)</f>
        <v>=RssMarketDes(C10:E10, B11) =&gt; 完了</v>
      </c>
      <c r="B11">
        <v>6758</v>
      </c>
      <c r="C11">
        <v>100</v>
      </c>
      <c r="D11">
        <v>3185</v>
      </c>
      <c r="E11">
        <v>4585</v>
      </c>
    </row>
    <row r="12" spans="1:5">
      <c r="C12" s="1" t="s">
        <v>64</v>
      </c>
      <c r="D12" s="1" t="s">
        <v>64</v>
      </c>
      <c r="E12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E640-A069-4A3B-953E-F3069CE538CE}">
  <dimension ref="A1:O70"/>
  <sheetViews>
    <sheetView topLeftCell="A46" workbookViewId="0">
      <selection activeCell="C72" sqref="C72"/>
    </sheetView>
  </sheetViews>
  <sheetFormatPr defaultRowHeight="18.75"/>
  <cols>
    <col min="1" max="1" width="22.875" customWidth="1"/>
    <col min="2" max="2" width="15.5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863</v>
      </c>
      <c r="J2" t="s">
        <v>862</v>
      </c>
      <c r="K2" t="s">
        <v>864</v>
      </c>
      <c r="L2" t="s">
        <v>865</v>
      </c>
      <c r="M2" t="s">
        <v>111</v>
      </c>
      <c r="N2" t="s">
        <v>27</v>
      </c>
      <c r="O2" t="s">
        <v>112</v>
      </c>
    </row>
    <row r="3" spans="1:15">
      <c r="A3" s="1" t="s">
        <v>113</v>
      </c>
      <c r="B3" s="1">
        <v>20260814</v>
      </c>
      <c r="C3" s="1">
        <v>7011</v>
      </c>
      <c r="D3" s="1" t="s">
        <v>114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4061</v>
      </c>
      <c r="M3" s="1">
        <v>406100</v>
      </c>
      <c r="N3" s="1" t="s">
        <v>35</v>
      </c>
      <c r="O3" s="1">
        <v>0</v>
      </c>
    </row>
    <row r="4" spans="1:15">
      <c r="A4" t="s">
        <v>119</v>
      </c>
      <c r="B4">
        <v>20260814</v>
      </c>
      <c r="C4">
        <v>7012</v>
      </c>
      <c r="D4" t="s">
        <v>120</v>
      </c>
      <c r="E4" t="s">
        <v>45</v>
      </c>
      <c r="F4" t="s">
        <v>115</v>
      </c>
      <c r="G4" t="s">
        <v>46</v>
      </c>
      <c r="H4" t="s">
        <v>116</v>
      </c>
      <c r="I4" t="s">
        <v>117</v>
      </c>
      <c r="J4" t="s">
        <v>118</v>
      </c>
      <c r="K4">
        <v>100</v>
      </c>
      <c r="L4">
        <v>2724.5</v>
      </c>
      <c r="M4">
        <v>272450</v>
      </c>
      <c r="N4" t="s">
        <v>35</v>
      </c>
      <c r="O4">
        <v>0</v>
      </c>
    </row>
    <row r="5" spans="1:15">
      <c r="A5" s="1" t="s">
        <v>121</v>
      </c>
      <c r="B5" s="1">
        <v>20260814</v>
      </c>
      <c r="C5" s="1">
        <v>7011</v>
      </c>
      <c r="D5" s="1" t="s">
        <v>114</v>
      </c>
      <c r="E5" s="1" t="s">
        <v>45</v>
      </c>
      <c r="F5" s="1" t="s">
        <v>115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4054.8</v>
      </c>
      <c r="M5" s="1">
        <v>405480</v>
      </c>
      <c r="N5" s="1" t="s">
        <v>35</v>
      </c>
      <c r="O5" s="1">
        <v>0</v>
      </c>
    </row>
    <row r="6" spans="1:15">
      <c r="A6" t="s">
        <v>122</v>
      </c>
      <c r="B6">
        <v>20260814</v>
      </c>
      <c r="C6">
        <v>7011</v>
      </c>
      <c r="D6" t="s">
        <v>114</v>
      </c>
      <c r="E6" t="s">
        <v>45</v>
      </c>
      <c r="F6" t="s">
        <v>115</v>
      </c>
      <c r="G6" t="s">
        <v>46</v>
      </c>
      <c r="H6" t="s">
        <v>116</v>
      </c>
      <c r="I6" t="s">
        <v>123</v>
      </c>
      <c r="J6" t="s">
        <v>124</v>
      </c>
      <c r="K6">
        <v>200</v>
      </c>
      <c r="L6">
        <v>4062.2</v>
      </c>
      <c r="M6">
        <v>812440</v>
      </c>
      <c r="N6" t="s">
        <v>125</v>
      </c>
      <c r="O6">
        <v>0</v>
      </c>
    </row>
    <row r="7" spans="1:15">
      <c r="A7" t="s">
        <v>126</v>
      </c>
      <c r="B7">
        <v>20260814</v>
      </c>
      <c r="C7">
        <v>7011</v>
      </c>
      <c r="D7" t="s">
        <v>114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4036.9</v>
      </c>
      <c r="M7">
        <v>403690</v>
      </c>
      <c r="N7" t="s">
        <v>35</v>
      </c>
      <c r="O7">
        <v>0</v>
      </c>
    </row>
    <row r="8" spans="1:15">
      <c r="A8" t="s">
        <v>127</v>
      </c>
      <c r="B8">
        <v>20260814</v>
      </c>
      <c r="C8">
        <v>7011</v>
      </c>
      <c r="D8" t="s">
        <v>114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4018</v>
      </c>
      <c r="M8">
        <v>401800</v>
      </c>
      <c r="N8" t="s">
        <v>125</v>
      </c>
      <c r="O8">
        <v>0</v>
      </c>
    </row>
    <row r="9" spans="1:15">
      <c r="A9" t="s">
        <v>128</v>
      </c>
      <c r="B9">
        <v>20260814</v>
      </c>
      <c r="C9">
        <v>7011</v>
      </c>
      <c r="D9" t="s">
        <v>114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4021</v>
      </c>
      <c r="M9">
        <v>402100</v>
      </c>
      <c r="N9" t="s">
        <v>35</v>
      </c>
      <c r="O9">
        <v>0</v>
      </c>
    </row>
    <row r="10" spans="1:15">
      <c r="A10" s="1" t="s">
        <v>129</v>
      </c>
      <c r="B10" s="1">
        <v>20260814</v>
      </c>
      <c r="C10" s="1">
        <v>7011</v>
      </c>
      <c r="D10" s="1" t="s">
        <v>114</v>
      </c>
      <c r="E10" s="1" t="s">
        <v>45</v>
      </c>
      <c r="F10" s="1" t="s">
        <v>130</v>
      </c>
      <c r="G10" s="1" t="s">
        <v>46</v>
      </c>
      <c r="H10" s="1" t="s">
        <v>116</v>
      </c>
      <c r="I10" s="1" t="s">
        <v>117</v>
      </c>
      <c r="J10" s="1" t="s">
        <v>118</v>
      </c>
      <c r="K10" s="1">
        <v>100</v>
      </c>
      <c r="L10" s="1">
        <v>4029</v>
      </c>
      <c r="M10" s="1">
        <v>402900</v>
      </c>
      <c r="N10" s="1" t="s">
        <v>35</v>
      </c>
      <c r="O10" s="1">
        <v>0</v>
      </c>
    </row>
    <row r="11" spans="1:15">
      <c r="A11" s="1" t="s">
        <v>131</v>
      </c>
      <c r="B11" s="1">
        <v>20260814</v>
      </c>
      <c r="C11" s="1">
        <v>7012</v>
      </c>
      <c r="D11" s="1" t="s">
        <v>120</v>
      </c>
      <c r="E11" s="1" t="s">
        <v>45</v>
      </c>
      <c r="F11" s="1" t="s">
        <v>115</v>
      </c>
      <c r="G11" s="1" t="s">
        <v>46</v>
      </c>
      <c r="H11" s="1" t="s">
        <v>116</v>
      </c>
      <c r="I11" s="1" t="s">
        <v>123</v>
      </c>
      <c r="J11" s="1" t="s">
        <v>124</v>
      </c>
      <c r="K11" s="1">
        <v>100</v>
      </c>
      <c r="L11" s="1">
        <v>2730.5</v>
      </c>
      <c r="M11" s="1">
        <v>273050</v>
      </c>
      <c r="N11" s="1" t="s">
        <v>125</v>
      </c>
      <c r="O11" s="1">
        <v>0</v>
      </c>
    </row>
    <row r="12" spans="1:15">
      <c r="A12" s="1" t="s">
        <v>132</v>
      </c>
      <c r="B12" s="1">
        <v>20260814</v>
      </c>
      <c r="C12" s="1">
        <v>7012</v>
      </c>
      <c r="D12" s="1" t="s">
        <v>120</v>
      </c>
      <c r="E12" s="1" t="s">
        <v>45</v>
      </c>
      <c r="F12" s="1" t="s">
        <v>115</v>
      </c>
      <c r="G12" s="1" t="s">
        <v>46</v>
      </c>
      <c r="H12" s="1" t="s">
        <v>116</v>
      </c>
      <c r="I12" s="1" t="s">
        <v>117</v>
      </c>
      <c r="J12" s="1" t="s">
        <v>118</v>
      </c>
      <c r="K12" s="1">
        <v>100</v>
      </c>
      <c r="L12" s="1">
        <v>2733</v>
      </c>
      <c r="M12" s="1">
        <v>273300</v>
      </c>
      <c r="N12" s="1" t="s">
        <v>35</v>
      </c>
      <c r="O12" s="1">
        <v>0</v>
      </c>
    </row>
    <row r="13" spans="1:15">
      <c r="A13" s="1" t="s">
        <v>133</v>
      </c>
      <c r="B13" s="1">
        <v>20260814</v>
      </c>
      <c r="C13" s="1">
        <v>7011</v>
      </c>
      <c r="D13" s="1" t="s">
        <v>114</v>
      </c>
      <c r="E13" s="1" t="s">
        <v>45</v>
      </c>
      <c r="F13" s="1" t="s">
        <v>115</v>
      </c>
      <c r="G13" s="1" t="s">
        <v>46</v>
      </c>
      <c r="H13" s="1" t="s">
        <v>116</v>
      </c>
      <c r="I13" s="1" t="s">
        <v>123</v>
      </c>
      <c r="J13" s="1" t="s">
        <v>124</v>
      </c>
      <c r="K13" s="1">
        <v>100</v>
      </c>
      <c r="L13" s="1">
        <v>4038.1</v>
      </c>
      <c r="M13" s="1">
        <v>403810</v>
      </c>
      <c r="N13" s="1" t="s">
        <v>125</v>
      </c>
      <c r="O13" s="1">
        <v>0</v>
      </c>
    </row>
    <row r="14" spans="1:15">
      <c r="A14" s="1" t="s">
        <v>134</v>
      </c>
      <c r="B14" s="1">
        <v>20260814</v>
      </c>
      <c r="C14" s="1">
        <v>7011</v>
      </c>
      <c r="D14" s="1" t="s">
        <v>114</v>
      </c>
      <c r="E14" s="1" t="s">
        <v>45</v>
      </c>
      <c r="F14" s="1" t="s">
        <v>115</v>
      </c>
      <c r="G14" s="1" t="s">
        <v>46</v>
      </c>
      <c r="H14" s="1" t="s">
        <v>116</v>
      </c>
      <c r="I14" s="1" t="s">
        <v>117</v>
      </c>
      <c r="J14" s="1" t="s">
        <v>118</v>
      </c>
      <c r="K14" s="1">
        <v>100</v>
      </c>
      <c r="L14" s="1">
        <v>4032.9</v>
      </c>
      <c r="M14" s="1">
        <v>403290</v>
      </c>
      <c r="N14" s="1" t="s">
        <v>35</v>
      </c>
      <c r="O14" s="1">
        <v>0</v>
      </c>
    </row>
    <row r="15" spans="1:15">
      <c r="A15" s="1" t="s">
        <v>135</v>
      </c>
      <c r="B15" s="1">
        <v>20260814</v>
      </c>
      <c r="C15" s="1">
        <v>7011</v>
      </c>
      <c r="D15" s="1" t="s">
        <v>114</v>
      </c>
      <c r="E15" s="1" t="s">
        <v>45</v>
      </c>
      <c r="F15" s="1" t="s">
        <v>115</v>
      </c>
      <c r="G15" s="1" t="s">
        <v>46</v>
      </c>
      <c r="H15" s="1" t="s">
        <v>116</v>
      </c>
      <c r="I15" s="1" t="s">
        <v>123</v>
      </c>
      <c r="J15" s="1" t="s">
        <v>124</v>
      </c>
      <c r="K15" s="1">
        <v>100</v>
      </c>
      <c r="L15" s="1">
        <v>4051.8</v>
      </c>
      <c r="M15" s="1">
        <v>405180</v>
      </c>
      <c r="N15" s="1" t="s">
        <v>125</v>
      </c>
      <c r="O15" s="1">
        <v>0</v>
      </c>
    </row>
    <row r="16" spans="1:15">
      <c r="A16" t="s">
        <v>136</v>
      </c>
      <c r="B16">
        <v>20260814</v>
      </c>
      <c r="C16">
        <v>7012</v>
      </c>
      <c r="D16" t="s">
        <v>120</v>
      </c>
      <c r="E16" t="s">
        <v>45</v>
      </c>
      <c r="F16" t="s">
        <v>115</v>
      </c>
      <c r="G16" t="s">
        <v>46</v>
      </c>
      <c r="H16" t="s">
        <v>116</v>
      </c>
      <c r="I16" t="s">
        <v>117</v>
      </c>
      <c r="J16" t="s">
        <v>118</v>
      </c>
      <c r="K16">
        <v>100</v>
      </c>
      <c r="L16">
        <v>2746.8</v>
      </c>
      <c r="M16">
        <v>274680</v>
      </c>
      <c r="N16" t="s">
        <v>35</v>
      </c>
      <c r="O16">
        <v>0</v>
      </c>
    </row>
    <row r="17" spans="1:15">
      <c r="A17" s="1" t="s">
        <v>137</v>
      </c>
      <c r="B17" s="1">
        <v>20260814</v>
      </c>
      <c r="C17" s="1">
        <v>7011</v>
      </c>
      <c r="D17" s="1" t="s">
        <v>114</v>
      </c>
      <c r="E17" s="1" t="s">
        <v>45</v>
      </c>
      <c r="F17" s="1" t="s">
        <v>115</v>
      </c>
      <c r="G17" s="1" t="s">
        <v>46</v>
      </c>
      <c r="H17" s="1" t="s">
        <v>116</v>
      </c>
      <c r="I17" s="1" t="s">
        <v>123</v>
      </c>
      <c r="J17" s="1" t="s">
        <v>124</v>
      </c>
      <c r="K17" s="1">
        <v>100</v>
      </c>
      <c r="L17" s="1">
        <v>4058</v>
      </c>
      <c r="M17" s="1">
        <v>405800</v>
      </c>
      <c r="N17" s="1" t="s">
        <v>125</v>
      </c>
      <c r="O17" s="1">
        <v>0</v>
      </c>
    </row>
    <row r="18" spans="1:15">
      <c r="A18" t="s">
        <v>138</v>
      </c>
      <c r="B18">
        <v>20260814</v>
      </c>
      <c r="C18">
        <v>5016</v>
      </c>
      <c r="D18" t="s">
        <v>139</v>
      </c>
      <c r="E18" t="s">
        <v>45</v>
      </c>
      <c r="F18" t="s">
        <v>115</v>
      </c>
      <c r="G18" t="s">
        <v>46</v>
      </c>
      <c r="H18" t="s">
        <v>116</v>
      </c>
      <c r="I18" t="s">
        <v>117</v>
      </c>
      <c r="J18" t="s">
        <v>118</v>
      </c>
      <c r="K18">
        <v>100</v>
      </c>
      <c r="L18">
        <v>3783.9</v>
      </c>
      <c r="M18">
        <v>378390</v>
      </c>
      <c r="N18" t="s">
        <v>35</v>
      </c>
      <c r="O18">
        <v>0</v>
      </c>
    </row>
    <row r="19" spans="1:15">
      <c r="A19" t="s">
        <v>140</v>
      </c>
      <c r="B19">
        <v>20260814</v>
      </c>
      <c r="C19">
        <v>7012</v>
      </c>
      <c r="D19" t="s">
        <v>120</v>
      </c>
      <c r="E19" t="s">
        <v>45</v>
      </c>
      <c r="F19" t="s">
        <v>115</v>
      </c>
      <c r="G19" t="s">
        <v>46</v>
      </c>
      <c r="H19" t="s">
        <v>116</v>
      </c>
      <c r="I19" t="s">
        <v>123</v>
      </c>
      <c r="J19" t="s">
        <v>124</v>
      </c>
      <c r="K19">
        <v>100</v>
      </c>
      <c r="L19">
        <v>2749</v>
      </c>
      <c r="M19">
        <v>274900</v>
      </c>
      <c r="N19" t="s">
        <v>125</v>
      </c>
      <c r="O19">
        <v>0</v>
      </c>
    </row>
    <row r="20" spans="1:15">
      <c r="A20" t="s">
        <v>141</v>
      </c>
      <c r="B20">
        <v>20260814</v>
      </c>
      <c r="C20">
        <v>7011</v>
      </c>
      <c r="D20" t="s">
        <v>114</v>
      </c>
      <c r="E20" t="s">
        <v>45</v>
      </c>
      <c r="F20" t="s">
        <v>115</v>
      </c>
      <c r="G20" t="s">
        <v>46</v>
      </c>
      <c r="H20" t="s">
        <v>116</v>
      </c>
      <c r="I20" t="s">
        <v>117</v>
      </c>
      <c r="J20" t="s">
        <v>118</v>
      </c>
      <c r="K20">
        <v>100</v>
      </c>
      <c r="L20">
        <v>4065.9</v>
      </c>
      <c r="M20">
        <v>406590</v>
      </c>
      <c r="N20" t="s">
        <v>35</v>
      </c>
      <c r="O20">
        <v>0</v>
      </c>
    </row>
    <row r="21" spans="1:15">
      <c r="A21" t="s">
        <v>142</v>
      </c>
      <c r="B21">
        <v>20260814</v>
      </c>
      <c r="C21">
        <v>7011</v>
      </c>
      <c r="D21" t="s">
        <v>114</v>
      </c>
      <c r="E21" t="s">
        <v>45</v>
      </c>
      <c r="F21" t="s">
        <v>115</v>
      </c>
      <c r="G21" t="s">
        <v>46</v>
      </c>
      <c r="H21" t="s">
        <v>116</v>
      </c>
      <c r="I21" t="s">
        <v>123</v>
      </c>
      <c r="J21" t="s">
        <v>124</v>
      </c>
      <c r="K21">
        <v>100</v>
      </c>
      <c r="L21">
        <v>4066</v>
      </c>
      <c r="M21">
        <v>406600</v>
      </c>
      <c r="N21" t="s">
        <v>125</v>
      </c>
      <c r="O21">
        <v>0</v>
      </c>
    </row>
    <row r="22" spans="1:15">
      <c r="A22" t="s">
        <v>143</v>
      </c>
      <c r="B22">
        <v>20260814</v>
      </c>
      <c r="C22">
        <v>7011</v>
      </c>
      <c r="D22" t="s">
        <v>114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4065.9</v>
      </c>
      <c r="M22">
        <v>406590</v>
      </c>
      <c r="N22" t="s">
        <v>35</v>
      </c>
      <c r="O22">
        <v>0</v>
      </c>
    </row>
    <row r="23" spans="1:15">
      <c r="A23" t="s">
        <v>144</v>
      </c>
      <c r="B23">
        <v>20260814</v>
      </c>
      <c r="C23">
        <v>7011</v>
      </c>
      <c r="D23" t="s">
        <v>114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4073.1</v>
      </c>
      <c r="M23">
        <v>407310</v>
      </c>
      <c r="N23" t="s">
        <v>125</v>
      </c>
      <c r="O23">
        <v>0</v>
      </c>
    </row>
    <row r="24" spans="1:15">
      <c r="A24" t="s">
        <v>145</v>
      </c>
      <c r="B24">
        <v>20260814</v>
      </c>
      <c r="C24">
        <v>7011</v>
      </c>
      <c r="D24" t="s">
        <v>114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4076</v>
      </c>
      <c r="M24">
        <v>407600</v>
      </c>
      <c r="N24" t="s">
        <v>35</v>
      </c>
      <c r="O24">
        <v>0</v>
      </c>
    </row>
    <row r="25" spans="1:15">
      <c r="A25" s="1" t="s">
        <v>146</v>
      </c>
      <c r="B25" s="1">
        <v>20260814</v>
      </c>
      <c r="C25" s="1">
        <v>7011</v>
      </c>
      <c r="D25" s="1" t="s">
        <v>114</v>
      </c>
      <c r="E25" s="1" t="s">
        <v>45</v>
      </c>
      <c r="F25" s="1" t="s">
        <v>130</v>
      </c>
      <c r="G25" s="1" t="s">
        <v>46</v>
      </c>
      <c r="H25" s="1" t="s">
        <v>116</v>
      </c>
      <c r="I25" s="1" t="s">
        <v>123</v>
      </c>
      <c r="J25" s="1" t="s">
        <v>124</v>
      </c>
      <c r="K25" s="1">
        <v>100</v>
      </c>
      <c r="L25" s="1">
        <v>4066</v>
      </c>
      <c r="M25" s="1">
        <v>406600</v>
      </c>
      <c r="N25" s="1" t="s">
        <v>125</v>
      </c>
      <c r="O25" s="1">
        <v>0</v>
      </c>
    </row>
    <row r="26" spans="1:15">
      <c r="A26" s="1" t="s">
        <v>147</v>
      </c>
      <c r="B26" s="1">
        <v>20260814</v>
      </c>
      <c r="C26" s="1">
        <v>7011</v>
      </c>
      <c r="D26" s="1" t="s">
        <v>114</v>
      </c>
      <c r="E26" s="1" t="s">
        <v>45</v>
      </c>
      <c r="F26" s="1" t="s">
        <v>115</v>
      </c>
      <c r="G26" s="1" t="s">
        <v>46</v>
      </c>
      <c r="H26" s="1" t="s">
        <v>116</v>
      </c>
      <c r="I26" s="1" t="s">
        <v>117</v>
      </c>
      <c r="J26" s="1" t="s">
        <v>118</v>
      </c>
      <c r="K26" s="1">
        <v>100</v>
      </c>
      <c r="L26" s="1">
        <v>4067.3</v>
      </c>
      <c r="M26" s="1">
        <v>406730</v>
      </c>
      <c r="N26" s="1" t="s">
        <v>35</v>
      </c>
      <c r="O26" s="1">
        <v>0</v>
      </c>
    </row>
    <row r="27" spans="1:15">
      <c r="A27" s="1" t="s">
        <v>148</v>
      </c>
      <c r="B27" s="1">
        <v>20260814</v>
      </c>
      <c r="C27" s="1">
        <v>7012</v>
      </c>
      <c r="D27" s="1" t="s">
        <v>120</v>
      </c>
      <c r="E27" s="1" t="s">
        <v>45</v>
      </c>
      <c r="F27" s="1" t="s">
        <v>115</v>
      </c>
      <c r="G27" s="1" t="s">
        <v>46</v>
      </c>
      <c r="H27" s="1" t="s">
        <v>116</v>
      </c>
      <c r="I27" s="1" t="s">
        <v>123</v>
      </c>
      <c r="J27" s="1" t="s">
        <v>124</v>
      </c>
      <c r="K27" s="1">
        <v>100</v>
      </c>
      <c r="L27" s="1">
        <v>2744.3</v>
      </c>
      <c r="M27" s="1">
        <v>274430</v>
      </c>
      <c r="N27" s="1" t="s">
        <v>125</v>
      </c>
      <c r="O27" s="1">
        <v>0</v>
      </c>
    </row>
    <row r="28" spans="1:15">
      <c r="A28" s="1" t="s">
        <v>149</v>
      </c>
      <c r="B28" s="1">
        <v>20260814</v>
      </c>
      <c r="C28" s="1">
        <v>7011</v>
      </c>
      <c r="D28" s="1" t="s">
        <v>114</v>
      </c>
      <c r="E28" s="1" t="s">
        <v>45</v>
      </c>
      <c r="F28" s="1" t="s">
        <v>115</v>
      </c>
      <c r="G28" s="1" t="s">
        <v>46</v>
      </c>
      <c r="H28" s="1" t="s">
        <v>116</v>
      </c>
      <c r="I28" s="1" t="s">
        <v>123</v>
      </c>
      <c r="J28" s="1" t="s">
        <v>124</v>
      </c>
      <c r="K28" s="1">
        <v>100</v>
      </c>
      <c r="L28" s="1">
        <v>4072.8</v>
      </c>
      <c r="M28" s="1">
        <v>407280</v>
      </c>
      <c r="N28" s="1" t="s">
        <v>125</v>
      </c>
      <c r="O28" s="1">
        <v>0</v>
      </c>
    </row>
    <row r="29" spans="1:15">
      <c r="A29" s="1" t="s">
        <v>150</v>
      </c>
      <c r="B29" s="1">
        <v>20260814</v>
      </c>
      <c r="C29" s="1">
        <v>7012</v>
      </c>
      <c r="D29" s="1" t="s">
        <v>120</v>
      </c>
      <c r="E29" s="1" t="s">
        <v>45</v>
      </c>
      <c r="F29" s="1" t="s">
        <v>115</v>
      </c>
      <c r="G29" s="1" t="s">
        <v>46</v>
      </c>
      <c r="H29" s="1" t="s">
        <v>116</v>
      </c>
      <c r="I29" s="1" t="s">
        <v>117</v>
      </c>
      <c r="J29" s="1" t="s">
        <v>118</v>
      </c>
      <c r="K29" s="1">
        <v>100</v>
      </c>
      <c r="L29" s="1">
        <v>2745.9</v>
      </c>
      <c r="M29" s="1">
        <v>274590</v>
      </c>
      <c r="N29" s="1" t="s">
        <v>35</v>
      </c>
      <c r="O29" s="1">
        <v>0</v>
      </c>
    </row>
    <row r="30" spans="1:15">
      <c r="A30" s="1" t="s">
        <v>151</v>
      </c>
      <c r="B30" s="1">
        <v>20260814</v>
      </c>
      <c r="C30" s="1">
        <v>3436</v>
      </c>
      <c r="D30" s="1" t="s">
        <v>152</v>
      </c>
      <c r="E30" s="1" t="s">
        <v>45</v>
      </c>
      <c r="F30" s="1" t="s">
        <v>115</v>
      </c>
      <c r="G30" s="1" t="s">
        <v>46</v>
      </c>
      <c r="H30" s="1" t="s">
        <v>116</v>
      </c>
      <c r="I30" s="1" t="s">
        <v>117</v>
      </c>
      <c r="J30" s="1" t="s">
        <v>118</v>
      </c>
      <c r="K30" s="1">
        <v>100</v>
      </c>
      <c r="L30" s="1">
        <v>3601</v>
      </c>
      <c r="M30" s="1">
        <v>360100</v>
      </c>
      <c r="N30" s="1" t="s">
        <v>35</v>
      </c>
      <c r="O30" s="1">
        <v>0</v>
      </c>
    </row>
    <row r="31" spans="1:15">
      <c r="A31" s="1" t="s">
        <v>153</v>
      </c>
      <c r="B31" s="1">
        <v>20260814</v>
      </c>
      <c r="C31" s="1">
        <v>7012</v>
      </c>
      <c r="D31" s="1" t="s">
        <v>120</v>
      </c>
      <c r="E31" s="1" t="s">
        <v>45</v>
      </c>
      <c r="F31" s="1" t="s">
        <v>130</v>
      </c>
      <c r="G31" s="1" t="s">
        <v>46</v>
      </c>
      <c r="H31" s="1" t="s">
        <v>116</v>
      </c>
      <c r="I31" s="1" t="s">
        <v>123</v>
      </c>
      <c r="J31" s="1" t="s">
        <v>124</v>
      </c>
      <c r="K31" s="1">
        <v>100</v>
      </c>
      <c r="L31" s="1">
        <v>2744</v>
      </c>
      <c r="M31" s="1">
        <v>274400</v>
      </c>
      <c r="N31" s="1" t="s">
        <v>125</v>
      </c>
      <c r="O31" s="1">
        <v>0</v>
      </c>
    </row>
    <row r="32" spans="1:15">
      <c r="A32" s="1" t="s">
        <v>154</v>
      </c>
      <c r="B32" s="1">
        <v>20260814</v>
      </c>
      <c r="C32" s="1">
        <v>3436</v>
      </c>
      <c r="D32" s="1" t="s">
        <v>152</v>
      </c>
      <c r="E32" s="1" t="s">
        <v>45</v>
      </c>
      <c r="F32" s="1" t="s">
        <v>115</v>
      </c>
      <c r="G32" s="1" t="s">
        <v>46</v>
      </c>
      <c r="H32" s="1" t="s">
        <v>116</v>
      </c>
      <c r="I32" s="1" t="s">
        <v>123</v>
      </c>
      <c r="J32" s="1" t="s">
        <v>124</v>
      </c>
      <c r="K32" s="1">
        <v>100</v>
      </c>
      <c r="L32" s="1">
        <v>3609</v>
      </c>
      <c r="M32" s="1">
        <v>360900</v>
      </c>
      <c r="N32" s="1" t="s">
        <v>125</v>
      </c>
      <c r="O32" s="1">
        <v>0</v>
      </c>
    </row>
    <row r="33" spans="1:15">
      <c r="A33" s="1" t="s">
        <v>155</v>
      </c>
      <c r="B33" s="1">
        <v>20260814</v>
      </c>
      <c r="C33" s="1">
        <v>3436</v>
      </c>
      <c r="D33" s="1" t="s">
        <v>152</v>
      </c>
      <c r="E33" s="1" t="s">
        <v>45</v>
      </c>
      <c r="F33" s="1" t="s">
        <v>115</v>
      </c>
      <c r="G33" s="1" t="s">
        <v>46</v>
      </c>
      <c r="H33" s="1" t="s">
        <v>116</v>
      </c>
      <c r="I33" s="1" t="s">
        <v>117</v>
      </c>
      <c r="J33" s="1" t="s">
        <v>118</v>
      </c>
      <c r="K33" s="1">
        <v>100</v>
      </c>
      <c r="L33" s="1">
        <v>3607.8</v>
      </c>
      <c r="M33" s="1">
        <v>360780</v>
      </c>
      <c r="N33" s="1" t="s">
        <v>35</v>
      </c>
      <c r="O33" s="1">
        <v>0</v>
      </c>
    </row>
    <row r="34" spans="1:15">
      <c r="A34" s="1" t="s">
        <v>156</v>
      </c>
      <c r="B34" s="1">
        <v>20260814</v>
      </c>
      <c r="C34" s="1">
        <v>7012</v>
      </c>
      <c r="D34" s="1" t="s">
        <v>120</v>
      </c>
      <c r="E34" s="1" t="s">
        <v>45</v>
      </c>
      <c r="F34" s="1" t="s">
        <v>115</v>
      </c>
      <c r="G34" s="1" t="s">
        <v>46</v>
      </c>
      <c r="H34" s="1" t="s">
        <v>116</v>
      </c>
      <c r="I34" s="1" t="s">
        <v>117</v>
      </c>
      <c r="J34" s="1" t="s">
        <v>118</v>
      </c>
      <c r="K34" s="1">
        <v>100</v>
      </c>
      <c r="L34" s="1">
        <v>2745.5</v>
      </c>
      <c r="M34" s="1">
        <v>274550</v>
      </c>
      <c r="N34" s="1" t="s">
        <v>35</v>
      </c>
      <c r="O34" s="1">
        <v>0</v>
      </c>
    </row>
    <row r="35" spans="1:15">
      <c r="A35" s="1" t="s">
        <v>157</v>
      </c>
      <c r="B35" s="1">
        <v>20260814</v>
      </c>
      <c r="C35" s="1">
        <v>7012</v>
      </c>
      <c r="D35" s="1" t="s">
        <v>120</v>
      </c>
      <c r="E35" s="1" t="s">
        <v>45</v>
      </c>
      <c r="F35" s="1" t="s">
        <v>115</v>
      </c>
      <c r="G35" s="1" t="s">
        <v>46</v>
      </c>
      <c r="H35" s="1" t="s">
        <v>116</v>
      </c>
      <c r="I35" s="1" t="s">
        <v>123</v>
      </c>
      <c r="J35" s="1" t="s">
        <v>124</v>
      </c>
      <c r="K35" s="1">
        <v>100</v>
      </c>
      <c r="L35" s="1">
        <v>2742.6</v>
      </c>
      <c r="M35" s="1">
        <v>274260</v>
      </c>
      <c r="N35" s="1" t="s">
        <v>125</v>
      </c>
      <c r="O35" s="1">
        <v>0</v>
      </c>
    </row>
    <row r="36" spans="1:15">
      <c r="A36" t="s">
        <v>158</v>
      </c>
      <c r="B36">
        <v>20260814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3654.4</v>
      </c>
      <c r="M36">
        <v>365440</v>
      </c>
      <c r="N36" t="s">
        <v>35</v>
      </c>
      <c r="O36">
        <v>0</v>
      </c>
    </row>
    <row r="37" spans="1:15">
      <c r="A37" t="s">
        <v>159</v>
      </c>
      <c r="B37">
        <v>20260814</v>
      </c>
      <c r="C37">
        <v>5016</v>
      </c>
      <c r="D37" t="s">
        <v>139</v>
      </c>
      <c r="E37" t="s">
        <v>45</v>
      </c>
      <c r="F37" t="s">
        <v>115</v>
      </c>
      <c r="G37" t="s">
        <v>46</v>
      </c>
      <c r="H37" t="s">
        <v>116</v>
      </c>
      <c r="I37" t="s">
        <v>123</v>
      </c>
      <c r="J37" t="s">
        <v>124</v>
      </c>
      <c r="K37">
        <v>100</v>
      </c>
      <c r="L37">
        <v>3784.9</v>
      </c>
      <c r="M37">
        <v>378490</v>
      </c>
      <c r="N37" t="s">
        <v>125</v>
      </c>
      <c r="O37">
        <v>0</v>
      </c>
    </row>
    <row r="38" spans="1:15">
      <c r="A38" t="s">
        <v>160</v>
      </c>
      <c r="B38">
        <v>20260814</v>
      </c>
      <c r="C38">
        <v>3436</v>
      </c>
      <c r="D38" t="s">
        <v>152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3653.4</v>
      </c>
      <c r="M38">
        <v>365340</v>
      </c>
      <c r="N38" t="s">
        <v>125</v>
      </c>
      <c r="O38">
        <v>0</v>
      </c>
    </row>
    <row r="39" spans="1:15">
      <c r="A39" t="s">
        <v>161</v>
      </c>
      <c r="B39">
        <v>20260814</v>
      </c>
      <c r="C39">
        <v>3436</v>
      </c>
      <c r="D39" t="s">
        <v>152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3640.2</v>
      </c>
      <c r="M39">
        <v>364020</v>
      </c>
      <c r="N39" t="s">
        <v>125</v>
      </c>
      <c r="O39">
        <v>0</v>
      </c>
    </row>
    <row r="40" spans="1:15">
      <c r="A40" t="s">
        <v>162</v>
      </c>
      <c r="B40">
        <v>20260814</v>
      </c>
      <c r="C40">
        <v>3436</v>
      </c>
      <c r="D40" t="s">
        <v>152</v>
      </c>
      <c r="E40" t="s">
        <v>45</v>
      </c>
      <c r="F40" t="s">
        <v>130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3642</v>
      </c>
      <c r="M40">
        <v>364200</v>
      </c>
      <c r="N40" t="s">
        <v>35</v>
      </c>
      <c r="O40">
        <v>0</v>
      </c>
    </row>
    <row r="41" spans="1:15">
      <c r="A41" t="s">
        <v>163</v>
      </c>
      <c r="B41">
        <v>20260814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3646.7</v>
      </c>
      <c r="M41">
        <v>364670</v>
      </c>
      <c r="N41" t="s">
        <v>125</v>
      </c>
      <c r="O41">
        <v>0</v>
      </c>
    </row>
    <row r="42" spans="1:15">
      <c r="A42" t="s">
        <v>164</v>
      </c>
      <c r="B42">
        <v>20260814</v>
      </c>
      <c r="C42">
        <v>6613</v>
      </c>
      <c r="D42" t="s">
        <v>165</v>
      </c>
      <c r="E42" t="s">
        <v>45</v>
      </c>
      <c r="F42" t="s">
        <v>130</v>
      </c>
      <c r="G42" t="s">
        <v>46</v>
      </c>
      <c r="H42" t="s">
        <v>116</v>
      </c>
      <c r="I42" t="s">
        <v>117</v>
      </c>
      <c r="J42" t="s">
        <v>118</v>
      </c>
      <c r="K42">
        <v>200</v>
      </c>
      <c r="L42">
        <v>1724</v>
      </c>
      <c r="M42">
        <v>344800</v>
      </c>
      <c r="N42" t="s">
        <v>35</v>
      </c>
      <c r="O42">
        <v>0</v>
      </c>
    </row>
    <row r="43" spans="1:15">
      <c r="A43" t="s">
        <v>166</v>
      </c>
      <c r="B43">
        <v>20260814</v>
      </c>
      <c r="C43">
        <v>5016</v>
      </c>
      <c r="D43" t="s">
        <v>139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3796.8</v>
      </c>
      <c r="M43">
        <v>379680</v>
      </c>
      <c r="N43" t="s">
        <v>35</v>
      </c>
      <c r="O43">
        <v>0</v>
      </c>
    </row>
    <row r="44" spans="1:15">
      <c r="A44" t="s">
        <v>167</v>
      </c>
      <c r="B44">
        <v>20260814</v>
      </c>
      <c r="C44">
        <v>6613</v>
      </c>
      <c r="D44" t="s">
        <v>165</v>
      </c>
      <c r="E44" t="s">
        <v>45</v>
      </c>
      <c r="F44" t="s">
        <v>130</v>
      </c>
      <c r="G44" t="s">
        <v>46</v>
      </c>
      <c r="H44" t="s">
        <v>116</v>
      </c>
      <c r="I44" t="s">
        <v>117</v>
      </c>
      <c r="J44" t="s">
        <v>118</v>
      </c>
      <c r="K44">
        <v>100</v>
      </c>
      <c r="L44">
        <v>1795</v>
      </c>
      <c r="M44">
        <v>179500</v>
      </c>
      <c r="N44" t="s">
        <v>35</v>
      </c>
      <c r="O44">
        <v>0</v>
      </c>
    </row>
    <row r="45" spans="1:15">
      <c r="A45" t="s">
        <v>168</v>
      </c>
      <c r="B45">
        <v>20260814</v>
      </c>
      <c r="C45">
        <v>6613</v>
      </c>
      <c r="D45" t="s">
        <v>165</v>
      </c>
      <c r="E45" t="s">
        <v>45</v>
      </c>
      <c r="F45" t="s">
        <v>115</v>
      </c>
      <c r="G45" t="s">
        <v>46</v>
      </c>
      <c r="H45" t="s">
        <v>116</v>
      </c>
      <c r="I45" t="s">
        <v>123</v>
      </c>
      <c r="J45" t="s">
        <v>124</v>
      </c>
      <c r="K45">
        <v>300</v>
      </c>
      <c r="L45">
        <v>1760.9</v>
      </c>
      <c r="M45">
        <v>528270</v>
      </c>
      <c r="N45" t="s">
        <v>125</v>
      </c>
      <c r="O45">
        <v>0</v>
      </c>
    </row>
    <row r="46" spans="1:15">
      <c r="A46" t="s">
        <v>169</v>
      </c>
      <c r="B46">
        <v>20260814</v>
      </c>
      <c r="C46">
        <v>3436</v>
      </c>
      <c r="D46" t="s">
        <v>152</v>
      </c>
      <c r="E46" t="s">
        <v>45</v>
      </c>
      <c r="F46" t="s">
        <v>115</v>
      </c>
      <c r="G46" t="s">
        <v>46</v>
      </c>
      <c r="H46" t="s">
        <v>116</v>
      </c>
      <c r="I46" t="s">
        <v>117</v>
      </c>
      <c r="J46" t="s">
        <v>118</v>
      </c>
      <c r="K46">
        <v>100</v>
      </c>
      <c r="L46">
        <v>3629.9</v>
      </c>
      <c r="M46">
        <v>362990</v>
      </c>
      <c r="N46" t="s">
        <v>35</v>
      </c>
      <c r="O46">
        <v>0</v>
      </c>
    </row>
    <row r="47" spans="1:15">
      <c r="A47" t="s">
        <v>170</v>
      </c>
      <c r="B47">
        <v>20260814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3615.1</v>
      </c>
      <c r="M47">
        <v>361510</v>
      </c>
      <c r="N47" t="s">
        <v>125</v>
      </c>
      <c r="O47">
        <v>0</v>
      </c>
    </row>
    <row r="48" spans="1:15">
      <c r="A48" t="s">
        <v>171</v>
      </c>
      <c r="B48">
        <v>20260814</v>
      </c>
      <c r="C48">
        <v>8136</v>
      </c>
      <c r="D48" t="s">
        <v>172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1180.4000000000001</v>
      </c>
      <c r="M48">
        <v>118040</v>
      </c>
      <c r="N48" t="s">
        <v>35</v>
      </c>
      <c r="O48">
        <v>0</v>
      </c>
    </row>
    <row r="49" spans="1:15">
      <c r="A49" t="s">
        <v>173</v>
      </c>
      <c r="B49">
        <v>20260814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100</v>
      </c>
      <c r="L49">
        <v>3820.1</v>
      </c>
      <c r="M49">
        <v>382010</v>
      </c>
      <c r="N49" t="s">
        <v>125</v>
      </c>
      <c r="O49">
        <v>0</v>
      </c>
    </row>
    <row r="50" spans="1:15">
      <c r="A50" s="1" t="s">
        <v>174</v>
      </c>
      <c r="B50" s="1">
        <v>20260814</v>
      </c>
      <c r="C50" s="1">
        <v>6613</v>
      </c>
      <c r="D50" s="1" t="s">
        <v>165</v>
      </c>
      <c r="E50" s="1" t="s">
        <v>45</v>
      </c>
      <c r="F50" s="1" t="s">
        <v>130</v>
      </c>
      <c r="G50" s="1" t="s">
        <v>46</v>
      </c>
      <c r="H50" s="1" t="s">
        <v>116</v>
      </c>
      <c r="I50" s="1" t="s">
        <v>117</v>
      </c>
      <c r="J50" s="1" t="s">
        <v>118</v>
      </c>
      <c r="K50" s="1">
        <v>100</v>
      </c>
      <c r="L50" s="1">
        <v>1785</v>
      </c>
      <c r="M50" s="1">
        <v>178500</v>
      </c>
      <c r="N50" s="1" t="s">
        <v>35</v>
      </c>
      <c r="O50" s="1">
        <v>0</v>
      </c>
    </row>
    <row r="51" spans="1:15">
      <c r="A51" t="s">
        <v>175</v>
      </c>
      <c r="B51">
        <v>20260814</v>
      </c>
      <c r="C51">
        <v>5803</v>
      </c>
      <c r="D51" t="s">
        <v>176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5741.9</v>
      </c>
      <c r="M51">
        <v>574190</v>
      </c>
      <c r="N51" t="s">
        <v>35</v>
      </c>
      <c r="O51">
        <v>0</v>
      </c>
    </row>
    <row r="52" spans="1:15">
      <c r="A52" s="1" t="s">
        <v>177</v>
      </c>
      <c r="B52" s="1">
        <v>20260814</v>
      </c>
      <c r="C52" s="1">
        <v>5016</v>
      </c>
      <c r="D52" s="1" t="s">
        <v>139</v>
      </c>
      <c r="E52" s="1" t="s">
        <v>45</v>
      </c>
      <c r="F52" s="1" t="s">
        <v>115</v>
      </c>
      <c r="G52" s="1" t="s">
        <v>46</v>
      </c>
      <c r="H52" s="1" t="s">
        <v>116</v>
      </c>
      <c r="I52" s="1" t="s">
        <v>117</v>
      </c>
      <c r="J52" s="1" t="s">
        <v>118</v>
      </c>
      <c r="K52" s="1">
        <v>100</v>
      </c>
      <c r="L52" s="1">
        <v>3876</v>
      </c>
      <c r="M52" s="1">
        <v>387600</v>
      </c>
      <c r="N52" s="1" t="s">
        <v>35</v>
      </c>
      <c r="O52" s="1">
        <v>0</v>
      </c>
    </row>
    <row r="53" spans="1:15">
      <c r="A53" t="s">
        <v>178</v>
      </c>
      <c r="B53">
        <v>20260814</v>
      </c>
      <c r="C53">
        <v>5803</v>
      </c>
      <c r="D53" t="s">
        <v>176</v>
      </c>
      <c r="E53" t="s">
        <v>45</v>
      </c>
      <c r="F53" t="s">
        <v>115</v>
      </c>
      <c r="G53" t="s">
        <v>46</v>
      </c>
      <c r="H53" t="s">
        <v>116</v>
      </c>
      <c r="I53" t="s">
        <v>123</v>
      </c>
      <c r="J53" t="s">
        <v>124</v>
      </c>
      <c r="K53">
        <v>100</v>
      </c>
      <c r="L53">
        <v>5749.1</v>
      </c>
      <c r="M53">
        <v>574910</v>
      </c>
      <c r="N53" t="s">
        <v>125</v>
      </c>
      <c r="O53">
        <v>0</v>
      </c>
    </row>
    <row r="54" spans="1:15">
      <c r="A54" t="s">
        <v>179</v>
      </c>
      <c r="B54">
        <v>20260814</v>
      </c>
      <c r="C54">
        <v>8136</v>
      </c>
      <c r="D54" t="s">
        <v>172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1188.0999999999999</v>
      </c>
      <c r="M54">
        <v>118810</v>
      </c>
      <c r="N54" t="s">
        <v>125</v>
      </c>
      <c r="O54">
        <v>0</v>
      </c>
    </row>
    <row r="55" spans="1:15">
      <c r="A55" t="s">
        <v>180</v>
      </c>
      <c r="B55">
        <v>20260814</v>
      </c>
      <c r="C55">
        <v>4063</v>
      </c>
      <c r="D55" t="s">
        <v>181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6384</v>
      </c>
      <c r="M55">
        <v>638400</v>
      </c>
      <c r="N55" t="s">
        <v>35</v>
      </c>
      <c r="O55">
        <v>0</v>
      </c>
    </row>
    <row r="56" spans="1:15">
      <c r="A56" t="s">
        <v>182</v>
      </c>
      <c r="B56">
        <v>20260814</v>
      </c>
      <c r="C56">
        <v>6613</v>
      </c>
      <c r="D56" t="s">
        <v>165</v>
      </c>
      <c r="E56" t="s">
        <v>45</v>
      </c>
      <c r="F56" t="s">
        <v>130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1767</v>
      </c>
      <c r="M56">
        <v>176700</v>
      </c>
      <c r="N56" t="s">
        <v>125</v>
      </c>
      <c r="O56">
        <v>0</v>
      </c>
    </row>
    <row r="57" spans="1:15">
      <c r="A57" t="s">
        <v>183</v>
      </c>
      <c r="B57">
        <v>20260814</v>
      </c>
      <c r="C57">
        <v>4063</v>
      </c>
      <c r="D57" t="s">
        <v>181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6387.2</v>
      </c>
      <c r="M57">
        <v>638720</v>
      </c>
      <c r="N57" t="s">
        <v>125</v>
      </c>
      <c r="O57">
        <v>0</v>
      </c>
    </row>
    <row r="58" spans="1:15">
      <c r="A58" t="s">
        <v>184</v>
      </c>
      <c r="B58">
        <v>20260814</v>
      </c>
      <c r="C58">
        <v>4063</v>
      </c>
      <c r="D58" t="s">
        <v>181</v>
      </c>
      <c r="E58" t="s">
        <v>45</v>
      </c>
      <c r="F58" t="s">
        <v>130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6396</v>
      </c>
      <c r="M58">
        <v>639600</v>
      </c>
      <c r="N58" t="s">
        <v>35</v>
      </c>
      <c r="O58">
        <v>0</v>
      </c>
    </row>
    <row r="59" spans="1:15">
      <c r="A59" t="s">
        <v>185</v>
      </c>
      <c r="B59">
        <v>20260814</v>
      </c>
      <c r="C59">
        <v>5016</v>
      </c>
      <c r="D59" t="s">
        <v>139</v>
      </c>
      <c r="E59" t="s">
        <v>45</v>
      </c>
      <c r="F59" t="s">
        <v>186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3858.1</v>
      </c>
      <c r="M59">
        <v>385810</v>
      </c>
      <c r="N59" t="s">
        <v>125</v>
      </c>
      <c r="O59">
        <v>0</v>
      </c>
    </row>
    <row r="60" spans="1:15">
      <c r="A60" t="s">
        <v>187</v>
      </c>
      <c r="B60">
        <v>20260814</v>
      </c>
      <c r="C60">
        <v>4063</v>
      </c>
      <c r="D60" t="s">
        <v>181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6378.5</v>
      </c>
      <c r="M60">
        <v>637850</v>
      </c>
      <c r="N60" t="s">
        <v>125</v>
      </c>
      <c r="O60">
        <v>0</v>
      </c>
    </row>
    <row r="61" spans="1:15">
      <c r="A61" t="s">
        <v>188</v>
      </c>
      <c r="B61">
        <v>20260814</v>
      </c>
      <c r="C61">
        <v>4063</v>
      </c>
      <c r="D61" t="s">
        <v>181</v>
      </c>
      <c r="E61" t="s">
        <v>45</v>
      </c>
      <c r="F61" t="s">
        <v>115</v>
      </c>
      <c r="G61" t="s">
        <v>46</v>
      </c>
      <c r="H61" t="s">
        <v>116</v>
      </c>
      <c r="I61" t="s">
        <v>117</v>
      </c>
      <c r="J61" t="s">
        <v>118</v>
      </c>
      <c r="K61">
        <v>100</v>
      </c>
      <c r="L61">
        <v>6386.9</v>
      </c>
      <c r="M61">
        <v>638690</v>
      </c>
      <c r="N61" t="s">
        <v>35</v>
      </c>
      <c r="O61">
        <v>0</v>
      </c>
    </row>
    <row r="62" spans="1:15">
      <c r="A62" t="s">
        <v>189</v>
      </c>
      <c r="B62">
        <v>20260814</v>
      </c>
      <c r="C62">
        <v>4063</v>
      </c>
      <c r="D62" t="s">
        <v>181</v>
      </c>
      <c r="E62" t="s">
        <v>45</v>
      </c>
      <c r="F62" t="s">
        <v>130</v>
      </c>
      <c r="G62" t="s">
        <v>46</v>
      </c>
      <c r="H62" t="s">
        <v>116</v>
      </c>
      <c r="I62" t="s">
        <v>123</v>
      </c>
      <c r="J62" t="s">
        <v>124</v>
      </c>
      <c r="K62">
        <v>100</v>
      </c>
      <c r="L62">
        <v>6392</v>
      </c>
      <c r="M62">
        <v>639200</v>
      </c>
      <c r="N62" t="s">
        <v>125</v>
      </c>
      <c r="O62">
        <v>0</v>
      </c>
    </row>
    <row r="63" spans="1:15">
      <c r="A63" t="s">
        <v>190</v>
      </c>
      <c r="B63">
        <v>20260814</v>
      </c>
      <c r="C63">
        <v>9984</v>
      </c>
      <c r="D63" t="s">
        <v>191</v>
      </c>
      <c r="E63" t="s">
        <v>45</v>
      </c>
      <c r="F63" t="s">
        <v>130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5526</v>
      </c>
      <c r="M63">
        <v>552600</v>
      </c>
      <c r="N63" t="s">
        <v>35</v>
      </c>
      <c r="O63">
        <v>0</v>
      </c>
    </row>
    <row r="64" spans="1:15">
      <c r="A64" t="s">
        <v>192</v>
      </c>
      <c r="B64">
        <v>20260814</v>
      </c>
      <c r="C64">
        <v>9984</v>
      </c>
      <c r="D64" t="s">
        <v>191</v>
      </c>
      <c r="E64" t="s">
        <v>45</v>
      </c>
      <c r="F64" t="s">
        <v>130</v>
      </c>
      <c r="G64" t="s">
        <v>46</v>
      </c>
      <c r="H64" t="s">
        <v>116</v>
      </c>
      <c r="I64" t="s">
        <v>123</v>
      </c>
      <c r="J64" t="s">
        <v>124</v>
      </c>
      <c r="K64">
        <v>100</v>
      </c>
      <c r="L64">
        <v>5530</v>
      </c>
      <c r="M64">
        <v>553000</v>
      </c>
      <c r="N64" t="s">
        <v>125</v>
      </c>
      <c r="O64">
        <v>0</v>
      </c>
    </row>
    <row r="65" spans="1:15">
      <c r="A65" t="s">
        <v>193</v>
      </c>
      <c r="B65">
        <v>20260814</v>
      </c>
      <c r="C65">
        <v>6988</v>
      </c>
      <c r="D65" t="s">
        <v>194</v>
      </c>
      <c r="E65" t="s">
        <v>45</v>
      </c>
      <c r="F65" t="s">
        <v>130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3563</v>
      </c>
      <c r="M65">
        <v>356300</v>
      </c>
      <c r="N65" t="s">
        <v>35</v>
      </c>
      <c r="O65">
        <v>0</v>
      </c>
    </row>
    <row r="66" spans="1:15">
      <c r="A66" t="s">
        <v>195</v>
      </c>
      <c r="B66">
        <v>20260814</v>
      </c>
      <c r="C66">
        <v>6988</v>
      </c>
      <c r="D66" t="s">
        <v>194</v>
      </c>
      <c r="E66" t="s">
        <v>45</v>
      </c>
      <c r="F66" t="s">
        <v>130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3569</v>
      </c>
      <c r="M66">
        <v>356900</v>
      </c>
      <c r="N66" t="s">
        <v>125</v>
      </c>
      <c r="O66">
        <v>0</v>
      </c>
    </row>
    <row r="67" spans="1:15">
      <c r="A67" s="1" t="s">
        <v>78</v>
      </c>
      <c r="B67" s="1" t="s">
        <v>78</v>
      </c>
      <c r="C67" s="1" t="s">
        <v>78</v>
      </c>
      <c r="D67" s="1" t="s">
        <v>78</v>
      </c>
      <c r="E67" s="1" t="s">
        <v>78</v>
      </c>
      <c r="F67" s="1" t="s">
        <v>78</v>
      </c>
      <c r="G67" s="1" t="s">
        <v>78</v>
      </c>
      <c r="H67" s="1" t="s">
        <v>78</v>
      </c>
      <c r="I67" s="1" t="s">
        <v>78</v>
      </c>
      <c r="J67" s="1" t="s">
        <v>78</v>
      </c>
      <c r="K67" s="1" t="s">
        <v>78</v>
      </c>
      <c r="L67" s="1" t="s">
        <v>78</v>
      </c>
      <c r="M67" s="1" t="s">
        <v>78</v>
      </c>
      <c r="N67" s="1" t="s">
        <v>78</v>
      </c>
      <c r="O67" s="1" t="s">
        <v>78</v>
      </c>
    </row>
    <row r="69" spans="1:15">
      <c r="A69" s="1" t="s">
        <v>873</v>
      </c>
      <c r="B69" s="1">
        <v>20260904</v>
      </c>
      <c r="C69" s="1">
        <v>7012</v>
      </c>
      <c r="D69" s="1" t="s">
        <v>120</v>
      </c>
      <c r="E69" s="1" t="s">
        <v>45</v>
      </c>
      <c r="F69" s="1" t="s">
        <v>130</v>
      </c>
      <c r="G69" s="1" t="s">
        <v>46</v>
      </c>
      <c r="H69" s="1" t="s">
        <v>116</v>
      </c>
      <c r="I69" s="1" t="s">
        <v>117</v>
      </c>
      <c r="J69" s="1" t="s">
        <v>118</v>
      </c>
      <c r="K69" s="1">
        <v>100</v>
      </c>
      <c r="L69" s="1">
        <v>2446.5</v>
      </c>
      <c r="M69" s="1">
        <v>244650</v>
      </c>
      <c r="N69" s="1" t="s">
        <v>35</v>
      </c>
      <c r="O69" s="1">
        <v>0</v>
      </c>
    </row>
    <row r="70" spans="1:15">
      <c r="A70" t="s">
        <v>871</v>
      </c>
      <c r="B70">
        <v>20260904</v>
      </c>
      <c r="C70">
        <v>7012</v>
      </c>
      <c r="D70" t="s">
        <v>120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2458.9</v>
      </c>
      <c r="M70">
        <v>245890</v>
      </c>
      <c r="N70" t="s">
        <v>125</v>
      </c>
      <c r="O70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説明</vt:lpstr>
      <vt:lpstr>Quotes_Data</vt:lpstr>
      <vt:lpstr>Chart(7204)</vt:lpstr>
      <vt:lpstr>Chart(3436)</vt:lpstr>
      <vt:lpstr>Chart(6613)</vt:lpstr>
      <vt:lpstr>Chart(7203)</vt:lpstr>
      <vt:lpstr>TickList</vt:lpstr>
      <vt:lpstr>MarketDes</vt:lpstr>
      <vt:lpstr>Quotes</vt:lpstr>
      <vt:lpstr>OrderIDList_save</vt:lpstr>
      <vt:lpstr>OrderIDList</vt:lpstr>
      <vt:lpstr>OrderList</vt:lpstr>
      <vt:lpstr>OrderList_save</vt:lpstr>
      <vt:lpstr>ExecutionList</vt:lpstr>
      <vt:lpstr>ExecutionList (3)</vt:lpstr>
      <vt:lpstr>PositionList</vt:lpstr>
      <vt:lpstr>MarketDes (2)</vt:lpstr>
      <vt:lpstr>ExecutionList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2026-09-06T08:41:26Z</dcterms:modified>
</cp:coreProperties>
</file>