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codeName="ThisWorkbook"/>
  <mc:AlternateContent xmlns:mc="http://schemas.openxmlformats.org/markup-compatibility/2006">
    <mc:Choice Requires="x15">
      <x15ac:absPath xmlns:x15ac="http://schemas.microsoft.com/office/spreadsheetml/2010/11/ac" url="C:\StockProjects\trading_system_v3_dev\rakuten\excel\"/>
    </mc:Choice>
  </mc:AlternateContent>
  <xr:revisionPtr revIDLastSave="0" documentId="13_ncr:1_{F2780FE3-DCB5-4D06-AB15-57D4A0CC3636}" xr6:coauthVersionLast="47" xr6:coauthVersionMax="47" xr10:uidLastSave="{00000000-0000-0000-0000-000000000000}"/>
  <bookViews>
    <workbookView xWindow="1170" yWindow="1170" windowWidth="21600" windowHeight="13065" activeTab="1" xr2:uid="{00000000-000D-0000-FFFF-FFFF00000000}"/>
  </bookViews>
  <sheets>
    <sheet name="Order_test" sheetId="11" r:id="rId1"/>
    <sheet name="Quotes" sheetId="13" r:id="rId2"/>
    <sheet name="MarketDes" sheetId="14" r:id="rId3"/>
    <sheet name="OrderIDList" sheetId="1" r:id="rId4"/>
    <sheet name="OrderList" sheetId="2" r:id="rId5"/>
    <sheet name="ExecutionList" sheetId="3" r:id="rId6"/>
    <sheet name="MarginPositionList" sheetId="5" r:id="rId7"/>
    <sheet name="LiveFeed" sheetId="16" r:id="rId8"/>
    <sheet name="Chart" sheetId="17" r:id="rId9"/>
    <sheet name="SymbolQuotes" sheetId="15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17" l="1"/>
  <c r="H26" i="16"/>
  <c r="F15" i="16"/>
  <c r="F7" i="16"/>
  <c r="B2" i="16"/>
  <c r="N6" i="16"/>
  <c r="F13" i="16"/>
  <c r="G12" i="16"/>
  <c r="F12" i="16"/>
  <c r="H22" i="16"/>
  <c r="G22" i="16"/>
  <c r="N5" i="16"/>
  <c r="L5" i="16"/>
  <c r="G21" i="16"/>
  <c r="F10" i="16"/>
  <c r="H20" i="16"/>
  <c r="G9" i="16"/>
  <c r="F5" i="16"/>
  <c r="P4" i="16"/>
  <c r="H19" i="16"/>
  <c r="N4" i="16"/>
  <c r="L4" i="16"/>
  <c r="H18" i="16"/>
  <c r="K4" i="16"/>
  <c r="G18" i="16"/>
  <c r="H17" i="16"/>
  <c r="P3" i="16"/>
  <c r="L7" i="16"/>
  <c r="H25" i="16"/>
  <c r="G14" i="16"/>
  <c r="P6" i="16"/>
  <c r="C1" i="16"/>
  <c r="G25" i="16"/>
  <c r="F14" i="16"/>
  <c r="G24" i="16"/>
  <c r="H23" i="16"/>
  <c r="F6" i="16"/>
  <c r="G11" i="16"/>
  <c r="F11" i="16"/>
  <c r="G10" i="16"/>
  <c r="K5" i="16"/>
  <c r="F9" i="16"/>
  <c r="N8" i="16"/>
  <c r="G8" i="16"/>
  <c r="F8" i="16"/>
  <c r="N7" i="16"/>
  <c r="H16" i="16"/>
  <c r="G15" i="16"/>
  <c r="H24" i="16"/>
  <c r="G13" i="16"/>
  <c r="L6" i="16"/>
  <c r="K6" i="16"/>
  <c r="G23" i="16"/>
  <c r="P5" i="16"/>
  <c r="H21" i="16"/>
  <c r="G19" i="16"/>
  <c r="F4" i="16"/>
  <c r="G16" i="16"/>
  <c r="G6" i="16"/>
  <c r="L8" i="16"/>
  <c r="K8" i="16"/>
  <c r="H4" i="16"/>
  <c r="G17" i="16"/>
  <c r="N3" i="16"/>
  <c r="K7" i="16"/>
  <c r="L3" i="16"/>
  <c r="G7" i="16"/>
  <c r="K3" i="16"/>
  <c r="G20" i="16"/>
  <c r="A1" i="11" a="1"/>
  <c r="A1" i="3" a="1"/>
  <c r="A1" i="1" a="1"/>
  <c r="A1" i="5" a="1"/>
  <c r="A1" i="2" a="1"/>
  <c r="A1" i="11" l="1"/>
  <c r="A1" i="3"/>
  <c r="A1" i="1"/>
  <c r="A1" i="5"/>
  <c r="A1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<sst xmlns="http://schemas.openxmlformats.org/spreadsheetml/2006/main" count="1063" uniqueCount="488">
  <si>
    <t>発注ID</t>
  </si>
  <si>
    <t>関数名</t>
  </si>
  <si>
    <t>発注日</t>
  </si>
  <si>
    <t>発注時刻</t>
  </si>
  <si>
    <t>注文番号</t>
  </si>
  <si>
    <t>受付No</t>
  </si>
  <si>
    <t>通常注文状況</t>
  </si>
  <si>
    <t>逆指値注文状況</t>
  </si>
  <si>
    <t>アルゴ注文状況</t>
  </si>
  <si>
    <t>銘柄コード</t>
  </si>
  <si>
    <t>銘柄名称</t>
  </si>
  <si>
    <t>口座区分</t>
  </si>
  <si>
    <t>市場名称</t>
  </si>
  <si>
    <t>信用区分</t>
  </si>
  <si>
    <t>弁済期限</t>
  </si>
  <si>
    <t>発注/受注日時</t>
  </si>
  <si>
    <t>売買</t>
  </si>
  <si>
    <t>取引</t>
  </si>
  <si>
    <t>執行条件</t>
  </si>
  <si>
    <t>注文期限</t>
  </si>
  <si>
    <t>注文数量</t>
  </si>
  <si>
    <t>約定数量</t>
  </si>
  <si>
    <t>注文単価</t>
  </si>
  <si>
    <t>注文区分</t>
  </si>
  <si>
    <t>逆指値条件</t>
  </si>
  <si>
    <t>セット注文</t>
  </si>
  <si>
    <t>セット注文条件</t>
  </si>
  <si>
    <t>税区分</t>
  </si>
  <si>
    <t>注文失効日時</t>
  </si>
  <si>
    <t>注文失効理由</t>
  </si>
  <si>
    <t>入力経路</t>
  </si>
  <si>
    <t>アルゴ注文条件</t>
  </si>
  <si>
    <t>価格判定時刻</t>
  </si>
  <si>
    <t>価格判定情報/対象外理由</t>
  </si>
  <si>
    <t/>
  </si>
  <si>
    <t>約定日</t>
  </si>
  <si>
    <t>受渡日</t>
  </si>
  <si>
    <t>約定単価</t>
  </si>
  <si>
    <t>約定代金</t>
  </si>
  <si>
    <t>特別空売り料</t>
  </si>
  <si>
    <t>発注数量</t>
  </si>
  <si>
    <t>時価</t>
  </si>
  <si>
    <t>前日比</t>
  </si>
  <si>
    <t>前日比率</t>
  </si>
  <si>
    <t>時価評価額</t>
  </si>
  <si>
    <t>評価損益額</t>
  </si>
  <si>
    <t>評価損益率</t>
  </si>
  <si>
    <t>建市場</t>
  </si>
  <si>
    <t>建玉数量</t>
  </si>
  <si>
    <t>建値</t>
  </si>
  <si>
    <t>建日</t>
  </si>
  <si>
    <t>最終返済日</t>
  </si>
  <si>
    <t>保証金率</t>
  </si>
  <si>
    <t>現金保証金率</t>
  </si>
  <si>
    <t>時刻</t>
  </si>
  <si>
    <t>出来高</t>
  </si>
  <si>
    <t>注文ID</t>
    <rPh sb="0" eb="2">
      <t>チュモン</t>
    </rPh>
    <phoneticPr fontId="1"/>
  </si>
  <si>
    <t>発注トリガー</t>
    <rPh sb="0" eb="2">
      <t>ハッチュウ</t>
    </rPh>
    <phoneticPr fontId="1"/>
  </si>
  <si>
    <t>銘柄コード</t>
    <rPh sb="0" eb="2">
      <t>メイガラ</t>
    </rPh>
    <phoneticPr fontId="1"/>
  </si>
  <si>
    <t>注文区分</t>
    <rPh sb="0" eb="2">
      <t>チュウモン</t>
    </rPh>
    <rPh sb="2" eb="4">
      <t>クブン</t>
    </rPh>
    <phoneticPr fontId="1"/>
  </si>
  <si>
    <t>注文数量</t>
    <rPh sb="0" eb="2">
      <t>チュウモン</t>
    </rPh>
    <rPh sb="2" eb="4">
      <t>スウリョウ</t>
    </rPh>
    <phoneticPr fontId="1"/>
  </si>
  <si>
    <t>SOR区分</t>
    <phoneticPr fontId="1"/>
  </si>
  <si>
    <t>価格区分</t>
    <rPh sb="0" eb="2">
      <t>カカク</t>
    </rPh>
    <rPh sb="2" eb="4">
      <t>クブン</t>
    </rPh>
    <phoneticPr fontId="1"/>
  </si>
  <si>
    <t>注文価格</t>
    <rPh sb="0" eb="2">
      <t>チュウモン</t>
    </rPh>
    <rPh sb="2" eb="4">
      <t>カカク</t>
    </rPh>
    <phoneticPr fontId="1"/>
  </si>
  <si>
    <t>執行条件</t>
    <rPh sb="0" eb="2">
      <t>シッコウ</t>
    </rPh>
    <rPh sb="2" eb="4">
      <t>ジョウケン</t>
    </rPh>
    <phoneticPr fontId="1"/>
  </si>
  <si>
    <t>注文期限</t>
    <rPh sb="0" eb="2">
      <t>チュウモン</t>
    </rPh>
    <rPh sb="2" eb="4">
      <t>キゲン</t>
    </rPh>
    <phoneticPr fontId="1"/>
  </si>
  <si>
    <t>口座区分</t>
    <rPh sb="0" eb="2">
      <t>コウザ</t>
    </rPh>
    <rPh sb="2" eb="4">
      <t>クブン</t>
    </rPh>
    <phoneticPr fontId="1"/>
  </si>
  <si>
    <t>逆指値条件価格</t>
    <rPh sb="0" eb="3">
      <t>ギャクサシネ</t>
    </rPh>
    <rPh sb="3" eb="5">
      <t>ジョウケン</t>
    </rPh>
    <rPh sb="5" eb="7">
      <t>カカク</t>
    </rPh>
    <phoneticPr fontId="1"/>
  </si>
  <si>
    <t>逆指値条件区分</t>
    <rPh sb="0" eb="3">
      <t>ギャクサシネ</t>
    </rPh>
    <rPh sb="3" eb="5">
      <t>ジョウケン</t>
    </rPh>
    <rPh sb="5" eb="7">
      <t>クブン</t>
    </rPh>
    <phoneticPr fontId="1"/>
  </si>
  <si>
    <t>逆指値価格区分</t>
    <rPh sb="0" eb="3">
      <t>ギャクサシネ</t>
    </rPh>
    <rPh sb="3" eb="5">
      <t>カカク</t>
    </rPh>
    <rPh sb="5" eb="7">
      <t>クブン</t>
    </rPh>
    <phoneticPr fontId="1"/>
  </si>
  <si>
    <t>逆指値価格</t>
    <rPh sb="0" eb="3">
      <t>ギャクサシネ</t>
    </rPh>
    <rPh sb="3" eb="5">
      <t>カカク</t>
    </rPh>
    <phoneticPr fontId="1"/>
  </si>
  <si>
    <t>セット注文価格</t>
    <rPh sb="3" eb="5">
      <t>チュウモン</t>
    </rPh>
    <rPh sb="5" eb="7">
      <t>カカク</t>
    </rPh>
    <phoneticPr fontId="1"/>
  </si>
  <si>
    <t>セット注文執行条件</t>
    <rPh sb="3" eb="5">
      <t>チュウモン</t>
    </rPh>
    <rPh sb="5" eb="7">
      <t>シッコウ</t>
    </rPh>
    <rPh sb="7" eb="9">
      <t>ジョウケン</t>
    </rPh>
    <phoneticPr fontId="1"/>
  </si>
  <si>
    <t>セット注文期限</t>
    <rPh sb="3" eb="5">
      <t>チュウモン</t>
    </rPh>
    <rPh sb="5" eb="7">
      <t>キゲン</t>
    </rPh>
    <phoneticPr fontId="1"/>
  </si>
  <si>
    <t>1以上の数値</t>
    <rPh sb="1" eb="3">
      <t>イジョウ</t>
    </rPh>
    <rPh sb="4" eb="6">
      <t>スウチ</t>
    </rPh>
    <phoneticPr fontId="1"/>
  </si>
  <si>
    <t>売買区分</t>
    <rPh sb="0" eb="2">
      <t>バイバイ</t>
    </rPh>
    <phoneticPr fontId="1"/>
  </si>
  <si>
    <t>0(False):待機 1(True):発注　(省略時は0)</t>
    <phoneticPr fontId="1"/>
  </si>
  <si>
    <t>銘柄コード「.市場」 .T:東証 .JAX:JAX .JNX:JNX</t>
    <phoneticPr fontId="1"/>
  </si>
  <si>
    <t>1:売り 3:買い</t>
    <phoneticPr fontId="1"/>
  </si>
  <si>
    <t>0:通常注文 1:逆指値付注文 2:逆指値待機注文</t>
    <phoneticPr fontId="1"/>
  </si>
  <si>
    <t>0:通常注文 1:SOR注文</t>
    <phoneticPr fontId="1"/>
  </si>
  <si>
    <t>0:成行 1:指値 (注文区分が「0:通常注文」or「1:逆指値付注文」の場合必須)</t>
    <phoneticPr fontId="1"/>
  </si>
  <si>
    <t>注文価格　成行の場合は省略</t>
    <phoneticPr fontId="1"/>
  </si>
  <si>
    <t>1:本日中 2:今週中 3:寄付 4:引け 5:期間指定 6:大引不成 7:不成</t>
    <phoneticPr fontId="1"/>
  </si>
  <si>
    <t>YYYYMMDD　執行条件が「5:期間指定」の場合必須</t>
    <phoneticPr fontId="1"/>
  </si>
  <si>
    <t>0:特定 1:一般 2:NISA 3:旧NISA</t>
    <phoneticPr fontId="1"/>
  </si>
  <si>
    <t>1:以上 2:以下</t>
    <phoneticPr fontId="1"/>
  </si>
  <si>
    <t>0:成行 1:指値</t>
    <phoneticPr fontId="1"/>
  </si>
  <si>
    <t>0:通常(予約しない) 1:セット注文(予約する)</t>
    <phoneticPr fontId="1"/>
  </si>
  <si>
    <t>YYYYMMDD セット注文執行条件が「5:期間指定」の場合必須</t>
    <phoneticPr fontId="1"/>
  </si>
  <si>
    <t>発注ID</t>
    <rPh sb="0" eb="2">
      <t>ハッチュウ</t>
    </rPh>
    <phoneticPr fontId="1"/>
  </si>
  <si>
    <t>--------</t>
    <phoneticPr fontId="1"/>
  </si>
  <si>
    <t>--------</t>
  </si>
  <si>
    <t>銘柄コード</t>
    <phoneticPr fontId="1"/>
  </si>
  <si>
    <t>現在値</t>
    <phoneticPr fontId="1"/>
  </si>
  <si>
    <t>高値</t>
    <phoneticPr fontId="1"/>
  </si>
  <si>
    <t>15:30:00</t>
    <phoneticPr fontId="1"/>
  </si>
  <si>
    <t>15:24:59</t>
    <phoneticPr fontId="1"/>
  </si>
  <si>
    <t>15:24:58</t>
    <phoneticPr fontId="1"/>
  </si>
  <si>
    <t>15:24:57</t>
    <phoneticPr fontId="1"/>
  </si>
  <si>
    <t>15:24:56</t>
    <phoneticPr fontId="1"/>
  </si>
  <si>
    <t>15:24:55</t>
    <phoneticPr fontId="1"/>
  </si>
  <si>
    <t>15:24:54</t>
    <phoneticPr fontId="1"/>
  </si>
  <si>
    <t>前日比率</t>
    <phoneticPr fontId="1"/>
  </si>
  <si>
    <t>現在日付</t>
    <phoneticPr fontId="1"/>
  </si>
  <si>
    <t>現在値時刻</t>
    <phoneticPr fontId="1"/>
  </si>
  <si>
    <t>現在値ティック</t>
    <phoneticPr fontId="1"/>
  </si>
  <si>
    <t>前日比</t>
    <phoneticPr fontId="1"/>
  </si>
  <si>
    <t>始値</t>
    <phoneticPr fontId="1"/>
  </si>
  <si>
    <t>安値</t>
    <phoneticPr fontId="1"/>
  </si>
  <si>
    <t>出来高</t>
    <phoneticPr fontId="1"/>
  </si>
  <si>
    <t>発注結果</t>
    <phoneticPr fontId="1"/>
  </si>
  <si>
    <t>成行</t>
    <phoneticPr fontId="1"/>
  </si>
  <si>
    <t>2026/10/19</t>
  </si>
  <si>
    <t>2026/10/19</t>
    <phoneticPr fontId="1"/>
  </si>
  <si>
    <t>東証</t>
  </si>
  <si>
    <t>現在値詳細時刻</t>
    <phoneticPr fontId="1"/>
  </si>
  <si>
    <t>時刻</t>
    <rPh sb="0" eb="2">
      <t>ジコク</t>
    </rPh>
    <phoneticPr fontId="1"/>
  </si>
  <si>
    <t>出来高</t>
    <rPh sb="0" eb="3">
      <t>デキダカ</t>
    </rPh>
    <phoneticPr fontId="1"/>
  </si>
  <si>
    <t>約定値</t>
    <rPh sb="0" eb="2">
      <t>ヤクテイ</t>
    </rPh>
    <rPh sb="2" eb="3">
      <t>ネ</t>
    </rPh>
    <phoneticPr fontId="1"/>
  </si>
  <si>
    <t>売数量</t>
    <phoneticPr fontId="1"/>
  </si>
  <si>
    <t>値段</t>
  </si>
  <si>
    <t>買数量</t>
    <phoneticPr fontId="1"/>
  </si>
  <si>
    <t>現在値（時刻）</t>
    <rPh sb="0" eb="3">
      <t>ゲンザイネ</t>
    </rPh>
    <rPh sb="4" eb="6">
      <t>ジコク</t>
    </rPh>
    <phoneticPr fontId="6"/>
  </si>
  <si>
    <t>前日比</t>
    <rPh sb="0" eb="3">
      <t>ゼンジツヒ</t>
    </rPh>
    <phoneticPr fontId="6"/>
  </si>
  <si>
    <t>VWAP</t>
    <phoneticPr fontId="6"/>
  </si>
  <si>
    <t>最良売気配値（時刻）</t>
    <phoneticPr fontId="6"/>
  </si>
  <si>
    <t>前日比率</t>
    <rPh sb="0" eb="3">
      <t>ゼンジツヒ</t>
    </rPh>
    <rPh sb="3" eb="4">
      <t>リツ</t>
    </rPh>
    <phoneticPr fontId="6"/>
  </si>
  <si>
    <t>時価総額(百万円)</t>
    <rPh sb="0" eb="4">
      <t>ジカソウガク</t>
    </rPh>
    <rPh sb="5" eb="7">
      <t>ヒャクマン</t>
    </rPh>
    <rPh sb="7" eb="8">
      <t>エン</t>
    </rPh>
    <phoneticPr fontId="6"/>
  </si>
  <si>
    <t>OVER</t>
    <phoneticPr fontId="1"/>
  </si>
  <si>
    <t>最良買気配値（時刻）</t>
    <phoneticPr fontId="6"/>
  </si>
  <si>
    <t>前日終値</t>
    <rPh sb="0" eb="4">
      <t>ゼンジツオワリネ</t>
    </rPh>
    <phoneticPr fontId="6"/>
  </si>
  <si>
    <t>PBR</t>
    <phoneticPr fontId="6"/>
  </si>
  <si>
    <t>始値（時刻）</t>
    <rPh sb="0" eb="2">
      <t>ハジメネ</t>
    </rPh>
    <phoneticPr fontId="6"/>
  </si>
  <si>
    <t>前日日付</t>
    <rPh sb="0" eb="2">
      <t>ゼンジツ</t>
    </rPh>
    <rPh sb="2" eb="4">
      <t>ヒヅケ</t>
    </rPh>
    <phoneticPr fontId="6"/>
  </si>
  <si>
    <t>PER</t>
    <phoneticPr fontId="6"/>
  </si>
  <si>
    <t>高値（時刻）</t>
    <rPh sb="0" eb="2">
      <t>タカネ</t>
    </rPh>
    <phoneticPr fontId="6"/>
  </si>
  <si>
    <t>出来高</t>
    <rPh sb="0" eb="3">
      <t>デキダカ</t>
    </rPh>
    <phoneticPr fontId="6"/>
  </si>
  <si>
    <t>安値（時刻）</t>
    <rPh sb="0" eb="2">
      <t>ヤスネ</t>
    </rPh>
    <phoneticPr fontId="6"/>
  </si>
  <si>
    <t>売買代金(千円)</t>
    <rPh sb="0" eb="4">
      <t>バイバイダイキン</t>
    </rPh>
    <rPh sb="5" eb="7">
      <t>センエン</t>
    </rPh>
    <phoneticPr fontId="6"/>
  </si>
  <si>
    <t>UNDER</t>
  </si>
  <si>
    <t>足種</t>
  </si>
  <si>
    <t>日付</t>
  </si>
  <si>
    <t>始値</t>
  </si>
  <si>
    <t>高値</t>
  </si>
  <si>
    <t>安値</t>
  </si>
  <si>
    <t>終値</t>
  </si>
  <si>
    <t>三菱ＵＦＪフィナンシャルＧ</t>
  </si>
  <si>
    <t>1M</t>
  </si>
  <si>
    <t>2026/10/16</t>
  </si>
  <si>
    <t>14:56</t>
  </si>
  <si>
    <t>14:57</t>
  </si>
  <si>
    <t>14:58</t>
  </si>
  <si>
    <t>14:59</t>
  </si>
  <si>
    <t>15:00</t>
  </si>
  <si>
    <t>15:01</t>
  </si>
  <si>
    <t>15:02</t>
  </si>
  <si>
    <t>15:03</t>
  </si>
  <si>
    <t>15:04</t>
  </si>
  <si>
    <t>15:05</t>
  </si>
  <si>
    <t>15:06</t>
  </si>
  <si>
    <t>15:07</t>
  </si>
  <si>
    <t>15:08</t>
  </si>
  <si>
    <t>15:09</t>
  </si>
  <si>
    <t>15:10</t>
  </si>
  <si>
    <t>15:11</t>
  </si>
  <si>
    <t>15:12</t>
  </si>
  <si>
    <t>15:13</t>
  </si>
  <si>
    <t>15:14</t>
  </si>
  <si>
    <t>15:15</t>
  </si>
  <si>
    <t>15:16</t>
  </si>
  <si>
    <t>15:17</t>
  </si>
  <si>
    <t>15:18</t>
  </si>
  <si>
    <t>15:19</t>
  </si>
  <si>
    <t>15:20</t>
  </si>
  <si>
    <t>15:21</t>
  </si>
  <si>
    <t>15:22</t>
  </si>
  <si>
    <t>15:23</t>
  </si>
  <si>
    <t>15:24</t>
  </si>
  <si>
    <t>15:25</t>
  </si>
  <si>
    <t>15:26</t>
  </si>
  <si>
    <t>15:27</t>
  </si>
  <si>
    <t>15:28</t>
  </si>
  <si>
    <t>15:29</t>
  </si>
  <si>
    <t>15:30</t>
  </si>
  <si>
    <t>09:00</t>
  </si>
  <si>
    <t>09:01</t>
  </si>
  <si>
    <t>09:02</t>
  </si>
  <si>
    <t>09:03</t>
  </si>
  <si>
    <t>09:04</t>
  </si>
  <si>
    <t>09:05</t>
  </si>
  <si>
    <t>09:06</t>
  </si>
  <si>
    <t>09:07</t>
  </si>
  <si>
    <t>09:08</t>
  </si>
  <si>
    <t>09:09</t>
  </si>
  <si>
    <t>09:10</t>
  </si>
  <si>
    <t>09:11</t>
  </si>
  <si>
    <t>09:12</t>
  </si>
  <si>
    <t>09:13</t>
  </si>
  <si>
    <t>09:14</t>
  </si>
  <si>
    <t>09:15</t>
  </si>
  <si>
    <t>09:16</t>
  </si>
  <si>
    <t>09:17</t>
  </si>
  <si>
    <t>09:18</t>
  </si>
  <si>
    <t>09:19</t>
  </si>
  <si>
    <t>09:20</t>
  </si>
  <si>
    <t>09:21</t>
  </si>
  <si>
    <t>09:22</t>
  </si>
  <si>
    <t>09:23</t>
  </si>
  <si>
    <t>09:24</t>
  </si>
  <si>
    <t>09:25</t>
  </si>
  <si>
    <t>09:26</t>
  </si>
  <si>
    <t>09:27</t>
  </si>
  <si>
    <t>09:28</t>
  </si>
  <si>
    <t>09:29</t>
  </si>
  <si>
    <t>09:30</t>
  </si>
  <si>
    <t>09:31</t>
  </si>
  <si>
    <t>09:32</t>
  </si>
  <si>
    <t>09:33</t>
  </si>
  <si>
    <t>09:34</t>
  </si>
  <si>
    <t>09:35</t>
  </si>
  <si>
    <t>09:36</t>
  </si>
  <si>
    <t>09:37</t>
  </si>
  <si>
    <t>09:38</t>
  </si>
  <si>
    <t>09:39</t>
  </si>
  <si>
    <t>09:40</t>
  </si>
  <si>
    <t>09:41</t>
  </si>
  <si>
    <t>09:42</t>
  </si>
  <si>
    <t>09:43</t>
  </si>
  <si>
    <t>09:44</t>
  </si>
  <si>
    <t>09:45</t>
  </si>
  <si>
    <t>09:46</t>
  </si>
  <si>
    <t>09:47</t>
  </si>
  <si>
    <t>09:48</t>
  </si>
  <si>
    <t>09:49</t>
  </si>
  <si>
    <t>09:50</t>
  </si>
  <si>
    <t>09:51</t>
  </si>
  <si>
    <t>09:52</t>
  </si>
  <si>
    <t>09:53</t>
  </si>
  <si>
    <t>09:54</t>
  </si>
  <si>
    <t>09:55</t>
  </si>
  <si>
    <t>09:56</t>
  </si>
  <si>
    <t>09:57</t>
  </si>
  <si>
    <t>09:58</t>
  </si>
  <si>
    <t>09:59</t>
  </si>
  <si>
    <t>10:00</t>
  </si>
  <si>
    <t>10:01</t>
  </si>
  <si>
    <t>10:02</t>
  </si>
  <si>
    <t>10:03</t>
  </si>
  <si>
    <t>10:04</t>
  </si>
  <si>
    <t>10:05</t>
  </si>
  <si>
    <t>10:06</t>
  </si>
  <si>
    <t>10:07</t>
  </si>
  <si>
    <t>10:08</t>
  </si>
  <si>
    <t>10:09</t>
  </si>
  <si>
    <t>10:10</t>
  </si>
  <si>
    <t>10:11</t>
  </si>
  <si>
    <t>10:12</t>
  </si>
  <si>
    <t>10:13</t>
  </si>
  <si>
    <t>10:14</t>
  </si>
  <si>
    <t>10:15</t>
  </si>
  <si>
    <t>10:16</t>
  </si>
  <si>
    <t>10:17</t>
  </si>
  <si>
    <t>10:18</t>
  </si>
  <si>
    <t>10:19</t>
  </si>
  <si>
    <t>10:20</t>
  </si>
  <si>
    <t>10:21</t>
  </si>
  <si>
    <t>10:22</t>
  </si>
  <si>
    <t>10:23</t>
  </si>
  <si>
    <t>10:24</t>
  </si>
  <si>
    <t>10:25</t>
  </si>
  <si>
    <t>10:26</t>
  </si>
  <si>
    <t>10:27</t>
  </si>
  <si>
    <t>10:28</t>
  </si>
  <si>
    <t>10:29</t>
  </si>
  <si>
    <t>10:30</t>
  </si>
  <si>
    <t>10:31</t>
  </si>
  <si>
    <t>10:32</t>
  </si>
  <si>
    <t>10:33</t>
  </si>
  <si>
    <t>10:34</t>
  </si>
  <si>
    <t>10:35</t>
  </si>
  <si>
    <t>10:36</t>
  </si>
  <si>
    <t>10:37</t>
  </si>
  <si>
    <t>10:38</t>
  </si>
  <si>
    <t>10:39</t>
  </si>
  <si>
    <t>10:40</t>
  </si>
  <si>
    <t>10:41</t>
  </si>
  <si>
    <t>10:42</t>
  </si>
  <si>
    <t>10:43</t>
  </si>
  <si>
    <t>10:44</t>
  </si>
  <si>
    <t>10:45</t>
  </si>
  <si>
    <t>10:46</t>
  </si>
  <si>
    <t>10:47</t>
  </si>
  <si>
    <t>10:48</t>
  </si>
  <si>
    <t>10:49</t>
  </si>
  <si>
    <t>10:50</t>
  </si>
  <si>
    <t>10:51</t>
  </si>
  <si>
    <t>10:52</t>
  </si>
  <si>
    <t>10:53</t>
  </si>
  <si>
    <t>10:54</t>
  </si>
  <si>
    <t>10:55</t>
  </si>
  <si>
    <t>10:56</t>
  </si>
  <si>
    <t>10:57</t>
  </si>
  <si>
    <t>10:58</t>
  </si>
  <si>
    <t>10:59</t>
  </si>
  <si>
    <t>11:00</t>
  </si>
  <si>
    <t>11:01</t>
  </si>
  <si>
    <t>11:02</t>
  </si>
  <si>
    <t>11:03</t>
  </si>
  <si>
    <t>11:04</t>
  </si>
  <si>
    <t>11:05</t>
  </si>
  <si>
    <t>11:06</t>
  </si>
  <si>
    <t>11:07</t>
  </si>
  <si>
    <t>11:08</t>
  </si>
  <si>
    <t>11:09</t>
  </si>
  <si>
    <t>11:10</t>
  </si>
  <si>
    <t>11:11</t>
  </si>
  <si>
    <t>11:12</t>
  </si>
  <si>
    <t>11:13</t>
  </si>
  <si>
    <t>11:14</t>
  </si>
  <si>
    <t>11:15</t>
  </si>
  <si>
    <t>11:16</t>
  </si>
  <si>
    <t>11:17</t>
  </si>
  <si>
    <t>11:18</t>
  </si>
  <si>
    <t>11:19</t>
  </si>
  <si>
    <t>11:20</t>
  </si>
  <si>
    <t>11:21</t>
  </si>
  <si>
    <t>11:22</t>
  </si>
  <si>
    <t>11:23</t>
  </si>
  <si>
    <t>11:24</t>
  </si>
  <si>
    <t>11:25</t>
  </si>
  <si>
    <t>11:26</t>
  </si>
  <si>
    <t>11:27</t>
  </si>
  <si>
    <t>11:28</t>
  </si>
  <si>
    <t>11:29</t>
  </si>
  <si>
    <t>11:30</t>
  </si>
  <si>
    <t>12:30</t>
  </si>
  <si>
    <t>12:31</t>
  </si>
  <si>
    <t>12:32</t>
  </si>
  <si>
    <t>12:33</t>
  </si>
  <si>
    <t>12:34</t>
  </si>
  <si>
    <t>12:35</t>
  </si>
  <si>
    <t>12:36</t>
  </si>
  <si>
    <t>12:37</t>
  </si>
  <si>
    <t>12:38</t>
  </si>
  <si>
    <t>12:39</t>
  </si>
  <si>
    <t>12:40</t>
  </si>
  <si>
    <t>12:41</t>
  </si>
  <si>
    <t>12:42</t>
  </si>
  <si>
    <t>12:43</t>
  </si>
  <si>
    <t>12:44</t>
  </si>
  <si>
    <t>12:45</t>
  </si>
  <si>
    <t>12:46</t>
  </si>
  <si>
    <t>12:47</t>
  </si>
  <si>
    <t>12:48</t>
  </si>
  <si>
    <t>12:49</t>
  </si>
  <si>
    <t>12:50</t>
  </si>
  <si>
    <t>12:51</t>
  </si>
  <si>
    <t>12:52</t>
  </si>
  <si>
    <t>12:53</t>
  </si>
  <si>
    <t>12:54</t>
  </si>
  <si>
    <t>12:55</t>
  </si>
  <si>
    <t>12:56</t>
  </si>
  <si>
    <t>12:57</t>
  </si>
  <si>
    <t>12:58</t>
  </si>
  <si>
    <t>12:59</t>
  </si>
  <si>
    <t>13:00</t>
  </si>
  <si>
    <t>13:01</t>
  </si>
  <si>
    <t>13:02</t>
  </si>
  <si>
    <t>13:03</t>
  </si>
  <si>
    <t>13:04</t>
  </si>
  <si>
    <t>13:05</t>
  </si>
  <si>
    <t>13:06</t>
  </si>
  <si>
    <t>13:07</t>
  </si>
  <si>
    <t>13:08</t>
  </si>
  <si>
    <t>13:09</t>
  </si>
  <si>
    <t>13:10</t>
  </si>
  <si>
    <t>13:11</t>
  </si>
  <si>
    <t>13:12</t>
  </si>
  <si>
    <t>13:13</t>
  </si>
  <si>
    <t>13:14</t>
  </si>
  <si>
    <t>13:15</t>
  </si>
  <si>
    <t>13:16</t>
  </si>
  <si>
    <t>13:17</t>
  </si>
  <si>
    <t>13:18</t>
  </si>
  <si>
    <t>13:19</t>
  </si>
  <si>
    <t>13:20</t>
  </si>
  <si>
    <t>13:21</t>
  </si>
  <si>
    <t>13:22</t>
  </si>
  <si>
    <t>13:23</t>
  </si>
  <si>
    <t>13:24</t>
  </si>
  <si>
    <t>13:25</t>
  </si>
  <si>
    <t>13:26</t>
  </si>
  <si>
    <t>13:27</t>
  </si>
  <si>
    <t>13:28</t>
  </si>
  <si>
    <t>13:29</t>
  </si>
  <si>
    <t>13:30</t>
  </si>
  <si>
    <t>13:31</t>
  </si>
  <si>
    <t>13:32</t>
  </si>
  <si>
    <t>13:33</t>
  </si>
  <si>
    <t>13:34</t>
  </si>
  <si>
    <t>13:35</t>
  </si>
  <si>
    <t>13:36</t>
  </si>
  <si>
    <t>13:37</t>
  </si>
  <si>
    <t>13:38</t>
  </si>
  <si>
    <t>13:39</t>
  </si>
  <si>
    <t>13:40</t>
  </si>
  <si>
    <t>13:41</t>
  </si>
  <si>
    <t>13:42</t>
  </si>
  <si>
    <t>13:43</t>
  </si>
  <si>
    <t>13:44</t>
  </si>
  <si>
    <t>13:45</t>
  </si>
  <si>
    <t>13:46</t>
  </si>
  <si>
    <t>13:47</t>
  </si>
  <si>
    <t>13:48</t>
  </si>
  <si>
    <t>13:49</t>
  </si>
  <si>
    <t>13:50</t>
  </si>
  <si>
    <t>13:51</t>
  </si>
  <si>
    <t>13:52</t>
  </si>
  <si>
    <t>13:53</t>
  </si>
  <si>
    <t>13:54</t>
  </si>
  <si>
    <t>13:55</t>
  </si>
  <si>
    <t>13:56</t>
  </si>
  <si>
    <t>13:57</t>
  </si>
  <si>
    <t>13:58</t>
  </si>
  <si>
    <t>13:59</t>
  </si>
  <si>
    <t>14:00</t>
  </si>
  <si>
    <t>14:01</t>
  </si>
  <si>
    <t>14:02</t>
  </si>
  <si>
    <t>14:03</t>
  </si>
  <si>
    <t>14:04</t>
  </si>
  <si>
    <t>14:05</t>
  </si>
  <si>
    <t>14:06</t>
  </si>
  <si>
    <t>14:07</t>
  </si>
  <si>
    <t>14:08</t>
  </si>
  <si>
    <t>14:09</t>
  </si>
  <si>
    <t>14:10</t>
  </si>
  <si>
    <t>14:11</t>
  </si>
  <si>
    <t>14:12</t>
  </si>
  <si>
    <t>14:13</t>
  </si>
  <si>
    <t>14:14</t>
  </si>
  <si>
    <t>14:15</t>
  </si>
  <si>
    <t>14:16</t>
  </si>
  <si>
    <t>14:17</t>
  </si>
  <si>
    <t>14:18</t>
  </si>
  <si>
    <t>14:19</t>
  </si>
  <si>
    <t>14:20</t>
  </si>
  <si>
    <t>14:21</t>
  </si>
  <si>
    <t>14:22</t>
  </si>
  <si>
    <t>14:23</t>
  </si>
  <si>
    <t>14:24</t>
  </si>
  <si>
    <t>14:25</t>
  </si>
  <si>
    <t>14:26</t>
  </si>
  <si>
    <t>14:27</t>
  </si>
  <si>
    <t>14:28</t>
  </si>
  <si>
    <t>14:29</t>
  </si>
  <si>
    <t>14:30</t>
  </si>
  <si>
    <t>14:31</t>
  </si>
  <si>
    <t>14:32</t>
  </si>
  <si>
    <t>14:33</t>
  </si>
  <si>
    <t>14:34</t>
  </si>
  <si>
    <t>14:35</t>
  </si>
  <si>
    <t>14:36</t>
  </si>
  <si>
    <t>14:37</t>
  </si>
  <si>
    <t>14:38</t>
  </si>
  <si>
    <t>14:39</t>
  </si>
  <si>
    <t>14:40</t>
  </si>
  <si>
    <t>14:41</t>
  </si>
  <si>
    <t>14:42</t>
  </si>
  <si>
    <t>14:43</t>
  </si>
  <si>
    <t>14:44</t>
  </si>
  <si>
    <t>14:45</t>
  </si>
  <si>
    <t>14:46</t>
  </si>
  <si>
    <t>14:47</t>
  </si>
  <si>
    <t>14:48</t>
  </si>
  <si>
    <t>14:49</t>
  </si>
  <si>
    <t>14:50</t>
  </si>
  <si>
    <t>14:51</t>
  </si>
  <si>
    <t>14:52</t>
  </si>
  <si>
    <t>14:53</t>
  </si>
  <si>
    <t>14:54</t>
  </si>
  <si>
    <t>14:55</t>
  </si>
  <si>
    <t>15:25</t>
    <phoneticPr fontId="1"/>
  </si>
  <si>
    <t>15:26</t>
    <phoneticPr fontId="1"/>
  </si>
  <si>
    <t>15:27</t>
    <phoneticPr fontId="1"/>
  </si>
  <si>
    <t>15:28</t>
    <phoneticPr fontId="1"/>
  </si>
  <si>
    <t>15:29</t>
    <phoneticPr fontId="1"/>
  </si>
  <si>
    <t>15:30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</si>
</sst>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2"/>
      <color rgb="FFFF4B4B"/>
      <name val="Arial"/>
      <family val="2"/>
    </font>
    <font>
      <sz val="11"/>
      <color theme="1"/>
      <name val="Yu Gothic"/>
      <family val="2"/>
      <scheme val="minor"/>
    </font>
    <font>
      <sz val="11"/>
      <color theme="1"/>
      <name val="Meiryo UI"/>
      <family val="3"/>
      <charset val="128"/>
    </font>
    <font>
      <sz val="10"/>
      <color theme="1"/>
      <name val="Meiryo UI"/>
      <family val="3"/>
      <charset val="128"/>
    </font>
    <font>
      <sz val="6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38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17">
    <xf numFmtId="0" fontId="0" fillId="0" borderId="0" xfId="0"/>
    <xf numFmtId="0" fontId="0" fillId="0" borderId="0" xfId="0" quotePrefix="1"/>
    <xf numFmtId="0" fontId="2" fillId="0" borderId="0" xfId="0" applyFont="1"/>
    <xf numFmtId="0" fontId="4" fillId="0" borderId="0" xfId="0" applyFont="1"/>
    <xf numFmtId="0" fontId="4" fillId="0" borderId="1" xfId="0" applyFont="1" applyBorder="1"/>
    <xf numFmtId="0" fontId="5" fillId="0" borderId="1" xfId="0" applyFont="1" applyBorder="1" applyAlignment="1">
      <alignment vertical="center"/>
    </xf>
    <xf numFmtId="38" fontId="4" fillId="0" borderId="1" xfId="1" applyFont="1" applyBorder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right" vertical="center"/>
    </xf>
    <xf numFmtId="10" fontId="4" fillId="0" borderId="1" xfId="2" applyNumberFormat="1" applyFont="1" applyBorder="1" applyAlignment="1">
      <alignment horizontal="right" vertical="center"/>
    </xf>
    <xf numFmtId="0" fontId="4" fillId="0" borderId="1" xfId="0" applyFont="1" applyBorder="1" applyAlignment="1">
      <alignment vertical="center"/>
    </xf>
    <xf numFmtId="38" fontId="4" fillId="0" borderId="1" xfId="1" applyFont="1" applyBorder="1" applyAlignment="1">
      <alignment horizontal="right" vertical="center"/>
    </xf>
    <xf numFmtId="40" fontId="4" fillId="0" borderId="1" xfId="1" applyNumberFormat="1" applyFont="1" applyBorder="1" applyAlignment="1">
      <alignment horizontal="right" vertical="center"/>
    </xf>
    <xf numFmtId="0" fontId="4" fillId="0" borderId="1" xfId="0" quotePrefix="1" applyFont="1" applyBorder="1"/>
    <xf numFmtId="0" fontId="4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quotePrefix="1" applyFont="1"/>
  </cellXfs>
  <cellStyles count="3">
    <cellStyle name="パーセント" xfId="2" builtinId="5"/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2ba85d07ed0643ba95f81f15183b1d5a">
      <tp t="s">
        <v/>
        <stp/>
        <stp>StockOrder</stp>
        <stp>2068870950768,0,0,0,0</stp>
        <stp>2</stp>
        <stp>0</stp>
        <stp>9432</stp>
        <stp>3</stp>
        <stp>0</stp>
        <stp>1</stp>
        <stp>100</stp>
        <stp>1</stp>
        <stp>145</stp>
        <stp>2</stp>
        <stp/>
        <stp>1</stp>
        <stp/>
        <stp/>
        <stp/>
        <stp/>
        <stp>0</stp>
        <stp/>
        <stp/>
        <stp/>
        <tr r="A1" s="11"/>
      </tp>
    </main>
    <main first="rtdsrv.2ba85d07ed0643ba95f81f15183b1d5a">
      <tp t="s">
        <v>15:30</v>
        <stp/>
        <stp>Market</stp>
        <stp>STOCK</stp>
        <stp>83060</stp>
        <stp>現在値時刻</stp>
        <tr r="L3" s="16"/>
      </tp>
    </main>
    <main first="rtdsrv.2ba85d07ed0643ba95f81f15183b1d5a">
      <tp>
        <v>3488</v>
        <stp/>
        <stp>Market</stp>
        <stp>STOCK</stp>
        <stp>83060</stp>
        <stp>最良売気配値10</stp>
        <tr r="G6" s="16"/>
      </tp>
    </main>
    <main first="rtdsrv.2ba85d07ed0643ba95f81f15183b1d5a">
      <tp>
        <v>3442.8874000000001</v>
        <stp/>
        <stp>Market</stp>
        <stp>STOCK</stp>
        <stp>83060</stp>
        <stp>出来高加重平均</stp>
        <tr r="P3" s="16"/>
      </tp>
    </main>
    <main first="rtdsrv.2ba85d07ed0643ba95f81f15183b1d5a">
      <tp>
        <v>200</v>
        <stp/>
        <stp>Market</stp>
        <stp>STOCK</stp>
        <stp>83060</stp>
        <stp>最良買気配数量4</stp>
        <tr r="H19" s="16"/>
      </tp>
      <tp>
        <v>100</v>
        <stp/>
        <stp>Market</stp>
        <stp>STOCK</stp>
        <stp>83060</stp>
        <stp>最良買気配数量5</stp>
        <tr r="H20" s="16"/>
      </tp>
      <tp>
        <v>5500</v>
        <stp/>
        <stp>Market</stp>
        <stp>STOCK</stp>
        <stp>83060</stp>
        <stp>最良買気配数量6</stp>
        <tr r="H21" s="16"/>
      </tp>
      <tp>
        <v>600</v>
        <stp/>
        <stp>Market</stp>
        <stp>STOCK</stp>
        <stp>83060</stp>
        <stp>最良買気配数量7</stp>
        <tr r="H22" s="16"/>
      </tp>
      <tp>
        <v>100</v>
        <stp/>
        <stp>Market</stp>
        <stp>STOCK</stp>
        <stp>83060</stp>
        <stp>最良買気配数量1</stp>
        <tr r="H16" s="16"/>
      </tp>
      <tp>
        <v>10000</v>
        <stp/>
        <stp>Market</stp>
        <stp>STOCK</stp>
        <stp>83060</stp>
        <stp>最良買気配数量2</stp>
        <tr r="H17" s="16"/>
      </tp>
      <tp>
        <v>400</v>
        <stp/>
        <stp>Market</stp>
        <stp>STOCK</stp>
        <stp>83060</stp>
        <stp>最良買気配数量3</stp>
        <tr r="H18" s="16"/>
      </tp>
      <tp>
        <v>2600</v>
        <stp/>
        <stp>Market</stp>
        <stp>STOCK</stp>
        <stp>83060</stp>
        <stp>最良買気配数量8</stp>
        <tr r="H23" s="16"/>
      </tp>
      <tp>
        <v>4200</v>
        <stp/>
        <stp>Market</stp>
        <stp>STOCK</stp>
        <stp>83060</stp>
        <stp>最良買気配数量9</stp>
        <tr r="H24" s="16"/>
      </tp>
    </main>
    <main first="rtdsrv.2ba85d07ed0643ba95f81f15183b1d5a">
      <tp>
        <v>6100</v>
        <stp/>
        <stp>Market</stp>
        <stp>STOCK</stp>
        <stp>83060</stp>
        <stp>最良売気配数量10</stp>
        <tr r="F6" s="16"/>
      </tp>
    </main>
    <main first="rtdsrv.2ba85d07ed0643ba95f81f15183b1d5a">
      <tp>
        <v>2836400</v>
        <stp/>
        <stp>Market</stp>
        <stp>STOCK</stp>
        <stp>83060</stp>
        <stp>UNDER気配数量</stp>
        <tr r="H26" s="16"/>
      </tp>
    </main>
    <main first="rtdsrv.2ba85d07ed0643ba95f81f15183b1d5a">
      <tp>
        <v>3</v>
        <stp/>
        <stp>Market</stp>
        <stp>STOCK</stp>
        <stp>83060</stp>
        <stp>前日比</stp>
        <tr r="N3" s="16"/>
      </tp>
    </main>
    <main first="rtdsrv.2ba85d07ed0643ba95f81f15183b1d5a">
      <tp t="s">
        <v/>
        <stp/>
        <stp>TickList</stp>
        <stp>2068870996736,1,1,1,1</stp>
        <stp>8306</stp>
        <stp>20</stp>
        <tr r="B2" s="16"/>
      </tp>
    </main>
    <main first="rtdsrv.2ba85d07ed0643ba95f81f15183b1d5a">
      <tp t="s">
        <v/>
        <stp/>
        <stp>MarginPositionList</stp>
        <stp>2068870975104,0,0,0,0</stp>
        <stp/>
        <stp>A</stp>
        <stp>0</stp>
        <stp>0</stp>
        <stp>0</stp>
        <tr r="A1" s="5"/>
      </tp>
    </main>
    <main first="rtdsrv.2ba85d07ed0643ba95f81f15183b1d5a">
      <tp t="s">
        <v/>
        <stp/>
        <stp>OrderList</stp>
        <stp>2068870972400,0,0,0,0</stp>
        <stp>0</stp>
        <stp>0</stp>
        <stp/>
        <stp>A</stp>
        <stp>0</stp>
        <stp>0</stp>
        <stp>0</stp>
        <stp>0</stp>
        <stp>0</stp>
        <tr r="A1" s="2"/>
      </tp>
    </main>
    <main first="rtdsrv.2ba85d07ed0643ba95f81f15183b1d5a">
      <tp t="s">
        <v/>
        <stp/>
        <stp>ExecutionList</stp>
        <stp>2068870983216,0,0,0,0</stp>
        <stp>0</stp>
        <stp/>
        <stp>A</stp>
        <stp>0</stp>
        <stp>0</stp>
        <tr r="A1" s="3"/>
      </tp>
    </main>
    <main first="rtdsrv.2ba85d07ed0643ba95f81f15183b1d5a">
      <tp>
        <v>13.97</v>
        <stp/>
        <stp>Market</stp>
        <stp>STOCK</stp>
        <stp>83060</stp>
        <stp>PER</stp>
        <tr r="P6" s="16"/>
      </tp>
      <tp>
        <v>1.76</v>
        <stp/>
        <stp>Market</stp>
        <stp>STOCK</stp>
        <stp>83060</stp>
        <stp>PBR</stp>
        <tr r="P5" s="16"/>
      </tp>
    </main>
    <main first="rtdsrv.2ba85d07ed0643ba95f81f15183b1d5a">
      <tp>
        <v>3383</v>
        <stp/>
        <stp>Market</stp>
        <stp>STOCK</stp>
        <stp>83060</stp>
        <stp>安値</stp>
        <tr r="K8" s="16"/>
      </tp>
    </main>
    <main first="rtdsrv.2ba85d07ed0643ba95f81f15183b1d5a">
      <tp>
        <v>3420</v>
        <stp/>
        <stp>Market</stp>
        <stp>STOCK</stp>
        <stp>83060</stp>
        <stp>始値</stp>
        <tr r="K6" s="16"/>
      </tp>
    </main>
    <main first="rtdsrv.2ba85d07ed0643ba95f81f15183b1d5a">
      <tp>
        <v>20200</v>
        <stp/>
        <stp>Market</stp>
        <stp>STOCK</stp>
        <stp>83060</stp>
        <stp>最良買気配数量10</stp>
        <tr r="H25" s="16"/>
      </tp>
    </main>
    <main first="rtdsrv.2ba85d07ed0643ba95f81f15183b1d5a">
      <tp t="s">
        <v>09:11</v>
        <stp/>
        <stp>Market</stp>
        <stp>STOCK</stp>
        <stp>83060</stp>
        <stp>安値時刻</stp>
        <tr r="L8" s="16"/>
      </tp>
      <tp t="s">
        <v>09:00</v>
        <stp/>
        <stp>Market</stp>
        <stp>STOCK</stp>
        <stp>83060</stp>
        <stp>始値時刻</stp>
        <tr r="L6" s="16"/>
      </tp>
      <tp t="s">
        <v>15:30</v>
        <stp/>
        <stp>Market</stp>
        <stp>STOCK</stp>
        <stp>83060</stp>
        <stp>高値時刻</stp>
        <tr r="L7" s="16"/>
      </tp>
    </main>
    <main first="rtdsrv.2ba85d07ed0643ba95f81f15183b1d5a">
      <tp>
        <v>9920600</v>
        <stp/>
        <stp>Market</stp>
        <stp>STOCK</stp>
        <stp>83060</stp>
        <stp>OVER気配数量</stp>
        <tr r="F5" s="16"/>
      </tp>
    </main>
    <main first="rtdsrv.2ba85d07ed0643ba95f81f15183b1d5a">
      <tp>
        <v>0</v>
        <stp/>
        <stp>Market</stp>
        <stp>STOCK</stp>
        <stp>83060</stp>
        <stp>買成行数量</stp>
        <tr r="H4" s="16"/>
      </tp>
      <tp>
        <v>0</v>
        <stp/>
        <stp>Market</stp>
        <stp>STOCK</stp>
        <stp>83060</stp>
        <stp>売成行数量</stp>
        <tr r="F4" s="16"/>
      </tp>
    </main>
    <main first="rtdsrv.2ba85d07ed0643ba95f81f15183b1d5a">
      <tp t="s">
        <v/>
        <stp/>
        <stp>Chart</stp>
        <stp>2068870999440,0,0,0,0</stp>
        <stp>8306.T</stp>
        <stp>1M</stp>
        <stp>332</stp>
        <tr r="A1" s="17"/>
      </tp>
    </main>
    <main first="rtdsrv.2ba85d07ed0643ba95f81f15183b1d5a">
      <tp t="s">
        <v/>
        <stp/>
        <stp>OrderIDList</stp>
        <stp>2068870980512,0,0,0,0</stp>
        <tr r="A1" s="1"/>
      </tp>
    </main>
    <main first="rtdsrv.2ba85d07ed0643ba95f81f15183b1d5a">
      <tp>
        <v>3479</v>
        <stp/>
        <stp>Market</stp>
        <stp>STOCK</stp>
        <stp>83060</stp>
        <stp>最良売気配値1</stp>
        <tr r="G15" s="16"/>
      </tp>
      <tp>
        <v>3480</v>
        <stp/>
        <stp>Market</stp>
        <stp>STOCK</stp>
        <stp>83060</stp>
        <stp>最良売気配値2</stp>
        <tr r="G14" s="16"/>
      </tp>
      <tp>
        <v>3481</v>
        <stp/>
        <stp>Market</stp>
        <stp>STOCK</stp>
        <stp>83060</stp>
        <stp>最良売気配値3</stp>
        <tr r="G13" s="16"/>
      </tp>
      <tp>
        <v>3482</v>
        <stp/>
        <stp>Market</stp>
        <stp>STOCK</stp>
        <stp>83060</stp>
        <stp>最良売気配値4</stp>
        <tr r="G12" s="16"/>
      </tp>
      <tp>
        <v>3483</v>
        <stp/>
        <stp>Market</stp>
        <stp>STOCK</stp>
        <stp>83060</stp>
        <stp>最良売気配値5</stp>
        <tr r="G11" s="16"/>
      </tp>
      <tp>
        <v>3484</v>
        <stp/>
        <stp>Market</stp>
        <stp>STOCK</stp>
        <stp>83060</stp>
        <stp>最良売気配値6</stp>
        <tr r="G10" s="16"/>
      </tp>
      <tp>
        <v>3485</v>
        <stp/>
        <stp>Market</stp>
        <stp>STOCK</stp>
        <stp>83060</stp>
        <stp>最良売気配値7</stp>
        <tr r="G9" s="16"/>
      </tp>
      <tp>
        <v>3486</v>
        <stp/>
        <stp>Market</stp>
        <stp>STOCK</stp>
        <stp>83060</stp>
        <stp>最良売気配値8</stp>
        <tr r="G8" s="16"/>
      </tp>
      <tp>
        <v>3487</v>
        <stp/>
        <stp>Market</stp>
        <stp>STOCK</stp>
        <stp>83060</stp>
        <stp>最良売気配値9</stp>
        <tr r="G7" s="16"/>
      </tp>
    </main>
    <main first="rtdsrv.2ba85d07ed0643ba95f81f15183b1d5a">
      <tp>
        <v>3471</v>
        <stp/>
        <stp>Market</stp>
        <stp>STOCK</stp>
        <stp>83060</stp>
        <stp>最良買気配値5</stp>
        <tr r="G20" s="16"/>
      </tp>
      <tp>
        <v>3472</v>
        <stp/>
        <stp>Market</stp>
        <stp>STOCK</stp>
        <stp>83060</stp>
        <stp>最良買気配値4</stp>
        <tr r="G19" s="16"/>
      </tp>
      <tp>
        <v>3469</v>
        <stp/>
        <stp>Market</stp>
        <stp>STOCK</stp>
        <stp>83060</stp>
        <stp>最良買気配値7</stp>
        <tr r="G22" s="16"/>
      </tp>
      <tp>
        <v>3470</v>
        <stp/>
        <stp>Market</stp>
        <stp>STOCK</stp>
        <stp>83060</stp>
        <stp>最良買気配値6</stp>
        <tr r="G21" s="16"/>
      </tp>
      <tp>
        <v>3475</v>
        <stp/>
        <stp>Market</stp>
        <stp>STOCK</stp>
        <stp>83060</stp>
        <stp>最良買気配値1</stp>
        <tr r="G16" s="16"/>
      </tp>
      <tp>
        <v>3473</v>
        <stp/>
        <stp>Market</stp>
        <stp>STOCK</stp>
        <stp>83060</stp>
        <stp>最良買気配値3</stp>
        <tr r="G18" s="16"/>
      </tp>
      <tp>
        <v>3474</v>
        <stp/>
        <stp>Market</stp>
        <stp>STOCK</stp>
        <stp>83060</stp>
        <stp>最良買気配値2</stp>
        <tr r="G17" s="16"/>
      </tp>
      <tp>
        <v>3467</v>
        <stp/>
        <stp>Market</stp>
        <stp>STOCK</stp>
        <stp>83060</stp>
        <stp>最良買気配値9</stp>
        <tr r="G24" s="16"/>
      </tp>
      <tp>
        <v>3468</v>
        <stp/>
        <stp>Market</stp>
        <stp>STOCK</stp>
        <stp>83060</stp>
        <stp>最良買気配値8</stp>
        <tr r="G23" s="16"/>
      </tp>
    </main>
    <main first="rtdsrv.2ba85d07ed0643ba95f81f15183b1d5a">
      <tp>
        <v>23862700</v>
        <stp/>
        <stp>Market</stp>
        <stp>STOCK</stp>
        <stp>83060</stp>
        <stp>出来高</stp>
        <tr r="N7" s="16"/>
      </tp>
      <tp>
        <v>3475</v>
        <stp/>
        <stp>Market</stp>
        <stp>STOCK</stp>
        <stp>83060</stp>
        <stp>前日終値</stp>
        <tr r="N5" s="16"/>
      </tp>
    </main>
    <main first="rtdsrv.2ba85d07ed0643ba95f81f15183b1d5a">
      <tp t="s">
        <v>三菱ＵＦＪフィナンシャルＧ</v>
        <stp/>
        <stp>Market</stp>
        <stp>STOCK</stp>
        <stp>83060</stp>
        <stp>銘柄名称</stp>
        <tr r="C1" s="16"/>
      </tp>
    </main>
    <main first="rtdsrv.2ba85d07ed0643ba95f81f15183b1d5a">
      <tp>
        <v>0.09</v>
        <stp/>
        <stp>Market</stp>
        <stp>STOCK</stp>
        <stp>83060</stp>
        <stp>前日比率</stp>
        <tr r="N4" s="16"/>
      </tp>
    </main>
    <main first="rtdsrv.2ba85d07ed0643ba95f81f15183b1d5a">
      <tp>
        <v>3478</v>
        <stp/>
        <stp>Market</stp>
        <stp>STOCK</stp>
        <stp>83060</stp>
        <stp>高値</stp>
        <tr r="K7" s="16"/>
      </tp>
    </main>
    <main first="rtdsrv.2ba85d07ed0643ba95f81f15183b1d5a">
      <tp t="s">
        <v>2026/10/16</v>
        <stp/>
        <stp>Market</stp>
        <stp>STOCK</stp>
        <stp>83060</stp>
        <stp>前日日付</stp>
        <tr r="N6" s="16"/>
      </tp>
    </main>
    <main first="rtdsrv.2ba85d07ed0643ba95f81f15183b1d5a">
      <tp t="s">
        <v>15:30</v>
        <stp/>
        <stp>Market</stp>
        <stp>STOCK</stp>
        <stp>83060</stp>
        <stp>最良売気配時刻</stp>
        <tr r="L4" s="16"/>
      </tp>
      <tp>
        <v>3478</v>
        <stp/>
        <stp>Market</stp>
        <stp>STOCK</stp>
        <stp>83060</stp>
        <stp>現在値</stp>
        <tr r="K3" s="16"/>
      </tp>
    </main>
    <main first="rtdsrv.2ba85d07ed0643ba95f81f15183b1d5a">
      <tp t="s">
        <v>15:30</v>
        <stp/>
        <stp>Market</stp>
        <stp>STOCK</stp>
        <stp>83060</stp>
        <stp>最良買気配時刻</stp>
        <tr r="L5" s="16"/>
      </tp>
    </main>
    <main first="rtdsrv.2ba85d07ed0643ba95f81f15183b1d5a">
      <tp>
        <v>41275898</v>
        <stp/>
        <stp>Market</stp>
        <stp>STOCK</stp>
        <stp>83060</stp>
        <stp>時価総額</stp>
        <tr r="P4" s="16"/>
      </tp>
    </main>
    <main first="rtdsrv.2ba85d07ed0643ba95f81f15183b1d5a">
      <tp>
        <v>106100</v>
        <stp/>
        <stp>Market</stp>
        <stp>STOCK</stp>
        <stp>83060</stp>
        <stp>最良売気配数量4</stp>
        <tr r="F12" s="16"/>
      </tp>
      <tp>
        <v>7000</v>
        <stp/>
        <stp>Market</stp>
        <stp>STOCK</stp>
        <stp>83060</stp>
        <stp>最良売気配数量5</stp>
        <tr r="F11" s="16"/>
      </tp>
      <tp>
        <v>4300</v>
        <stp/>
        <stp>Market</stp>
        <stp>STOCK</stp>
        <stp>83060</stp>
        <stp>最良売気配数量6</stp>
        <tr r="F10" s="16"/>
      </tp>
      <tp>
        <v>17700</v>
        <stp/>
        <stp>Market</stp>
        <stp>STOCK</stp>
        <stp>83060</stp>
        <stp>最良売気配数量7</stp>
        <tr r="F9" s="16"/>
      </tp>
      <tp>
        <v>79500</v>
        <stp/>
        <stp>Market</stp>
        <stp>STOCK</stp>
        <stp>83060</stp>
        <stp>最良売気配数量1</stp>
        <tr r="F15" s="16"/>
      </tp>
      <tp>
        <v>39600</v>
        <stp/>
        <stp>Market</stp>
        <stp>STOCK</stp>
        <stp>83060</stp>
        <stp>最良売気配数量2</stp>
        <tr r="F14" s="16"/>
      </tp>
      <tp>
        <v>6900</v>
        <stp/>
        <stp>Market</stp>
        <stp>STOCK</stp>
        <stp>83060</stp>
        <stp>最良売気配数量3</stp>
        <tr r="F13" s="16"/>
      </tp>
      <tp>
        <v>1500</v>
        <stp/>
        <stp>Market</stp>
        <stp>STOCK</stp>
        <stp>83060</stp>
        <stp>最良売気配数量8</stp>
        <tr r="F8" s="16"/>
      </tp>
      <tp>
        <v>3000</v>
        <stp/>
        <stp>Market</stp>
        <stp>STOCK</stp>
        <stp>83060</stp>
        <stp>最良売気配数量9</stp>
        <tr r="F7" s="16"/>
      </tp>
    </main>
    <main first="rtdsrv.2ba85d07ed0643ba95f81f15183b1d5a">
      <tp>
        <v>3466</v>
        <stp/>
        <stp>Market</stp>
        <stp>STOCK</stp>
        <stp>83060</stp>
        <stp>最良買気配値10</stp>
        <tr r="G25" s="16"/>
      </tp>
    </main>
    <main first="rtdsrv.2ba85d07ed0643ba95f81f15183b1d5a">
      <tp>
        <v>82156590</v>
        <stp/>
        <stp>Market</stp>
        <stp>STOCK</stp>
        <stp>83060</stp>
        <stp>売買代金</stp>
        <tr r="N8" s="16"/>
      </tp>
    </main>
    <main first="rtdsrv.2ba85d07ed0643ba95f81f15183b1d5a">
      <tp>
        <v>3479</v>
        <stp/>
        <stp>Market</stp>
        <stp>STOCK</stp>
        <stp>83060</stp>
        <stp>最良売気配値</stp>
        <tr r="K4" s="16"/>
      </tp>
      <tp>
        <v>3475</v>
        <stp/>
        <stp>Market</stp>
        <stp>STOCK</stp>
        <stp>83060</stp>
        <stp>最良買気配値</stp>
        <tr r="K5" s="16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volatileDependencies" Target="volatileDependenci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AC73A-D9CD-4E18-AE68-0BEA4811D523}">
  <sheetPr codeName="Sheet11"/>
  <dimension ref="A1:S27"/>
  <sheetViews>
    <sheetView workbookViewId="0">
      <selection activeCell="I8" sqref="I8"/>
    </sheetView>
  </sheetViews>
  <sheetFormatPr defaultRowHeight="18.75"/>
  <cols>
    <col min="1" max="1" width="11" customWidth="1"/>
    <col min="2" max="2" width="18.25" customWidth="1"/>
    <col min="3" max="3" width="11.75" customWidth="1"/>
    <col min="4" max="4" width="11.375" customWidth="1"/>
    <col min="5" max="5" width="8.375" customWidth="1"/>
    <col min="6" max="6" width="8.875" customWidth="1"/>
    <col min="7" max="7" width="10.25" customWidth="1"/>
    <col min="10" max="10" width="9.5" customWidth="1"/>
    <col min="13" max="13" width="15.5" customWidth="1"/>
    <col min="14" max="14" width="14.625" customWidth="1"/>
    <col min="15" max="15" width="14.875" customWidth="1"/>
    <col min="16" max="16" width="11" customWidth="1"/>
    <col min="17" max="17" width="14.25" customWidth="1"/>
    <col min="18" max="18" width="19.125" customWidth="1"/>
    <col min="19" max="19" width="17" customWidth="1"/>
  </cols>
  <sheetData>
    <row r="1" spans="1:19">
      <c r="A1" t="str" cm="1">
        <f t="array" ref="A1">_xll.RssStockOrder(A6,B6,C6,D6,E6,F6,G6,H6,I6,J6,K6,L6, , , , , , , , )</f>
        <v>=RssStockOrder(A6,B6,C6,D6,E6,F6,G6,H6,I6,J6,K6,L6, , , , , , , , ) =&gt; 待機中</v>
      </c>
    </row>
    <row r="4" spans="1:19">
      <c r="A4">
        <v>1</v>
      </c>
      <c r="B4">
        <v>2</v>
      </c>
      <c r="C4">
        <v>3</v>
      </c>
      <c r="D4">
        <v>4</v>
      </c>
      <c r="E4">
        <v>5</v>
      </c>
      <c r="F4">
        <v>6</v>
      </c>
      <c r="G4">
        <v>7</v>
      </c>
      <c r="H4">
        <v>8</v>
      </c>
      <c r="I4">
        <v>9</v>
      </c>
      <c r="J4">
        <v>10</v>
      </c>
      <c r="K4">
        <v>11</v>
      </c>
      <c r="L4">
        <v>12</v>
      </c>
      <c r="M4">
        <v>13</v>
      </c>
      <c r="N4">
        <v>14</v>
      </c>
      <c r="O4">
        <v>15</v>
      </c>
      <c r="P4">
        <v>16</v>
      </c>
      <c r="Q4">
        <v>17</v>
      </c>
      <c r="R4">
        <v>18</v>
      </c>
      <c r="S4">
        <v>19</v>
      </c>
    </row>
    <row r="5" spans="1:19">
      <c r="A5" t="s">
        <v>90</v>
      </c>
      <c r="B5" t="s">
        <v>57</v>
      </c>
      <c r="C5" t="s">
        <v>58</v>
      </c>
      <c r="D5" t="s">
        <v>75</v>
      </c>
      <c r="E5" t="s">
        <v>59</v>
      </c>
      <c r="F5" t="s">
        <v>61</v>
      </c>
      <c r="G5" t="s">
        <v>60</v>
      </c>
      <c r="H5" t="s">
        <v>62</v>
      </c>
      <c r="I5" t="s">
        <v>63</v>
      </c>
      <c r="J5" t="s">
        <v>64</v>
      </c>
      <c r="K5" t="s">
        <v>65</v>
      </c>
      <c r="L5" t="s">
        <v>66</v>
      </c>
      <c r="M5" t="s">
        <v>67</v>
      </c>
      <c r="N5" t="s">
        <v>68</v>
      </c>
      <c r="O5" t="s">
        <v>69</v>
      </c>
      <c r="P5" t="s">
        <v>70</v>
      </c>
      <c r="Q5" t="s">
        <v>71</v>
      </c>
      <c r="R5" t="s">
        <v>72</v>
      </c>
      <c r="S5" t="s">
        <v>73</v>
      </c>
    </row>
    <row r="6" spans="1:19">
      <c r="A6">
        <v>2</v>
      </c>
      <c r="B6">
        <v>0</v>
      </c>
      <c r="C6">
        <v>9432</v>
      </c>
      <c r="D6">
        <v>3</v>
      </c>
      <c r="E6">
        <v>0</v>
      </c>
      <c r="F6">
        <v>1</v>
      </c>
      <c r="G6">
        <v>100</v>
      </c>
      <c r="H6">
        <v>1</v>
      </c>
      <c r="I6">
        <v>145</v>
      </c>
      <c r="J6">
        <v>2</v>
      </c>
      <c r="L6">
        <v>1</v>
      </c>
    </row>
    <row r="9" spans="1:19">
      <c r="A9">
        <v>1</v>
      </c>
      <c r="B9" t="s">
        <v>56</v>
      </c>
      <c r="C9" t="s">
        <v>74</v>
      </c>
    </row>
    <row r="10" spans="1:19">
      <c r="A10">
        <v>2</v>
      </c>
      <c r="B10" t="s">
        <v>57</v>
      </c>
      <c r="C10" t="s">
        <v>76</v>
      </c>
    </row>
    <row r="11" spans="1:19">
      <c r="A11">
        <v>3</v>
      </c>
      <c r="B11" t="s">
        <v>58</v>
      </c>
      <c r="C11" t="s">
        <v>77</v>
      </c>
    </row>
    <row r="12" spans="1:19">
      <c r="A12">
        <v>4</v>
      </c>
      <c r="B12" t="s">
        <v>75</v>
      </c>
      <c r="C12" t="s">
        <v>78</v>
      </c>
    </row>
    <row r="13" spans="1:19">
      <c r="A13">
        <v>5</v>
      </c>
      <c r="B13" t="s">
        <v>59</v>
      </c>
      <c r="C13" t="s">
        <v>79</v>
      </c>
    </row>
    <row r="14" spans="1:19">
      <c r="A14">
        <v>6</v>
      </c>
      <c r="B14" t="s">
        <v>61</v>
      </c>
      <c r="C14" t="s">
        <v>80</v>
      </c>
    </row>
    <row r="15" spans="1:19">
      <c r="A15">
        <v>7</v>
      </c>
      <c r="B15" t="s">
        <v>60</v>
      </c>
    </row>
    <row r="16" spans="1:19">
      <c r="A16">
        <v>8</v>
      </c>
      <c r="B16" t="s">
        <v>62</v>
      </c>
      <c r="C16" t="s">
        <v>81</v>
      </c>
    </row>
    <row r="17" spans="1:3">
      <c r="A17">
        <v>9</v>
      </c>
      <c r="B17" t="s">
        <v>63</v>
      </c>
      <c r="C17" t="s">
        <v>82</v>
      </c>
    </row>
    <row r="18" spans="1:3">
      <c r="A18">
        <v>10</v>
      </c>
      <c r="B18" t="s">
        <v>64</v>
      </c>
      <c r="C18" t="s">
        <v>83</v>
      </c>
    </row>
    <row r="19" spans="1:3">
      <c r="A19">
        <v>11</v>
      </c>
      <c r="B19" t="s">
        <v>65</v>
      </c>
      <c r="C19" t="s">
        <v>84</v>
      </c>
    </row>
    <row r="20" spans="1:3">
      <c r="A20">
        <v>12</v>
      </c>
      <c r="B20" t="s">
        <v>66</v>
      </c>
      <c r="C20" t="s">
        <v>85</v>
      </c>
    </row>
    <row r="21" spans="1:3">
      <c r="A21">
        <v>13</v>
      </c>
      <c r="B21" t="s">
        <v>67</v>
      </c>
    </row>
    <row r="22" spans="1:3">
      <c r="A22">
        <v>14</v>
      </c>
      <c r="B22" t="s">
        <v>68</v>
      </c>
      <c r="C22" t="s">
        <v>86</v>
      </c>
    </row>
    <row r="23" spans="1:3">
      <c r="A23">
        <v>15</v>
      </c>
      <c r="B23" t="s">
        <v>69</v>
      </c>
      <c r="C23" t="s">
        <v>87</v>
      </c>
    </row>
    <row r="24" spans="1:3">
      <c r="A24">
        <v>16</v>
      </c>
      <c r="B24" t="s">
        <v>70</v>
      </c>
    </row>
    <row r="25" spans="1:3">
      <c r="A25">
        <v>17</v>
      </c>
      <c r="B25" t="s">
        <v>71</v>
      </c>
      <c r="C25" t="s">
        <v>88</v>
      </c>
    </row>
    <row r="26" spans="1:3">
      <c r="A26">
        <v>18</v>
      </c>
      <c r="B26" t="s">
        <v>72</v>
      </c>
      <c r="C26" t="s">
        <v>83</v>
      </c>
    </row>
    <row r="27" spans="1:3">
      <c r="A27">
        <v>19</v>
      </c>
      <c r="B27" t="s">
        <v>73</v>
      </c>
      <c r="C27" t="s">
        <v>89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11ED5-0887-4F39-9C01-443DCE4AB51A}">
  <dimension ref="A1:K1"/>
  <sheetViews>
    <sheetView tabSelected="1" workbookViewId="0">
      <selection activeCell="L10" sqref="L10"/>
    </sheetView>
  </sheetViews>
  <sheetFormatPr defaultRowHeight="18.75"/>
  <cols>
    <col min="4" max="4" width="11.75" customWidth="1"/>
    <col min="5" max="5" width="14.5" customWidth="1"/>
  </cols>
  <sheetData>
    <row r="1" spans="1:11">
      <c r="A1" t="s">
        <v>93</v>
      </c>
      <c r="B1" t="s">
        <v>94</v>
      </c>
      <c r="C1" t="s">
        <v>104</v>
      </c>
      <c r="D1" t="s">
        <v>105</v>
      </c>
      <c r="E1" t="s">
        <v>106</v>
      </c>
      <c r="F1" t="s">
        <v>107</v>
      </c>
      <c r="G1" t="s">
        <v>103</v>
      </c>
      <c r="H1" t="s">
        <v>108</v>
      </c>
      <c r="I1" t="s">
        <v>95</v>
      </c>
      <c r="J1" t="s">
        <v>109</v>
      </c>
      <c r="K1" t="s">
        <v>110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5F4EA-05F5-46AD-A7DB-157010DD3295}">
  <dimension ref="A1"/>
  <sheetViews>
    <sheetView workbookViewId="0">
      <selection activeCell="G15" sqref="G15"/>
    </sheetView>
  </sheetViews>
  <sheetFormatPr defaultRowHeight="18.75"/>
  <sheetData>
    <row r="1" spans="1:1">
      <c r="A1" s="2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F3"/>
  <sheetViews>
    <sheetView workbookViewId="0">
      <selection activeCell="A3" sqref="A3:XFD53"/>
    </sheetView>
  </sheetViews>
  <sheetFormatPr defaultRowHeight="18.75"/>
  <cols>
    <col min="3" max="3" width="12.875" customWidth="1"/>
    <col min="5" max="5" width="10.75" customWidth="1"/>
    <col min="6" max="6" width="13.625" customWidth="1"/>
  </cols>
  <sheetData>
    <row r="1" spans="1:6">
      <c r="A1" t="str" cm="1">
        <f t="array" ref="A1">_xll.RssOrderIDList($A$2:$F$2)</f>
        <v>=RssOrderIDList($A$2:$F$2) =&gt; 接続待ち</v>
      </c>
    </row>
    <row r="2" spans="1:6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111</v>
      </c>
    </row>
    <row r="3" spans="1:6">
      <c r="A3" s="1" t="s">
        <v>92</v>
      </c>
      <c r="B3" s="1" t="s">
        <v>92</v>
      </c>
      <c r="C3" s="1" t="s">
        <v>92</v>
      </c>
      <c r="D3" s="1" t="s">
        <v>92</v>
      </c>
      <c r="E3" s="1" t="s">
        <v>92</v>
      </c>
      <c r="F3" s="1" t="s">
        <v>92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D1147-15F3-45F2-B612-FAD342CCE77E}">
  <sheetPr codeName="Sheet3"/>
  <dimension ref="A1:AD3"/>
  <sheetViews>
    <sheetView workbookViewId="0">
      <selection activeCell="A3" sqref="A3:XFD55"/>
    </sheetView>
  </sheetViews>
  <sheetFormatPr defaultRowHeight="18.75"/>
  <sheetData>
    <row r="1" spans="1:30">
      <c r="A1" t="str" cm="1">
        <f t="array" ref="A1">_xll.RssOrderList($A$2:$AD$2, 0, 0, "", "A", 0, 0, 0, 0, 0)</f>
        <v>=RssOrderList($A$2:$AD$2, 0, 0, "", "A", 0, 0, 0, 0, 0) =&gt; 接続待ち</v>
      </c>
    </row>
    <row r="2" spans="1:30">
      <c r="A2" t="s">
        <v>4</v>
      </c>
      <c r="B2" t="s">
        <v>5</v>
      </c>
      <c r="C2" t="s">
        <v>6</v>
      </c>
      <c r="D2" t="s">
        <v>7</v>
      </c>
      <c r="E2" t="s">
        <v>8</v>
      </c>
      <c r="F2" t="s">
        <v>9</v>
      </c>
      <c r="G2" t="s">
        <v>10</v>
      </c>
      <c r="H2" t="s">
        <v>11</v>
      </c>
      <c r="I2" t="s">
        <v>12</v>
      </c>
      <c r="J2" t="s">
        <v>13</v>
      </c>
      <c r="K2" t="s">
        <v>14</v>
      </c>
      <c r="L2" t="s">
        <v>15</v>
      </c>
      <c r="M2" t="s">
        <v>16</v>
      </c>
      <c r="N2" t="s">
        <v>17</v>
      </c>
      <c r="O2" t="s">
        <v>18</v>
      </c>
      <c r="P2" t="s">
        <v>19</v>
      </c>
      <c r="Q2" t="s">
        <v>20</v>
      </c>
      <c r="R2" t="s">
        <v>21</v>
      </c>
      <c r="S2" t="s">
        <v>22</v>
      </c>
      <c r="T2" t="s">
        <v>23</v>
      </c>
      <c r="U2" t="s">
        <v>24</v>
      </c>
      <c r="V2" t="s">
        <v>25</v>
      </c>
      <c r="W2" t="s">
        <v>26</v>
      </c>
      <c r="X2" t="s">
        <v>27</v>
      </c>
      <c r="Y2" t="s">
        <v>28</v>
      </c>
      <c r="Z2" t="s">
        <v>29</v>
      </c>
      <c r="AA2" t="s">
        <v>30</v>
      </c>
      <c r="AB2" t="s">
        <v>31</v>
      </c>
      <c r="AC2" t="s">
        <v>32</v>
      </c>
      <c r="AD2" t="s">
        <v>33</v>
      </c>
    </row>
    <row r="3" spans="1:30">
      <c r="A3" s="1" t="s">
        <v>92</v>
      </c>
      <c r="B3" s="1" t="s">
        <v>92</v>
      </c>
      <c r="C3" s="1" t="s">
        <v>92</v>
      </c>
      <c r="D3" s="1" t="s">
        <v>92</v>
      </c>
      <c r="E3" s="1" t="s">
        <v>92</v>
      </c>
      <c r="F3" s="1" t="s">
        <v>92</v>
      </c>
      <c r="G3" s="1" t="s">
        <v>92</v>
      </c>
      <c r="H3" s="1" t="s">
        <v>92</v>
      </c>
      <c r="I3" s="1" t="s">
        <v>92</v>
      </c>
      <c r="J3" s="1" t="s">
        <v>92</v>
      </c>
      <c r="K3" s="1" t="s">
        <v>92</v>
      </c>
      <c r="L3" s="1" t="s">
        <v>92</v>
      </c>
      <c r="M3" s="1" t="s">
        <v>92</v>
      </c>
      <c r="N3" s="1" t="s">
        <v>92</v>
      </c>
      <c r="O3" s="1" t="s">
        <v>92</v>
      </c>
      <c r="P3" s="1" t="s">
        <v>92</v>
      </c>
      <c r="Q3" s="1" t="s">
        <v>92</v>
      </c>
      <c r="R3" s="1" t="s">
        <v>92</v>
      </c>
      <c r="S3" s="1" t="s">
        <v>92</v>
      </c>
      <c r="T3" s="1" t="s">
        <v>92</v>
      </c>
      <c r="U3" s="1" t="s">
        <v>92</v>
      </c>
      <c r="V3" s="1" t="s">
        <v>92</v>
      </c>
      <c r="W3" s="1" t="s">
        <v>92</v>
      </c>
      <c r="X3" s="1" t="s">
        <v>92</v>
      </c>
      <c r="Y3" s="1" t="s">
        <v>92</v>
      </c>
      <c r="Z3" s="1" t="s">
        <v>92</v>
      </c>
      <c r="AA3" s="1" t="s">
        <v>92</v>
      </c>
      <c r="AB3" s="1" t="s">
        <v>92</v>
      </c>
      <c r="AC3" s="1" t="s">
        <v>92</v>
      </c>
      <c r="AD3" s="1" t="s">
        <v>92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8E1C9-064A-4C71-8B7F-6D67E78A2B37}">
  <sheetPr codeName="Sheet4"/>
  <dimension ref="A1:O3"/>
  <sheetViews>
    <sheetView workbookViewId="0">
      <selection activeCell="C12" sqref="C12"/>
    </sheetView>
  </sheetViews>
  <sheetFormatPr defaultRowHeight="18.75"/>
  <cols>
    <col min="1" max="1" width="18.75" customWidth="1"/>
  </cols>
  <sheetData>
    <row r="1" spans="1:15">
      <c r="A1" t="str" cm="1">
        <f t="array" ref="A1">_xll.RssExecutionList($A$2:$O$2, 0, "", "A", 0, 0)</f>
        <v>=RssExecutionList($A$2:$O$2, 0, "", "A", 0, 0) =&gt; 接続待ち</v>
      </c>
    </row>
    <row r="2" spans="1:15">
      <c r="A2" t="s">
        <v>35</v>
      </c>
      <c r="B2" t="s">
        <v>36</v>
      </c>
      <c r="C2" t="s">
        <v>9</v>
      </c>
      <c r="D2" t="s">
        <v>10</v>
      </c>
      <c r="E2" t="s">
        <v>11</v>
      </c>
      <c r="F2" t="s">
        <v>12</v>
      </c>
      <c r="G2" t="s">
        <v>13</v>
      </c>
      <c r="H2" t="s">
        <v>14</v>
      </c>
      <c r="I2" t="s">
        <v>17</v>
      </c>
      <c r="J2" t="s">
        <v>16</v>
      </c>
      <c r="K2" t="s">
        <v>21</v>
      </c>
      <c r="L2" t="s">
        <v>37</v>
      </c>
      <c r="M2" t="s">
        <v>38</v>
      </c>
      <c r="N2" t="s">
        <v>27</v>
      </c>
      <c r="O2" t="s">
        <v>39</v>
      </c>
    </row>
    <row r="3" spans="1:15">
      <c r="A3" s="1" t="s">
        <v>92</v>
      </c>
      <c r="B3" s="1" t="s">
        <v>92</v>
      </c>
      <c r="C3" s="1" t="s">
        <v>92</v>
      </c>
      <c r="D3" s="1" t="s">
        <v>92</v>
      </c>
      <c r="E3" s="1" t="s">
        <v>92</v>
      </c>
      <c r="F3" s="1" t="s">
        <v>92</v>
      </c>
      <c r="G3" s="1" t="s">
        <v>92</v>
      </c>
      <c r="H3" s="1" t="s">
        <v>92</v>
      </c>
      <c r="I3" s="1" t="s">
        <v>92</v>
      </c>
      <c r="J3" s="1" t="s">
        <v>92</v>
      </c>
      <c r="K3" s="1" t="s">
        <v>92</v>
      </c>
      <c r="L3" s="1" t="s">
        <v>92</v>
      </c>
      <c r="M3" s="1" t="s">
        <v>92</v>
      </c>
      <c r="N3" s="1" t="s">
        <v>92</v>
      </c>
      <c r="O3" s="1" t="s">
        <v>92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7A6BA-C22F-44A3-8486-13B9974483A7}">
  <sheetPr codeName="Sheet6"/>
  <dimension ref="A1:T3"/>
  <sheetViews>
    <sheetView workbookViewId="0">
      <selection activeCell="A3" sqref="A3:XFD11"/>
    </sheetView>
  </sheetViews>
  <sheetFormatPr defaultRowHeight="18.75"/>
  <cols>
    <col min="2" max="2" width="20.375" customWidth="1"/>
  </cols>
  <sheetData>
    <row r="1" spans="1:20">
      <c r="A1" t="str" cm="1">
        <f t="array" ref="A1">_xll.RssMarginPositionList($A$2:$T$2, "", "A", 0, 0, 0)</f>
        <v>=RssMarginPositionList($A$2:$T$2, "", "A", 0, 0, 0) =&gt; 接続待ち</v>
      </c>
    </row>
    <row r="2" spans="1:20">
      <c r="A2" t="s">
        <v>9</v>
      </c>
      <c r="B2" t="s">
        <v>10</v>
      </c>
      <c r="C2" t="s">
        <v>11</v>
      </c>
      <c r="D2" t="s">
        <v>47</v>
      </c>
      <c r="E2" t="s">
        <v>13</v>
      </c>
      <c r="F2" t="s">
        <v>14</v>
      </c>
      <c r="G2" t="s">
        <v>16</v>
      </c>
      <c r="H2" t="s">
        <v>48</v>
      </c>
      <c r="I2" t="s">
        <v>40</v>
      </c>
      <c r="J2" t="s">
        <v>49</v>
      </c>
      <c r="K2" t="s">
        <v>50</v>
      </c>
      <c r="L2" t="s">
        <v>51</v>
      </c>
      <c r="M2" t="s">
        <v>41</v>
      </c>
      <c r="N2" t="s">
        <v>42</v>
      </c>
      <c r="O2" t="s">
        <v>43</v>
      </c>
      <c r="P2" t="s">
        <v>44</v>
      </c>
      <c r="Q2" t="s">
        <v>45</v>
      </c>
      <c r="R2" t="s">
        <v>46</v>
      </c>
      <c r="S2" t="s">
        <v>52</v>
      </c>
      <c r="T2" t="s">
        <v>53</v>
      </c>
    </row>
    <row r="3" spans="1:20">
      <c r="A3" s="1" t="s">
        <v>92</v>
      </c>
      <c r="B3" s="1" t="s">
        <v>92</v>
      </c>
      <c r="C3" s="1" t="s">
        <v>92</v>
      </c>
      <c r="D3" s="1" t="s">
        <v>92</v>
      </c>
      <c r="E3" s="1" t="s">
        <v>92</v>
      </c>
      <c r="F3" s="1" t="s">
        <v>92</v>
      </c>
      <c r="G3" s="1" t="s">
        <v>92</v>
      </c>
      <c r="H3" s="1" t="s">
        <v>92</v>
      </c>
      <c r="I3" s="1" t="s">
        <v>92</v>
      </c>
      <c r="J3" s="1" t="s">
        <v>92</v>
      </c>
      <c r="K3" s="1" t="s">
        <v>92</v>
      </c>
      <c r="L3" s="1" t="s">
        <v>92</v>
      </c>
      <c r="M3" s="1" t="s">
        <v>92</v>
      </c>
      <c r="N3" s="1" t="s">
        <v>92</v>
      </c>
      <c r="O3" s="1" t="s">
        <v>92</v>
      </c>
      <c r="P3" s="1" t="s">
        <v>92</v>
      </c>
      <c r="Q3" s="1" t="s">
        <v>92</v>
      </c>
      <c r="R3" s="1" t="s">
        <v>92</v>
      </c>
      <c r="S3" s="1" t="s">
        <v>92</v>
      </c>
      <c r="T3" s="1" t="s">
        <v>92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7286D-78AE-407E-81A0-1F7E38ADD7AB}">
  <dimension ref="B1:P26"/>
  <sheetViews>
    <sheetView workbookViewId="0">
      <selection activeCell="J8" sqref="J8"/>
    </sheetView>
  </sheetViews>
  <sheetFormatPr defaultRowHeight="15.75"/>
  <cols>
    <col min="1" max="1" width="3.875" style="3" customWidth="1"/>
    <col min="2" max="4" width="9" style="3"/>
    <col min="5" max="5" width="3.375" style="3" customWidth="1"/>
    <col min="6" max="8" width="9" style="3"/>
    <col min="9" max="9" width="5.125" style="3" customWidth="1"/>
    <col min="10" max="10" width="16.375" style="3" customWidth="1"/>
    <col min="11" max="12" width="9" style="3"/>
    <col min="13" max="14" width="13.5" style="3" customWidth="1"/>
    <col min="15" max="15" width="15.625" style="3" customWidth="1"/>
    <col min="16" max="16" width="13" style="3" customWidth="1"/>
    <col min="17" max="16384" width="9" style="3"/>
  </cols>
  <sheetData>
    <row r="1" spans="2:16">
      <c r="B1" s="3">
        <v>8306</v>
      </c>
      <c r="C1" s="3" t="str">
        <f>_xll.RssMarket($B$1,"銘柄名称")</f>
        <v>三菱ＵＦＪフィナンシャルＧ</v>
      </c>
    </row>
    <row r="2" spans="2:16">
      <c r="B2" s="3" t="str">
        <f>_xll.RssTickList(B3:D3,$B$1,20)</f>
        <v>=@RssTickList(B3:D3,$B$1,20) =&gt; 接続待ち</v>
      </c>
    </row>
    <row r="3" spans="2:16">
      <c r="B3" s="4" t="s">
        <v>117</v>
      </c>
      <c r="C3" s="4" t="s">
        <v>118</v>
      </c>
      <c r="D3" s="4" t="s">
        <v>119</v>
      </c>
      <c r="F3" s="4" t="s">
        <v>120</v>
      </c>
      <c r="G3" s="4" t="s">
        <v>121</v>
      </c>
      <c r="H3" s="4" t="s">
        <v>122</v>
      </c>
      <c r="J3" s="5" t="s">
        <v>123</v>
      </c>
      <c r="K3" s="6">
        <f>_xll.RssMarket($B$1,"現在値")</f>
        <v>3478</v>
      </c>
      <c r="L3" s="7" t="str">
        <f>_xll.RssMarket($B$1,"現在値時刻")</f>
        <v>15:30</v>
      </c>
      <c r="M3" s="5" t="s">
        <v>124</v>
      </c>
      <c r="N3" s="8">
        <f>_xll.RssMarket($B$1,M3)</f>
        <v>3</v>
      </c>
      <c r="O3" s="5" t="s">
        <v>125</v>
      </c>
      <c r="P3" s="8">
        <f>_xll.RssMarket($B$1,"出来高加重平均")</f>
        <v>3442.8874000000001</v>
      </c>
    </row>
    <row r="4" spans="2:16">
      <c r="B4" s="4" t="s">
        <v>96</v>
      </c>
      <c r="C4" s="4">
        <v>5163900</v>
      </c>
      <c r="D4" s="4">
        <v>3478</v>
      </c>
      <c r="F4" s="4">
        <f>_xll.RssMarket($B$1,"売成行数量")</f>
        <v>0</v>
      </c>
      <c r="G4" s="4" t="s">
        <v>112</v>
      </c>
      <c r="H4" s="4">
        <f>_xll.RssMarket($B$1,"買成行数量")</f>
        <v>0</v>
      </c>
      <c r="J4" s="5" t="s">
        <v>126</v>
      </c>
      <c r="K4" s="6">
        <f>_xll.RssMarket($B$1,"最良売気配値")</f>
        <v>3479</v>
      </c>
      <c r="L4" s="7" t="str">
        <f>_xll.RssMarket($B$1,"最良売気配時刻")</f>
        <v>15:30</v>
      </c>
      <c r="M4" s="5" t="s">
        <v>127</v>
      </c>
      <c r="N4" s="9">
        <f>_xll.RssMarket($B$1,M4)/100</f>
        <v>8.9999999999999998E-4</v>
      </c>
      <c r="O4" s="10" t="s">
        <v>128</v>
      </c>
      <c r="P4" s="11">
        <f>_xll.RssMarket($B$1,"時価総額")</f>
        <v>41275898</v>
      </c>
    </row>
    <row r="5" spans="2:16">
      <c r="B5" s="4" t="s">
        <v>97</v>
      </c>
      <c r="C5" s="4">
        <v>500</v>
      </c>
      <c r="D5" s="4">
        <v>3466</v>
      </c>
      <c r="F5" s="4">
        <f>_xll.RssMarket($B$1,"OVER気配数量")</f>
        <v>9920600</v>
      </c>
      <c r="G5" s="4" t="s">
        <v>129</v>
      </c>
      <c r="H5" s="4"/>
      <c r="J5" s="5" t="s">
        <v>130</v>
      </c>
      <c r="K5" s="6">
        <f>_xll.RssMarket($B$1,"最良買気配値")</f>
        <v>3475</v>
      </c>
      <c r="L5" s="7" t="str">
        <f>_xll.RssMarket($B$1,"最良買気配時刻")</f>
        <v>15:30</v>
      </c>
      <c r="M5" s="5" t="s">
        <v>131</v>
      </c>
      <c r="N5" s="11">
        <f>_xll.RssMarket($B$1,M5)</f>
        <v>3475</v>
      </c>
      <c r="O5" s="10" t="s">
        <v>132</v>
      </c>
      <c r="P5" s="12">
        <f>_xll.RssMarket($B$1,O5)</f>
        <v>1.76</v>
      </c>
    </row>
    <row r="6" spans="2:16">
      <c r="B6" s="13" t="s">
        <v>97</v>
      </c>
      <c r="C6" s="13">
        <v>1300</v>
      </c>
      <c r="D6" s="13">
        <v>3467</v>
      </c>
      <c r="F6" s="4">
        <f>_xll.RssMarket($B$1,"最良売気配数量10")</f>
        <v>6100</v>
      </c>
      <c r="G6" s="4">
        <f>_xll.RssMarket($B$1,"最良売気配値10")</f>
        <v>3488</v>
      </c>
      <c r="H6" s="4"/>
      <c r="J6" s="5" t="s">
        <v>133</v>
      </c>
      <c r="K6" s="6">
        <f>_xll.RssMarket($B$1,"始値")</f>
        <v>3420</v>
      </c>
      <c r="L6" s="7" t="str">
        <f>_xll.RssMarket($B$1,"始値時刻")</f>
        <v>09:00</v>
      </c>
      <c r="M6" s="5" t="s">
        <v>134</v>
      </c>
      <c r="N6" s="8" t="str">
        <f>_xll.RssMarket($B$1,M6)</f>
        <v>2026/10/16</v>
      </c>
      <c r="O6" s="10" t="s">
        <v>135</v>
      </c>
      <c r="P6" s="12">
        <f>_xll.RssMarket($B$1,O6)</f>
        <v>13.97</v>
      </c>
    </row>
    <row r="7" spans="2:16">
      <c r="B7" s="4" t="s">
        <v>97</v>
      </c>
      <c r="C7" s="4">
        <v>100</v>
      </c>
      <c r="D7" s="4">
        <v>3467</v>
      </c>
      <c r="F7" s="4">
        <f>_xll.RssMarket($B$1,"最良売気配数量9")</f>
        <v>3000</v>
      </c>
      <c r="G7" s="4">
        <f>_xll.RssMarket($B$1,"最良売気配値9")</f>
        <v>3487</v>
      </c>
      <c r="H7" s="4"/>
      <c r="J7" s="5" t="s">
        <v>136</v>
      </c>
      <c r="K7" s="6">
        <f>_xll.RssMarket($B$1,"高値")</f>
        <v>3478</v>
      </c>
      <c r="L7" s="7" t="str">
        <f>_xll.RssMarket($B$1,"高値時刻")</f>
        <v>15:30</v>
      </c>
      <c r="M7" s="5" t="s">
        <v>137</v>
      </c>
      <c r="N7" s="11">
        <f>_xll.RssMarket($B$1,M7)</f>
        <v>23862700</v>
      </c>
      <c r="O7" s="14"/>
      <c r="P7" s="14"/>
    </row>
    <row r="8" spans="2:16">
      <c r="B8" s="13" t="s">
        <v>98</v>
      </c>
      <c r="C8" s="13">
        <v>100</v>
      </c>
      <c r="D8" s="13">
        <v>3467</v>
      </c>
      <c r="F8" s="4">
        <f>_xll.RssMarket($B$1,"最良売気配数量8")</f>
        <v>1500</v>
      </c>
      <c r="G8" s="4">
        <f>_xll.RssMarket($B$1,"最良売気配値8")</f>
        <v>3486</v>
      </c>
      <c r="H8" s="4"/>
      <c r="J8" s="5" t="s">
        <v>138</v>
      </c>
      <c r="K8" s="6">
        <f>_xll.RssMarket($B$1,"安値")</f>
        <v>3383</v>
      </c>
      <c r="L8" s="7" t="str">
        <f>_xll.RssMarket($B$1,"安値時刻")</f>
        <v>09:11</v>
      </c>
      <c r="M8" s="5" t="s">
        <v>139</v>
      </c>
      <c r="N8" s="11">
        <f>_xll.RssMarket($B$1,"売買代金")</f>
        <v>82156590</v>
      </c>
      <c r="O8" s="14"/>
      <c r="P8" s="15"/>
    </row>
    <row r="9" spans="2:16">
      <c r="B9" s="4" t="s">
        <v>99</v>
      </c>
      <c r="C9" s="4">
        <v>100</v>
      </c>
      <c r="D9" s="4">
        <v>3466</v>
      </c>
      <c r="F9" s="4">
        <f>_xll.RssMarket($B$1,"最良売気配数量7")</f>
        <v>17700</v>
      </c>
      <c r="G9" s="4">
        <f>_xll.RssMarket($B$1,"最良売気配値7")</f>
        <v>3485</v>
      </c>
      <c r="H9" s="4"/>
    </row>
    <row r="10" spans="2:16">
      <c r="B10" s="4" t="s">
        <v>100</v>
      </c>
      <c r="C10" s="4">
        <v>200</v>
      </c>
      <c r="D10" s="4">
        <v>3466</v>
      </c>
      <c r="F10" s="4">
        <f>_xll.RssMarket($B$1,"最良売気配数量6")</f>
        <v>4300</v>
      </c>
      <c r="G10" s="4">
        <f>_xll.RssMarket($B$1,"最良売気配値6")</f>
        <v>3484</v>
      </c>
      <c r="H10" s="4"/>
    </row>
    <row r="11" spans="2:16">
      <c r="B11" s="4" t="s">
        <v>100</v>
      </c>
      <c r="C11" s="4">
        <v>600</v>
      </c>
      <c r="D11" s="4">
        <v>3467</v>
      </c>
      <c r="F11" s="4">
        <f>_xll.RssMarket($B$1,"最良売気配数量5")</f>
        <v>7000</v>
      </c>
      <c r="G11" s="4">
        <f>_xll.RssMarket($B$1,"最良売気配値5")</f>
        <v>3483</v>
      </c>
      <c r="H11" s="4"/>
    </row>
    <row r="12" spans="2:16">
      <c r="B12" s="13" t="s">
        <v>100</v>
      </c>
      <c r="C12" s="13">
        <v>100</v>
      </c>
      <c r="D12" s="13">
        <v>3465</v>
      </c>
      <c r="F12" s="4">
        <f>_xll.RssMarket($B$1,"最良売気配数量4")</f>
        <v>106100</v>
      </c>
      <c r="G12" s="4">
        <f>_xll.RssMarket($B$1,"最良売気配値4")</f>
        <v>3482</v>
      </c>
      <c r="H12" s="4"/>
    </row>
    <row r="13" spans="2:16">
      <c r="B13" s="4" t="s">
        <v>100</v>
      </c>
      <c r="C13" s="4">
        <v>100</v>
      </c>
      <c r="D13" s="4">
        <v>3466</v>
      </c>
      <c r="F13" s="4">
        <f>_xll.RssMarket($B$1,"最良売気配数量3")</f>
        <v>6900</v>
      </c>
      <c r="G13" s="4">
        <f>_xll.RssMarket($B$1,"最良売気配値3")</f>
        <v>3481</v>
      </c>
      <c r="H13" s="4"/>
    </row>
    <row r="14" spans="2:16">
      <c r="B14" s="4" t="s">
        <v>100</v>
      </c>
      <c r="C14" s="4">
        <v>100</v>
      </c>
      <c r="D14" s="4">
        <v>3465</v>
      </c>
      <c r="F14" s="4">
        <f>_xll.RssMarket($B$1,"最良売気配数量2")</f>
        <v>39600</v>
      </c>
      <c r="G14" s="4">
        <f>_xll.RssMarket($B$1,"最良売気配値2")</f>
        <v>3480</v>
      </c>
      <c r="H14" s="4"/>
    </row>
    <row r="15" spans="2:16">
      <c r="B15" s="4" t="s">
        <v>101</v>
      </c>
      <c r="C15" s="4">
        <v>200</v>
      </c>
      <c r="D15" s="4">
        <v>3465</v>
      </c>
      <c r="F15" s="4">
        <f>_xll.RssMarket($B$1,"最良売気配数量1")</f>
        <v>79500</v>
      </c>
      <c r="G15" s="4">
        <f>_xll.RssMarket($B$1,"最良売気配値1")</f>
        <v>3479</v>
      </c>
      <c r="H15" s="4"/>
    </row>
    <row r="16" spans="2:16">
      <c r="B16" s="4" t="s">
        <v>101</v>
      </c>
      <c r="C16" s="4">
        <v>100</v>
      </c>
      <c r="D16" s="4">
        <v>3465</v>
      </c>
      <c r="F16" s="4"/>
      <c r="G16" s="4">
        <f>_xll.RssMarket($B$1,"最良買気配値1")</f>
        <v>3475</v>
      </c>
      <c r="H16" s="4">
        <f>_xll.RssMarket($B$1,"最良買気配数量1")</f>
        <v>100</v>
      </c>
    </row>
    <row r="17" spans="2:8">
      <c r="B17" s="4" t="s">
        <v>101</v>
      </c>
      <c r="C17" s="4">
        <v>200</v>
      </c>
      <c r="D17" s="4">
        <v>3465</v>
      </c>
      <c r="F17" s="4"/>
      <c r="G17" s="4">
        <f>_xll.RssMarket($B$1,"最良買気配値2")</f>
        <v>3474</v>
      </c>
      <c r="H17" s="4">
        <f>_xll.RssMarket($B$1,"最良買気配数量2")</f>
        <v>10000</v>
      </c>
    </row>
    <row r="18" spans="2:8">
      <c r="B18" s="4" t="s">
        <v>101</v>
      </c>
      <c r="C18" s="4">
        <v>200</v>
      </c>
      <c r="D18" s="4">
        <v>3465</v>
      </c>
      <c r="F18" s="4"/>
      <c r="G18" s="4">
        <f>_xll.RssMarket($B$1,"最良買気配値3")</f>
        <v>3473</v>
      </c>
      <c r="H18" s="4">
        <f>_xll.RssMarket($B$1,"最良買気配数量3")</f>
        <v>400</v>
      </c>
    </row>
    <row r="19" spans="2:8">
      <c r="B19" s="4" t="s">
        <v>101</v>
      </c>
      <c r="C19" s="4">
        <v>100</v>
      </c>
      <c r="D19" s="4">
        <v>3465</v>
      </c>
      <c r="F19" s="4"/>
      <c r="G19" s="4">
        <f>_xll.RssMarket($B$1,"最良買気配値4")</f>
        <v>3472</v>
      </c>
      <c r="H19" s="4">
        <f>_xll.RssMarket($B$1,"最良買気配数量4")</f>
        <v>200</v>
      </c>
    </row>
    <row r="20" spans="2:8">
      <c r="B20" s="4" t="s">
        <v>102</v>
      </c>
      <c r="C20" s="4">
        <v>100</v>
      </c>
      <c r="D20" s="4">
        <v>3466</v>
      </c>
      <c r="F20" s="4"/>
      <c r="G20" s="4">
        <f>_xll.RssMarket($B$1,"最良買気配値5")</f>
        <v>3471</v>
      </c>
      <c r="H20" s="4">
        <f>_xll.RssMarket($B$1,"最良買気配数量5")</f>
        <v>100</v>
      </c>
    </row>
    <row r="21" spans="2:8">
      <c r="B21" s="4" t="s">
        <v>102</v>
      </c>
      <c r="C21" s="4">
        <v>800</v>
      </c>
      <c r="D21" s="4">
        <v>3466</v>
      </c>
      <c r="F21" s="4"/>
      <c r="G21" s="4">
        <f>_xll.RssMarket($B$1,"最良買気配値6")</f>
        <v>3470</v>
      </c>
      <c r="H21" s="4">
        <f>_xll.RssMarket($B$1,"最良買気配数量6")</f>
        <v>5500</v>
      </c>
    </row>
    <row r="22" spans="2:8">
      <c r="B22" s="4" t="s">
        <v>102</v>
      </c>
      <c r="C22" s="4">
        <v>100</v>
      </c>
      <c r="D22" s="4">
        <v>3467</v>
      </c>
      <c r="F22" s="4"/>
      <c r="G22" s="4">
        <f>_xll.RssMarket($B$1,"最良買気配値7")</f>
        <v>3469</v>
      </c>
      <c r="H22" s="4">
        <f>_xll.RssMarket($B$1,"最良買気配数量7")</f>
        <v>600</v>
      </c>
    </row>
    <row r="23" spans="2:8">
      <c r="B23" s="4" t="s">
        <v>102</v>
      </c>
      <c r="C23" s="4">
        <v>200</v>
      </c>
      <c r="D23" s="4">
        <v>3467</v>
      </c>
      <c r="F23" s="4"/>
      <c r="G23" s="4">
        <f>_xll.RssMarket($B$1,"最良買気配値8")</f>
        <v>3468</v>
      </c>
      <c r="H23" s="4">
        <f>_xll.RssMarket($B$1,"最良買気配数量8")</f>
        <v>2600</v>
      </c>
    </row>
    <row r="24" spans="2:8">
      <c r="B24" s="16" t="s">
        <v>91</v>
      </c>
      <c r="C24" s="16" t="s">
        <v>91</v>
      </c>
      <c r="D24" s="16" t="s">
        <v>91</v>
      </c>
      <c r="F24" s="4"/>
      <c r="G24" s="4">
        <f>_xll.RssMarket($B$1,"最良買気配値9")</f>
        <v>3467</v>
      </c>
      <c r="H24" s="4">
        <f>_xll.RssMarket($B$1,"最良買気配数量9")</f>
        <v>4200</v>
      </c>
    </row>
    <row r="25" spans="2:8">
      <c r="F25" s="4"/>
      <c r="G25" s="4">
        <f>_xll.RssMarket($B$1,"最良買気配値10")</f>
        <v>3466</v>
      </c>
      <c r="H25" s="4">
        <f>_xll.RssMarket($B$1,"最良買気配数量10")</f>
        <v>20200</v>
      </c>
    </row>
    <row r="26" spans="2:8">
      <c r="F26" s="4"/>
      <c r="G26" s="4" t="s">
        <v>140</v>
      </c>
      <c r="H26" s="4">
        <f>_xll.RssMarket($B$1,"UNDER気配数量")</f>
        <v>2836400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35D2B-A2DA-4E98-8DEC-E338552E853F}">
  <dimension ref="A1:J503"/>
  <sheetViews>
    <sheetView workbookViewId="0">
      <selection activeCell="K8" sqref="K8"/>
    </sheetView>
  </sheetViews>
  <sheetFormatPr defaultRowHeight="18.75"/>
  <cols>
    <col min="4" max="4" width="12.5" customWidth="1"/>
  </cols>
  <sheetData>
    <row r="1" spans="1:10">
      <c r="A1" t="str">
        <f>_xll.RssChart($A$2:$J$2, "8306.T", "1M", 332)</f>
        <v>=@RssChart($A$2:$J$2, "8306.T", "1M", 332) =&gt; 接続待ち</v>
      </c>
    </row>
    <row r="2" spans="1:10">
      <c r="A2" t="s">
        <v>10</v>
      </c>
      <c r="B2" t="s">
        <v>12</v>
      </c>
      <c r="C2" t="s">
        <v>141</v>
      </c>
      <c r="D2" t="s">
        <v>142</v>
      </c>
      <c r="E2" t="s">
        <v>54</v>
      </c>
      <c r="F2" t="s">
        <v>143</v>
      </c>
      <c r="G2" t="s">
        <v>144</v>
      </c>
      <c r="H2" t="s">
        <v>145</v>
      </c>
      <c r="I2" t="s">
        <v>146</v>
      </c>
      <c r="J2" t="s">
        <v>55</v>
      </c>
    </row>
    <row r="3" spans="1:10">
      <c r="A3" t="s">
        <v>147</v>
      </c>
      <c r="B3" t="s">
        <v>115</v>
      </c>
      <c r="C3" t="s">
        <v>148</v>
      </c>
      <c r="D3" t="s">
        <v>149</v>
      </c>
      <c r="E3" t="s">
        <v>150</v>
      </c>
      <c r="F3">
        <v>3481</v>
      </c>
      <c r="G3">
        <v>3483</v>
      </c>
      <c r="H3">
        <v>3481</v>
      </c>
      <c r="I3">
        <v>3482</v>
      </c>
      <c r="J3">
        <v>77500</v>
      </c>
    </row>
    <row r="4" spans="1:10">
      <c r="D4" t="s">
        <v>149</v>
      </c>
      <c r="E4" t="s">
        <v>151</v>
      </c>
      <c r="F4">
        <v>3482</v>
      </c>
      <c r="G4">
        <v>3483</v>
      </c>
      <c r="H4">
        <v>3481</v>
      </c>
      <c r="I4">
        <v>3482</v>
      </c>
      <c r="J4">
        <v>21600</v>
      </c>
    </row>
    <row r="5" spans="1:10">
      <c r="D5" t="s">
        <v>149</v>
      </c>
      <c r="E5" t="s">
        <v>152</v>
      </c>
      <c r="F5">
        <v>3482</v>
      </c>
      <c r="G5">
        <v>3482</v>
      </c>
      <c r="H5">
        <v>3480</v>
      </c>
      <c r="I5">
        <v>3480</v>
      </c>
      <c r="J5">
        <v>45500</v>
      </c>
    </row>
    <row r="6" spans="1:10">
      <c r="D6" t="s">
        <v>149</v>
      </c>
      <c r="E6" t="s">
        <v>153</v>
      </c>
      <c r="F6">
        <v>3482</v>
      </c>
      <c r="G6">
        <v>3483</v>
      </c>
      <c r="H6">
        <v>3481</v>
      </c>
      <c r="I6">
        <v>3481</v>
      </c>
      <c r="J6">
        <v>40200</v>
      </c>
    </row>
    <row r="7" spans="1:10">
      <c r="D7" t="s">
        <v>149</v>
      </c>
      <c r="E7" t="s">
        <v>154</v>
      </c>
      <c r="F7">
        <v>3481</v>
      </c>
      <c r="G7">
        <v>3483</v>
      </c>
      <c r="H7">
        <v>3481</v>
      </c>
      <c r="I7">
        <v>3482</v>
      </c>
      <c r="J7">
        <v>81200</v>
      </c>
    </row>
    <row r="8" spans="1:10">
      <c r="D8" t="s">
        <v>149</v>
      </c>
      <c r="E8" t="s">
        <v>155</v>
      </c>
      <c r="F8">
        <v>3482</v>
      </c>
      <c r="G8">
        <v>3483</v>
      </c>
      <c r="H8">
        <v>3482</v>
      </c>
      <c r="I8">
        <v>3482</v>
      </c>
      <c r="J8">
        <v>30900</v>
      </c>
    </row>
    <row r="9" spans="1:10">
      <c r="D9" t="s">
        <v>149</v>
      </c>
      <c r="E9" t="s">
        <v>156</v>
      </c>
      <c r="F9">
        <v>3482</v>
      </c>
      <c r="G9">
        <v>3482</v>
      </c>
      <c r="H9">
        <v>3480</v>
      </c>
      <c r="I9">
        <v>3481</v>
      </c>
      <c r="J9">
        <v>72000</v>
      </c>
    </row>
    <row r="10" spans="1:10">
      <c r="D10" t="s">
        <v>149</v>
      </c>
      <c r="E10" t="s">
        <v>157</v>
      </c>
      <c r="F10">
        <v>3482</v>
      </c>
      <c r="G10">
        <v>3482</v>
      </c>
      <c r="H10">
        <v>3481</v>
      </c>
      <c r="I10">
        <v>3481</v>
      </c>
      <c r="J10">
        <v>27500</v>
      </c>
    </row>
    <row r="11" spans="1:10">
      <c r="D11" t="s">
        <v>149</v>
      </c>
      <c r="E11" t="s">
        <v>158</v>
      </c>
      <c r="F11">
        <v>3481</v>
      </c>
      <c r="G11">
        <v>3482</v>
      </c>
      <c r="H11">
        <v>3480</v>
      </c>
      <c r="I11">
        <v>3480</v>
      </c>
      <c r="J11">
        <v>19900</v>
      </c>
    </row>
    <row r="12" spans="1:10">
      <c r="D12" t="s">
        <v>149</v>
      </c>
      <c r="E12" t="s">
        <v>159</v>
      </c>
      <c r="F12">
        <v>3480</v>
      </c>
      <c r="G12">
        <v>3480</v>
      </c>
      <c r="H12">
        <v>3478</v>
      </c>
      <c r="I12">
        <v>3479</v>
      </c>
      <c r="J12">
        <v>54200</v>
      </c>
    </row>
    <row r="13" spans="1:10">
      <c r="D13" t="s">
        <v>149</v>
      </c>
      <c r="E13" t="s">
        <v>160</v>
      </c>
      <c r="F13">
        <v>3479</v>
      </c>
      <c r="G13">
        <v>3480</v>
      </c>
      <c r="H13">
        <v>3478</v>
      </c>
      <c r="I13">
        <v>3480</v>
      </c>
      <c r="J13">
        <v>19000</v>
      </c>
    </row>
    <row r="14" spans="1:10">
      <c r="D14" t="s">
        <v>149</v>
      </c>
      <c r="E14" t="s">
        <v>161</v>
      </c>
      <c r="F14">
        <v>3479</v>
      </c>
      <c r="G14">
        <v>3480</v>
      </c>
      <c r="H14">
        <v>3479</v>
      </c>
      <c r="I14">
        <v>3479</v>
      </c>
      <c r="J14">
        <v>18200</v>
      </c>
    </row>
    <row r="15" spans="1:10">
      <c r="D15" t="s">
        <v>149</v>
      </c>
      <c r="E15" t="s">
        <v>162</v>
      </c>
      <c r="F15">
        <v>3479</v>
      </c>
      <c r="G15">
        <v>3481</v>
      </c>
      <c r="H15">
        <v>3479</v>
      </c>
      <c r="I15">
        <v>3480</v>
      </c>
      <c r="J15">
        <v>30700</v>
      </c>
    </row>
    <row r="16" spans="1:10">
      <c r="D16" t="s">
        <v>149</v>
      </c>
      <c r="E16" t="s">
        <v>163</v>
      </c>
      <c r="F16">
        <v>3480</v>
      </c>
      <c r="G16">
        <v>3481</v>
      </c>
      <c r="H16">
        <v>3480</v>
      </c>
      <c r="I16">
        <v>3481</v>
      </c>
      <c r="J16">
        <v>26100</v>
      </c>
    </row>
    <row r="17" spans="1:10">
      <c r="D17" t="s">
        <v>149</v>
      </c>
      <c r="E17" t="s">
        <v>164</v>
      </c>
      <c r="F17">
        <v>3480</v>
      </c>
      <c r="G17">
        <v>3481</v>
      </c>
      <c r="H17">
        <v>3479</v>
      </c>
      <c r="I17">
        <v>3479</v>
      </c>
      <c r="J17">
        <v>26800</v>
      </c>
    </row>
    <row r="18" spans="1:10">
      <c r="D18" t="s">
        <v>149</v>
      </c>
      <c r="E18" t="s">
        <v>165</v>
      </c>
      <c r="F18">
        <v>3479</v>
      </c>
      <c r="G18">
        <v>3483</v>
      </c>
      <c r="H18">
        <v>3479</v>
      </c>
      <c r="I18">
        <v>3481</v>
      </c>
      <c r="J18">
        <v>97700</v>
      </c>
    </row>
    <row r="19" spans="1:10">
      <c r="D19" t="s">
        <v>149</v>
      </c>
      <c r="E19" t="s">
        <v>166</v>
      </c>
      <c r="F19">
        <v>3482</v>
      </c>
      <c r="G19">
        <v>3484</v>
      </c>
      <c r="H19">
        <v>3482</v>
      </c>
      <c r="I19">
        <v>3483</v>
      </c>
      <c r="J19">
        <v>87700</v>
      </c>
    </row>
    <row r="20" spans="1:10">
      <c r="D20" t="s">
        <v>149</v>
      </c>
      <c r="E20" t="s">
        <v>167</v>
      </c>
      <c r="F20">
        <v>3483</v>
      </c>
      <c r="G20">
        <v>3484</v>
      </c>
      <c r="H20">
        <v>3483</v>
      </c>
      <c r="I20">
        <v>3483</v>
      </c>
      <c r="J20">
        <v>20800</v>
      </c>
    </row>
    <row r="21" spans="1:10">
      <c r="D21" t="s">
        <v>149</v>
      </c>
      <c r="E21" t="s">
        <v>168</v>
      </c>
      <c r="F21">
        <v>3483</v>
      </c>
      <c r="G21">
        <v>3484</v>
      </c>
      <c r="H21">
        <v>3482</v>
      </c>
      <c r="I21">
        <v>3482</v>
      </c>
      <c r="J21">
        <v>72200</v>
      </c>
    </row>
    <row r="22" spans="1:10">
      <c r="D22" t="s">
        <v>149</v>
      </c>
      <c r="E22" t="s">
        <v>169</v>
      </c>
      <c r="F22">
        <v>3481</v>
      </c>
      <c r="G22">
        <v>3482</v>
      </c>
      <c r="H22">
        <v>3477</v>
      </c>
      <c r="I22">
        <v>3477</v>
      </c>
      <c r="J22">
        <v>62300</v>
      </c>
    </row>
    <row r="23" spans="1:10">
      <c r="A23" s="1"/>
      <c r="B23" s="1"/>
      <c r="C23" s="1"/>
      <c r="D23" s="1" t="s">
        <v>149</v>
      </c>
      <c r="E23" s="1" t="s">
        <v>170</v>
      </c>
      <c r="F23" s="1">
        <v>3478</v>
      </c>
      <c r="G23" s="1">
        <v>3479</v>
      </c>
      <c r="H23" s="1">
        <v>3475</v>
      </c>
      <c r="I23" s="1">
        <v>3475</v>
      </c>
      <c r="J23" s="1">
        <v>102600</v>
      </c>
    </row>
    <row r="24" spans="1:10">
      <c r="A24" s="1"/>
      <c r="B24" s="1"/>
      <c r="C24" s="1"/>
      <c r="D24" s="1" t="s">
        <v>149</v>
      </c>
      <c r="E24" s="1" t="s">
        <v>171</v>
      </c>
      <c r="F24" s="1">
        <v>3475</v>
      </c>
      <c r="G24" s="1">
        <v>3476</v>
      </c>
      <c r="H24" s="1">
        <v>3475</v>
      </c>
      <c r="I24" s="1">
        <v>3476</v>
      </c>
      <c r="J24" s="1">
        <v>30600</v>
      </c>
    </row>
    <row r="25" spans="1:10">
      <c r="A25" s="1"/>
      <c r="B25" s="1"/>
      <c r="C25" s="1"/>
      <c r="D25" s="1" t="s">
        <v>149</v>
      </c>
      <c r="E25" s="1" t="s">
        <v>172</v>
      </c>
      <c r="F25" s="1">
        <v>3475</v>
      </c>
      <c r="G25" s="1">
        <v>3476</v>
      </c>
      <c r="H25" s="1">
        <v>3474</v>
      </c>
      <c r="I25" s="1">
        <v>3475</v>
      </c>
      <c r="J25" s="1">
        <v>63300</v>
      </c>
    </row>
    <row r="26" spans="1:10">
      <c r="A26" s="1"/>
      <c r="B26" s="1"/>
      <c r="C26" s="1"/>
      <c r="D26" s="1" t="s">
        <v>149</v>
      </c>
      <c r="E26" s="1" t="s">
        <v>173</v>
      </c>
      <c r="F26" s="1">
        <v>3475</v>
      </c>
      <c r="G26" s="1">
        <v>3478</v>
      </c>
      <c r="H26" s="1">
        <v>3475</v>
      </c>
      <c r="I26" s="1">
        <v>3477</v>
      </c>
      <c r="J26" s="1">
        <v>113600</v>
      </c>
    </row>
    <row r="27" spans="1:10">
      <c r="A27" s="1"/>
      <c r="B27" s="1"/>
      <c r="C27" s="1"/>
      <c r="D27" s="1" t="s">
        <v>149</v>
      </c>
      <c r="E27" s="1" t="s">
        <v>174</v>
      </c>
      <c r="F27" s="1">
        <v>3478</v>
      </c>
      <c r="G27" s="1">
        <v>3478</v>
      </c>
      <c r="H27" s="1">
        <v>3474</v>
      </c>
      <c r="I27" s="1">
        <v>3474</v>
      </c>
      <c r="J27" s="1">
        <v>60100</v>
      </c>
    </row>
    <row r="28" spans="1:10">
      <c r="A28" s="1"/>
      <c r="B28" s="1"/>
      <c r="C28" s="1"/>
      <c r="D28" s="1" t="s">
        <v>149</v>
      </c>
      <c r="E28" s="1" t="s">
        <v>175</v>
      </c>
      <c r="F28" s="1">
        <v>3475</v>
      </c>
      <c r="G28" s="1">
        <v>3476</v>
      </c>
      <c r="H28" s="1">
        <v>3472</v>
      </c>
      <c r="I28" s="1">
        <v>3476</v>
      </c>
      <c r="J28" s="1">
        <v>92400</v>
      </c>
    </row>
    <row r="29" spans="1:10">
      <c r="A29" s="1"/>
      <c r="B29" s="1"/>
      <c r="C29" s="1"/>
      <c r="D29" s="1" t="s">
        <v>149</v>
      </c>
      <c r="E29" s="1" t="s">
        <v>176</v>
      </c>
      <c r="F29" s="1">
        <v>3474</v>
      </c>
      <c r="G29" s="1">
        <v>3479</v>
      </c>
      <c r="H29" s="1">
        <v>3474</v>
      </c>
      <c r="I29" s="1">
        <v>3476</v>
      </c>
      <c r="J29" s="1">
        <v>181300</v>
      </c>
    </row>
    <row r="30" spans="1:10">
      <c r="A30" s="1"/>
      <c r="B30" s="1"/>
      <c r="C30" s="1"/>
      <c r="D30" s="1" t="s">
        <v>149</v>
      </c>
      <c r="E30" s="1" t="s">
        <v>177</v>
      </c>
      <c r="F30" s="1">
        <v>3477</v>
      </c>
      <c r="G30" s="1">
        <v>3477</v>
      </c>
      <c r="H30" s="1">
        <v>3474</v>
      </c>
      <c r="I30" s="1">
        <v>3477</v>
      </c>
      <c r="J30" s="1">
        <v>126100</v>
      </c>
    </row>
    <row r="31" spans="1:10">
      <c r="A31" s="1"/>
      <c r="B31" s="1"/>
      <c r="C31" s="1"/>
      <c r="D31" s="1" t="s">
        <v>149</v>
      </c>
      <c r="E31" s="1" t="s">
        <v>178</v>
      </c>
      <c r="F31" s="1">
        <v>3477</v>
      </c>
      <c r="G31" s="1">
        <v>3478</v>
      </c>
      <c r="H31" s="1">
        <v>3473</v>
      </c>
      <c r="I31" s="1">
        <v>3476</v>
      </c>
      <c r="J31" s="1">
        <v>108500</v>
      </c>
    </row>
    <row r="32" spans="1:10">
      <c r="A32" s="1"/>
      <c r="B32" s="1"/>
      <c r="C32" s="1"/>
      <c r="D32" s="1" t="s">
        <v>149</v>
      </c>
      <c r="E32" s="1" t="s">
        <v>179</v>
      </c>
      <c r="F32" s="1" t="s">
        <v>34</v>
      </c>
      <c r="G32" s="1" t="s">
        <v>34</v>
      </c>
      <c r="H32" s="1" t="s">
        <v>34</v>
      </c>
      <c r="I32" s="1" t="s">
        <v>34</v>
      </c>
      <c r="J32" s="1">
        <v>0</v>
      </c>
    </row>
    <row r="33" spans="1:10">
      <c r="A33" s="1"/>
      <c r="B33" s="1"/>
      <c r="C33" s="1"/>
      <c r="D33" s="1" t="s">
        <v>149</v>
      </c>
      <c r="E33" s="1" t="s">
        <v>180</v>
      </c>
      <c r="F33" s="1" t="s">
        <v>34</v>
      </c>
      <c r="G33" s="1" t="s">
        <v>34</v>
      </c>
      <c r="H33" s="1" t="s">
        <v>34</v>
      </c>
      <c r="I33" s="1" t="s">
        <v>34</v>
      </c>
      <c r="J33" s="1">
        <v>0</v>
      </c>
    </row>
    <row r="34" spans="1:10">
      <c r="A34" s="1"/>
      <c r="B34" s="1"/>
      <c r="C34" s="1"/>
      <c r="D34" s="1" t="s">
        <v>149</v>
      </c>
      <c r="E34" s="1" t="s">
        <v>181</v>
      </c>
      <c r="F34" s="1" t="s">
        <v>34</v>
      </c>
      <c r="G34" s="1" t="s">
        <v>34</v>
      </c>
      <c r="H34" s="1" t="s">
        <v>34</v>
      </c>
      <c r="I34" s="1" t="s">
        <v>34</v>
      </c>
      <c r="J34" s="1">
        <v>0</v>
      </c>
    </row>
    <row r="35" spans="1:10">
      <c r="A35" s="1"/>
      <c r="B35" s="1"/>
      <c r="C35" s="1"/>
      <c r="D35" s="1" t="s">
        <v>149</v>
      </c>
      <c r="E35" s="1" t="s">
        <v>182</v>
      </c>
      <c r="F35" s="1" t="s">
        <v>34</v>
      </c>
      <c r="G35" s="1" t="s">
        <v>34</v>
      </c>
      <c r="H35" s="1" t="s">
        <v>34</v>
      </c>
      <c r="I35" s="1" t="s">
        <v>34</v>
      </c>
      <c r="J35" s="1">
        <v>0</v>
      </c>
    </row>
    <row r="36" spans="1:10">
      <c r="A36" s="1"/>
      <c r="B36" s="1"/>
      <c r="C36" s="1"/>
      <c r="D36" s="1" t="s">
        <v>149</v>
      </c>
      <c r="E36" s="1" t="s">
        <v>183</v>
      </c>
      <c r="F36" s="1" t="s">
        <v>34</v>
      </c>
      <c r="G36" s="1" t="s">
        <v>34</v>
      </c>
      <c r="H36" s="1" t="s">
        <v>34</v>
      </c>
      <c r="I36" s="1" t="s">
        <v>34</v>
      </c>
      <c r="J36" s="1">
        <v>0</v>
      </c>
    </row>
    <row r="37" spans="1:10">
      <c r="A37" s="1"/>
      <c r="B37" s="1"/>
      <c r="C37" s="1"/>
      <c r="D37" s="1" t="s">
        <v>149</v>
      </c>
      <c r="E37" s="1" t="s">
        <v>184</v>
      </c>
      <c r="F37" s="1">
        <v>3475</v>
      </c>
      <c r="G37" s="1">
        <v>3475</v>
      </c>
      <c r="H37" s="1">
        <v>3475</v>
      </c>
      <c r="I37" s="1">
        <v>3475</v>
      </c>
      <c r="J37" s="1">
        <v>7048100</v>
      </c>
    </row>
    <row r="38" spans="1:10">
      <c r="A38" s="1"/>
      <c r="B38" s="1"/>
      <c r="C38" s="1"/>
      <c r="D38" s="1" t="s">
        <v>113</v>
      </c>
      <c r="E38" s="1" t="s">
        <v>185</v>
      </c>
      <c r="F38" s="1">
        <v>3420</v>
      </c>
      <c r="G38" s="1">
        <v>3429</v>
      </c>
      <c r="H38" s="1">
        <v>3409</v>
      </c>
      <c r="I38" s="1">
        <v>3414</v>
      </c>
      <c r="J38" s="1">
        <v>1846200</v>
      </c>
    </row>
    <row r="39" spans="1:10">
      <c r="A39" s="1"/>
      <c r="B39" s="1"/>
      <c r="C39" s="1"/>
      <c r="D39" s="1" t="s">
        <v>113</v>
      </c>
      <c r="E39" s="1" t="s">
        <v>186</v>
      </c>
      <c r="F39" s="1">
        <v>3413</v>
      </c>
      <c r="G39" s="1">
        <v>3414</v>
      </c>
      <c r="H39" s="1">
        <v>3398</v>
      </c>
      <c r="I39" s="1">
        <v>3399</v>
      </c>
      <c r="J39" s="1">
        <v>479100</v>
      </c>
    </row>
    <row r="40" spans="1:10">
      <c r="A40" s="1"/>
      <c r="B40" s="1"/>
      <c r="C40" s="1"/>
      <c r="D40" s="1" t="s">
        <v>113</v>
      </c>
      <c r="E40" s="1" t="s">
        <v>187</v>
      </c>
      <c r="F40" s="1">
        <v>3399</v>
      </c>
      <c r="G40" s="1">
        <v>3403</v>
      </c>
      <c r="H40" s="1">
        <v>3397</v>
      </c>
      <c r="I40" s="1">
        <v>3399</v>
      </c>
      <c r="J40" s="1">
        <v>240500</v>
      </c>
    </row>
    <row r="41" spans="1:10">
      <c r="A41" s="1"/>
      <c r="B41" s="1"/>
      <c r="C41" s="1"/>
      <c r="D41" s="1" t="s">
        <v>113</v>
      </c>
      <c r="E41" s="1" t="s">
        <v>188</v>
      </c>
      <c r="F41" s="1">
        <v>3399</v>
      </c>
      <c r="G41" s="1">
        <v>3399</v>
      </c>
      <c r="H41" s="1">
        <v>3393</v>
      </c>
      <c r="I41" s="1">
        <v>3397</v>
      </c>
      <c r="J41" s="1">
        <v>386100</v>
      </c>
    </row>
    <row r="42" spans="1:10">
      <c r="A42" s="1"/>
      <c r="B42" s="1"/>
      <c r="C42" s="1"/>
      <c r="D42" s="1" t="s">
        <v>113</v>
      </c>
      <c r="E42" s="1" t="s">
        <v>189</v>
      </c>
      <c r="F42" s="1">
        <v>3396</v>
      </c>
      <c r="G42" s="1">
        <v>3399</v>
      </c>
      <c r="H42" s="1">
        <v>3393</v>
      </c>
      <c r="I42" s="1">
        <v>3397</v>
      </c>
      <c r="J42" s="1">
        <v>148800</v>
      </c>
    </row>
    <row r="43" spans="1:10">
      <c r="A43" s="1"/>
      <c r="B43" s="1"/>
      <c r="C43" s="1"/>
      <c r="D43" s="1" t="s">
        <v>113</v>
      </c>
      <c r="E43" s="1" t="s">
        <v>190</v>
      </c>
      <c r="F43" s="1">
        <v>3396</v>
      </c>
      <c r="G43" s="1">
        <v>3397</v>
      </c>
      <c r="H43" s="1">
        <v>3385</v>
      </c>
      <c r="I43" s="1">
        <v>3386</v>
      </c>
      <c r="J43" s="1">
        <v>404300</v>
      </c>
    </row>
    <row r="44" spans="1:10">
      <c r="A44" s="1"/>
      <c r="B44" s="1"/>
      <c r="C44" s="1"/>
      <c r="D44" s="1" t="s">
        <v>113</v>
      </c>
      <c r="E44" s="1" t="s">
        <v>191</v>
      </c>
      <c r="F44" s="1">
        <v>3385</v>
      </c>
      <c r="G44" s="1">
        <v>3400</v>
      </c>
      <c r="H44" s="1">
        <v>3385</v>
      </c>
      <c r="I44" s="1">
        <v>3394</v>
      </c>
      <c r="J44" s="1">
        <v>225200</v>
      </c>
    </row>
    <row r="45" spans="1:10">
      <c r="A45" s="1"/>
      <c r="B45" s="1"/>
      <c r="C45" s="1"/>
      <c r="D45" s="1" t="s">
        <v>113</v>
      </c>
      <c r="E45" s="1" t="s">
        <v>192</v>
      </c>
      <c r="F45" s="1">
        <v>3394</v>
      </c>
      <c r="G45" s="1">
        <v>3395</v>
      </c>
      <c r="H45" s="1">
        <v>3387</v>
      </c>
      <c r="I45" s="1">
        <v>3388</v>
      </c>
      <c r="J45" s="1">
        <v>242700</v>
      </c>
    </row>
    <row r="46" spans="1:10">
      <c r="A46" s="1"/>
      <c r="B46" s="1"/>
      <c r="C46" s="1"/>
      <c r="D46" s="1" t="s">
        <v>113</v>
      </c>
      <c r="E46" s="1" t="s">
        <v>193</v>
      </c>
      <c r="F46" s="1">
        <v>3387</v>
      </c>
      <c r="G46" s="1">
        <v>3395</v>
      </c>
      <c r="H46" s="1">
        <v>3387</v>
      </c>
      <c r="I46" s="1">
        <v>3394</v>
      </c>
      <c r="J46" s="1">
        <v>149100</v>
      </c>
    </row>
    <row r="47" spans="1:10">
      <c r="A47" s="1"/>
      <c r="B47" s="1"/>
      <c r="C47" s="1"/>
      <c r="D47" s="1" t="s">
        <v>113</v>
      </c>
      <c r="E47" s="1" t="s">
        <v>194</v>
      </c>
      <c r="F47" s="1">
        <v>3394</v>
      </c>
      <c r="G47" s="1">
        <v>3397</v>
      </c>
      <c r="H47" s="1">
        <v>3388</v>
      </c>
      <c r="I47" s="1">
        <v>3390</v>
      </c>
      <c r="J47" s="1">
        <v>163300</v>
      </c>
    </row>
    <row r="48" spans="1:10">
      <c r="D48" t="s">
        <v>113</v>
      </c>
      <c r="E48" t="s">
        <v>195</v>
      </c>
      <c r="F48">
        <v>3390</v>
      </c>
      <c r="G48">
        <v>3393</v>
      </c>
      <c r="H48">
        <v>3385</v>
      </c>
      <c r="I48">
        <v>3389</v>
      </c>
      <c r="J48">
        <v>163000</v>
      </c>
    </row>
    <row r="49" spans="1:10">
      <c r="D49" t="s">
        <v>113</v>
      </c>
      <c r="E49" t="s">
        <v>196</v>
      </c>
      <c r="F49">
        <v>3388</v>
      </c>
      <c r="G49">
        <v>3390</v>
      </c>
      <c r="H49">
        <v>3383</v>
      </c>
      <c r="I49">
        <v>3386</v>
      </c>
      <c r="J49">
        <v>197200</v>
      </c>
    </row>
    <row r="50" spans="1:10">
      <c r="D50" t="s">
        <v>113</v>
      </c>
      <c r="E50" t="s">
        <v>197</v>
      </c>
      <c r="F50">
        <v>3385</v>
      </c>
      <c r="G50">
        <v>3388</v>
      </c>
      <c r="H50">
        <v>3384</v>
      </c>
      <c r="I50">
        <v>3387</v>
      </c>
      <c r="J50">
        <v>75500</v>
      </c>
    </row>
    <row r="51" spans="1:10">
      <c r="D51" t="s">
        <v>113</v>
      </c>
      <c r="E51" t="s">
        <v>198</v>
      </c>
      <c r="F51">
        <v>3386</v>
      </c>
      <c r="G51">
        <v>3391</v>
      </c>
      <c r="H51">
        <v>3386</v>
      </c>
      <c r="I51">
        <v>3390</v>
      </c>
      <c r="J51">
        <v>78100</v>
      </c>
    </row>
    <row r="52" spans="1:10">
      <c r="D52" t="s">
        <v>113</v>
      </c>
      <c r="E52" t="s">
        <v>199</v>
      </c>
      <c r="F52">
        <v>3390</v>
      </c>
      <c r="G52">
        <v>3396</v>
      </c>
      <c r="H52">
        <v>3387</v>
      </c>
      <c r="I52">
        <v>3396</v>
      </c>
      <c r="J52">
        <v>124500</v>
      </c>
    </row>
    <row r="53" spans="1:10">
      <c r="A53" s="1"/>
      <c r="B53" s="1"/>
      <c r="C53" s="1"/>
      <c r="D53" s="1" t="s">
        <v>113</v>
      </c>
      <c r="E53" s="1" t="s">
        <v>200</v>
      </c>
      <c r="F53" s="1">
        <v>3397</v>
      </c>
      <c r="G53" s="1">
        <v>3399</v>
      </c>
      <c r="H53" s="1">
        <v>3390</v>
      </c>
      <c r="I53" s="1">
        <v>3390</v>
      </c>
      <c r="J53" s="1">
        <v>151600</v>
      </c>
    </row>
    <row r="54" spans="1:10">
      <c r="A54" s="1"/>
      <c r="B54" s="1"/>
      <c r="C54" s="1"/>
      <c r="D54" s="1" t="s">
        <v>113</v>
      </c>
      <c r="E54" s="1" t="s">
        <v>201</v>
      </c>
      <c r="F54" s="1">
        <v>3390</v>
      </c>
      <c r="G54" s="1">
        <v>3394</v>
      </c>
      <c r="H54" s="1">
        <v>3388</v>
      </c>
      <c r="I54" s="1">
        <v>3391</v>
      </c>
      <c r="J54" s="1">
        <v>100300</v>
      </c>
    </row>
    <row r="55" spans="1:10">
      <c r="A55" s="1"/>
      <c r="B55" s="1"/>
      <c r="C55" s="1"/>
      <c r="D55" s="1" t="s">
        <v>113</v>
      </c>
      <c r="E55" s="1" t="s">
        <v>202</v>
      </c>
      <c r="F55" s="1">
        <v>3391</v>
      </c>
      <c r="G55" s="1">
        <v>3394</v>
      </c>
      <c r="H55" s="1">
        <v>3390</v>
      </c>
      <c r="I55" s="1">
        <v>3390</v>
      </c>
      <c r="J55" s="1">
        <v>81600</v>
      </c>
    </row>
    <row r="56" spans="1:10">
      <c r="A56" s="1"/>
      <c r="B56" s="1"/>
      <c r="C56" s="1"/>
      <c r="D56" s="1" t="s">
        <v>113</v>
      </c>
      <c r="E56" s="1" t="s">
        <v>203</v>
      </c>
      <c r="F56" s="1">
        <v>3391</v>
      </c>
      <c r="G56" s="1">
        <v>3394</v>
      </c>
      <c r="H56" s="1">
        <v>3391</v>
      </c>
      <c r="I56" s="1">
        <v>3392</v>
      </c>
      <c r="J56" s="1">
        <v>81600</v>
      </c>
    </row>
    <row r="57" spans="1:10">
      <c r="A57" s="1"/>
      <c r="B57" s="1"/>
      <c r="C57" s="1"/>
      <c r="D57" s="1" t="s">
        <v>113</v>
      </c>
      <c r="E57" s="1" t="s">
        <v>204</v>
      </c>
      <c r="F57" s="1">
        <v>3392</v>
      </c>
      <c r="G57" s="1">
        <v>3396</v>
      </c>
      <c r="H57" s="1">
        <v>3392</v>
      </c>
      <c r="I57" s="1">
        <v>3394</v>
      </c>
      <c r="J57" s="1">
        <v>61400</v>
      </c>
    </row>
    <row r="58" spans="1:10">
      <c r="A58" s="1"/>
      <c r="B58" s="1"/>
      <c r="C58" s="1"/>
      <c r="D58" s="1" t="s">
        <v>113</v>
      </c>
      <c r="E58" s="1" t="s">
        <v>205</v>
      </c>
      <c r="F58" s="1">
        <v>3393</v>
      </c>
      <c r="G58" s="1">
        <v>3397</v>
      </c>
      <c r="H58" s="1">
        <v>3393</v>
      </c>
      <c r="I58" s="1">
        <v>3396</v>
      </c>
      <c r="J58" s="1">
        <v>49000</v>
      </c>
    </row>
    <row r="59" spans="1:10">
      <c r="A59" s="1"/>
      <c r="B59" s="1"/>
      <c r="C59" s="1"/>
      <c r="D59" s="1" t="s">
        <v>113</v>
      </c>
      <c r="E59" s="1" t="s">
        <v>206</v>
      </c>
      <c r="F59" s="1">
        <v>3397</v>
      </c>
      <c r="G59" s="1">
        <v>3403</v>
      </c>
      <c r="H59" s="1">
        <v>3397</v>
      </c>
      <c r="I59" s="1">
        <v>3402</v>
      </c>
      <c r="J59" s="1">
        <v>188900</v>
      </c>
    </row>
    <row r="60" spans="1:10">
      <c r="A60" s="1"/>
      <c r="B60" s="1"/>
      <c r="C60" s="1"/>
      <c r="D60" s="1" t="s">
        <v>113</v>
      </c>
      <c r="E60" s="1" t="s">
        <v>207</v>
      </c>
      <c r="F60" s="1">
        <v>3402</v>
      </c>
      <c r="G60" s="1">
        <v>3408</v>
      </c>
      <c r="H60" s="1">
        <v>3401</v>
      </c>
      <c r="I60" s="1">
        <v>3406</v>
      </c>
      <c r="J60" s="1">
        <v>135200</v>
      </c>
    </row>
    <row r="61" spans="1:10">
      <c r="A61" s="1"/>
      <c r="B61" s="1"/>
      <c r="C61" s="1"/>
      <c r="D61" s="1" t="s">
        <v>113</v>
      </c>
      <c r="E61" s="1" t="s">
        <v>208</v>
      </c>
      <c r="F61" s="1">
        <v>3406</v>
      </c>
      <c r="G61" s="1">
        <v>3410</v>
      </c>
      <c r="H61" s="1">
        <v>3403</v>
      </c>
      <c r="I61" s="1">
        <v>3410</v>
      </c>
      <c r="J61" s="1">
        <v>106800</v>
      </c>
    </row>
    <row r="62" spans="1:10">
      <c r="A62" s="1"/>
      <c r="B62" s="1"/>
      <c r="C62" s="1"/>
      <c r="D62" s="1" t="s">
        <v>113</v>
      </c>
      <c r="E62" s="1" t="s">
        <v>209</v>
      </c>
      <c r="F62" s="1">
        <v>3410</v>
      </c>
      <c r="G62" s="1">
        <v>3412</v>
      </c>
      <c r="H62" s="1">
        <v>3410</v>
      </c>
      <c r="I62" s="1">
        <v>3410</v>
      </c>
      <c r="J62" s="1">
        <v>134800</v>
      </c>
    </row>
    <row r="63" spans="1:10">
      <c r="A63" s="1"/>
      <c r="B63" s="1"/>
      <c r="C63" s="1"/>
      <c r="D63" s="1" t="s">
        <v>113</v>
      </c>
      <c r="E63" s="1" t="s">
        <v>210</v>
      </c>
      <c r="F63" s="1">
        <v>3411</v>
      </c>
      <c r="G63" s="1">
        <v>3413</v>
      </c>
      <c r="H63" s="1">
        <v>3408</v>
      </c>
      <c r="I63" s="1">
        <v>3409</v>
      </c>
      <c r="J63" s="1">
        <v>122800</v>
      </c>
    </row>
    <row r="64" spans="1:10">
      <c r="A64" s="1"/>
      <c r="B64" s="1"/>
      <c r="C64" s="1"/>
      <c r="D64" s="1" t="s">
        <v>113</v>
      </c>
      <c r="E64" s="1" t="s">
        <v>211</v>
      </c>
      <c r="F64" s="1">
        <v>3409</v>
      </c>
      <c r="G64" s="1">
        <v>3414</v>
      </c>
      <c r="H64" s="1">
        <v>3407</v>
      </c>
      <c r="I64" s="1">
        <v>3414</v>
      </c>
      <c r="J64" s="1">
        <v>80700</v>
      </c>
    </row>
    <row r="65" spans="1:10">
      <c r="A65" s="1"/>
      <c r="B65" s="1"/>
      <c r="C65" s="1"/>
      <c r="D65" s="1" t="s">
        <v>113</v>
      </c>
      <c r="E65" s="1" t="s">
        <v>212</v>
      </c>
      <c r="F65" s="1">
        <v>3415</v>
      </c>
      <c r="G65" s="1">
        <v>3415</v>
      </c>
      <c r="H65" s="1">
        <v>3412</v>
      </c>
      <c r="I65" s="1">
        <v>3413</v>
      </c>
      <c r="J65" s="1">
        <v>51900</v>
      </c>
    </row>
    <row r="66" spans="1:10">
      <c r="A66" s="1"/>
      <c r="B66" s="1"/>
      <c r="C66" s="1"/>
      <c r="D66" s="1" t="s">
        <v>113</v>
      </c>
      <c r="E66" s="1" t="s">
        <v>213</v>
      </c>
      <c r="F66" s="1">
        <v>3412</v>
      </c>
      <c r="G66" s="1">
        <v>3413</v>
      </c>
      <c r="H66" s="1">
        <v>3410</v>
      </c>
      <c r="I66" s="1">
        <v>3411</v>
      </c>
      <c r="J66" s="1">
        <v>29500</v>
      </c>
    </row>
    <row r="67" spans="1:10">
      <c r="A67" s="1"/>
      <c r="B67" s="1"/>
      <c r="C67" s="1"/>
      <c r="D67" s="1" t="s">
        <v>113</v>
      </c>
      <c r="E67" s="1" t="s">
        <v>214</v>
      </c>
      <c r="F67" s="1">
        <v>3411</v>
      </c>
      <c r="G67" s="1">
        <v>3416</v>
      </c>
      <c r="H67" s="1">
        <v>3410</v>
      </c>
      <c r="I67" s="1">
        <v>3415</v>
      </c>
      <c r="J67" s="1">
        <v>92700</v>
      </c>
    </row>
    <row r="68" spans="1:10">
      <c r="A68" s="1"/>
      <c r="B68" s="1"/>
      <c r="C68" s="1"/>
      <c r="D68" s="1" t="s">
        <v>113</v>
      </c>
      <c r="E68" s="1" t="s">
        <v>215</v>
      </c>
      <c r="F68" s="1">
        <v>3415</v>
      </c>
      <c r="G68" s="1">
        <v>3415</v>
      </c>
      <c r="H68" s="1">
        <v>3411</v>
      </c>
      <c r="I68" s="1">
        <v>3412</v>
      </c>
      <c r="J68" s="1">
        <v>51100</v>
      </c>
    </row>
    <row r="69" spans="1:10">
      <c r="A69" s="1"/>
      <c r="B69" s="1"/>
      <c r="C69" s="1"/>
      <c r="D69" s="1" t="s">
        <v>113</v>
      </c>
      <c r="E69" s="1" t="s">
        <v>216</v>
      </c>
      <c r="F69" s="1">
        <v>3412</v>
      </c>
      <c r="G69" s="1">
        <v>3416</v>
      </c>
      <c r="H69" s="1">
        <v>3411</v>
      </c>
      <c r="I69" s="1">
        <v>3415</v>
      </c>
      <c r="J69" s="1">
        <v>38600</v>
      </c>
    </row>
    <row r="70" spans="1:10">
      <c r="A70" s="1"/>
      <c r="B70" s="1"/>
      <c r="C70" s="1"/>
      <c r="D70" s="1" t="s">
        <v>113</v>
      </c>
      <c r="E70" s="1" t="s">
        <v>217</v>
      </c>
      <c r="F70" s="1">
        <v>3415</v>
      </c>
      <c r="G70" s="1">
        <v>3418</v>
      </c>
      <c r="H70" s="1">
        <v>3413</v>
      </c>
      <c r="I70" s="1">
        <v>3415</v>
      </c>
      <c r="J70" s="1">
        <v>80100</v>
      </c>
    </row>
    <row r="71" spans="1:10">
      <c r="A71" s="1"/>
      <c r="B71" s="1"/>
      <c r="C71" s="1"/>
      <c r="D71" s="1" t="s">
        <v>113</v>
      </c>
      <c r="E71" s="1" t="s">
        <v>218</v>
      </c>
      <c r="F71" s="1">
        <v>3415</v>
      </c>
      <c r="G71" s="1">
        <v>3416</v>
      </c>
      <c r="H71" s="1">
        <v>3413</v>
      </c>
      <c r="I71" s="1">
        <v>3414</v>
      </c>
      <c r="J71" s="1">
        <v>38300</v>
      </c>
    </row>
    <row r="72" spans="1:10">
      <c r="A72" s="1"/>
      <c r="B72" s="1"/>
      <c r="C72" s="1"/>
      <c r="D72" s="1" t="s">
        <v>113</v>
      </c>
      <c r="E72" s="1" t="s">
        <v>219</v>
      </c>
      <c r="F72" s="1">
        <v>3413</v>
      </c>
      <c r="G72" s="1">
        <v>3414</v>
      </c>
      <c r="H72" s="1">
        <v>3412</v>
      </c>
      <c r="I72" s="1">
        <v>3412</v>
      </c>
      <c r="J72" s="1">
        <v>25300</v>
      </c>
    </row>
    <row r="73" spans="1:10">
      <c r="A73" s="1"/>
      <c r="B73" s="1"/>
      <c r="C73" s="1"/>
      <c r="D73" s="1" t="s">
        <v>113</v>
      </c>
      <c r="E73" s="1" t="s">
        <v>220</v>
      </c>
      <c r="F73" s="1">
        <v>3412</v>
      </c>
      <c r="G73" s="1">
        <v>3412</v>
      </c>
      <c r="H73" s="1">
        <v>3409</v>
      </c>
      <c r="I73" s="1">
        <v>3410</v>
      </c>
      <c r="J73" s="1">
        <v>94400</v>
      </c>
    </row>
    <row r="74" spans="1:10">
      <c r="A74" s="1"/>
      <c r="B74" s="1"/>
      <c r="C74" s="1"/>
      <c r="D74" s="1" t="s">
        <v>113</v>
      </c>
      <c r="E74" s="1" t="s">
        <v>221</v>
      </c>
      <c r="F74" s="1">
        <v>3410</v>
      </c>
      <c r="G74" s="1">
        <v>3413</v>
      </c>
      <c r="H74" s="1">
        <v>3408</v>
      </c>
      <c r="I74" s="1">
        <v>3413</v>
      </c>
      <c r="J74" s="1">
        <v>53900</v>
      </c>
    </row>
    <row r="75" spans="1:10">
      <c r="A75" s="1"/>
      <c r="B75" s="1"/>
      <c r="C75" s="1"/>
      <c r="D75" s="1" t="s">
        <v>113</v>
      </c>
      <c r="E75" s="1" t="s">
        <v>222</v>
      </c>
      <c r="F75" s="1">
        <v>3412</v>
      </c>
      <c r="G75" s="1">
        <v>3412</v>
      </c>
      <c r="H75" s="1">
        <v>3408</v>
      </c>
      <c r="I75" s="1">
        <v>3409</v>
      </c>
      <c r="J75" s="1">
        <v>30100</v>
      </c>
    </row>
    <row r="76" spans="1:10">
      <c r="A76" s="1"/>
      <c r="B76" s="1"/>
      <c r="C76" s="1"/>
      <c r="D76" s="1" t="s">
        <v>113</v>
      </c>
      <c r="E76" s="1" t="s">
        <v>223</v>
      </c>
      <c r="F76" s="1">
        <v>3408</v>
      </c>
      <c r="G76" s="1">
        <v>3409</v>
      </c>
      <c r="H76" s="1">
        <v>3405</v>
      </c>
      <c r="I76" s="1">
        <v>3406</v>
      </c>
      <c r="J76" s="1">
        <v>69200</v>
      </c>
    </row>
    <row r="77" spans="1:10">
      <c r="A77" s="1"/>
      <c r="B77" s="1"/>
      <c r="C77" s="1"/>
      <c r="D77" s="1" t="s">
        <v>113</v>
      </c>
      <c r="E77" s="1" t="s">
        <v>224</v>
      </c>
      <c r="F77" s="1">
        <v>3406</v>
      </c>
      <c r="G77" s="1">
        <v>3406</v>
      </c>
      <c r="H77" s="1">
        <v>3403</v>
      </c>
      <c r="I77" s="1">
        <v>3405</v>
      </c>
      <c r="J77" s="1">
        <v>64300</v>
      </c>
    </row>
    <row r="78" spans="1:10">
      <c r="D78" t="s">
        <v>113</v>
      </c>
      <c r="E78" t="s">
        <v>225</v>
      </c>
      <c r="F78">
        <v>3406</v>
      </c>
      <c r="G78">
        <v>3411</v>
      </c>
      <c r="H78">
        <v>3405</v>
      </c>
      <c r="I78">
        <v>3410</v>
      </c>
      <c r="J78">
        <v>44600</v>
      </c>
    </row>
    <row r="79" spans="1:10">
      <c r="D79" t="s">
        <v>113</v>
      </c>
      <c r="E79" t="s">
        <v>226</v>
      </c>
      <c r="F79">
        <v>3409</v>
      </c>
      <c r="G79">
        <v>3413</v>
      </c>
      <c r="H79">
        <v>3409</v>
      </c>
      <c r="I79">
        <v>3411</v>
      </c>
      <c r="J79">
        <v>58100</v>
      </c>
    </row>
    <row r="80" spans="1:10">
      <c r="D80" t="s">
        <v>113</v>
      </c>
      <c r="E80" t="s">
        <v>227</v>
      </c>
      <c r="F80">
        <v>3411</v>
      </c>
      <c r="G80">
        <v>3415</v>
      </c>
      <c r="H80">
        <v>3410</v>
      </c>
      <c r="I80">
        <v>3415</v>
      </c>
      <c r="J80">
        <v>119300</v>
      </c>
    </row>
    <row r="81" spans="4:10">
      <c r="D81" t="s">
        <v>113</v>
      </c>
      <c r="E81" t="s">
        <v>228</v>
      </c>
      <c r="F81">
        <v>3415</v>
      </c>
      <c r="G81">
        <v>3420</v>
      </c>
      <c r="H81">
        <v>3415</v>
      </c>
      <c r="I81">
        <v>3419</v>
      </c>
      <c r="J81">
        <v>83500</v>
      </c>
    </row>
    <row r="82" spans="4:10">
      <c r="D82" t="s">
        <v>113</v>
      </c>
      <c r="E82" t="s">
        <v>229</v>
      </c>
      <c r="F82">
        <v>3419</v>
      </c>
      <c r="G82">
        <v>3419</v>
      </c>
      <c r="H82">
        <v>3417</v>
      </c>
      <c r="I82">
        <v>3417</v>
      </c>
      <c r="J82">
        <v>37400</v>
      </c>
    </row>
    <row r="83" spans="4:10">
      <c r="D83" t="s">
        <v>113</v>
      </c>
      <c r="E83" t="s">
        <v>230</v>
      </c>
      <c r="F83">
        <v>3417</v>
      </c>
      <c r="G83">
        <v>3419</v>
      </c>
      <c r="H83">
        <v>3417</v>
      </c>
      <c r="I83">
        <v>3418</v>
      </c>
      <c r="J83">
        <v>31500</v>
      </c>
    </row>
    <row r="84" spans="4:10">
      <c r="D84" t="s">
        <v>113</v>
      </c>
      <c r="E84" t="s">
        <v>231</v>
      </c>
      <c r="F84">
        <v>3419</v>
      </c>
      <c r="G84">
        <v>3421</v>
      </c>
      <c r="H84">
        <v>3418</v>
      </c>
      <c r="I84">
        <v>3421</v>
      </c>
      <c r="J84">
        <v>84400</v>
      </c>
    </row>
    <row r="85" spans="4:10">
      <c r="D85" t="s">
        <v>113</v>
      </c>
      <c r="E85" t="s">
        <v>232</v>
      </c>
      <c r="F85">
        <v>3421</v>
      </c>
      <c r="G85">
        <v>3421</v>
      </c>
      <c r="H85">
        <v>3418</v>
      </c>
      <c r="I85">
        <v>3419</v>
      </c>
      <c r="J85">
        <v>38200</v>
      </c>
    </row>
    <row r="86" spans="4:10">
      <c r="D86" t="s">
        <v>113</v>
      </c>
      <c r="E86" t="s">
        <v>233</v>
      </c>
      <c r="F86">
        <v>3418</v>
      </c>
      <c r="G86">
        <v>3421</v>
      </c>
      <c r="H86">
        <v>3417</v>
      </c>
      <c r="I86">
        <v>3420</v>
      </c>
      <c r="J86">
        <v>73900</v>
      </c>
    </row>
    <row r="87" spans="4:10">
      <c r="D87" t="s">
        <v>113</v>
      </c>
      <c r="E87" t="s">
        <v>234</v>
      </c>
      <c r="F87">
        <v>3419</v>
      </c>
      <c r="G87">
        <v>3421</v>
      </c>
      <c r="H87">
        <v>3419</v>
      </c>
      <c r="I87">
        <v>3420</v>
      </c>
      <c r="J87">
        <v>36200</v>
      </c>
    </row>
    <row r="88" spans="4:10">
      <c r="D88" t="s">
        <v>113</v>
      </c>
      <c r="E88" t="s">
        <v>235</v>
      </c>
      <c r="F88">
        <v>3420</v>
      </c>
      <c r="G88">
        <v>3420</v>
      </c>
      <c r="H88">
        <v>3418</v>
      </c>
      <c r="I88">
        <v>3419</v>
      </c>
      <c r="J88">
        <v>35100</v>
      </c>
    </row>
    <row r="89" spans="4:10">
      <c r="D89" t="s">
        <v>113</v>
      </c>
      <c r="E89" t="s">
        <v>236</v>
      </c>
      <c r="F89">
        <v>3419</v>
      </c>
      <c r="G89">
        <v>3422</v>
      </c>
      <c r="H89">
        <v>3419</v>
      </c>
      <c r="I89">
        <v>3422</v>
      </c>
      <c r="J89">
        <v>62600</v>
      </c>
    </row>
    <row r="90" spans="4:10">
      <c r="D90" t="s">
        <v>113</v>
      </c>
      <c r="E90" t="s">
        <v>237</v>
      </c>
      <c r="F90">
        <v>3421</v>
      </c>
      <c r="G90">
        <v>3422</v>
      </c>
      <c r="H90">
        <v>3418</v>
      </c>
      <c r="I90">
        <v>3418</v>
      </c>
      <c r="J90">
        <v>49900</v>
      </c>
    </row>
    <row r="91" spans="4:10">
      <c r="D91" t="s">
        <v>113</v>
      </c>
      <c r="E91" t="s">
        <v>238</v>
      </c>
      <c r="F91">
        <v>3419</v>
      </c>
      <c r="G91">
        <v>3420</v>
      </c>
      <c r="H91">
        <v>3417</v>
      </c>
      <c r="I91">
        <v>3417</v>
      </c>
      <c r="J91">
        <v>46900</v>
      </c>
    </row>
    <row r="92" spans="4:10">
      <c r="D92" t="s">
        <v>113</v>
      </c>
      <c r="E92" t="s">
        <v>239</v>
      </c>
      <c r="F92">
        <v>3417</v>
      </c>
      <c r="G92">
        <v>3418</v>
      </c>
      <c r="H92">
        <v>3413</v>
      </c>
      <c r="I92">
        <v>3415</v>
      </c>
      <c r="J92">
        <v>73200</v>
      </c>
    </row>
    <row r="93" spans="4:10">
      <c r="D93" t="s">
        <v>113</v>
      </c>
      <c r="E93" t="s">
        <v>240</v>
      </c>
      <c r="F93">
        <v>3414</v>
      </c>
      <c r="G93">
        <v>3416</v>
      </c>
      <c r="H93">
        <v>3413</v>
      </c>
      <c r="I93">
        <v>3416</v>
      </c>
      <c r="J93">
        <v>35400</v>
      </c>
    </row>
    <row r="94" spans="4:10">
      <c r="D94" t="s">
        <v>113</v>
      </c>
      <c r="E94" t="s">
        <v>241</v>
      </c>
      <c r="F94">
        <v>3415</v>
      </c>
      <c r="G94">
        <v>3415</v>
      </c>
      <c r="H94">
        <v>3413</v>
      </c>
      <c r="I94">
        <v>3413</v>
      </c>
      <c r="J94">
        <v>29000</v>
      </c>
    </row>
    <row r="95" spans="4:10">
      <c r="D95" t="s">
        <v>113</v>
      </c>
      <c r="E95" t="s">
        <v>242</v>
      </c>
      <c r="F95">
        <v>3413</v>
      </c>
      <c r="G95">
        <v>3415</v>
      </c>
      <c r="H95">
        <v>3412</v>
      </c>
      <c r="I95">
        <v>3415</v>
      </c>
      <c r="J95">
        <v>22900</v>
      </c>
    </row>
    <row r="96" spans="4:10">
      <c r="D96" t="s">
        <v>113</v>
      </c>
      <c r="E96" t="s">
        <v>243</v>
      </c>
      <c r="F96">
        <v>3415</v>
      </c>
      <c r="G96">
        <v>3417</v>
      </c>
      <c r="H96">
        <v>3414</v>
      </c>
      <c r="I96">
        <v>3414</v>
      </c>
      <c r="J96">
        <v>43500</v>
      </c>
    </row>
    <row r="97" spans="1:10">
      <c r="D97" t="s">
        <v>113</v>
      </c>
      <c r="E97" t="s">
        <v>244</v>
      </c>
      <c r="F97">
        <v>3415</v>
      </c>
      <c r="G97">
        <v>3418</v>
      </c>
      <c r="H97">
        <v>3414</v>
      </c>
      <c r="I97">
        <v>3417</v>
      </c>
      <c r="J97">
        <v>18500</v>
      </c>
    </row>
    <row r="98" spans="1:10">
      <c r="D98" t="s">
        <v>113</v>
      </c>
      <c r="E98" t="s">
        <v>245</v>
      </c>
      <c r="F98">
        <v>3417</v>
      </c>
      <c r="G98">
        <v>3417</v>
      </c>
      <c r="H98">
        <v>3414</v>
      </c>
      <c r="I98">
        <v>3414</v>
      </c>
      <c r="J98">
        <v>24500</v>
      </c>
    </row>
    <row r="99" spans="1:10">
      <c r="D99" t="s">
        <v>113</v>
      </c>
      <c r="E99" t="s">
        <v>246</v>
      </c>
      <c r="F99">
        <v>3414</v>
      </c>
      <c r="G99">
        <v>3415</v>
      </c>
      <c r="H99">
        <v>3413</v>
      </c>
      <c r="I99">
        <v>3414</v>
      </c>
      <c r="J99">
        <v>25500</v>
      </c>
    </row>
    <row r="100" spans="1:10">
      <c r="D100" t="s">
        <v>113</v>
      </c>
      <c r="E100" t="s">
        <v>247</v>
      </c>
      <c r="F100">
        <v>3414</v>
      </c>
      <c r="G100">
        <v>3417</v>
      </c>
      <c r="H100">
        <v>3413</v>
      </c>
      <c r="I100">
        <v>3417</v>
      </c>
      <c r="J100">
        <v>30700</v>
      </c>
    </row>
    <row r="101" spans="1:10">
      <c r="D101" t="s">
        <v>113</v>
      </c>
      <c r="E101" t="s">
        <v>248</v>
      </c>
      <c r="F101">
        <v>3417</v>
      </c>
      <c r="G101">
        <v>3417</v>
      </c>
      <c r="H101">
        <v>3414</v>
      </c>
      <c r="I101">
        <v>3415</v>
      </c>
      <c r="J101">
        <v>19400</v>
      </c>
    </row>
    <row r="102" spans="1:10">
      <c r="D102" t="s">
        <v>113</v>
      </c>
      <c r="E102" t="s">
        <v>249</v>
      </c>
      <c r="F102">
        <v>3415</v>
      </c>
      <c r="G102">
        <v>3418</v>
      </c>
      <c r="H102">
        <v>3415</v>
      </c>
      <c r="I102">
        <v>3417</v>
      </c>
      <c r="J102">
        <v>28500</v>
      </c>
    </row>
    <row r="103" spans="1:10">
      <c r="A103" s="1"/>
      <c r="B103" s="1"/>
      <c r="C103" s="1"/>
      <c r="D103" s="1" t="s">
        <v>113</v>
      </c>
      <c r="E103" s="1" t="s">
        <v>250</v>
      </c>
      <c r="F103" s="1">
        <v>3417</v>
      </c>
      <c r="G103" s="1">
        <v>3420</v>
      </c>
      <c r="H103" s="1">
        <v>3416</v>
      </c>
      <c r="I103" s="1">
        <v>3419</v>
      </c>
      <c r="J103" s="1">
        <v>45800</v>
      </c>
    </row>
    <row r="104" spans="1:10">
      <c r="A104" s="1"/>
      <c r="B104" s="1"/>
      <c r="C104" s="1"/>
      <c r="D104" s="1" t="s">
        <v>113</v>
      </c>
      <c r="E104" s="1" t="s">
        <v>251</v>
      </c>
      <c r="F104" s="1">
        <v>3419</v>
      </c>
      <c r="G104" s="1">
        <v>3425</v>
      </c>
      <c r="H104" s="1">
        <v>3419</v>
      </c>
      <c r="I104" s="1">
        <v>3425</v>
      </c>
      <c r="J104" s="1">
        <v>93700</v>
      </c>
    </row>
    <row r="105" spans="1:10">
      <c r="D105" t="s">
        <v>113</v>
      </c>
      <c r="E105" t="s">
        <v>252</v>
      </c>
      <c r="F105">
        <v>3424</v>
      </c>
      <c r="G105">
        <v>3425</v>
      </c>
      <c r="H105">
        <v>3421</v>
      </c>
      <c r="I105">
        <v>3421</v>
      </c>
      <c r="J105">
        <v>29400</v>
      </c>
    </row>
    <row r="106" spans="1:10">
      <c r="D106" t="s">
        <v>113</v>
      </c>
      <c r="E106" t="s">
        <v>253</v>
      </c>
      <c r="F106">
        <v>3422</v>
      </c>
      <c r="G106">
        <v>3424</v>
      </c>
      <c r="H106">
        <v>3422</v>
      </c>
      <c r="I106">
        <v>3424</v>
      </c>
      <c r="J106">
        <v>24400</v>
      </c>
    </row>
    <row r="107" spans="1:10">
      <c r="D107" t="s">
        <v>113</v>
      </c>
      <c r="E107" t="s">
        <v>254</v>
      </c>
      <c r="F107">
        <v>3423</v>
      </c>
      <c r="G107">
        <v>3425</v>
      </c>
      <c r="H107">
        <v>3423</v>
      </c>
      <c r="I107">
        <v>3424</v>
      </c>
      <c r="J107">
        <v>24700</v>
      </c>
    </row>
    <row r="108" spans="1:10">
      <c r="D108" t="s">
        <v>113</v>
      </c>
      <c r="E108" t="s">
        <v>255</v>
      </c>
      <c r="F108">
        <v>3425</v>
      </c>
      <c r="G108">
        <v>3426</v>
      </c>
      <c r="H108">
        <v>3423</v>
      </c>
      <c r="I108">
        <v>3424</v>
      </c>
      <c r="J108">
        <v>44600</v>
      </c>
    </row>
    <row r="109" spans="1:10">
      <c r="D109" t="s">
        <v>113</v>
      </c>
      <c r="E109" t="s">
        <v>256</v>
      </c>
      <c r="F109">
        <v>3424</v>
      </c>
      <c r="G109">
        <v>3424</v>
      </c>
      <c r="H109">
        <v>3422</v>
      </c>
      <c r="I109">
        <v>3423</v>
      </c>
      <c r="J109">
        <v>27400</v>
      </c>
    </row>
    <row r="110" spans="1:10">
      <c r="D110" t="s">
        <v>113</v>
      </c>
      <c r="E110" t="s">
        <v>257</v>
      </c>
      <c r="F110">
        <v>3422</v>
      </c>
      <c r="G110">
        <v>3423</v>
      </c>
      <c r="H110">
        <v>3419</v>
      </c>
      <c r="I110">
        <v>3420</v>
      </c>
      <c r="J110">
        <v>58400</v>
      </c>
    </row>
    <row r="111" spans="1:10">
      <c r="D111" t="s">
        <v>113</v>
      </c>
      <c r="E111" t="s">
        <v>258</v>
      </c>
      <c r="F111">
        <v>3420</v>
      </c>
      <c r="G111">
        <v>3422</v>
      </c>
      <c r="H111">
        <v>3420</v>
      </c>
      <c r="I111">
        <v>3422</v>
      </c>
      <c r="J111">
        <v>43900</v>
      </c>
    </row>
    <row r="112" spans="1:10">
      <c r="D112" t="s">
        <v>113</v>
      </c>
      <c r="E112" t="s">
        <v>259</v>
      </c>
      <c r="F112">
        <v>3422</v>
      </c>
      <c r="G112">
        <v>3422</v>
      </c>
      <c r="H112">
        <v>3419</v>
      </c>
      <c r="I112">
        <v>3419</v>
      </c>
      <c r="J112">
        <v>61700</v>
      </c>
    </row>
    <row r="113" spans="4:10">
      <c r="D113" t="s">
        <v>113</v>
      </c>
      <c r="E113" t="s">
        <v>260</v>
      </c>
      <c r="F113">
        <v>3420</v>
      </c>
      <c r="G113">
        <v>3425</v>
      </c>
      <c r="H113">
        <v>3419</v>
      </c>
      <c r="I113">
        <v>3425</v>
      </c>
      <c r="J113">
        <v>96500</v>
      </c>
    </row>
    <row r="114" spans="4:10">
      <c r="D114" t="s">
        <v>113</v>
      </c>
      <c r="E114" t="s">
        <v>261</v>
      </c>
      <c r="F114">
        <v>3424</v>
      </c>
      <c r="G114">
        <v>3428</v>
      </c>
      <c r="H114">
        <v>3424</v>
      </c>
      <c r="I114">
        <v>3428</v>
      </c>
      <c r="J114">
        <v>58400</v>
      </c>
    </row>
    <row r="115" spans="4:10">
      <c r="D115" t="s">
        <v>113</v>
      </c>
      <c r="E115" t="s">
        <v>262</v>
      </c>
      <c r="F115">
        <v>3428</v>
      </c>
      <c r="G115">
        <v>3431</v>
      </c>
      <c r="H115">
        <v>3427</v>
      </c>
      <c r="I115">
        <v>3427</v>
      </c>
      <c r="J115">
        <v>109400</v>
      </c>
    </row>
    <row r="116" spans="4:10">
      <c r="D116" t="s">
        <v>113</v>
      </c>
      <c r="E116" t="s">
        <v>263</v>
      </c>
      <c r="F116">
        <v>3428</v>
      </c>
      <c r="G116">
        <v>3429</v>
      </c>
      <c r="H116">
        <v>3427</v>
      </c>
      <c r="I116">
        <v>3427</v>
      </c>
      <c r="J116">
        <v>24300</v>
      </c>
    </row>
    <row r="117" spans="4:10">
      <c r="D117" t="s">
        <v>113</v>
      </c>
      <c r="E117" t="s">
        <v>264</v>
      </c>
      <c r="F117">
        <v>3426</v>
      </c>
      <c r="G117">
        <v>3428</v>
      </c>
      <c r="H117">
        <v>3426</v>
      </c>
      <c r="I117">
        <v>3427</v>
      </c>
      <c r="J117">
        <v>16000</v>
      </c>
    </row>
    <row r="118" spans="4:10">
      <c r="D118" t="s">
        <v>113</v>
      </c>
      <c r="E118" t="s">
        <v>265</v>
      </c>
      <c r="F118">
        <v>3427</v>
      </c>
      <c r="G118">
        <v>3427</v>
      </c>
      <c r="H118">
        <v>3425</v>
      </c>
      <c r="I118">
        <v>3425</v>
      </c>
      <c r="J118">
        <v>19100</v>
      </c>
    </row>
    <row r="119" spans="4:10">
      <c r="D119" t="s">
        <v>113</v>
      </c>
      <c r="E119" t="s">
        <v>266</v>
      </c>
      <c r="F119">
        <v>3426</v>
      </c>
      <c r="G119">
        <v>3430</v>
      </c>
      <c r="H119">
        <v>3423</v>
      </c>
      <c r="I119">
        <v>3429</v>
      </c>
      <c r="J119">
        <v>80700</v>
      </c>
    </row>
    <row r="120" spans="4:10">
      <c r="D120" t="s">
        <v>113</v>
      </c>
      <c r="E120" t="s">
        <v>267</v>
      </c>
      <c r="F120">
        <v>3430</v>
      </c>
      <c r="G120">
        <v>3432</v>
      </c>
      <c r="H120">
        <v>3430</v>
      </c>
      <c r="I120">
        <v>3430</v>
      </c>
      <c r="J120">
        <v>52700</v>
      </c>
    </row>
    <row r="121" spans="4:10">
      <c r="D121" t="s">
        <v>113</v>
      </c>
      <c r="E121" t="s">
        <v>268</v>
      </c>
      <c r="F121">
        <v>3430</v>
      </c>
      <c r="G121">
        <v>3431</v>
      </c>
      <c r="H121">
        <v>3429</v>
      </c>
      <c r="I121">
        <v>3430</v>
      </c>
      <c r="J121">
        <v>24000</v>
      </c>
    </row>
    <row r="122" spans="4:10">
      <c r="D122" t="s">
        <v>113</v>
      </c>
      <c r="E122" t="s">
        <v>269</v>
      </c>
      <c r="F122">
        <v>3430</v>
      </c>
      <c r="G122">
        <v>3431</v>
      </c>
      <c r="H122">
        <v>3428</v>
      </c>
      <c r="I122">
        <v>3429</v>
      </c>
      <c r="J122">
        <v>62100</v>
      </c>
    </row>
    <row r="123" spans="4:10">
      <c r="D123" t="s">
        <v>113</v>
      </c>
      <c r="E123" t="s">
        <v>270</v>
      </c>
      <c r="F123">
        <v>3428</v>
      </c>
      <c r="G123">
        <v>3429</v>
      </c>
      <c r="H123">
        <v>3427</v>
      </c>
      <c r="I123">
        <v>3428</v>
      </c>
      <c r="J123">
        <v>12900</v>
      </c>
    </row>
    <row r="124" spans="4:10">
      <c r="D124" t="s">
        <v>113</v>
      </c>
      <c r="E124" t="s">
        <v>271</v>
      </c>
      <c r="F124">
        <v>3428</v>
      </c>
      <c r="G124">
        <v>3430</v>
      </c>
      <c r="H124">
        <v>3428</v>
      </c>
      <c r="I124">
        <v>3429</v>
      </c>
      <c r="J124">
        <v>19600</v>
      </c>
    </row>
    <row r="125" spans="4:10">
      <c r="D125" t="s">
        <v>113</v>
      </c>
      <c r="E125" t="s">
        <v>272</v>
      </c>
      <c r="F125">
        <v>3429</v>
      </c>
      <c r="G125">
        <v>3429</v>
      </c>
      <c r="H125">
        <v>3423</v>
      </c>
      <c r="I125">
        <v>3423</v>
      </c>
      <c r="J125">
        <v>84000</v>
      </c>
    </row>
    <row r="126" spans="4:10">
      <c r="D126" t="s">
        <v>113</v>
      </c>
      <c r="E126" t="s">
        <v>273</v>
      </c>
      <c r="F126">
        <v>3423</v>
      </c>
      <c r="G126">
        <v>3426</v>
      </c>
      <c r="H126">
        <v>3421</v>
      </c>
      <c r="I126">
        <v>3425</v>
      </c>
      <c r="J126">
        <v>34300</v>
      </c>
    </row>
    <row r="127" spans="4:10">
      <c r="D127" t="s">
        <v>113</v>
      </c>
      <c r="E127" t="s">
        <v>274</v>
      </c>
      <c r="F127">
        <v>3425</v>
      </c>
      <c r="G127">
        <v>3428</v>
      </c>
      <c r="H127">
        <v>3425</v>
      </c>
      <c r="I127">
        <v>3427</v>
      </c>
      <c r="J127">
        <v>36600</v>
      </c>
    </row>
    <row r="128" spans="4:10">
      <c r="D128" t="s">
        <v>113</v>
      </c>
      <c r="E128" t="s">
        <v>275</v>
      </c>
      <c r="F128">
        <v>3426</v>
      </c>
      <c r="G128">
        <v>3430</v>
      </c>
      <c r="H128">
        <v>3426</v>
      </c>
      <c r="I128">
        <v>3430</v>
      </c>
      <c r="J128">
        <v>47300</v>
      </c>
    </row>
    <row r="129" spans="4:10">
      <c r="D129" t="s">
        <v>113</v>
      </c>
      <c r="E129" t="s">
        <v>276</v>
      </c>
      <c r="F129">
        <v>3430</v>
      </c>
      <c r="G129">
        <v>3432</v>
      </c>
      <c r="H129">
        <v>3429</v>
      </c>
      <c r="I129">
        <v>3432</v>
      </c>
      <c r="J129">
        <v>28500</v>
      </c>
    </row>
    <row r="130" spans="4:10">
      <c r="D130" t="s">
        <v>113</v>
      </c>
      <c r="E130" t="s">
        <v>277</v>
      </c>
      <c r="F130">
        <v>3431</v>
      </c>
      <c r="G130">
        <v>3435</v>
      </c>
      <c r="H130">
        <v>3431</v>
      </c>
      <c r="I130">
        <v>3435</v>
      </c>
      <c r="J130">
        <v>57200</v>
      </c>
    </row>
    <row r="131" spans="4:10">
      <c r="D131" t="s">
        <v>113</v>
      </c>
      <c r="E131" t="s">
        <v>278</v>
      </c>
      <c r="F131">
        <v>3434</v>
      </c>
      <c r="G131">
        <v>3436</v>
      </c>
      <c r="H131">
        <v>3433</v>
      </c>
      <c r="I131">
        <v>3436</v>
      </c>
      <c r="J131">
        <v>56900</v>
      </c>
    </row>
    <row r="132" spans="4:10">
      <c r="D132" t="s">
        <v>113</v>
      </c>
      <c r="E132" t="s">
        <v>279</v>
      </c>
      <c r="F132">
        <v>3435</v>
      </c>
      <c r="G132">
        <v>3437</v>
      </c>
      <c r="H132">
        <v>3434</v>
      </c>
      <c r="I132">
        <v>3436</v>
      </c>
      <c r="J132">
        <v>69500</v>
      </c>
    </row>
    <row r="133" spans="4:10">
      <c r="D133" t="s">
        <v>113</v>
      </c>
      <c r="E133" t="s">
        <v>280</v>
      </c>
      <c r="F133">
        <v>3436</v>
      </c>
      <c r="G133">
        <v>3437</v>
      </c>
      <c r="H133">
        <v>3435</v>
      </c>
      <c r="I133">
        <v>3435</v>
      </c>
      <c r="J133">
        <v>38300</v>
      </c>
    </row>
    <row r="134" spans="4:10">
      <c r="D134" t="s">
        <v>113</v>
      </c>
      <c r="E134" t="s">
        <v>281</v>
      </c>
      <c r="F134">
        <v>3435</v>
      </c>
      <c r="G134">
        <v>3437</v>
      </c>
      <c r="H134">
        <v>3434</v>
      </c>
      <c r="I134">
        <v>3436</v>
      </c>
      <c r="J134">
        <v>20500</v>
      </c>
    </row>
    <row r="135" spans="4:10">
      <c r="D135" t="s">
        <v>113</v>
      </c>
      <c r="E135" t="s">
        <v>282</v>
      </c>
      <c r="F135">
        <v>3436</v>
      </c>
      <c r="G135">
        <v>3438</v>
      </c>
      <c r="H135">
        <v>3435</v>
      </c>
      <c r="I135">
        <v>3438</v>
      </c>
      <c r="J135">
        <v>27900</v>
      </c>
    </row>
    <row r="136" spans="4:10">
      <c r="D136" t="s">
        <v>113</v>
      </c>
      <c r="E136" t="s">
        <v>283</v>
      </c>
      <c r="F136">
        <v>3438</v>
      </c>
      <c r="G136">
        <v>3440</v>
      </c>
      <c r="H136">
        <v>3438</v>
      </c>
      <c r="I136">
        <v>3439</v>
      </c>
      <c r="J136">
        <v>20800</v>
      </c>
    </row>
    <row r="137" spans="4:10">
      <c r="D137" t="s">
        <v>113</v>
      </c>
      <c r="E137" t="s">
        <v>284</v>
      </c>
      <c r="F137">
        <v>3439</v>
      </c>
      <c r="G137">
        <v>3444</v>
      </c>
      <c r="H137">
        <v>3438</v>
      </c>
      <c r="I137">
        <v>3444</v>
      </c>
      <c r="J137">
        <v>65500</v>
      </c>
    </row>
    <row r="138" spans="4:10">
      <c r="D138" t="s">
        <v>113</v>
      </c>
      <c r="E138" t="s">
        <v>285</v>
      </c>
      <c r="F138">
        <v>3444</v>
      </c>
      <c r="G138">
        <v>3446</v>
      </c>
      <c r="H138">
        <v>3442</v>
      </c>
      <c r="I138">
        <v>3444</v>
      </c>
      <c r="J138">
        <v>88800</v>
      </c>
    </row>
    <row r="139" spans="4:10">
      <c r="D139" t="s">
        <v>113</v>
      </c>
      <c r="E139" t="s">
        <v>286</v>
      </c>
      <c r="F139">
        <v>3444</v>
      </c>
      <c r="G139">
        <v>3445</v>
      </c>
      <c r="H139">
        <v>3442</v>
      </c>
      <c r="I139">
        <v>3442</v>
      </c>
      <c r="J139">
        <v>20800</v>
      </c>
    </row>
    <row r="140" spans="4:10">
      <c r="D140" t="s">
        <v>113</v>
      </c>
      <c r="E140" t="s">
        <v>287</v>
      </c>
      <c r="F140">
        <v>3442</v>
      </c>
      <c r="G140">
        <v>3443</v>
      </c>
      <c r="H140">
        <v>3439</v>
      </c>
      <c r="I140">
        <v>3442</v>
      </c>
      <c r="J140">
        <v>121600</v>
      </c>
    </row>
    <row r="141" spans="4:10">
      <c r="D141" t="s">
        <v>113</v>
      </c>
      <c r="E141" t="s">
        <v>288</v>
      </c>
      <c r="F141">
        <v>3442</v>
      </c>
      <c r="G141">
        <v>3442</v>
      </c>
      <c r="H141">
        <v>3440</v>
      </c>
      <c r="I141">
        <v>3441</v>
      </c>
      <c r="J141">
        <v>20400</v>
      </c>
    </row>
    <row r="142" spans="4:10">
      <c r="D142" t="s">
        <v>113</v>
      </c>
      <c r="E142" t="s">
        <v>289</v>
      </c>
      <c r="F142">
        <v>3441</v>
      </c>
      <c r="G142">
        <v>3443</v>
      </c>
      <c r="H142">
        <v>3440</v>
      </c>
      <c r="I142">
        <v>3440</v>
      </c>
      <c r="J142">
        <v>20300</v>
      </c>
    </row>
    <row r="143" spans="4:10">
      <c r="D143" t="s">
        <v>113</v>
      </c>
      <c r="E143" t="s">
        <v>290</v>
      </c>
      <c r="F143">
        <v>3440</v>
      </c>
      <c r="G143">
        <v>3440</v>
      </c>
      <c r="H143">
        <v>3439</v>
      </c>
      <c r="I143">
        <v>3440</v>
      </c>
      <c r="J143">
        <v>20300</v>
      </c>
    </row>
    <row r="144" spans="4:10">
      <c r="D144" t="s">
        <v>113</v>
      </c>
      <c r="E144" t="s">
        <v>291</v>
      </c>
      <c r="F144">
        <v>3440</v>
      </c>
      <c r="G144">
        <v>3441</v>
      </c>
      <c r="H144">
        <v>3439</v>
      </c>
      <c r="I144">
        <v>3441</v>
      </c>
      <c r="J144">
        <v>28400</v>
      </c>
    </row>
    <row r="145" spans="4:10">
      <c r="D145" t="s">
        <v>113</v>
      </c>
      <c r="E145" t="s">
        <v>292</v>
      </c>
      <c r="F145">
        <v>3441</v>
      </c>
      <c r="G145">
        <v>3441</v>
      </c>
      <c r="H145">
        <v>3439</v>
      </c>
      <c r="I145">
        <v>3440</v>
      </c>
      <c r="J145">
        <v>25000</v>
      </c>
    </row>
    <row r="146" spans="4:10">
      <c r="D146" t="s">
        <v>113</v>
      </c>
      <c r="E146" t="s">
        <v>293</v>
      </c>
      <c r="F146">
        <v>3441</v>
      </c>
      <c r="G146">
        <v>3441</v>
      </c>
      <c r="H146">
        <v>3436</v>
      </c>
      <c r="I146">
        <v>3438</v>
      </c>
      <c r="J146">
        <v>52600</v>
      </c>
    </row>
    <row r="147" spans="4:10">
      <c r="D147" t="s">
        <v>113</v>
      </c>
      <c r="E147" t="s">
        <v>294</v>
      </c>
      <c r="F147">
        <v>3438</v>
      </c>
      <c r="G147">
        <v>3439</v>
      </c>
      <c r="H147">
        <v>3437</v>
      </c>
      <c r="I147">
        <v>3438</v>
      </c>
      <c r="J147">
        <v>13600</v>
      </c>
    </row>
    <row r="148" spans="4:10">
      <c r="D148" t="s">
        <v>113</v>
      </c>
      <c r="E148" t="s">
        <v>295</v>
      </c>
      <c r="F148">
        <v>3438</v>
      </c>
      <c r="G148">
        <v>3438</v>
      </c>
      <c r="H148">
        <v>3436</v>
      </c>
      <c r="I148">
        <v>3438</v>
      </c>
      <c r="J148">
        <v>20000</v>
      </c>
    </row>
    <row r="149" spans="4:10">
      <c r="D149" t="s">
        <v>113</v>
      </c>
      <c r="E149" t="s">
        <v>296</v>
      </c>
      <c r="F149">
        <v>3437</v>
      </c>
      <c r="G149">
        <v>3437</v>
      </c>
      <c r="H149">
        <v>3435</v>
      </c>
      <c r="I149">
        <v>3437</v>
      </c>
      <c r="J149">
        <v>42100</v>
      </c>
    </row>
    <row r="150" spans="4:10">
      <c r="D150" t="s">
        <v>113</v>
      </c>
      <c r="E150" t="s">
        <v>297</v>
      </c>
      <c r="F150">
        <v>3437</v>
      </c>
      <c r="G150">
        <v>3438</v>
      </c>
      <c r="H150">
        <v>3435</v>
      </c>
      <c r="I150">
        <v>3436</v>
      </c>
      <c r="J150">
        <v>27400</v>
      </c>
    </row>
    <row r="151" spans="4:10">
      <c r="D151" t="s">
        <v>113</v>
      </c>
      <c r="E151" t="s">
        <v>298</v>
      </c>
      <c r="F151">
        <v>3436</v>
      </c>
      <c r="G151">
        <v>3436</v>
      </c>
      <c r="H151">
        <v>3433</v>
      </c>
      <c r="I151">
        <v>3434</v>
      </c>
      <c r="J151">
        <v>51400</v>
      </c>
    </row>
    <row r="152" spans="4:10">
      <c r="D152" t="s">
        <v>113</v>
      </c>
      <c r="E152" t="s">
        <v>299</v>
      </c>
      <c r="F152">
        <v>3433</v>
      </c>
      <c r="G152">
        <v>3434</v>
      </c>
      <c r="H152">
        <v>3433</v>
      </c>
      <c r="I152">
        <v>3434</v>
      </c>
      <c r="J152">
        <v>15900</v>
      </c>
    </row>
    <row r="153" spans="4:10">
      <c r="D153" t="s">
        <v>113</v>
      </c>
      <c r="E153" t="s">
        <v>300</v>
      </c>
      <c r="F153">
        <v>3434</v>
      </c>
      <c r="G153">
        <v>3435</v>
      </c>
      <c r="H153">
        <v>3432</v>
      </c>
      <c r="I153">
        <v>3434</v>
      </c>
      <c r="J153">
        <v>42200</v>
      </c>
    </row>
    <row r="154" spans="4:10">
      <c r="D154" t="s">
        <v>113</v>
      </c>
      <c r="E154" t="s">
        <v>301</v>
      </c>
      <c r="F154">
        <v>3434</v>
      </c>
      <c r="G154">
        <v>3436</v>
      </c>
      <c r="H154">
        <v>3433</v>
      </c>
      <c r="I154">
        <v>3436</v>
      </c>
      <c r="J154">
        <v>54600</v>
      </c>
    </row>
    <row r="155" spans="4:10">
      <c r="D155" t="s">
        <v>113</v>
      </c>
      <c r="E155" t="s">
        <v>302</v>
      </c>
      <c r="F155">
        <v>3436</v>
      </c>
      <c r="G155">
        <v>3437</v>
      </c>
      <c r="H155">
        <v>3434</v>
      </c>
      <c r="I155">
        <v>3437</v>
      </c>
      <c r="J155">
        <v>25200</v>
      </c>
    </row>
    <row r="156" spans="4:10">
      <c r="D156" t="s">
        <v>113</v>
      </c>
      <c r="E156" t="s">
        <v>303</v>
      </c>
      <c r="F156">
        <v>3437</v>
      </c>
      <c r="G156">
        <v>3439</v>
      </c>
      <c r="H156">
        <v>3436</v>
      </c>
      <c r="I156">
        <v>3438</v>
      </c>
      <c r="J156">
        <v>35400</v>
      </c>
    </row>
    <row r="157" spans="4:10">
      <c r="D157" t="s">
        <v>113</v>
      </c>
      <c r="E157" t="s">
        <v>304</v>
      </c>
      <c r="F157">
        <v>3438</v>
      </c>
      <c r="G157">
        <v>3438</v>
      </c>
      <c r="H157">
        <v>3437</v>
      </c>
      <c r="I157">
        <v>3437</v>
      </c>
      <c r="J157">
        <v>19100</v>
      </c>
    </row>
    <row r="158" spans="4:10">
      <c r="D158" t="s">
        <v>113</v>
      </c>
      <c r="E158" t="s">
        <v>305</v>
      </c>
      <c r="F158">
        <v>3437</v>
      </c>
      <c r="G158">
        <v>3439</v>
      </c>
      <c r="H158">
        <v>3437</v>
      </c>
      <c r="I158">
        <v>3438</v>
      </c>
      <c r="J158">
        <v>17000</v>
      </c>
    </row>
    <row r="159" spans="4:10">
      <c r="D159" t="s">
        <v>113</v>
      </c>
      <c r="E159" t="s">
        <v>306</v>
      </c>
      <c r="F159">
        <v>3439</v>
      </c>
      <c r="G159">
        <v>3439</v>
      </c>
      <c r="H159">
        <v>3437</v>
      </c>
      <c r="I159">
        <v>3438</v>
      </c>
      <c r="J159">
        <v>20800</v>
      </c>
    </row>
    <row r="160" spans="4:10">
      <c r="D160" t="s">
        <v>113</v>
      </c>
      <c r="E160" t="s">
        <v>307</v>
      </c>
      <c r="F160">
        <v>3438</v>
      </c>
      <c r="G160">
        <v>3440</v>
      </c>
      <c r="H160">
        <v>3437</v>
      </c>
      <c r="I160">
        <v>3439</v>
      </c>
      <c r="J160">
        <v>32100</v>
      </c>
    </row>
    <row r="161" spans="4:10">
      <c r="D161" t="s">
        <v>113</v>
      </c>
      <c r="E161" t="s">
        <v>308</v>
      </c>
      <c r="F161">
        <v>3439</v>
      </c>
      <c r="G161">
        <v>3442</v>
      </c>
      <c r="H161">
        <v>3439</v>
      </c>
      <c r="I161">
        <v>3442</v>
      </c>
      <c r="J161">
        <v>36600</v>
      </c>
    </row>
    <row r="162" spans="4:10">
      <c r="D162" t="s">
        <v>113</v>
      </c>
      <c r="E162" t="s">
        <v>309</v>
      </c>
      <c r="F162">
        <v>3441</v>
      </c>
      <c r="G162">
        <v>3443</v>
      </c>
      <c r="H162">
        <v>3441</v>
      </c>
      <c r="I162">
        <v>3442</v>
      </c>
      <c r="J162">
        <v>27900</v>
      </c>
    </row>
    <row r="163" spans="4:10">
      <c r="D163" t="s">
        <v>113</v>
      </c>
      <c r="E163" t="s">
        <v>310</v>
      </c>
      <c r="F163">
        <v>3442</v>
      </c>
      <c r="G163">
        <v>3443</v>
      </c>
      <c r="H163">
        <v>3442</v>
      </c>
      <c r="I163">
        <v>3442</v>
      </c>
      <c r="J163">
        <v>10800</v>
      </c>
    </row>
    <row r="164" spans="4:10">
      <c r="D164" t="s">
        <v>113</v>
      </c>
      <c r="E164" t="s">
        <v>311</v>
      </c>
      <c r="F164">
        <v>3442</v>
      </c>
      <c r="G164">
        <v>3443</v>
      </c>
      <c r="H164">
        <v>3441</v>
      </c>
      <c r="I164">
        <v>3442</v>
      </c>
      <c r="J164">
        <v>10700</v>
      </c>
    </row>
    <row r="165" spans="4:10">
      <c r="D165" t="s">
        <v>113</v>
      </c>
      <c r="E165" t="s">
        <v>312</v>
      </c>
      <c r="F165">
        <v>3442</v>
      </c>
      <c r="G165">
        <v>3442</v>
      </c>
      <c r="H165">
        <v>3441</v>
      </c>
      <c r="I165">
        <v>3441</v>
      </c>
      <c r="J165">
        <v>16500</v>
      </c>
    </row>
    <row r="166" spans="4:10">
      <c r="D166" t="s">
        <v>113</v>
      </c>
      <c r="E166" t="s">
        <v>313</v>
      </c>
      <c r="F166">
        <v>3440</v>
      </c>
      <c r="G166">
        <v>3441</v>
      </c>
      <c r="H166">
        <v>3439</v>
      </c>
      <c r="I166">
        <v>3441</v>
      </c>
      <c r="J166">
        <v>42400</v>
      </c>
    </row>
    <row r="167" spans="4:10">
      <c r="D167" t="s">
        <v>113</v>
      </c>
      <c r="E167" t="s">
        <v>314</v>
      </c>
      <c r="F167">
        <v>3440</v>
      </c>
      <c r="G167">
        <v>3441</v>
      </c>
      <c r="H167">
        <v>3439</v>
      </c>
      <c r="I167">
        <v>3440</v>
      </c>
      <c r="J167">
        <v>60500</v>
      </c>
    </row>
    <row r="168" spans="4:10">
      <c r="D168" t="s">
        <v>113</v>
      </c>
      <c r="E168" t="s">
        <v>315</v>
      </c>
      <c r="F168">
        <v>3440</v>
      </c>
      <c r="G168">
        <v>3443</v>
      </c>
      <c r="H168">
        <v>3439</v>
      </c>
      <c r="I168">
        <v>3443</v>
      </c>
      <c r="J168">
        <v>69400</v>
      </c>
    </row>
    <row r="169" spans="4:10">
      <c r="D169" t="s">
        <v>113</v>
      </c>
      <c r="E169" t="s">
        <v>316</v>
      </c>
      <c r="F169">
        <v>3443</v>
      </c>
      <c r="G169">
        <v>3443</v>
      </c>
      <c r="H169">
        <v>3441</v>
      </c>
      <c r="I169">
        <v>3441</v>
      </c>
      <c r="J169">
        <v>8900</v>
      </c>
    </row>
    <row r="170" spans="4:10">
      <c r="D170" t="s">
        <v>113</v>
      </c>
      <c r="E170" t="s">
        <v>317</v>
      </c>
      <c r="F170">
        <v>3441</v>
      </c>
      <c r="G170">
        <v>3441</v>
      </c>
      <c r="H170">
        <v>3439</v>
      </c>
      <c r="I170">
        <v>3440</v>
      </c>
      <c r="J170">
        <v>21700</v>
      </c>
    </row>
    <row r="171" spans="4:10">
      <c r="D171" t="s">
        <v>113</v>
      </c>
      <c r="E171" t="s">
        <v>318</v>
      </c>
      <c r="F171">
        <v>3439</v>
      </c>
      <c r="G171">
        <v>3442</v>
      </c>
      <c r="H171">
        <v>3439</v>
      </c>
      <c r="I171">
        <v>3441</v>
      </c>
      <c r="J171">
        <v>33900</v>
      </c>
    </row>
    <row r="172" spans="4:10">
      <c r="D172" t="s">
        <v>113</v>
      </c>
      <c r="E172" t="s">
        <v>319</v>
      </c>
      <c r="F172">
        <v>3441</v>
      </c>
      <c r="G172">
        <v>3442</v>
      </c>
      <c r="H172">
        <v>3441</v>
      </c>
      <c r="I172">
        <v>3441</v>
      </c>
      <c r="J172">
        <v>6300</v>
      </c>
    </row>
    <row r="173" spans="4:10">
      <c r="D173" t="s">
        <v>113</v>
      </c>
      <c r="E173" t="s">
        <v>320</v>
      </c>
      <c r="F173">
        <v>3441</v>
      </c>
      <c r="G173">
        <v>3442</v>
      </c>
      <c r="H173">
        <v>3440</v>
      </c>
      <c r="I173">
        <v>3442</v>
      </c>
      <c r="J173">
        <v>19300</v>
      </c>
    </row>
    <row r="174" spans="4:10">
      <c r="D174" t="s">
        <v>113</v>
      </c>
      <c r="E174" t="s">
        <v>321</v>
      </c>
      <c r="F174">
        <v>3441</v>
      </c>
      <c r="G174">
        <v>3442</v>
      </c>
      <c r="H174">
        <v>3440</v>
      </c>
      <c r="I174">
        <v>3440</v>
      </c>
      <c r="J174">
        <v>20100</v>
      </c>
    </row>
    <row r="175" spans="4:10">
      <c r="D175" t="s">
        <v>113</v>
      </c>
      <c r="E175" t="s">
        <v>322</v>
      </c>
      <c r="F175">
        <v>3440</v>
      </c>
      <c r="G175">
        <v>3440</v>
      </c>
      <c r="H175">
        <v>3439</v>
      </c>
      <c r="I175">
        <v>3439</v>
      </c>
      <c r="J175">
        <v>13100</v>
      </c>
    </row>
    <row r="176" spans="4:10">
      <c r="D176" t="s">
        <v>113</v>
      </c>
      <c r="E176" t="s">
        <v>323</v>
      </c>
      <c r="F176">
        <v>3439</v>
      </c>
      <c r="G176">
        <v>3441</v>
      </c>
      <c r="H176">
        <v>3439</v>
      </c>
      <c r="I176">
        <v>3441</v>
      </c>
      <c r="J176">
        <v>14100</v>
      </c>
    </row>
    <row r="177" spans="4:10">
      <c r="D177" t="s">
        <v>113</v>
      </c>
      <c r="E177" t="s">
        <v>324</v>
      </c>
      <c r="F177">
        <v>3440</v>
      </c>
      <c r="G177">
        <v>3442</v>
      </c>
      <c r="H177">
        <v>3440</v>
      </c>
      <c r="I177">
        <v>3441</v>
      </c>
      <c r="J177">
        <v>17600</v>
      </c>
    </row>
    <row r="178" spans="4:10">
      <c r="D178" t="s">
        <v>113</v>
      </c>
      <c r="E178" t="s">
        <v>325</v>
      </c>
      <c r="F178">
        <v>3441</v>
      </c>
      <c r="G178">
        <v>3441</v>
      </c>
      <c r="H178">
        <v>3440</v>
      </c>
      <c r="I178">
        <v>3440</v>
      </c>
      <c r="J178">
        <v>11400</v>
      </c>
    </row>
    <row r="179" spans="4:10">
      <c r="D179" t="s">
        <v>113</v>
      </c>
      <c r="E179" t="s">
        <v>326</v>
      </c>
      <c r="F179">
        <v>3439</v>
      </c>
      <c r="G179">
        <v>3440</v>
      </c>
      <c r="H179">
        <v>3437</v>
      </c>
      <c r="I179">
        <v>3437</v>
      </c>
      <c r="J179">
        <v>45300</v>
      </c>
    </row>
    <row r="180" spans="4:10">
      <c r="D180" t="s">
        <v>113</v>
      </c>
      <c r="E180" t="s">
        <v>327</v>
      </c>
      <c r="F180">
        <v>3438</v>
      </c>
      <c r="G180">
        <v>3438</v>
      </c>
      <c r="H180">
        <v>3437</v>
      </c>
      <c r="I180">
        <v>3437</v>
      </c>
      <c r="J180">
        <v>10200</v>
      </c>
    </row>
    <row r="181" spans="4:10">
      <c r="D181" t="s">
        <v>113</v>
      </c>
      <c r="E181" t="s">
        <v>328</v>
      </c>
      <c r="F181">
        <v>3437</v>
      </c>
      <c r="G181">
        <v>3439</v>
      </c>
      <c r="H181">
        <v>3436</v>
      </c>
      <c r="I181">
        <v>3438</v>
      </c>
      <c r="J181">
        <v>22400</v>
      </c>
    </row>
    <row r="182" spans="4:10">
      <c r="D182" t="s">
        <v>113</v>
      </c>
      <c r="E182" t="s">
        <v>329</v>
      </c>
      <c r="F182">
        <v>3438</v>
      </c>
      <c r="G182">
        <v>3438</v>
      </c>
      <c r="H182">
        <v>3437</v>
      </c>
      <c r="I182">
        <v>3437</v>
      </c>
      <c r="J182">
        <v>10400</v>
      </c>
    </row>
    <row r="183" spans="4:10">
      <c r="D183" t="s">
        <v>113</v>
      </c>
      <c r="E183" t="s">
        <v>330</v>
      </c>
      <c r="F183">
        <v>3437</v>
      </c>
      <c r="G183">
        <v>3439</v>
      </c>
      <c r="H183">
        <v>3436</v>
      </c>
      <c r="I183">
        <v>3438</v>
      </c>
      <c r="J183">
        <v>17400</v>
      </c>
    </row>
    <row r="184" spans="4:10">
      <c r="D184" t="s">
        <v>113</v>
      </c>
      <c r="E184" t="s">
        <v>331</v>
      </c>
      <c r="F184">
        <v>3438</v>
      </c>
      <c r="G184">
        <v>3438</v>
      </c>
      <c r="H184">
        <v>3437</v>
      </c>
      <c r="I184">
        <v>3438</v>
      </c>
      <c r="J184">
        <v>22400</v>
      </c>
    </row>
    <row r="185" spans="4:10">
      <c r="D185" t="s">
        <v>113</v>
      </c>
      <c r="E185" t="s">
        <v>332</v>
      </c>
      <c r="F185">
        <v>3437</v>
      </c>
      <c r="G185">
        <v>3438</v>
      </c>
      <c r="H185">
        <v>3436</v>
      </c>
      <c r="I185">
        <v>3437</v>
      </c>
      <c r="J185">
        <v>18400</v>
      </c>
    </row>
    <row r="186" spans="4:10">
      <c r="D186" t="s">
        <v>113</v>
      </c>
      <c r="E186" t="s">
        <v>333</v>
      </c>
      <c r="F186">
        <v>3436</v>
      </c>
      <c r="G186">
        <v>3438</v>
      </c>
      <c r="H186">
        <v>3436</v>
      </c>
      <c r="I186">
        <v>3437</v>
      </c>
      <c r="J186">
        <v>9500</v>
      </c>
    </row>
    <row r="187" spans="4:10">
      <c r="D187" t="s">
        <v>113</v>
      </c>
      <c r="E187" t="s">
        <v>334</v>
      </c>
      <c r="F187">
        <v>3437</v>
      </c>
      <c r="G187">
        <v>3437</v>
      </c>
      <c r="H187">
        <v>3436</v>
      </c>
      <c r="I187">
        <v>3437</v>
      </c>
      <c r="J187">
        <v>6100</v>
      </c>
    </row>
    <row r="188" spans="4:10">
      <c r="D188" t="s">
        <v>113</v>
      </c>
      <c r="E188" t="s">
        <v>335</v>
      </c>
      <c r="F188">
        <v>3436</v>
      </c>
      <c r="G188">
        <v>3436</v>
      </c>
      <c r="H188">
        <v>3436</v>
      </c>
      <c r="I188">
        <v>3436</v>
      </c>
      <c r="J188">
        <v>20200</v>
      </c>
    </row>
    <row r="189" spans="4:10">
      <c r="D189" t="s">
        <v>113</v>
      </c>
      <c r="E189" t="s">
        <v>336</v>
      </c>
      <c r="F189">
        <v>3440</v>
      </c>
      <c r="G189">
        <v>3442</v>
      </c>
      <c r="H189">
        <v>3437</v>
      </c>
      <c r="I189">
        <v>3439</v>
      </c>
      <c r="J189">
        <v>306500</v>
      </c>
    </row>
    <row r="190" spans="4:10">
      <c r="D190" t="s">
        <v>113</v>
      </c>
      <c r="E190" t="s">
        <v>337</v>
      </c>
      <c r="F190">
        <v>3439</v>
      </c>
      <c r="G190">
        <v>3440</v>
      </c>
      <c r="H190">
        <v>3436</v>
      </c>
      <c r="I190">
        <v>3438</v>
      </c>
      <c r="J190">
        <v>99000</v>
      </c>
    </row>
    <row r="191" spans="4:10">
      <c r="D191" t="s">
        <v>113</v>
      </c>
      <c r="E191" t="s">
        <v>338</v>
      </c>
      <c r="F191">
        <v>3438</v>
      </c>
      <c r="G191">
        <v>3442</v>
      </c>
      <c r="H191">
        <v>3438</v>
      </c>
      <c r="I191">
        <v>3441</v>
      </c>
      <c r="J191">
        <v>57000</v>
      </c>
    </row>
    <row r="192" spans="4:10">
      <c r="D192" t="s">
        <v>113</v>
      </c>
      <c r="E192" t="s">
        <v>339</v>
      </c>
      <c r="F192">
        <v>3441</v>
      </c>
      <c r="G192">
        <v>3443</v>
      </c>
      <c r="H192">
        <v>3440</v>
      </c>
      <c r="I192">
        <v>3442</v>
      </c>
      <c r="J192">
        <v>71500</v>
      </c>
    </row>
    <row r="193" spans="1:10">
      <c r="D193" t="s">
        <v>113</v>
      </c>
      <c r="E193" t="s">
        <v>340</v>
      </c>
      <c r="F193">
        <v>3443</v>
      </c>
      <c r="G193">
        <v>3444</v>
      </c>
      <c r="H193">
        <v>3442</v>
      </c>
      <c r="I193">
        <v>3444</v>
      </c>
      <c r="J193">
        <v>48700</v>
      </c>
    </row>
    <row r="194" spans="1:10">
      <c r="D194" t="s">
        <v>113</v>
      </c>
      <c r="E194" t="s">
        <v>341</v>
      </c>
      <c r="F194">
        <v>3444</v>
      </c>
      <c r="G194">
        <v>3445</v>
      </c>
      <c r="H194">
        <v>3443</v>
      </c>
      <c r="I194">
        <v>3445</v>
      </c>
      <c r="J194">
        <v>67600</v>
      </c>
    </row>
    <row r="195" spans="1:10">
      <c r="D195" t="s">
        <v>113</v>
      </c>
      <c r="E195" t="s">
        <v>342</v>
      </c>
      <c r="F195">
        <v>3445</v>
      </c>
      <c r="G195">
        <v>3445</v>
      </c>
      <c r="H195">
        <v>3444</v>
      </c>
      <c r="I195">
        <v>3444</v>
      </c>
      <c r="J195">
        <v>27900</v>
      </c>
    </row>
    <row r="196" spans="1:10">
      <c r="D196" t="s">
        <v>113</v>
      </c>
      <c r="E196" t="s">
        <v>343</v>
      </c>
      <c r="F196">
        <v>3445</v>
      </c>
      <c r="G196">
        <v>3448</v>
      </c>
      <c r="H196">
        <v>3445</v>
      </c>
      <c r="I196">
        <v>3448</v>
      </c>
      <c r="J196">
        <v>64200</v>
      </c>
    </row>
    <row r="197" spans="1:10">
      <c r="D197" t="s">
        <v>113</v>
      </c>
      <c r="E197" t="s">
        <v>344</v>
      </c>
      <c r="F197">
        <v>3447</v>
      </c>
      <c r="G197">
        <v>3447</v>
      </c>
      <c r="H197">
        <v>3445</v>
      </c>
      <c r="I197">
        <v>3445</v>
      </c>
      <c r="J197">
        <v>30500</v>
      </c>
    </row>
    <row r="198" spans="1:10">
      <c r="D198" t="s">
        <v>113</v>
      </c>
      <c r="E198" t="s">
        <v>345</v>
      </c>
      <c r="F198">
        <v>3446</v>
      </c>
      <c r="G198">
        <v>3446</v>
      </c>
      <c r="H198">
        <v>3445</v>
      </c>
      <c r="I198">
        <v>3446</v>
      </c>
      <c r="J198">
        <v>28400</v>
      </c>
    </row>
    <row r="199" spans="1:10">
      <c r="D199" t="s">
        <v>113</v>
      </c>
      <c r="E199" t="s">
        <v>346</v>
      </c>
      <c r="F199">
        <v>3445</v>
      </c>
      <c r="G199">
        <v>3448</v>
      </c>
      <c r="H199">
        <v>3444</v>
      </c>
      <c r="I199">
        <v>3446</v>
      </c>
      <c r="J199">
        <v>64800</v>
      </c>
    </row>
    <row r="200" spans="1:10">
      <c r="D200" t="s">
        <v>113</v>
      </c>
      <c r="E200" t="s">
        <v>347</v>
      </c>
      <c r="F200">
        <v>3445</v>
      </c>
      <c r="G200">
        <v>3446</v>
      </c>
      <c r="H200">
        <v>3444</v>
      </c>
      <c r="I200">
        <v>3445</v>
      </c>
      <c r="J200">
        <v>20900</v>
      </c>
    </row>
    <row r="201" spans="1:10">
      <c r="D201" t="s">
        <v>113</v>
      </c>
      <c r="E201" t="s">
        <v>348</v>
      </c>
      <c r="F201">
        <v>3445</v>
      </c>
      <c r="G201">
        <v>3445</v>
      </c>
      <c r="H201">
        <v>3443</v>
      </c>
      <c r="I201">
        <v>3444</v>
      </c>
      <c r="J201">
        <v>19200</v>
      </c>
    </row>
    <row r="202" spans="1:10">
      <c r="D202" t="s">
        <v>113</v>
      </c>
      <c r="E202" t="s">
        <v>349</v>
      </c>
      <c r="F202">
        <v>3444</v>
      </c>
      <c r="G202">
        <v>3446</v>
      </c>
      <c r="H202">
        <v>3443</v>
      </c>
      <c r="I202">
        <v>3445</v>
      </c>
      <c r="J202">
        <v>33500</v>
      </c>
    </row>
    <row r="203" spans="1:10">
      <c r="A203" s="1"/>
      <c r="B203" s="1"/>
      <c r="C203" s="1"/>
      <c r="D203" s="1" t="s">
        <v>113</v>
      </c>
      <c r="E203" s="1" t="s">
        <v>350</v>
      </c>
      <c r="F203" s="1">
        <v>3444</v>
      </c>
      <c r="G203" s="1">
        <v>3447</v>
      </c>
      <c r="H203" s="1">
        <v>3443</v>
      </c>
      <c r="I203" s="1">
        <v>3447</v>
      </c>
      <c r="J203" s="1">
        <v>54100</v>
      </c>
    </row>
    <row r="204" spans="1:10">
      <c r="D204" t="s">
        <v>113</v>
      </c>
      <c r="E204" t="s">
        <v>351</v>
      </c>
      <c r="F204">
        <v>3447</v>
      </c>
      <c r="G204">
        <v>3450</v>
      </c>
      <c r="H204">
        <v>3447</v>
      </c>
      <c r="I204">
        <v>3449</v>
      </c>
      <c r="J204">
        <v>59400</v>
      </c>
    </row>
    <row r="205" spans="1:10">
      <c r="D205" t="s">
        <v>113</v>
      </c>
      <c r="E205" t="s">
        <v>352</v>
      </c>
      <c r="F205">
        <v>3449</v>
      </c>
      <c r="G205">
        <v>3449</v>
      </c>
      <c r="H205">
        <v>3448</v>
      </c>
      <c r="I205">
        <v>3449</v>
      </c>
      <c r="J205">
        <v>18800</v>
      </c>
    </row>
    <row r="206" spans="1:10">
      <c r="D206" t="s">
        <v>113</v>
      </c>
      <c r="E206" t="s">
        <v>353</v>
      </c>
      <c r="F206">
        <v>3449</v>
      </c>
      <c r="G206">
        <v>3453</v>
      </c>
      <c r="H206">
        <v>3448</v>
      </c>
      <c r="I206">
        <v>3452</v>
      </c>
      <c r="J206">
        <v>112100</v>
      </c>
    </row>
    <row r="207" spans="1:10">
      <c r="D207" t="s">
        <v>113</v>
      </c>
      <c r="E207" t="s">
        <v>354</v>
      </c>
      <c r="F207">
        <v>3453</v>
      </c>
      <c r="G207">
        <v>3457</v>
      </c>
      <c r="H207">
        <v>3452</v>
      </c>
      <c r="I207">
        <v>3455</v>
      </c>
      <c r="J207">
        <v>86500</v>
      </c>
    </row>
    <row r="208" spans="1:10">
      <c r="D208" t="s">
        <v>113</v>
      </c>
      <c r="E208" t="s">
        <v>355</v>
      </c>
      <c r="F208">
        <v>3455</v>
      </c>
      <c r="G208">
        <v>3455</v>
      </c>
      <c r="H208">
        <v>3453</v>
      </c>
      <c r="I208">
        <v>3454</v>
      </c>
      <c r="J208">
        <v>46200</v>
      </c>
    </row>
    <row r="209" spans="4:10">
      <c r="D209" t="s">
        <v>113</v>
      </c>
      <c r="E209" t="s">
        <v>356</v>
      </c>
      <c r="F209">
        <v>3454</v>
      </c>
      <c r="G209">
        <v>3454</v>
      </c>
      <c r="H209">
        <v>3453</v>
      </c>
      <c r="I209">
        <v>3454</v>
      </c>
      <c r="J209">
        <v>17600</v>
      </c>
    </row>
    <row r="210" spans="4:10">
      <c r="D210" t="s">
        <v>113</v>
      </c>
      <c r="E210" t="s">
        <v>357</v>
      </c>
      <c r="F210">
        <v>3454</v>
      </c>
      <c r="G210">
        <v>3456</v>
      </c>
      <c r="H210">
        <v>3454</v>
      </c>
      <c r="I210">
        <v>3455</v>
      </c>
      <c r="J210">
        <v>54400</v>
      </c>
    </row>
    <row r="211" spans="4:10">
      <c r="D211" t="s">
        <v>113</v>
      </c>
      <c r="E211" t="s">
        <v>358</v>
      </c>
      <c r="F211">
        <v>3455</v>
      </c>
      <c r="G211">
        <v>3456</v>
      </c>
      <c r="H211">
        <v>3454</v>
      </c>
      <c r="I211">
        <v>3454</v>
      </c>
      <c r="J211">
        <v>30500</v>
      </c>
    </row>
    <row r="212" spans="4:10">
      <c r="D212" t="s">
        <v>113</v>
      </c>
      <c r="E212" t="s">
        <v>359</v>
      </c>
      <c r="F212">
        <v>3454</v>
      </c>
      <c r="G212">
        <v>3455</v>
      </c>
      <c r="H212">
        <v>3453</v>
      </c>
      <c r="I212">
        <v>3455</v>
      </c>
      <c r="J212">
        <v>31200</v>
      </c>
    </row>
    <row r="213" spans="4:10">
      <c r="D213" t="s">
        <v>113</v>
      </c>
      <c r="E213" t="s">
        <v>360</v>
      </c>
      <c r="F213">
        <v>3455</v>
      </c>
      <c r="G213">
        <v>3456</v>
      </c>
      <c r="H213">
        <v>3454</v>
      </c>
      <c r="I213">
        <v>3455</v>
      </c>
      <c r="J213">
        <v>22000</v>
      </c>
    </row>
    <row r="214" spans="4:10">
      <c r="D214" t="s">
        <v>113</v>
      </c>
      <c r="E214" t="s">
        <v>361</v>
      </c>
      <c r="F214">
        <v>3455</v>
      </c>
      <c r="G214">
        <v>3458</v>
      </c>
      <c r="H214">
        <v>3454</v>
      </c>
      <c r="I214">
        <v>3457</v>
      </c>
      <c r="J214">
        <v>102500</v>
      </c>
    </row>
    <row r="215" spans="4:10">
      <c r="D215" t="s">
        <v>113</v>
      </c>
      <c r="E215" t="s">
        <v>362</v>
      </c>
      <c r="F215">
        <v>3457</v>
      </c>
      <c r="G215">
        <v>3458</v>
      </c>
      <c r="H215">
        <v>3456</v>
      </c>
      <c r="I215">
        <v>3456</v>
      </c>
      <c r="J215">
        <v>33800</v>
      </c>
    </row>
    <row r="216" spans="4:10">
      <c r="D216" t="s">
        <v>113</v>
      </c>
      <c r="E216" t="s">
        <v>363</v>
      </c>
      <c r="F216">
        <v>3456</v>
      </c>
      <c r="G216">
        <v>3456</v>
      </c>
      <c r="H216">
        <v>3455</v>
      </c>
      <c r="I216">
        <v>3455</v>
      </c>
      <c r="J216">
        <v>34100</v>
      </c>
    </row>
    <row r="217" spans="4:10">
      <c r="D217" t="s">
        <v>113</v>
      </c>
      <c r="E217" t="s">
        <v>364</v>
      </c>
      <c r="F217">
        <v>3455</v>
      </c>
      <c r="G217">
        <v>3457</v>
      </c>
      <c r="H217">
        <v>3454</v>
      </c>
      <c r="I217">
        <v>3457</v>
      </c>
      <c r="J217">
        <v>21800</v>
      </c>
    </row>
    <row r="218" spans="4:10">
      <c r="D218" t="s">
        <v>113</v>
      </c>
      <c r="E218" t="s">
        <v>365</v>
      </c>
      <c r="F218">
        <v>3456</v>
      </c>
      <c r="G218">
        <v>3457</v>
      </c>
      <c r="H218">
        <v>3455</v>
      </c>
      <c r="I218">
        <v>3455</v>
      </c>
      <c r="J218">
        <v>8100</v>
      </c>
    </row>
    <row r="219" spans="4:10">
      <c r="D219" t="s">
        <v>113</v>
      </c>
      <c r="E219" t="s">
        <v>366</v>
      </c>
      <c r="F219">
        <v>3456</v>
      </c>
      <c r="G219">
        <v>3459</v>
      </c>
      <c r="H219">
        <v>3456</v>
      </c>
      <c r="I219">
        <v>3458</v>
      </c>
      <c r="J219">
        <v>77100</v>
      </c>
    </row>
    <row r="220" spans="4:10">
      <c r="D220" t="s">
        <v>113</v>
      </c>
      <c r="E220" t="s">
        <v>367</v>
      </c>
      <c r="F220">
        <v>3458</v>
      </c>
      <c r="G220">
        <v>3458</v>
      </c>
      <c r="H220">
        <v>3456</v>
      </c>
      <c r="I220">
        <v>3457</v>
      </c>
      <c r="J220">
        <v>33000</v>
      </c>
    </row>
    <row r="221" spans="4:10">
      <c r="D221" t="s">
        <v>113</v>
      </c>
      <c r="E221" t="s">
        <v>368</v>
      </c>
      <c r="F221">
        <v>3457</v>
      </c>
      <c r="G221">
        <v>3459</v>
      </c>
      <c r="H221">
        <v>3456</v>
      </c>
      <c r="I221">
        <v>3457</v>
      </c>
      <c r="J221">
        <v>31700</v>
      </c>
    </row>
    <row r="222" spans="4:10">
      <c r="D222" t="s">
        <v>113</v>
      </c>
      <c r="E222" t="s">
        <v>369</v>
      </c>
      <c r="F222">
        <v>3457</v>
      </c>
      <c r="G222">
        <v>3458</v>
      </c>
      <c r="H222">
        <v>3456</v>
      </c>
      <c r="I222">
        <v>3456</v>
      </c>
      <c r="J222">
        <v>9200</v>
      </c>
    </row>
    <row r="223" spans="4:10">
      <c r="D223" t="s">
        <v>113</v>
      </c>
      <c r="E223" t="s">
        <v>370</v>
      </c>
      <c r="F223">
        <v>3456</v>
      </c>
      <c r="G223">
        <v>3457</v>
      </c>
      <c r="H223">
        <v>3455</v>
      </c>
      <c r="I223">
        <v>3457</v>
      </c>
      <c r="J223">
        <v>26200</v>
      </c>
    </row>
    <row r="224" spans="4:10">
      <c r="D224" t="s">
        <v>113</v>
      </c>
      <c r="E224" t="s">
        <v>371</v>
      </c>
      <c r="F224">
        <v>3457</v>
      </c>
      <c r="G224">
        <v>3459</v>
      </c>
      <c r="H224">
        <v>3456</v>
      </c>
      <c r="I224">
        <v>3459</v>
      </c>
      <c r="J224">
        <v>36300</v>
      </c>
    </row>
    <row r="225" spans="4:10">
      <c r="D225" t="s">
        <v>113</v>
      </c>
      <c r="E225" t="s">
        <v>372</v>
      </c>
      <c r="F225">
        <v>3459</v>
      </c>
      <c r="G225">
        <v>3463</v>
      </c>
      <c r="H225">
        <v>3458</v>
      </c>
      <c r="I225">
        <v>3463</v>
      </c>
      <c r="J225">
        <v>200100</v>
      </c>
    </row>
    <row r="226" spans="4:10">
      <c r="D226" t="s">
        <v>113</v>
      </c>
      <c r="E226" t="s">
        <v>373</v>
      </c>
      <c r="F226">
        <v>3463</v>
      </c>
      <c r="G226">
        <v>3464</v>
      </c>
      <c r="H226">
        <v>3463</v>
      </c>
      <c r="I226">
        <v>3463</v>
      </c>
      <c r="J226">
        <v>22000</v>
      </c>
    </row>
    <row r="227" spans="4:10">
      <c r="D227" t="s">
        <v>113</v>
      </c>
      <c r="E227" t="s">
        <v>374</v>
      </c>
      <c r="F227">
        <v>3463</v>
      </c>
      <c r="G227">
        <v>3463</v>
      </c>
      <c r="H227">
        <v>3459</v>
      </c>
      <c r="I227">
        <v>3460</v>
      </c>
      <c r="J227">
        <v>111000</v>
      </c>
    </row>
    <row r="228" spans="4:10">
      <c r="D228" t="s">
        <v>113</v>
      </c>
      <c r="E228" t="s">
        <v>375</v>
      </c>
      <c r="F228">
        <v>3461</v>
      </c>
      <c r="G228">
        <v>3462</v>
      </c>
      <c r="H228">
        <v>3460</v>
      </c>
      <c r="I228">
        <v>3462</v>
      </c>
      <c r="J228">
        <v>25300</v>
      </c>
    </row>
    <row r="229" spans="4:10">
      <c r="D229" t="s">
        <v>113</v>
      </c>
      <c r="E229" t="s">
        <v>376</v>
      </c>
      <c r="F229">
        <v>3461</v>
      </c>
      <c r="G229">
        <v>3462</v>
      </c>
      <c r="H229">
        <v>3460</v>
      </c>
      <c r="I229">
        <v>3461</v>
      </c>
      <c r="J229">
        <v>28800</v>
      </c>
    </row>
    <row r="230" spans="4:10">
      <c r="D230" t="s">
        <v>113</v>
      </c>
      <c r="E230" t="s">
        <v>377</v>
      </c>
      <c r="F230">
        <v>3461</v>
      </c>
      <c r="G230">
        <v>3462</v>
      </c>
      <c r="H230">
        <v>3461</v>
      </c>
      <c r="I230">
        <v>3461</v>
      </c>
      <c r="J230">
        <v>16600</v>
      </c>
    </row>
    <row r="231" spans="4:10">
      <c r="D231" t="s">
        <v>113</v>
      </c>
      <c r="E231" t="s">
        <v>378</v>
      </c>
      <c r="F231">
        <v>3462</v>
      </c>
      <c r="G231">
        <v>3462</v>
      </c>
      <c r="H231">
        <v>3460</v>
      </c>
      <c r="I231">
        <v>3460</v>
      </c>
      <c r="J231">
        <v>29100</v>
      </c>
    </row>
    <row r="232" spans="4:10">
      <c r="D232" t="s">
        <v>113</v>
      </c>
      <c r="E232" t="s">
        <v>379</v>
      </c>
      <c r="F232">
        <v>3461</v>
      </c>
      <c r="G232">
        <v>3461</v>
      </c>
      <c r="H232">
        <v>3459</v>
      </c>
      <c r="I232">
        <v>3461</v>
      </c>
      <c r="J232">
        <v>57300</v>
      </c>
    </row>
    <row r="233" spans="4:10">
      <c r="D233" t="s">
        <v>113</v>
      </c>
      <c r="E233" t="s">
        <v>380</v>
      </c>
      <c r="F233">
        <v>3461</v>
      </c>
      <c r="G233">
        <v>3463</v>
      </c>
      <c r="H233">
        <v>3461</v>
      </c>
      <c r="I233">
        <v>3462</v>
      </c>
      <c r="J233">
        <v>37100</v>
      </c>
    </row>
    <row r="234" spans="4:10">
      <c r="D234" t="s">
        <v>113</v>
      </c>
      <c r="E234" t="s">
        <v>381</v>
      </c>
      <c r="F234">
        <v>3462</v>
      </c>
      <c r="G234">
        <v>3462</v>
      </c>
      <c r="H234">
        <v>3461</v>
      </c>
      <c r="I234">
        <v>3461</v>
      </c>
      <c r="J234">
        <v>12600</v>
      </c>
    </row>
    <row r="235" spans="4:10">
      <c r="D235" t="s">
        <v>113</v>
      </c>
      <c r="E235" t="s">
        <v>382</v>
      </c>
      <c r="F235">
        <v>3461</v>
      </c>
      <c r="G235">
        <v>3462</v>
      </c>
      <c r="H235">
        <v>3460</v>
      </c>
      <c r="I235">
        <v>3461</v>
      </c>
      <c r="J235">
        <v>24500</v>
      </c>
    </row>
    <row r="236" spans="4:10">
      <c r="D236" t="s">
        <v>113</v>
      </c>
      <c r="E236" t="s">
        <v>383</v>
      </c>
      <c r="F236">
        <v>3461</v>
      </c>
      <c r="G236">
        <v>3461</v>
      </c>
      <c r="H236">
        <v>3460</v>
      </c>
      <c r="I236">
        <v>3461</v>
      </c>
      <c r="J236">
        <v>5600</v>
      </c>
    </row>
    <row r="237" spans="4:10">
      <c r="D237" t="s">
        <v>113</v>
      </c>
      <c r="E237" t="s">
        <v>384</v>
      </c>
      <c r="F237">
        <v>3460</v>
      </c>
      <c r="G237">
        <v>3461</v>
      </c>
      <c r="H237">
        <v>3459</v>
      </c>
      <c r="I237">
        <v>3460</v>
      </c>
      <c r="J237">
        <v>47600</v>
      </c>
    </row>
    <row r="238" spans="4:10">
      <c r="D238" t="s">
        <v>113</v>
      </c>
      <c r="E238" t="s">
        <v>385</v>
      </c>
      <c r="F238">
        <v>3461</v>
      </c>
      <c r="G238">
        <v>3461</v>
      </c>
      <c r="H238">
        <v>3460</v>
      </c>
      <c r="I238">
        <v>3461</v>
      </c>
      <c r="J238">
        <v>3100</v>
      </c>
    </row>
    <row r="239" spans="4:10">
      <c r="D239" t="s">
        <v>113</v>
      </c>
      <c r="E239" t="s">
        <v>386</v>
      </c>
      <c r="F239">
        <v>3460</v>
      </c>
      <c r="G239">
        <v>3460</v>
      </c>
      <c r="H239">
        <v>3457</v>
      </c>
      <c r="I239">
        <v>3458</v>
      </c>
      <c r="J239">
        <v>55300</v>
      </c>
    </row>
    <row r="240" spans="4:10">
      <c r="D240" t="s">
        <v>113</v>
      </c>
      <c r="E240" t="s">
        <v>387</v>
      </c>
      <c r="F240">
        <v>3458</v>
      </c>
      <c r="G240">
        <v>3459</v>
      </c>
      <c r="H240">
        <v>3457</v>
      </c>
      <c r="I240">
        <v>3459</v>
      </c>
      <c r="J240">
        <v>10000</v>
      </c>
    </row>
    <row r="241" spans="4:10">
      <c r="D241" t="s">
        <v>113</v>
      </c>
      <c r="E241" t="s">
        <v>388</v>
      </c>
      <c r="F241">
        <v>3459</v>
      </c>
      <c r="G241">
        <v>3461</v>
      </c>
      <c r="H241">
        <v>3459</v>
      </c>
      <c r="I241">
        <v>3460</v>
      </c>
      <c r="J241">
        <v>51500</v>
      </c>
    </row>
    <row r="242" spans="4:10">
      <c r="D242" t="s">
        <v>113</v>
      </c>
      <c r="E242" t="s">
        <v>389</v>
      </c>
      <c r="F242">
        <v>3460</v>
      </c>
      <c r="G242">
        <v>3462</v>
      </c>
      <c r="H242">
        <v>3460</v>
      </c>
      <c r="I242">
        <v>3461</v>
      </c>
      <c r="J242">
        <v>107400</v>
      </c>
    </row>
    <row r="243" spans="4:10">
      <c r="D243" t="s">
        <v>113</v>
      </c>
      <c r="E243" t="s">
        <v>390</v>
      </c>
      <c r="F243">
        <v>3461</v>
      </c>
      <c r="G243">
        <v>3463</v>
      </c>
      <c r="H243">
        <v>3461</v>
      </c>
      <c r="I243">
        <v>3462</v>
      </c>
      <c r="J243">
        <v>27600</v>
      </c>
    </row>
    <row r="244" spans="4:10">
      <c r="D244" t="s">
        <v>113</v>
      </c>
      <c r="E244" t="s">
        <v>391</v>
      </c>
      <c r="F244">
        <v>3461</v>
      </c>
      <c r="G244">
        <v>3462</v>
      </c>
      <c r="H244">
        <v>3460</v>
      </c>
      <c r="I244">
        <v>3460</v>
      </c>
      <c r="J244">
        <v>18500</v>
      </c>
    </row>
    <row r="245" spans="4:10">
      <c r="D245" t="s">
        <v>113</v>
      </c>
      <c r="E245" t="s">
        <v>392</v>
      </c>
      <c r="F245">
        <v>3460</v>
      </c>
      <c r="G245">
        <v>3461</v>
      </c>
      <c r="H245">
        <v>3458</v>
      </c>
      <c r="I245">
        <v>3460</v>
      </c>
      <c r="J245">
        <v>123700</v>
      </c>
    </row>
    <row r="246" spans="4:10">
      <c r="D246" t="s">
        <v>113</v>
      </c>
      <c r="E246" t="s">
        <v>393</v>
      </c>
      <c r="F246">
        <v>3460</v>
      </c>
      <c r="G246">
        <v>3461</v>
      </c>
      <c r="H246">
        <v>3460</v>
      </c>
      <c r="I246">
        <v>3460</v>
      </c>
      <c r="J246">
        <v>1500</v>
      </c>
    </row>
    <row r="247" spans="4:10">
      <c r="D247" t="s">
        <v>113</v>
      </c>
      <c r="E247" t="s">
        <v>394</v>
      </c>
      <c r="F247">
        <v>3460</v>
      </c>
      <c r="G247">
        <v>3461</v>
      </c>
      <c r="H247">
        <v>3460</v>
      </c>
      <c r="I247">
        <v>3460</v>
      </c>
      <c r="J247">
        <v>4700</v>
      </c>
    </row>
    <row r="248" spans="4:10">
      <c r="D248" t="s">
        <v>113</v>
      </c>
      <c r="E248" t="s">
        <v>395</v>
      </c>
      <c r="F248">
        <v>3461</v>
      </c>
      <c r="G248">
        <v>3462</v>
      </c>
      <c r="H248">
        <v>3460</v>
      </c>
      <c r="I248">
        <v>3462</v>
      </c>
      <c r="J248">
        <v>49900</v>
      </c>
    </row>
    <row r="249" spans="4:10">
      <c r="D249" t="s">
        <v>113</v>
      </c>
      <c r="E249" t="s">
        <v>396</v>
      </c>
      <c r="F249">
        <v>3461</v>
      </c>
      <c r="G249">
        <v>3465</v>
      </c>
      <c r="H249">
        <v>3461</v>
      </c>
      <c r="I249">
        <v>3465</v>
      </c>
      <c r="J249">
        <v>100400</v>
      </c>
    </row>
    <row r="250" spans="4:10">
      <c r="D250" t="s">
        <v>113</v>
      </c>
      <c r="E250" t="s">
        <v>397</v>
      </c>
      <c r="F250">
        <v>3465</v>
      </c>
      <c r="G250">
        <v>3465</v>
      </c>
      <c r="H250">
        <v>3463</v>
      </c>
      <c r="I250">
        <v>3465</v>
      </c>
      <c r="J250">
        <v>40100</v>
      </c>
    </row>
    <row r="251" spans="4:10">
      <c r="D251" t="s">
        <v>113</v>
      </c>
      <c r="E251" t="s">
        <v>398</v>
      </c>
      <c r="F251">
        <v>3464</v>
      </c>
      <c r="G251">
        <v>3466</v>
      </c>
      <c r="H251">
        <v>3464</v>
      </c>
      <c r="I251">
        <v>3465</v>
      </c>
      <c r="J251">
        <v>47600</v>
      </c>
    </row>
    <row r="252" spans="4:10">
      <c r="D252" t="s">
        <v>113</v>
      </c>
      <c r="E252" t="s">
        <v>399</v>
      </c>
      <c r="F252">
        <v>3465</v>
      </c>
      <c r="G252">
        <v>3466</v>
      </c>
      <c r="H252">
        <v>3464</v>
      </c>
      <c r="I252">
        <v>3465</v>
      </c>
      <c r="J252">
        <v>55700</v>
      </c>
    </row>
    <row r="253" spans="4:10">
      <c r="D253" t="s">
        <v>113</v>
      </c>
      <c r="E253" t="s">
        <v>400</v>
      </c>
      <c r="F253">
        <v>3464</v>
      </c>
      <c r="G253">
        <v>3465</v>
      </c>
      <c r="H253">
        <v>3463</v>
      </c>
      <c r="I253">
        <v>3465</v>
      </c>
      <c r="J253">
        <v>90100</v>
      </c>
    </row>
    <row r="254" spans="4:10">
      <c r="D254" t="s">
        <v>113</v>
      </c>
      <c r="E254" t="s">
        <v>401</v>
      </c>
      <c r="F254">
        <v>3464</v>
      </c>
      <c r="G254">
        <v>3465</v>
      </c>
      <c r="H254">
        <v>3462</v>
      </c>
      <c r="I254">
        <v>3463</v>
      </c>
      <c r="J254">
        <v>44000</v>
      </c>
    </row>
    <row r="255" spans="4:10">
      <c r="D255" t="s">
        <v>113</v>
      </c>
      <c r="E255" t="s">
        <v>402</v>
      </c>
      <c r="F255">
        <v>3463</v>
      </c>
      <c r="G255">
        <v>3463</v>
      </c>
      <c r="H255">
        <v>3462</v>
      </c>
      <c r="I255">
        <v>3462</v>
      </c>
      <c r="J255">
        <v>19000</v>
      </c>
    </row>
    <row r="256" spans="4:10">
      <c r="D256" t="s">
        <v>113</v>
      </c>
      <c r="E256" t="s">
        <v>403</v>
      </c>
      <c r="F256">
        <v>3462</v>
      </c>
      <c r="G256">
        <v>3463</v>
      </c>
      <c r="H256">
        <v>3461</v>
      </c>
      <c r="I256">
        <v>3461</v>
      </c>
      <c r="J256">
        <v>24000</v>
      </c>
    </row>
    <row r="257" spans="4:10">
      <c r="D257" t="s">
        <v>113</v>
      </c>
      <c r="E257" t="s">
        <v>404</v>
      </c>
      <c r="F257">
        <v>3461</v>
      </c>
      <c r="G257">
        <v>3461</v>
      </c>
      <c r="H257">
        <v>3459</v>
      </c>
      <c r="I257">
        <v>3459</v>
      </c>
      <c r="J257">
        <v>26900</v>
      </c>
    </row>
    <row r="258" spans="4:10">
      <c r="D258" t="s">
        <v>113</v>
      </c>
      <c r="E258" t="s">
        <v>405</v>
      </c>
      <c r="F258">
        <v>3458</v>
      </c>
      <c r="G258">
        <v>3461</v>
      </c>
      <c r="H258">
        <v>3458</v>
      </c>
      <c r="I258">
        <v>3460</v>
      </c>
      <c r="J258">
        <v>14700</v>
      </c>
    </row>
    <row r="259" spans="4:10">
      <c r="D259" t="s">
        <v>113</v>
      </c>
      <c r="E259" t="s">
        <v>406</v>
      </c>
      <c r="F259">
        <v>3461</v>
      </c>
      <c r="G259">
        <v>3463</v>
      </c>
      <c r="H259">
        <v>3460</v>
      </c>
      <c r="I259">
        <v>3463</v>
      </c>
      <c r="J259">
        <v>23900</v>
      </c>
    </row>
    <row r="260" spans="4:10">
      <c r="D260" t="s">
        <v>113</v>
      </c>
      <c r="E260" t="s">
        <v>407</v>
      </c>
      <c r="F260">
        <v>3462</v>
      </c>
      <c r="G260">
        <v>3462</v>
      </c>
      <c r="H260">
        <v>3461</v>
      </c>
      <c r="I260">
        <v>3461</v>
      </c>
      <c r="J260">
        <v>15400</v>
      </c>
    </row>
    <row r="261" spans="4:10">
      <c r="D261" t="s">
        <v>113</v>
      </c>
      <c r="E261" t="s">
        <v>408</v>
      </c>
      <c r="F261">
        <v>3460</v>
      </c>
      <c r="G261">
        <v>3462</v>
      </c>
      <c r="H261">
        <v>3460</v>
      </c>
      <c r="I261">
        <v>3460</v>
      </c>
      <c r="J261">
        <v>12600</v>
      </c>
    </row>
    <row r="262" spans="4:10">
      <c r="D262" t="s">
        <v>113</v>
      </c>
      <c r="E262" t="s">
        <v>409</v>
      </c>
      <c r="F262">
        <v>3461</v>
      </c>
      <c r="G262">
        <v>3461</v>
      </c>
      <c r="H262">
        <v>3460</v>
      </c>
      <c r="I262">
        <v>3460</v>
      </c>
      <c r="J262">
        <v>14200</v>
      </c>
    </row>
    <row r="263" spans="4:10">
      <c r="D263" t="s">
        <v>113</v>
      </c>
      <c r="E263" t="s">
        <v>410</v>
      </c>
      <c r="F263">
        <v>3460</v>
      </c>
      <c r="G263">
        <v>3464</v>
      </c>
      <c r="H263">
        <v>3460</v>
      </c>
      <c r="I263">
        <v>3463</v>
      </c>
      <c r="J263">
        <v>52500</v>
      </c>
    </row>
    <row r="264" spans="4:10">
      <c r="D264" t="s">
        <v>113</v>
      </c>
      <c r="E264" t="s">
        <v>411</v>
      </c>
      <c r="F264">
        <v>3462</v>
      </c>
      <c r="G264">
        <v>3465</v>
      </c>
      <c r="H264">
        <v>3462</v>
      </c>
      <c r="I264">
        <v>3464</v>
      </c>
      <c r="J264">
        <v>38400</v>
      </c>
    </row>
    <row r="265" spans="4:10">
      <c r="D265" t="s">
        <v>113</v>
      </c>
      <c r="E265" t="s">
        <v>412</v>
      </c>
      <c r="F265">
        <v>3464</v>
      </c>
      <c r="G265">
        <v>3467</v>
      </c>
      <c r="H265">
        <v>3464</v>
      </c>
      <c r="I265">
        <v>3466</v>
      </c>
      <c r="J265">
        <v>94500</v>
      </c>
    </row>
    <row r="266" spans="4:10">
      <c r="D266" t="s">
        <v>113</v>
      </c>
      <c r="E266" t="s">
        <v>413</v>
      </c>
      <c r="F266">
        <v>3465</v>
      </c>
      <c r="G266">
        <v>3468</v>
      </c>
      <c r="H266">
        <v>3465</v>
      </c>
      <c r="I266">
        <v>3467</v>
      </c>
      <c r="J266">
        <v>19500</v>
      </c>
    </row>
    <row r="267" spans="4:10">
      <c r="D267" t="s">
        <v>113</v>
      </c>
      <c r="E267" t="s">
        <v>414</v>
      </c>
      <c r="F267">
        <v>3467</v>
      </c>
      <c r="G267">
        <v>3469</v>
      </c>
      <c r="H267">
        <v>3467</v>
      </c>
      <c r="I267">
        <v>3468</v>
      </c>
      <c r="J267">
        <v>19600</v>
      </c>
    </row>
    <row r="268" spans="4:10">
      <c r="D268" t="s">
        <v>113</v>
      </c>
      <c r="E268" t="s">
        <v>415</v>
      </c>
      <c r="F268">
        <v>3468</v>
      </c>
      <c r="G268">
        <v>3469</v>
      </c>
      <c r="H268">
        <v>3468</v>
      </c>
      <c r="I268">
        <v>3468</v>
      </c>
      <c r="J268">
        <v>17600</v>
      </c>
    </row>
    <row r="269" spans="4:10">
      <c r="D269" t="s">
        <v>113</v>
      </c>
      <c r="E269" t="s">
        <v>416</v>
      </c>
      <c r="F269">
        <v>3468</v>
      </c>
      <c r="G269">
        <v>3471</v>
      </c>
      <c r="H269">
        <v>3468</v>
      </c>
      <c r="I269">
        <v>3471</v>
      </c>
      <c r="J269">
        <v>97000</v>
      </c>
    </row>
    <row r="270" spans="4:10">
      <c r="D270" t="s">
        <v>113</v>
      </c>
      <c r="E270" t="s">
        <v>417</v>
      </c>
      <c r="F270">
        <v>3471</v>
      </c>
      <c r="G270">
        <v>3473</v>
      </c>
      <c r="H270">
        <v>3470</v>
      </c>
      <c r="I270">
        <v>3473</v>
      </c>
      <c r="J270">
        <v>64200</v>
      </c>
    </row>
    <row r="271" spans="4:10">
      <c r="D271" t="s">
        <v>113</v>
      </c>
      <c r="E271" t="s">
        <v>418</v>
      </c>
      <c r="F271">
        <v>3473</v>
      </c>
      <c r="G271">
        <v>3474</v>
      </c>
      <c r="H271">
        <v>3472</v>
      </c>
      <c r="I271">
        <v>3472</v>
      </c>
      <c r="J271">
        <v>59400</v>
      </c>
    </row>
    <row r="272" spans="4:10">
      <c r="D272" t="s">
        <v>113</v>
      </c>
      <c r="E272" t="s">
        <v>419</v>
      </c>
      <c r="F272">
        <v>3472</v>
      </c>
      <c r="G272">
        <v>3472</v>
      </c>
      <c r="H272">
        <v>3471</v>
      </c>
      <c r="I272">
        <v>3471</v>
      </c>
      <c r="J272">
        <v>24000</v>
      </c>
    </row>
    <row r="273" spans="4:10">
      <c r="D273" t="s">
        <v>113</v>
      </c>
      <c r="E273" t="s">
        <v>420</v>
      </c>
      <c r="F273">
        <v>3471</v>
      </c>
      <c r="G273">
        <v>3473</v>
      </c>
      <c r="H273">
        <v>3471</v>
      </c>
      <c r="I273">
        <v>3473</v>
      </c>
      <c r="J273">
        <v>27300</v>
      </c>
    </row>
    <row r="274" spans="4:10">
      <c r="D274" t="s">
        <v>113</v>
      </c>
      <c r="E274" t="s">
        <v>421</v>
      </c>
      <c r="F274">
        <v>3473</v>
      </c>
      <c r="G274">
        <v>3474</v>
      </c>
      <c r="H274">
        <v>3472</v>
      </c>
      <c r="I274">
        <v>3472</v>
      </c>
      <c r="J274">
        <v>17600</v>
      </c>
    </row>
    <row r="275" spans="4:10">
      <c r="D275" t="s">
        <v>113</v>
      </c>
      <c r="E275" t="s">
        <v>422</v>
      </c>
      <c r="F275">
        <v>3472</v>
      </c>
      <c r="G275">
        <v>3473</v>
      </c>
      <c r="H275">
        <v>3472</v>
      </c>
      <c r="I275">
        <v>3473</v>
      </c>
      <c r="J275">
        <v>14100</v>
      </c>
    </row>
    <row r="276" spans="4:10">
      <c r="D276" t="s">
        <v>113</v>
      </c>
      <c r="E276" t="s">
        <v>423</v>
      </c>
      <c r="F276">
        <v>3472</v>
      </c>
      <c r="G276">
        <v>3472</v>
      </c>
      <c r="H276">
        <v>3471</v>
      </c>
      <c r="I276">
        <v>3472</v>
      </c>
      <c r="J276">
        <v>16000</v>
      </c>
    </row>
    <row r="277" spans="4:10">
      <c r="D277" t="s">
        <v>113</v>
      </c>
      <c r="E277" t="s">
        <v>424</v>
      </c>
      <c r="F277">
        <v>3472</v>
      </c>
      <c r="G277">
        <v>3472</v>
      </c>
      <c r="H277">
        <v>3470</v>
      </c>
      <c r="I277">
        <v>3470</v>
      </c>
      <c r="J277">
        <v>24600</v>
      </c>
    </row>
    <row r="278" spans="4:10">
      <c r="D278" t="s">
        <v>113</v>
      </c>
      <c r="E278" t="s">
        <v>425</v>
      </c>
      <c r="F278">
        <v>3470</v>
      </c>
      <c r="G278">
        <v>3472</v>
      </c>
      <c r="H278">
        <v>3470</v>
      </c>
      <c r="I278">
        <v>3471</v>
      </c>
      <c r="J278">
        <v>41900</v>
      </c>
    </row>
    <row r="279" spans="4:10">
      <c r="D279" t="s">
        <v>113</v>
      </c>
      <c r="E279" t="s">
        <v>426</v>
      </c>
      <c r="F279">
        <v>3471</v>
      </c>
      <c r="G279">
        <v>3474</v>
      </c>
      <c r="H279">
        <v>3471</v>
      </c>
      <c r="I279">
        <v>3473</v>
      </c>
      <c r="J279">
        <v>87300</v>
      </c>
    </row>
    <row r="280" spans="4:10">
      <c r="D280" t="s">
        <v>113</v>
      </c>
      <c r="E280" t="s">
        <v>427</v>
      </c>
      <c r="F280">
        <v>3472</v>
      </c>
      <c r="G280">
        <v>3472</v>
      </c>
      <c r="H280">
        <v>3471</v>
      </c>
      <c r="I280">
        <v>3472</v>
      </c>
      <c r="J280">
        <v>21600</v>
      </c>
    </row>
    <row r="281" spans="4:10">
      <c r="D281" t="s">
        <v>113</v>
      </c>
      <c r="E281" t="s">
        <v>428</v>
      </c>
      <c r="F281">
        <v>3472</v>
      </c>
      <c r="G281">
        <v>3473</v>
      </c>
      <c r="H281">
        <v>3469</v>
      </c>
      <c r="I281">
        <v>3470</v>
      </c>
      <c r="J281">
        <v>61800</v>
      </c>
    </row>
    <row r="282" spans="4:10">
      <c r="D282" t="s">
        <v>113</v>
      </c>
      <c r="E282" t="s">
        <v>429</v>
      </c>
      <c r="F282">
        <v>3469</v>
      </c>
      <c r="G282">
        <v>3470</v>
      </c>
      <c r="H282">
        <v>3469</v>
      </c>
      <c r="I282">
        <v>3470</v>
      </c>
      <c r="J282">
        <v>14500</v>
      </c>
    </row>
    <row r="283" spans="4:10">
      <c r="D283" t="s">
        <v>113</v>
      </c>
      <c r="E283" t="s">
        <v>430</v>
      </c>
      <c r="F283">
        <v>3470</v>
      </c>
      <c r="G283">
        <v>3471</v>
      </c>
      <c r="H283">
        <v>3470</v>
      </c>
      <c r="I283">
        <v>3470</v>
      </c>
      <c r="J283">
        <v>17000</v>
      </c>
    </row>
    <row r="284" spans="4:10">
      <c r="D284" t="s">
        <v>113</v>
      </c>
      <c r="E284" t="s">
        <v>431</v>
      </c>
      <c r="F284">
        <v>3471</v>
      </c>
      <c r="G284">
        <v>3471</v>
      </c>
      <c r="H284">
        <v>3470</v>
      </c>
      <c r="I284">
        <v>3470</v>
      </c>
      <c r="J284">
        <v>13900</v>
      </c>
    </row>
    <row r="285" spans="4:10">
      <c r="D285" t="s">
        <v>113</v>
      </c>
      <c r="E285" t="s">
        <v>432</v>
      </c>
      <c r="F285">
        <v>3471</v>
      </c>
      <c r="G285">
        <v>3472</v>
      </c>
      <c r="H285">
        <v>3471</v>
      </c>
      <c r="I285">
        <v>3471</v>
      </c>
      <c r="J285">
        <v>22700</v>
      </c>
    </row>
    <row r="286" spans="4:10">
      <c r="D286" t="s">
        <v>113</v>
      </c>
      <c r="E286" t="s">
        <v>433</v>
      </c>
      <c r="F286">
        <v>3471</v>
      </c>
      <c r="G286">
        <v>3471</v>
      </c>
      <c r="H286">
        <v>3469</v>
      </c>
      <c r="I286">
        <v>3470</v>
      </c>
      <c r="J286">
        <v>12100</v>
      </c>
    </row>
    <row r="287" spans="4:10">
      <c r="D287" t="s">
        <v>113</v>
      </c>
      <c r="E287" t="s">
        <v>434</v>
      </c>
      <c r="F287">
        <v>3469</v>
      </c>
      <c r="G287">
        <v>3470</v>
      </c>
      <c r="H287">
        <v>3469</v>
      </c>
      <c r="I287">
        <v>3470</v>
      </c>
      <c r="J287">
        <v>21800</v>
      </c>
    </row>
    <row r="288" spans="4:10">
      <c r="D288" t="s">
        <v>113</v>
      </c>
      <c r="E288" t="s">
        <v>435</v>
      </c>
      <c r="F288">
        <v>3470</v>
      </c>
      <c r="G288">
        <v>3471</v>
      </c>
      <c r="H288">
        <v>3470</v>
      </c>
      <c r="I288">
        <v>3470</v>
      </c>
      <c r="J288">
        <v>15800</v>
      </c>
    </row>
    <row r="289" spans="4:10">
      <c r="D289" t="s">
        <v>113</v>
      </c>
      <c r="E289" t="s">
        <v>436</v>
      </c>
      <c r="F289">
        <v>3469</v>
      </c>
      <c r="G289">
        <v>3470</v>
      </c>
      <c r="H289">
        <v>3469</v>
      </c>
      <c r="I289">
        <v>3469</v>
      </c>
      <c r="J289">
        <v>38700</v>
      </c>
    </row>
    <row r="290" spans="4:10">
      <c r="D290" t="s">
        <v>113</v>
      </c>
      <c r="E290" t="s">
        <v>437</v>
      </c>
      <c r="F290">
        <v>3468</v>
      </c>
      <c r="G290">
        <v>3469</v>
      </c>
      <c r="H290">
        <v>3468</v>
      </c>
      <c r="I290">
        <v>3468</v>
      </c>
      <c r="J290">
        <v>10900</v>
      </c>
    </row>
    <row r="291" spans="4:10">
      <c r="D291" t="s">
        <v>113</v>
      </c>
      <c r="E291" t="s">
        <v>438</v>
      </c>
      <c r="F291">
        <v>3469</v>
      </c>
      <c r="G291">
        <v>3469</v>
      </c>
      <c r="H291">
        <v>3468</v>
      </c>
      <c r="I291">
        <v>3468</v>
      </c>
      <c r="J291">
        <v>25800</v>
      </c>
    </row>
    <row r="292" spans="4:10">
      <c r="D292" t="s">
        <v>113</v>
      </c>
      <c r="E292" t="s">
        <v>439</v>
      </c>
      <c r="F292">
        <v>3468</v>
      </c>
      <c r="G292">
        <v>3468</v>
      </c>
      <c r="H292">
        <v>3465</v>
      </c>
      <c r="I292">
        <v>3466</v>
      </c>
      <c r="J292">
        <v>44400</v>
      </c>
    </row>
    <row r="293" spans="4:10">
      <c r="D293" t="s">
        <v>113</v>
      </c>
      <c r="E293" t="s">
        <v>440</v>
      </c>
      <c r="F293">
        <v>3466</v>
      </c>
      <c r="G293">
        <v>3467</v>
      </c>
      <c r="H293">
        <v>3465</v>
      </c>
      <c r="I293">
        <v>3466</v>
      </c>
      <c r="J293">
        <v>17500</v>
      </c>
    </row>
    <row r="294" spans="4:10">
      <c r="D294" t="s">
        <v>113</v>
      </c>
      <c r="E294" t="s">
        <v>441</v>
      </c>
      <c r="F294">
        <v>3465</v>
      </c>
      <c r="G294">
        <v>3469</v>
      </c>
      <c r="H294">
        <v>3465</v>
      </c>
      <c r="I294">
        <v>3469</v>
      </c>
      <c r="J294">
        <v>41200</v>
      </c>
    </row>
    <row r="295" spans="4:10">
      <c r="D295" t="s">
        <v>113</v>
      </c>
      <c r="E295" t="s">
        <v>442</v>
      </c>
      <c r="F295">
        <v>3469</v>
      </c>
      <c r="G295">
        <v>3469</v>
      </c>
      <c r="H295">
        <v>3468</v>
      </c>
      <c r="I295">
        <v>3468</v>
      </c>
      <c r="J295">
        <v>24100</v>
      </c>
    </row>
    <row r="296" spans="4:10">
      <c r="D296" t="s">
        <v>113</v>
      </c>
      <c r="E296" t="s">
        <v>443</v>
      </c>
      <c r="F296">
        <v>3469</v>
      </c>
      <c r="G296">
        <v>3469</v>
      </c>
      <c r="H296">
        <v>3468</v>
      </c>
      <c r="I296">
        <v>3468</v>
      </c>
      <c r="J296">
        <v>19300</v>
      </c>
    </row>
    <row r="297" spans="4:10">
      <c r="D297" t="s">
        <v>113</v>
      </c>
      <c r="E297" t="s">
        <v>444</v>
      </c>
      <c r="F297">
        <v>3468</v>
      </c>
      <c r="G297">
        <v>3469</v>
      </c>
      <c r="H297">
        <v>3468</v>
      </c>
      <c r="I297">
        <v>3469</v>
      </c>
      <c r="J297">
        <v>38400</v>
      </c>
    </row>
    <row r="298" spans="4:10">
      <c r="D298" t="s">
        <v>113</v>
      </c>
      <c r="E298" t="s">
        <v>445</v>
      </c>
      <c r="F298">
        <v>3469</v>
      </c>
      <c r="G298">
        <v>3470</v>
      </c>
      <c r="H298">
        <v>3469</v>
      </c>
      <c r="I298">
        <v>3469</v>
      </c>
      <c r="J298">
        <v>11000</v>
      </c>
    </row>
    <row r="299" spans="4:10">
      <c r="D299" t="s">
        <v>113</v>
      </c>
      <c r="E299" t="s">
        <v>446</v>
      </c>
      <c r="F299">
        <v>3469</v>
      </c>
      <c r="G299">
        <v>3469</v>
      </c>
      <c r="H299">
        <v>3466</v>
      </c>
      <c r="I299">
        <v>3467</v>
      </c>
      <c r="J299">
        <v>27600</v>
      </c>
    </row>
    <row r="300" spans="4:10">
      <c r="D300" t="s">
        <v>113</v>
      </c>
      <c r="E300" t="s">
        <v>447</v>
      </c>
      <c r="F300">
        <v>3468</v>
      </c>
      <c r="G300">
        <v>3469</v>
      </c>
      <c r="H300">
        <v>3468</v>
      </c>
      <c r="I300">
        <v>3468</v>
      </c>
      <c r="J300">
        <v>19000</v>
      </c>
    </row>
    <row r="301" spans="4:10">
      <c r="D301" t="s">
        <v>113</v>
      </c>
      <c r="E301" t="s">
        <v>448</v>
      </c>
      <c r="F301">
        <v>3469</v>
      </c>
      <c r="G301">
        <v>3471</v>
      </c>
      <c r="H301">
        <v>3469</v>
      </c>
      <c r="I301">
        <v>3469</v>
      </c>
      <c r="J301">
        <v>76200</v>
      </c>
    </row>
    <row r="302" spans="4:10">
      <c r="D302" t="s">
        <v>113</v>
      </c>
      <c r="E302" t="s">
        <v>449</v>
      </c>
      <c r="F302">
        <v>3470</v>
      </c>
      <c r="G302">
        <v>3472</v>
      </c>
      <c r="H302">
        <v>3468</v>
      </c>
      <c r="I302">
        <v>3471</v>
      </c>
      <c r="J302">
        <v>141300</v>
      </c>
    </row>
    <row r="303" spans="4:10">
      <c r="D303" t="s">
        <v>113</v>
      </c>
      <c r="E303" t="s">
        <v>450</v>
      </c>
      <c r="F303">
        <v>3471</v>
      </c>
      <c r="G303">
        <v>3471</v>
      </c>
      <c r="H303">
        <v>3469</v>
      </c>
      <c r="I303">
        <v>3469</v>
      </c>
      <c r="J303">
        <v>23700</v>
      </c>
    </row>
    <row r="304" spans="4:10">
      <c r="D304" t="s">
        <v>113</v>
      </c>
      <c r="E304" t="s">
        <v>451</v>
      </c>
      <c r="F304">
        <v>3469</v>
      </c>
      <c r="G304">
        <v>3471</v>
      </c>
      <c r="H304">
        <v>3469</v>
      </c>
      <c r="I304">
        <v>3471</v>
      </c>
      <c r="J304">
        <v>5000</v>
      </c>
    </row>
    <row r="305" spans="4:10">
      <c r="D305" t="s">
        <v>113</v>
      </c>
      <c r="E305" t="s">
        <v>452</v>
      </c>
      <c r="F305">
        <v>3470</v>
      </c>
      <c r="G305">
        <v>3471</v>
      </c>
      <c r="H305">
        <v>3470</v>
      </c>
      <c r="I305">
        <v>3470</v>
      </c>
      <c r="J305">
        <v>44300</v>
      </c>
    </row>
    <row r="306" spans="4:10">
      <c r="D306" t="s">
        <v>113</v>
      </c>
      <c r="E306" t="s">
        <v>453</v>
      </c>
      <c r="F306">
        <v>3470</v>
      </c>
      <c r="G306">
        <v>3470</v>
      </c>
      <c r="H306">
        <v>3469</v>
      </c>
      <c r="I306">
        <v>3469</v>
      </c>
      <c r="J306">
        <v>23300</v>
      </c>
    </row>
    <row r="307" spans="4:10">
      <c r="D307" t="s">
        <v>113</v>
      </c>
      <c r="E307" t="s">
        <v>454</v>
      </c>
      <c r="F307">
        <v>3470</v>
      </c>
      <c r="G307">
        <v>3470</v>
      </c>
      <c r="H307">
        <v>3468</v>
      </c>
      <c r="I307">
        <v>3469</v>
      </c>
      <c r="J307">
        <v>23700</v>
      </c>
    </row>
    <row r="308" spans="4:10">
      <c r="D308" t="s">
        <v>113</v>
      </c>
      <c r="E308" t="s">
        <v>455</v>
      </c>
      <c r="F308">
        <v>3469</v>
      </c>
      <c r="G308">
        <v>3471</v>
      </c>
      <c r="H308">
        <v>3469</v>
      </c>
      <c r="I308">
        <v>3470</v>
      </c>
      <c r="J308">
        <v>28800</v>
      </c>
    </row>
    <row r="309" spans="4:10">
      <c r="D309" t="s">
        <v>113</v>
      </c>
      <c r="E309" t="s">
        <v>456</v>
      </c>
      <c r="F309">
        <v>3469</v>
      </c>
      <c r="G309">
        <v>3470</v>
      </c>
      <c r="H309">
        <v>3469</v>
      </c>
      <c r="I309">
        <v>3470</v>
      </c>
      <c r="J309">
        <v>25000</v>
      </c>
    </row>
    <row r="310" spans="4:10">
      <c r="D310" t="s">
        <v>113</v>
      </c>
      <c r="E310" t="s">
        <v>457</v>
      </c>
      <c r="F310">
        <v>3470</v>
      </c>
      <c r="G310">
        <v>3471</v>
      </c>
      <c r="H310">
        <v>3469</v>
      </c>
      <c r="I310">
        <v>3470</v>
      </c>
      <c r="J310">
        <v>14800</v>
      </c>
    </row>
    <row r="311" spans="4:10">
      <c r="D311" t="s">
        <v>113</v>
      </c>
      <c r="E311" t="s">
        <v>458</v>
      </c>
      <c r="F311">
        <v>3470</v>
      </c>
      <c r="G311">
        <v>3471</v>
      </c>
      <c r="H311">
        <v>3470</v>
      </c>
      <c r="I311">
        <v>3470</v>
      </c>
      <c r="J311">
        <v>6300</v>
      </c>
    </row>
    <row r="312" spans="4:10">
      <c r="D312" t="s">
        <v>113</v>
      </c>
      <c r="E312" t="s">
        <v>459</v>
      </c>
      <c r="F312">
        <v>3470</v>
      </c>
      <c r="G312">
        <v>3471</v>
      </c>
      <c r="H312">
        <v>3470</v>
      </c>
      <c r="I312">
        <v>3470</v>
      </c>
      <c r="J312">
        <v>23700</v>
      </c>
    </row>
    <row r="313" spans="4:10">
      <c r="D313" t="s">
        <v>113</v>
      </c>
      <c r="E313" t="s">
        <v>460</v>
      </c>
      <c r="F313">
        <v>3470</v>
      </c>
      <c r="G313">
        <v>3471</v>
      </c>
      <c r="H313">
        <v>3469</v>
      </c>
      <c r="I313">
        <v>3469</v>
      </c>
      <c r="J313">
        <v>27700</v>
      </c>
    </row>
    <row r="314" spans="4:10">
      <c r="D314" t="s">
        <v>113</v>
      </c>
      <c r="E314" t="s">
        <v>461</v>
      </c>
      <c r="F314">
        <v>3470</v>
      </c>
      <c r="G314">
        <v>3471</v>
      </c>
      <c r="H314">
        <v>3469</v>
      </c>
      <c r="I314">
        <v>3471</v>
      </c>
      <c r="J314">
        <v>15300</v>
      </c>
    </row>
    <row r="315" spans="4:10">
      <c r="D315" t="s">
        <v>113</v>
      </c>
      <c r="E315" t="s">
        <v>462</v>
      </c>
      <c r="F315">
        <v>3470</v>
      </c>
      <c r="G315">
        <v>3470</v>
      </c>
      <c r="H315">
        <v>3469</v>
      </c>
      <c r="I315">
        <v>3470</v>
      </c>
      <c r="J315">
        <v>19200</v>
      </c>
    </row>
    <row r="316" spans="4:10">
      <c r="D316" t="s">
        <v>113</v>
      </c>
      <c r="E316" t="s">
        <v>463</v>
      </c>
      <c r="F316">
        <v>3470</v>
      </c>
      <c r="G316">
        <v>3471</v>
      </c>
      <c r="H316">
        <v>3470</v>
      </c>
      <c r="I316">
        <v>3470</v>
      </c>
      <c r="J316">
        <v>24000</v>
      </c>
    </row>
    <row r="317" spans="4:10">
      <c r="D317" t="s">
        <v>113</v>
      </c>
      <c r="E317" t="s">
        <v>464</v>
      </c>
      <c r="F317">
        <v>3469</v>
      </c>
      <c r="G317">
        <v>3470</v>
      </c>
      <c r="H317">
        <v>3469</v>
      </c>
      <c r="I317">
        <v>3469</v>
      </c>
      <c r="J317">
        <v>29600</v>
      </c>
    </row>
    <row r="318" spans="4:10">
      <c r="D318" t="s">
        <v>113</v>
      </c>
      <c r="E318" t="s">
        <v>465</v>
      </c>
      <c r="F318">
        <v>3469</v>
      </c>
      <c r="G318">
        <v>3470</v>
      </c>
      <c r="H318">
        <v>3468</v>
      </c>
      <c r="I318">
        <v>3470</v>
      </c>
      <c r="J318">
        <v>15300</v>
      </c>
    </row>
    <row r="319" spans="4:10">
      <c r="D319" t="s">
        <v>113</v>
      </c>
      <c r="E319" t="s">
        <v>466</v>
      </c>
      <c r="F319">
        <v>3470</v>
      </c>
      <c r="G319">
        <v>3470</v>
      </c>
      <c r="H319">
        <v>3469</v>
      </c>
      <c r="I319">
        <v>3469</v>
      </c>
      <c r="J319">
        <v>6000</v>
      </c>
    </row>
    <row r="320" spans="4:10">
      <c r="D320" t="s">
        <v>113</v>
      </c>
      <c r="E320" t="s">
        <v>467</v>
      </c>
      <c r="F320">
        <v>3469</v>
      </c>
      <c r="G320">
        <v>3471</v>
      </c>
      <c r="H320">
        <v>3469</v>
      </c>
      <c r="I320">
        <v>3471</v>
      </c>
      <c r="J320">
        <v>31900</v>
      </c>
    </row>
    <row r="321" spans="1:10">
      <c r="D321" t="s">
        <v>113</v>
      </c>
      <c r="E321" t="s">
        <v>468</v>
      </c>
      <c r="F321">
        <v>3471</v>
      </c>
      <c r="G321">
        <v>3471</v>
      </c>
      <c r="H321">
        <v>3470</v>
      </c>
      <c r="I321">
        <v>3471</v>
      </c>
      <c r="J321">
        <v>8100</v>
      </c>
    </row>
    <row r="322" spans="1:10">
      <c r="D322" t="s">
        <v>113</v>
      </c>
      <c r="E322" t="s">
        <v>469</v>
      </c>
      <c r="F322">
        <v>3470</v>
      </c>
      <c r="G322">
        <v>3471</v>
      </c>
      <c r="H322">
        <v>3469</v>
      </c>
      <c r="I322">
        <v>3470</v>
      </c>
      <c r="J322">
        <v>24800</v>
      </c>
    </row>
    <row r="323" spans="1:10">
      <c r="D323" t="s">
        <v>113</v>
      </c>
      <c r="E323" t="s">
        <v>470</v>
      </c>
      <c r="F323">
        <v>3471</v>
      </c>
      <c r="G323">
        <v>3471</v>
      </c>
      <c r="H323">
        <v>3470</v>
      </c>
      <c r="I323">
        <v>3470</v>
      </c>
      <c r="J323">
        <v>25400</v>
      </c>
    </row>
    <row r="324" spans="1:10">
      <c r="D324" t="s">
        <v>113</v>
      </c>
      <c r="E324" t="s">
        <v>471</v>
      </c>
      <c r="F324">
        <v>3469</v>
      </c>
      <c r="G324">
        <v>3472</v>
      </c>
      <c r="H324">
        <v>3469</v>
      </c>
      <c r="I324">
        <v>3472</v>
      </c>
      <c r="J324">
        <v>59600</v>
      </c>
    </row>
    <row r="325" spans="1:10">
      <c r="D325" t="s">
        <v>113</v>
      </c>
      <c r="E325" t="s">
        <v>472</v>
      </c>
      <c r="F325">
        <v>3472</v>
      </c>
      <c r="G325">
        <v>3472</v>
      </c>
      <c r="H325">
        <v>3471</v>
      </c>
      <c r="I325">
        <v>3471</v>
      </c>
      <c r="J325">
        <v>33800</v>
      </c>
    </row>
    <row r="326" spans="1:10">
      <c r="D326" t="s">
        <v>113</v>
      </c>
      <c r="E326" t="s">
        <v>473</v>
      </c>
      <c r="F326">
        <v>3472</v>
      </c>
      <c r="G326">
        <v>3472</v>
      </c>
      <c r="H326">
        <v>3471</v>
      </c>
      <c r="I326">
        <v>3472</v>
      </c>
      <c r="J326">
        <v>23300</v>
      </c>
    </row>
    <row r="327" spans="1:10">
      <c r="D327" t="s">
        <v>113</v>
      </c>
      <c r="E327" t="s">
        <v>474</v>
      </c>
      <c r="F327">
        <v>3471</v>
      </c>
      <c r="G327">
        <v>3472</v>
      </c>
      <c r="H327">
        <v>3470</v>
      </c>
      <c r="I327">
        <v>3472</v>
      </c>
      <c r="J327">
        <v>52200</v>
      </c>
    </row>
    <row r="328" spans="1:10">
      <c r="D328" t="s">
        <v>113</v>
      </c>
      <c r="E328" t="s">
        <v>475</v>
      </c>
      <c r="F328">
        <v>3472</v>
      </c>
      <c r="G328">
        <v>3474</v>
      </c>
      <c r="H328">
        <v>3472</v>
      </c>
      <c r="I328">
        <v>3474</v>
      </c>
      <c r="J328">
        <v>30700</v>
      </c>
    </row>
    <row r="329" spans="1:10">
      <c r="D329" t="s">
        <v>113</v>
      </c>
      <c r="E329" t="s">
        <v>476</v>
      </c>
      <c r="F329">
        <v>3474</v>
      </c>
      <c r="G329">
        <v>3476</v>
      </c>
      <c r="H329">
        <v>3473</v>
      </c>
      <c r="I329">
        <v>3473</v>
      </c>
      <c r="J329">
        <v>237400</v>
      </c>
    </row>
    <row r="330" spans="1:10">
      <c r="D330" t="s">
        <v>113</v>
      </c>
      <c r="E330" t="s">
        <v>477</v>
      </c>
      <c r="F330">
        <v>3473</v>
      </c>
      <c r="G330">
        <v>3474</v>
      </c>
      <c r="H330">
        <v>3472</v>
      </c>
      <c r="I330">
        <v>3473</v>
      </c>
      <c r="J330">
        <v>62100</v>
      </c>
    </row>
    <row r="331" spans="1:10">
      <c r="D331" t="s">
        <v>113</v>
      </c>
      <c r="E331" t="s">
        <v>478</v>
      </c>
      <c r="F331">
        <v>3472</v>
      </c>
      <c r="G331">
        <v>3472</v>
      </c>
      <c r="H331">
        <v>3470</v>
      </c>
      <c r="I331">
        <v>3472</v>
      </c>
      <c r="J331">
        <v>26100</v>
      </c>
    </row>
    <row r="332" spans="1:10">
      <c r="D332" t="s">
        <v>113</v>
      </c>
      <c r="E332" t="s">
        <v>479</v>
      </c>
      <c r="F332">
        <v>3473</v>
      </c>
      <c r="G332">
        <v>3473</v>
      </c>
      <c r="H332">
        <v>3472</v>
      </c>
      <c r="I332">
        <v>3473</v>
      </c>
      <c r="J332">
        <v>15200</v>
      </c>
    </row>
    <row r="333" spans="1:10">
      <c r="D333" t="s">
        <v>113</v>
      </c>
      <c r="E333" t="s">
        <v>480</v>
      </c>
      <c r="F333">
        <v>3472</v>
      </c>
      <c r="G333">
        <v>3473</v>
      </c>
      <c r="H333">
        <v>3472</v>
      </c>
      <c r="I333">
        <v>3472</v>
      </c>
      <c r="J333">
        <v>29500</v>
      </c>
    </row>
    <row r="334" spans="1:10">
      <c r="A334" s="1"/>
      <c r="B334" s="1"/>
      <c r="C334" s="1"/>
      <c r="D334" s="1" t="s">
        <v>113</v>
      </c>
      <c r="E334" s="1" t="s">
        <v>481</v>
      </c>
      <c r="F334" s="1">
        <v>3472</v>
      </c>
      <c r="G334" s="1">
        <v>3472</v>
      </c>
      <c r="H334" s="1">
        <v>3470</v>
      </c>
      <c r="I334" s="1">
        <v>3470</v>
      </c>
      <c r="J334" s="1">
        <v>21700</v>
      </c>
    </row>
    <row r="335" spans="1:10">
      <c r="A335" s="1"/>
      <c r="B335" s="1"/>
      <c r="C335" s="1"/>
      <c r="D335" s="1" t="s">
        <v>113</v>
      </c>
      <c r="E335" s="1" t="s">
        <v>150</v>
      </c>
      <c r="F335" s="1">
        <v>3470</v>
      </c>
      <c r="G335" s="1">
        <v>3471</v>
      </c>
      <c r="H335" s="1">
        <v>3470</v>
      </c>
      <c r="I335" s="1">
        <v>3470</v>
      </c>
      <c r="J335" s="1">
        <v>40300</v>
      </c>
    </row>
    <row r="336" spans="1:10">
      <c r="A336" s="1"/>
      <c r="B336" s="1"/>
      <c r="C336" s="1"/>
      <c r="D336" s="1" t="s">
        <v>113</v>
      </c>
      <c r="E336" s="1" t="s">
        <v>151</v>
      </c>
      <c r="F336" s="1">
        <v>3470</v>
      </c>
      <c r="G336" s="1">
        <v>3471</v>
      </c>
      <c r="H336" s="1">
        <v>3470</v>
      </c>
      <c r="I336" s="1">
        <v>3470</v>
      </c>
      <c r="J336" s="1">
        <v>27000</v>
      </c>
    </row>
    <row r="337" spans="1:10">
      <c r="A337" s="1"/>
      <c r="B337" s="1"/>
      <c r="C337" s="1"/>
      <c r="D337" s="1" t="s">
        <v>113</v>
      </c>
      <c r="E337" s="1" t="s">
        <v>152</v>
      </c>
      <c r="F337" s="1">
        <v>3470</v>
      </c>
      <c r="G337" s="1">
        <v>3471</v>
      </c>
      <c r="H337" s="1">
        <v>3469</v>
      </c>
      <c r="I337" s="1">
        <v>3470</v>
      </c>
      <c r="J337" s="1">
        <v>31500</v>
      </c>
    </row>
    <row r="338" spans="1:10">
      <c r="A338" s="1"/>
      <c r="B338" s="1"/>
      <c r="C338" s="1"/>
      <c r="D338" s="1" t="s">
        <v>113</v>
      </c>
      <c r="E338" s="1" t="s">
        <v>153</v>
      </c>
      <c r="F338" s="1">
        <v>3470</v>
      </c>
      <c r="G338" s="1">
        <v>3473</v>
      </c>
      <c r="H338" s="1">
        <v>3470</v>
      </c>
      <c r="I338" s="1">
        <v>3472</v>
      </c>
      <c r="J338" s="1">
        <v>55100</v>
      </c>
    </row>
    <row r="339" spans="1:10">
      <c r="A339" s="1"/>
      <c r="B339" s="1"/>
      <c r="C339" s="1"/>
      <c r="D339" s="1" t="s">
        <v>113</v>
      </c>
      <c r="E339" s="1" t="s">
        <v>154</v>
      </c>
      <c r="F339" s="1">
        <v>3472</v>
      </c>
      <c r="G339" s="1">
        <v>3473</v>
      </c>
      <c r="H339" s="1">
        <v>3471</v>
      </c>
      <c r="I339" s="1">
        <v>3471</v>
      </c>
      <c r="J339" s="1">
        <v>27300</v>
      </c>
    </row>
    <row r="340" spans="1:10">
      <c r="A340" s="1"/>
      <c r="B340" s="1"/>
      <c r="C340" s="1"/>
      <c r="D340" s="1" t="s">
        <v>113</v>
      </c>
      <c r="E340" s="1" t="s">
        <v>155</v>
      </c>
      <c r="F340" s="1">
        <v>3472</v>
      </c>
      <c r="G340" s="1">
        <v>3475</v>
      </c>
      <c r="H340" s="1">
        <v>3472</v>
      </c>
      <c r="I340" s="1">
        <v>3473</v>
      </c>
      <c r="J340" s="1">
        <v>77600</v>
      </c>
    </row>
    <row r="341" spans="1:10">
      <c r="A341" s="1"/>
      <c r="B341" s="1"/>
      <c r="C341" s="1"/>
      <c r="D341" s="1" t="s">
        <v>113</v>
      </c>
      <c r="E341" s="1" t="s">
        <v>156</v>
      </c>
      <c r="F341" s="1">
        <v>3474</v>
      </c>
      <c r="G341" s="1">
        <v>3474</v>
      </c>
      <c r="H341" s="1">
        <v>3473</v>
      </c>
      <c r="I341" s="1">
        <v>3473</v>
      </c>
      <c r="J341" s="1">
        <v>29600</v>
      </c>
    </row>
    <row r="342" spans="1:10">
      <c r="A342" s="1"/>
      <c r="B342" s="1"/>
      <c r="C342" s="1"/>
      <c r="D342" s="1" t="s">
        <v>113</v>
      </c>
      <c r="E342" s="1" t="s">
        <v>157</v>
      </c>
      <c r="F342" s="1">
        <v>3473</v>
      </c>
      <c r="G342" s="1">
        <v>3474</v>
      </c>
      <c r="H342" s="1">
        <v>3472</v>
      </c>
      <c r="I342" s="1">
        <v>3472</v>
      </c>
      <c r="J342" s="1">
        <v>25600</v>
      </c>
    </row>
    <row r="343" spans="1:10">
      <c r="A343" s="1"/>
      <c r="B343" s="1"/>
      <c r="C343" s="1"/>
      <c r="D343" s="1" t="s">
        <v>113</v>
      </c>
      <c r="E343" s="1" t="s">
        <v>158</v>
      </c>
      <c r="F343" s="1">
        <v>3472</v>
      </c>
      <c r="G343" s="1">
        <v>3473</v>
      </c>
      <c r="H343" s="1">
        <v>3472</v>
      </c>
      <c r="I343" s="1">
        <v>3472</v>
      </c>
      <c r="J343" s="1">
        <v>26200</v>
      </c>
    </row>
    <row r="344" spans="1:10">
      <c r="A344" s="1"/>
      <c r="B344" s="1"/>
      <c r="C344" s="1"/>
      <c r="D344" s="1" t="s">
        <v>113</v>
      </c>
      <c r="E344" s="1" t="s">
        <v>159</v>
      </c>
      <c r="F344" s="1">
        <v>3472</v>
      </c>
      <c r="G344" s="1">
        <v>3473</v>
      </c>
      <c r="H344" s="1">
        <v>3472</v>
      </c>
      <c r="I344" s="1">
        <v>3473</v>
      </c>
      <c r="J344" s="1">
        <v>18300</v>
      </c>
    </row>
    <row r="345" spans="1:10">
      <c r="A345" s="1"/>
      <c r="B345" s="1"/>
      <c r="C345" s="1"/>
      <c r="D345" s="1" t="s">
        <v>113</v>
      </c>
      <c r="E345" s="1" t="s">
        <v>160</v>
      </c>
      <c r="F345" s="1">
        <v>3473</v>
      </c>
      <c r="G345" s="1">
        <v>3473</v>
      </c>
      <c r="H345" s="1">
        <v>3472</v>
      </c>
      <c r="I345" s="1">
        <v>3473</v>
      </c>
      <c r="J345" s="1">
        <v>33100</v>
      </c>
    </row>
    <row r="346" spans="1:10">
      <c r="A346" s="1"/>
      <c r="B346" s="1"/>
      <c r="C346" s="1"/>
      <c r="D346" s="1" t="s">
        <v>113</v>
      </c>
      <c r="E346" s="1" t="s">
        <v>161</v>
      </c>
      <c r="F346" s="1">
        <v>3472</v>
      </c>
      <c r="G346" s="1">
        <v>3472</v>
      </c>
      <c r="H346" s="1">
        <v>3470</v>
      </c>
      <c r="I346" s="1">
        <v>3470</v>
      </c>
      <c r="J346" s="1">
        <v>26800</v>
      </c>
    </row>
    <row r="347" spans="1:10">
      <c r="A347" s="1"/>
      <c r="B347" s="1"/>
      <c r="C347" s="1"/>
      <c r="D347" s="1" t="s">
        <v>113</v>
      </c>
      <c r="E347" s="1" t="s">
        <v>162</v>
      </c>
      <c r="F347" s="1">
        <v>3470</v>
      </c>
      <c r="G347" s="1">
        <v>3473</v>
      </c>
      <c r="H347" s="1">
        <v>3470</v>
      </c>
      <c r="I347" s="1">
        <v>3472</v>
      </c>
      <c r="J347" s="1">
        <v>29700</v>
      </c>
    </row>
    <row r="348" spans="1:10">
      <c r="A348" s="1"/>
      <c r="B348" s="1"/>
      <c r="C348" s="1"/>
      <c r="D348" s="1" t="s">
        <v>113</v>
      </c>
      <c r="E348" s="1" t="s">
        <v>163</v>
      </c>
      <c r="F348" s="1">
        <v>3472</v>
      </c>
      <c r="G348" s="1">
        <v>3473</v>
      </c>
      <c r="H348" s="1">
        <v>3472</v>
      </c>
      <c r="I348" s="1">
        <v>3472</v>
      </c>
      <c r="J348" s="1">
        <v>33300</v>
      </c>
    </row>
    <row r="349" spans="1:10">
      <c r="A349" s="1"/>
      <c r="B349" s="1"/>
      <c r="C349" s="1"/>
      <c r="D349" s="1" t="s">
        <v>113</v>
      </c>
      <c r="E349" s="1" t="s">
        <v>164</v>
      </c>
      <c r="F349" s="1">
        <v>3473</v>
      </c>
      <c r="G349" s="1">
        <v>3474</v>
      </c>
      <c r="H349" s="1">
        <v>3472</v>
      </c>
      <c r="I349" s="1">
        <v>3472</v>
      </c>
      <c r="J349" s="1">
        <v>38100</v>
      </c>
    </row>
    <row r="350" spans="1:10">
      <c r="A350" s="1"/>
      <c r="B350" s="1"/>
      <c r="C350" s="1"/>
      <c r="D350" s="1" t="s">
        <v>113</v>
      </c>
      <c r="E350" s="1" t="s">
        <v>165</v>
      </c>
      <c r="F350" s="1">
        <v>3473</v>
      </c>
      <c r="G350" s="1">
        <v>3474</v>
      </c>
      <c r="H350" s="1">
        <v>3472</v>
      </c>
      <c r="I350" s="1">
        <v>3473</v>
      </c>
      <c r="J350" s="1">
        <v>74400</v>
      </c>
    </row>
    <row r="351" spans="1:10">
      <c r="A351" s="1"/>
      <c r="B351" s="1"/>
      <c r="C351" s="1"/>
      <c r="D351" s="1" t="s">
        <v>113</v>
      </c>
      <c r="E351" s="1" t="s">
        <v>166</v>
      </c>
      <c r="F351" s="1">
        <v>3473</v>
      </c>
      <c r="G351" s="1">
        <v>3473</v>
      </c>
      <c r="H351" s="1">
        <v>3472</v>
      </c>
      <c r="I351" s="1">
        <v>3472</v>
      </c>
      <c r="J351" s="1">
        <v>38800</v>
      </c>
    </row>
    <row r="352" spans="1:10">
      <c r="A352" s="1"/>
      <c r="B352" s="1"/>
      <c r="C352" s="1"/>
      <c r="D352" s="1" t="s">
        <v>113</v>
      </c>
      <c r="E352" s="1" t="s">
        <v>167</v>
      </c>
      <c r="F352" s="1">
        <v>3472</v>
      </c>
      <c r="G352" s="1">
        <v>3472</v>
      </c>
      <c r="H352" s="1">
        <v>3470</v>
      </c>
      <c r="I352" s="1">
        <v>3471</v>
      </c>
      <c r="J352" s="1">
        <v>58200</v>
      </c>
    </row>
    <row r="353" spans="1:10">
      <c r="A353" s="1"/>
      <c r="B353" s="1"/>
      <c r="C353" s="1"/>
      <c r="D353" s="1" t="s">
        <v>113</v>
      </c>
      <c r="E353" s="1" t="s">
        <v>168</v>
      </c>
      <c r="F353" s="1">
        <v>3470</v>
      </c>
      <c r="G353" s="1">
        <v>3472</v>
      </c>
      <c r="H353" s="1">
        <v>3470</v>
      </c>
      <c r="I353" s="1">
        <v>3471</v>
      </c>
      <c r="J353" s="1">
        <v>67500</v>
      </c>
    </row>
    <row r="354" spans="1:10">
      <c r="A354" s="1"/>
      <c r="B354" s="1"/>
      <c r="C354" s="1"/>
      <c r="D354" s="1" t="s">
        <v>113</v>
      </c>
      <c r="E354" s="1" t="s">
        <v>169</v>
      </c>
      <c r="F354" s="1">
        <v>3470</v>
      </c>
      <c r="G354" s="1">
        <v>3471</v>
      </c>
      <c r="H354" s="1">
        <v>3468</v>
      </c>
      <c r="I354" s="1">
        <v>3469</v>
      </c>
      <c r="J354" s="1">
        <v>64200</v>
      </c>
    </row>
    <row r="355" spans="1:10">
      <c r="A355" s="1"/>
      <c r="B355" s="1"/>
      <c r="C355" s="1"/>
      <c r="D355" s="1" t="s">
        <v>113</v>
      </c>
      <c r="E355" s="1" t="s">
        <v>170</v>
      </c>
      <c r="F355" s="1">
        <v>3469</v>
      </c>
      <c r="G355" s="1">
        <v>3470</v>
      </c>
      <c r="H355" s="1">
        <v>3468</v>
      </c>
      <c r="I355" s="1">
        <v>3469</v>
      </c>
      <c r="J355" s="1">
        <v>36500</v>
      </c>
    </row>
    <row r="356" spans="1:10">
      <c r="A356" s="1"/>
      <c r="B356" s="1"/>
      <c r="C356" s="1"/>
      <c r="D356" s="1" t="s">
        <v>113</v>
      </c>
      <c r="E356" s="1" t="s">
        <v>171</v>
      </c>
      <c r="F356" s="1">
        <v>3469</v>
      </c>
      <c r="G356" s="1">
        <v>3472</v>
      </c>
      <c r="H356" s="1">
        <v>3469</v>
      </c>
      <c r="I356" s="1">
        <v>3472</v>
      </c>
      <c r="J356" s="1">
        <v>56200</v>
      </c>
    </row>
    <row r="357" spans="1:10">
      <c r="A357" s="1"/>
      <c r="B357" s="1"/>
      <c r="C357" s="1"/>
      <c r="D357" s="1" t="s">
        <v>113</v>
      </c>
      <c r="E357" s="1" t="s">
        <v>172</v>
      </c>
      <c r="F357" s="1">
        <v>3472</v>
      </c>
      <c r="G357" s="1">
        <v>3473</v>
      </c>
      <c r="H357" s="1">
        <v>3471</v>
      </c>
      <c r="I357" s="1">
        <v>3471</v>
      </c>
      <c r="J357" s="1">
        <v>56200</v>
      </c>
    </row>
    <row r="358" spans="1:10">
      <c r="A358" s="1"/>
      <c r="B358" s="1"/>
      <c r="C358" s="1"/>
      <c r="D358" s="1" t="s">
        <v>113</v>
      </c>
      <c r="E358" s="1" t="s">
        <v>173</v>
      </c>
      <c r="F358" s="1">
        <v>3472</v>
      </c>
      <c r="G358" s="1">
        <v>3472</v>
      </c>
      <c r="H358" s="1">
        <v>3470</v>
      </c>
      <c r="I358" s="1">
        <v>3470</v>
      </c>
      <c r="J358" s="1">
        <v>106900</v>
      </c>
    </row>
    <row r="359" spans="1:10">
      <c r="A359" s="1"/>
      <c r="B359" s="1"/>
      <c r="C359" s="1"/>
      <c r="D359" s="1" t="s">
        <v>113</v>
      </c>
      <c r="E359" s="1" t="s">
        <v>174</v>
      </c>
      <c r="F359" s="1">
        <v>3471</v>
      </c>
      <c r="G359" s="1">
        <v>3472</v>
      </c>
      <c r="H359" s="1">
        <v>3470</v>
      </c>
      <c r="I359" s="1">
        <v>3471</v>
      </c>
      <c r="J359" s="1">
        <v>47500</v>
      </c>
    </row>
    <row r="360" spans="1:10">
      <c r="A360" s="1"/>
      <c r="B360" s="1"/>
      <c r="C360" s="1"/>
      <c r="D360" s="1" t="s">
        <v>113</v>
      </c>
      <c r="E360" s="1" t="s">
        <v>175</v>
      </c>
      <c r="F360" s="1">
        <v>3472</v>
      </c>
      <c r="G360" s="1">
        <v>3472</v>
      </c>
      <c r="H360" s="1">
        <v>3471</v>
      </c>
      <c r="I360" s="1">
        <v>3471</v>
      </c>
      <c r="J360" s="1">
        <v>37600</v>
      </c>
    </row>
    <row r="361" spans="1:10">
      <c r="A361" s="1"/>
      <c r="B361" s="1"/>
      <c r="C361" s="1"/>
      <c r="D361" s="1" t="s">
        <v>113</v>
      </c>
      <c r="E361" s="1" t="s">
        <v>176</v>
      </c>
      <c r="F361" s="1">
        <v>3471</v>
      </c>
      <c r="G361" s="1">
        <v>3471</v>
      </c>
      <c r="H361" s="1">
        <v>3466</v>
      </c>
      <c r="I361" s="1">
        <v>3467</v>
      </c>
      <c r="J361" s="1">
        <v>165400</v>
      </c>
    </row>
    <row r="362" spans="1:10">
      <c r="A362" s="1"/>
      <c r="B362" s="1"/>
      <c r="C362" s="1"/>
      <c r="D362" s="1" t="s">
        <v>113</v>
      </c>
      <c r="E362" s="1" t="s">
        <v>177</v>
      </c>
      <c r="F362" s="1">
        <v>3466</v>
      </c>
      <c r="G362" s="1">
        <v>3469</v>
      </c>
      <c r="H362" s="1">
        <v>3465</v>
      </c>
      <c r="I362" s="1">
        <v>3468</v>
      </c>
      <c r="J362" s="1">
        <v>150700</v>
      </c>
    </row>
    <row r="363" spans="1:10">
      <c r="A363" s="1"/>
      <c r="B363" s="1"/>
      <c r="C363" s="1"/>
      <c r="D363" s="1" t="s">
        <v>113</v>
      </c>
      <c r="E363" s="1" t="s">
        <v>178</v>
      </c>
      <c r="F363" s="1">
        <v>3467</v>
      </c>
      <c r="G363" s="1">
        <v>3468</v>
      </c>
      <c r="H363" s="1">
        <v>3465</v>
      </c>
      <c r="I363" s="1">
        <v>3466</v>
      </c>
      <c r="J363" s="1">
        <v>98000</v>
      </c>
    </row>
    <row r="364" spans="1:10">
      <c r="A364" s="1"/>
      <c r="B364" s="1"/>
      <c r="C364" s="1"/>
      <c r="D364" s="1" t="s">
        <v>114</v>
      </c>
      <c r="E364" s="1" t="s">
        <v>482</v>
      </c>
      <c r="F364" s="1" t="s">
        <v>34</v>
      </c>
      <c r="G364" s="1" t="s">
        <v>34</v>
      </c>
      <c r="H364" s="1" t="s">
        <v>34</v>
      </c>
      <c r="I364" s="1" t="s">
        <v>34</v>
      </c>
      <c r="J364" s="1">
        <v>0</v>
      </c>
    </row>
    <row r="365" spans="1:10">
      <c r="A365" s="1"/>
      <c r="B365" s="1"/>
      <c r="C365" s="1"/>
      <c r="D365" s="1" t="s">
        <v>114</v>
      </c>
      <c r="E365" s="1" t="s">
        <v>483</v>
      </c>
      <c r="F365" s="1" t="s">
        <v>34</v>
      </c>
      <c r="G365" s="1" t="s">
        <v>34</v>
      </c>
      <c r="H365" s="1" t="s">
        <v>34</v>
      </c>
      <c r="I365" s="1" t="s">
        <v>34</v>
      </c>
      <c r="J365" s="1">
        <v>0</v>
      </c>
    </row>
    <row r="366" spans="1:10">
      <c r="A366" s="1"/>
      <c r="B366" s="1"/>
      <c r="C366" s="1"/>
      <c r="D366" s="1" t="s">
        <v>114</v>
      </c>
      <c r="E366" s="1" t="s">
        <v>484</v>
      </c>
      <c r="F366" s="1" t="s">
        <v>34</v>
      </c>
      <c r="G366" s="1" t="s">
        <v>34</v>
      </c>
      <c r="H366" s="1" t="s">
        <v>34</v>
      </c>
      <c r="I366" s="1" t="s">
        <v>34</v>
      </c>
      <c r="J366" s="1">
        <v>0</v>
      </c>
    </row>
    <row r="367" spans="1:10">
      <c r="A367" s="1"/>
      <c r="B367" s="1"/>
      <c r="C367" s="1"/>
      <c r="D367" s="1" t="s">
        <v>114</v>
      </c>
      <c r="E367" s="1" t="s">
        <v>485</v>
      </c>
      <c r="F367" s="1" t="s">
        <v>34</v>
      </c>
      <c r="G367" s="1" t="s">
        <v>34</v>
      </c>
      <c r="H367" s="1" t="s">
        <v>34</v>
      </c>
      <c r="I367" s="1" t="s">
        <v>34</v>
      </c>
      <c r="J367" s="1">
        <v>0</v>
      </c>
    </row>
    <row r="368" spans="1:10">
      <c r="A368" s="1"/>
      <c r="B368" s="1"/>
      <c r="C368" s="1"/>
      <c r="D368" s="1" t="s">
        <v>114</v>
      </c>
      <c r="E368" s="1" t="s">
        <v>486</v>
      </c>
      <c r="F368" s="1" t="s">
        <v>34</v>
      </c>
      <c r="G368" s="1" t="s">
        <v>34</v>
      </c>
      <c r="H368" s="1" t="s">
        <v>34</v>
      </c>
      <c r="I368" s="1" t="s">
        <v>34</v>
      </c>
      <c r="J368" s="1">
        <v>0</v>
      </c>
    </row>
    <row r="369" spans="1:10">
      <c r="A369" s="1"/>
      <c r="B369" s="1"/>
      <c r="C369" s="1"/>
      <c r="D369" s="1" t="s">
        <v>114</v>
      </c>
      <c r="E369" s="1" t="s">
        <v>487</v>
      </c>
      <c r="F369" s="1">
        <v>3478</v>
      </c>
      <c r="G369" s="1">
        <v>3478</v>
      </c>
      <c r="H369" s="1">
        <v>3478</v>
      </c>
      <c r="I369" s="1">
        <v>3478</v>
      </c>
      <c r="J369" s="1">
        <v>5163900</v>
      </c>
    </row>
    <row r="370" spans="1:10">
      <c r="A370" s="1" t="s">
        <v>92</v>
      </c>
      <c r="B370" s="1" t="s">
        <v>92</v>
      </c>
      <c r="C370" s="1" t="s">
        <v>92</v>
      </c>
      <c r="D370" s="1" t="s">
        <v>92</v>
      </c>
      <c r="E370" s="1" t="s">
        <v>92</v>
      </c>
      <c r="F370" s="1" t="s">
        <v>92</v>
      </c>
      <c r="G370" s="1" t="s">
        <v>92</v>
      </c>
      <c r="H370" s="1" t="s">
        <v>92</v>
      </c>
      <c r="I370" s="1" t="s">
        <v>92</v>
      </c>
      <c r="J370" s="1" t="s">
        <v>92</v>
      </c>
    </row>
    <row r="371" spans="1:10">
      <c r="A371" s="1"/>
      <c r="B371" s="1"/>
      <c r="C371" s="1"/>
      <c r="D371" s="1"/>
      <c r="E371" s="1"/>
      <c r="F371" s="1"/>
      <c r="G371" s="1"/>
      <c r="H371" s="1"/>
      <c r="I371" s="1"/>
      <c r="J371" s="1"/>
    </row>
    <row r="372" spans="1:10">
      <c r="A372" s="1"/>
      <c r="B372" s="1"/>
      <c r="C372" s="1"/>
      <c r="D372" s="1"/>
      <c r="E372" s="1"/>
      <c r="F372" s="1"/>
      <c r="G372" s="1"/>
      <c r="H372" s="1"/>
      <c r="I372" s="1"/>
      <c r="J372" s="1"/>
    </row>
    <row r="373" spans="1:10">
      <c r="A373" s="1"/>
      <c r="B373" s="1"/>
      <c r="C373" s="1"/>
      <c r="D373" s="1"/>
      <c r="E373" s="1"/>
      <c r="F373" s="1"/>
      <c r="G373" s="1"/>
      <c r="H373" s="1"/>
      <c r="I373" s="1"/>
      <c r="J373" s="1"/>
    </row>
    <row r="374" spans="1:10">
      <c r="A374" s="1"/>
      <c r="B374" s="1"/>
      <c r="C374" s="1"/>
      <c r="D374" s="1"/>
      <c r="E374" s="1"/>
      <c r="F374" s="1"/>
      <c r="G374" s="1"/>
      <c r="H374" s="1"/>
      <c r="I374" s="1"/>
      <c r="J374" s="1"/>
    </row>
    <row r="375" spans="1:10">
      <c r="A375" s="1"/>
      <c r="B375" s="1"/>
      <c r="C375" s="1"/>
      <c r="D375" s="1"/>
      <c r="E375" s="1"/>
      <c r="F375" s="1"/>
      <c r="G375" s="1"/>
      <c r="H375" s="1"/>
      <c r="I375" s="1"/>
      <c r="J375" s="1"/>
    </row>
    <row r="376" spans="1:10">
      <c r="A376" s="1"/>
      <c r="B376" s="1"/>
      <c r="C376" s="1"/>
      <c r="D376" s="1"/>
      <c r="E376" s="1"/>
      <c r="F376" s="1"/>
      <c r="G376" s="1"/>
      <c r="H376" s="1"/>
      <c r="I376" s="1"/>
      <c r="J376" s="1"/>
    </row>
    <row r="377" spans="1:10">
      <c r="A377" s="1"/>
      <c r="B377" s="1"/>
      <c r="C377" s="1"/>
      <c r="D377" s="1"/>
      <c r="E377" s="1"/>
      <c r="F377" s="1"/>
      <c r="G377" s="1"/>
      <c r="H377" s="1"/>
      <c r="I377" s="1"/>
      <c r="J377" s="1"/>
    </row>
    <row r="378" spans="1:10">
      <c r="A378" s="1"/>
      <c r="B378" s="1"/>
      <c r="C378" s="1"/>
      <c r="D378" s="1"/>
      <c r="E378" s="1"/>
      <c r="F378" s="1"/>
      <c r="G378" s="1"/>
      <c r="H378" s="1"/>
      <c r="I378" s="1"/>
      <c r="J378" s="1"/>
    </row>
    <row r="379" spans="1:10">
      <c r="A379" s="1"/>
      <c r="B379" s="1"/>
      <c r="C379" s="1"/>
      <c r="D379" s="1"/>
      <c r="E379" s="1"/>
      <c r="F379" s="1"/>
      <c r="G379" s="1"/>
      <c r="H379" s="1"/>
      <c r="I379" s="1"/>
      <c r="J379" s="1"/>
    </row>
    <row r="380" spans="1:10">
      <c r="A380" s="1"/>
      <c r="B380" s="1"/>
      <c r="C380" s="1"/>
      <c r="D380" s="1"/>
      <c r="E380" s="1"/>
      <c r="F380" s="1"/>
      <c r="G380" s="1"/>
      <c r="H380" s="1"/>
      <c r="I380" s="1"/>
      <c r="J380" s="1"/>
    </row>
    <row r="381" spans="1:10">
      <c r="A381" s="1"/>
      <c r="B381" s="1"/>
      <c r="C381" s="1"/>
      <c r="D381" s="1"/>
      <c r="E381" s="1"/>
      <c r="F381" s="1"/>
      <c r="G381" s="1"/>
      <c r="H381" s="1"/>
      <c r="I381" s="1"/>
      <c r="J381" s="1"/>
    </row>
    <row r="382" spans="1:10">
      <c r="A382" s="1"/>
      <c r="B382" s="1"/>
      <c r="C382" s="1"/>
      <c r="D382" s="1"/>
      <c r="E382" s="1"/>
      <c r="F382" s="1"/>
      <c r="G382" s="1"/>
      <c r="H382" s="1"/>
      <c r="I382" s="1"/>
      <c r="J382" s="1"/>
    </row>
    <row r="383" spans="1:10">
      <c r="A383" s="1"/>
      <c r="B383" s="1"/>
      <c r="C383" s="1"/>
      <c r="D383" s="1"/>
      <c r="E383" s="1"/>
      <c r="F383" s="1"/>
      <c r="G383" s="1"/>
      <c r="H383" s="1"/>
      <c r="I383" s="1"/>
      <c r="J383" s="1"/>
    </row>
    <row r="384" spans="1:10">
      <c r="A384" s="1"/>
      <c r="B384" s="1"/>
      <c r="C384" s="1"/>
      <c r="D384" s="1"/>
      <c r="E384" s="1"/>
      <c r="F384" s="1"/>
      <c r="G384" s="1"/>
      <c r="H384" s="1"/>
      <c r="I384" s="1"/>
      <c r="J384" s="1"/>
    </row>
    <row r="385" spans="1:10">
      <c r="A385" s="1"/>
      <c r="B385" s="1"/>
      <c r="C385" s="1"/>
      <c r="D385" s="1"/>
      <c r="E385" s="1"/>
      <c r="F385" s="1"/>
      <c r="G385" s="1"/>
      <c r="H385" s="1"/>
      <c r="I385" s="1"/>
      <c r="J385" s="1"/>
    </row>
    <row r="386" spans="1:10">
      <c r="A386" s="1"/>
      <c r="B386" s="1"/>
      <c r="C386" s="1"/>
      <c r="D386" s="1"/>
      <c r="E386" s="1"/>
      <c r="F386" s="1"/>
      <c r="G386" s="1"/>
      <c r="H386" s="1"/>
      <c r="I386" s="1"/>
      <c r="J386" s="1"/>
    </row>
    <row r="387" spans="1:10">
      <c r="A387" s="1"/>
      <c r="B387" s="1"/>
      <c r="C387" s="1"/>
      <c r="D387" s="1"/>
      <c r="E387" s="1"/>
      <c r="F387" s="1"/>
      <c r="G387" s="1"/>
      <c r="H387" s="1"/>
      <c r="I387" s="1"/>
      <c r="J387" s="1"/>
    </row>
    <row r="388" spans="1:10">
      <c r="A388" s="1"/>
      <c r="B388" s="1"/>
      <c r="C388" s="1"/>
      <c r="D388" s="1"/>
      <c r="E388" s="1"/>
      <c r="F388" s="1"/>
      <c r="G388" s="1"/>
      <c r="H388" s="1"/>
      <c r="I388" s="1"/>
      <c r="J388" s="1"/>
    </row>
    <row r="389" spans="1:10">
      <c r="A389" s="1"/>
      <c r="B389" s="1"/>
      <c r="C389" s="1"/>
      <c r="D389" s="1"/>
      <c r="E389" s="1"/>
      <c r="F389" s="1"/>
      <c r="G389" s="1"/>
      <c r="H389" s="1"/>
      <c r="I389" s="1"/>
      <c r="J389" s="1"/>
    </row>
    <row r="390" spans="1:10">
      <c r="A390" s="1"/>
      <c r="B390" s="1"/>
      <c r="C390" s="1"/>
      <c r="D390" s="1"/>
      <c r="E390" s="1"/>
      <c r="F390" s="1"/>
      <c r="G390" s="1"/>
      <c r="H390" s="1"/>
      <c r="I390" s="1"/>
      <c r="J390" s="1"/>
    </row>
    <row r="391" spans="1:10">
      <c r="A391" s="1"/>
      <c r="B391" s="1"/>
      <c r="C391" s="1"/>
      <c r="D391" s="1"/>
      <c r="E391" s="1"/>
      <c r="F391" s="1"/>
      <c r="G391" s="1"/>
      <c r="H391" s="1"/>
      <c r="I391" s="1"/>
      <c r="J391" s="1"/>
    </row>
    <row r="392" spans="1:10">
      <c r="A392" s="1"/>
      <c r="B392" s="1"/>
      <c r="C392" s="1"/>
      <c r="D392" s="1"/>
      <c r="E392" s="1"/>
      <c r="F392" s="1"/>
      <c r="G392" s="1"/>
      <c r="H392" s="1"/>
      <c r="I392" s="1"/>
      <c r="J392" s="1"/>
    </row>
    <row r="393" spans="1:10">
      <c r="A393" s="1"/>
      <c r="B393" s="1"/>
      <c r="C393" s="1"/>
      <c r="D393" s="1"/>
      <c r="E393" s="1"/>
      <c r="F393" s="1"/>
      <c r="G393" s="1"/>
      <c r="H393" s="1"/>
      <c r="I393" s="1"/>
      <c r="J393" s="1"/>
    </row>
    <row r="394" spans="1:10">
      <c r="A394" s="1"/>
      <c r="B394" s="1"/>
      <c r="C394" s="1"/>
      <c r="D394" s="1"/>
      <c r="E394" s="1"/>
      <c r="F394" s="1"/>
      <c r="G394" s="1"/>
      <c r="H394" s="1"/>
      <c r="I394" s="1"/>
      <c r="J394" s="1"/>
    </row>
    <row r="395" spans="1:10">
      <c r="A395" s="1"/>
      <c r="B395" s="1"/>
      <c r="C395" s="1"/>
      <c r="D395" s="1"/>
      <c r="E395" s="1"/>
      <c r="F395" s="1"/>
      <c r="G395" s="1"/>
      <c r="H395" s="1"/>
      <c r="I395" s="1"/>
      <c r="J395" s="1"/>
    </row>
    <row r="396" spans="1:10">
      <c r="A396" s="1"/>
      <c r="B396" s="1"/>
      <c r="C396" s="1"/>
      <c r="D396" s="1"/>
      <c r="E396" s="1"/>
      <c r="F396" s="1"/>
      <c r="G396" s="1"/>
      <c r="H396" s="1"/>
      <c r="I396" s="1"/>
      <c r="J396" s="1"/>
    </row>
    <row r="397" spans="1:10">
      <c r="A397" s="1"/>
      <c r="B397" s="1"/>
      <c r="C397" s="1"/>
      <c r="D397" s="1"/>
      <c r="E397" s="1"/>
      <c r="F397" s="1"/>
      <c r="G397" s="1"/>
      <c r="H397" s="1"/>
      <c r="I397" s="1"/>
      <c r="J397" s="1"/>
    </row>
    <row r="398" spans="1:10">
      <c r="A398" s="1"/>
      <c r="B398" s="1"/>
      <c r="C398" s="1"/>
      <c r="D398" s="1"/>
      <c r="E398" s="1"/>
      <c r="F398" s="1"/>
      <c r="G398" s="1"/>
      <c r="H398" s="1"/>
      <c r="I398" s="1"/>
      <c r="J398" s="1"/>
    </row>
    <row r="399" spans="1:10">
      <c r="A399" s="1"/>
      <c r="B399" s="1"/>
      <c r="C399" s="1"/>
      <c r="D399" s="1"/>
      <c r="E399" s="1"/>
      <c r="F399" s="1"/>
      <c r="G399" s="1"/>
      <c r="H399" s="1"/>
      <c r="I399" s="1"/>
      <c r="J399" s="1"/>
    </row>
    <row r="400" spans="1:10">
      <c r="A400" s="1"/>
      <c r="B400" s="1"/>
      <c r="C400" s="1"/>
      <c r="D400" s="1"/>
      <c r="E400" s="1"/>
      <c r="F400" s="1"/>
      <c r="G400" s="1"/>
      <c r="H400" s="1"/>
      <c r="I400" s="1"/>
      <c r="J400" s="1"/>
    </row>
    <row r="401" spans="1:10">
      <c r="A401" s="1"/>
      <c r="B401" s="1"/>
      <c r="C401" s="1"/>
      <c r="D401" s="1"/>
      <c r="E401" s="1"/>
      <c r="F401" s="1"/>
      <c r="G401" s="1"/>
      <c r="H401" s="1"/>
      <c r="I401" s="1"/>
      <c r="J401" s="1"/>
    </row>
    <row r="402" spans="1:10">
      <c r="A402" s="1"/>
      <c r="B402" s="1"/>
      <c r="C402" s="1"/>
      <c r="D402" s="1"/>
      <c r="E402" s="1"/>
      <c r="F402" s="1"/>
      <c r="G402" s="1"/>
      <c r="H402" s="1"/>
      <c r="I402" s="1"/>
      <c r="J402" s="1"/>
    </row>
    <row r="403" spans="1:10">
      <c r="A403" s="1"/>
      <c r="B403" s="1"/>
      <c r="C403" s="1"/>
      <c r="D403" s="1"/>
      <c r="E403" s="1"/>
      <c r="F403" s="1"/>
      <c r="G403" s="1"/>
      <c r="H403" s="1"/>
      <c r="I403" s="1"/>
      <c r="J403" s="1"/>
    </row>
    <row r="404" spans="1:10">
      <c r="A404" s="1"/>
      <c r="B404" s="1"/>
      <c r="C404" s="1"/>
      <c r="D404" s="1"/>
      <c r="E404" s="1"/>
      <c r="F404" s="1"/>
      <c r="G404" s="1"/>
      <c r="H404" s="1"/>
      <c r="I404" s="1"/>
      <c r="J404" s="1"/>
    </row>
    <row r="405" spans="1:10">
      <c r="A405" s="1"/>
      <c r="B405" s="1"/>
      <c r="C405" s="1"/>
      <c r="D405" s="1"/>
      <c r="E405" s="1"/>
      <c r="F405" s="1"/>
      <c r="G405" s="1"/>
      <c r="H405" s="1"/>
      <c r="I405" s="1"/>
      <c r="J405" s="1"/>
    </row>
    <row r="406" spans="1:10">
      <c r="A406" s="1"/>
      <c r="B406" s="1"/>
      <c r="C406" s="1"/>
      <c r="D406" s="1"/>
      <c r="E406" s="1"/>
      <c r="F406" s="1"/>
      <c r="G406" s="1"/>
      <c r="H406" s="1"/>
      <c r="I406" s="1"/>
      <c r="J406" s="1"/>
    </row>
    <row r="407" spans="1:10">
      <c r="A407" s="1"/>
      <c r="B407" s="1"/>
      <c r="C407" s="1"/>
      <c r="D407" s="1"/>
      <c r="E407" s="1"/>
      <c r="F407" s="1"/>
      <c r="G407" s="1"/>
      <c r="H407" s="1"/>
      <c r="I407" s="1"/>
      <c r="J407" s="1"/>
    </row>
    <row r="408" spans="1:10">
      <c r="A408" s="1"/>
      <c r="B408" s="1"/>
      <c r="C408" s="1"/>
      <c r="D408" s="1"/>
      <c r="E408" s="1"/>
      <c r="F408" s="1"/>
      <c r="G408" s="1"/>
      <c r="H408" s="1"/>
      <c r="I408" s="1"/>
      <c r="J408" s="1"/>
    </row>
    <row r="409" spans="1:10">
      <c r="A409" s="1"/>
      <c r="B409" s="1"/>
      <c r="C409" s="1"/>
      <c r="D409" s="1"/>
      <c r="E409" s="1"/>
      <c r="F409" s="1"/>
      <c r="G409" s="1"/>
      <c r="H409" s="1"/>
      <c r="I409" s="1"/>
      <c r="J409" s="1"/>
    </row>
    <row r="410" spans="1:10">
      <c r="A410" s="1"/>
      <c r="B410" s="1"/>
      <c r="C410" s="1"/>
      <c r="D410" s="1"/>
      <c r="E410" s="1"/>
      <c r="F410" s="1"/>
      <c r="G410" s="1"/>
      <c r="H410" s="1"/>
      <c r="I410" s="1"/>
      <c r="J410" s="1"/>
    </row>
    <row r="411" spans="1:10">
      <c r="A411" s="1"/>
      <c r="B411" s="1"/>
      <c r="C411" s="1"/>
      <c r="D411" s="1"/>
      <c r="E411" s="1"/>
      <c r="F411" s="1"/>
      <c r="G411" s="1"/>
      <c r="H411" s="1"/>
      <c r="I411" s="1"/>
      <c r="J411" s="1"/>
    </row>
    <row r="412" spans="1:10">
      <c r="A412" s="1"/>
      <c r="B412" s="1"/>
      <c r="C412" s="1"/>
      <c r="D412" s="1"/>
      <c r="E412" s="1"/>
      <c r="F412" s="1"/>
      <c r="G412" s="1"/>
      <c r="H412" s="1"/>
      <c r="I412" s="1"/>
      <c r="J412" s="1"/>
    </row>
    <row r="413" spans="1:10">
      <c r="A413" s="1"/>
      <c r="B413" s="1"/>
      <c r="C413" s="1"/>
      <c r="D413" s="1"/>
      <c r="E413" s="1"/>
      <c r="F413" s="1"/>
      <c r="G413" s="1"/>
      <c r="H413" s="1"/>
      <c r="I413" s="1"/>
      <c r="J413" s="1"/>
    </row>
    <row r="414" spans="1:10">
      <c r="A414" s="1"/>
      <c r="B414" s="1"/>
      <c r="C414" s="1"/>
      <c r="D414" s="1"/>
      <c r="E414" s="1"/>
      <c r="F414" s="1"/>
      <c r="G414" s="1"/>
      <c r="H414" s="1"/>
      <c r="I414" s="1"/>
      <c r="J414" s="1"/>
    </row>
    <row r="415" spans="1:10">
      <c r="A415" s="1"/>
      <c r="B415" s="1"/>
      <c r="C415" s="1"/>
      <c r="D415" s="1"/>
      <c r="E415" s="1"/>
      <c r="F415" s="1"/>
      <c r="G415" s="1"/>
      <c r="H415" s="1"/>
      <c r="I415" s="1"/>
      <c r="J415" s="1"/>
    </row>
    <row r="416" spans="1:10">
      <c r="A416" s="1"/>
      <c r="B416" s="1"/>
      <c r="C416" s="1"/>
      <c r="D416" s="1"/>
      <c r="E416" s="1"/>
      <c r="F416" s="1"/>
      <c r="G416" s="1"/>
      <c r="H416" s="1"/>
      <c r="I416" s="1"/>
      <c r="J416" s="1"/>
    </row>
    <row r="417" spans="1:10">
      <c r="A417" s="1"/>
      <c r="B417" s="1"/>
      <c r="C417" s="1"/>
      <c r="D417" s="1"/>
      <c r="E417" s="1"/>
      <c r="F417" s="1"/>
      <c r="G417" s="1"/>
      <c r="H417" s="1"/>
      <c r="I417" s="1"/>
      <c r="J417" s="1"/>
    </row>
    <row r="418" spans="1:10">
      <c r="A418" s="1"/>
      <c r="B418" s="1"/>
      <c r="C418" s="1"/>
      <c r="D418" s="1"/>
      <c r="E418" s="1"/>
      <c r="F418" s="1"/>
      <c r="G418" s="1"/>
      <c r="H418" s="1"/>
      <c r="I418" s="1"/>
      <c r="J418" s="1"/>
    </row>
    <row r="419" spans="1:10">
      <c r="A419" s="1"/>
      <c r="B419" s="1"/>
      <c r="C419" s="1"/>
      <c r="D419" s="1"/>
      <c r="E419" s="1"/>
      <c r="F419" s="1"/>
      <c r="G419" s="1"/>
      <c r="H419" s="1"/>
      <c r="I419" s="1"/>
      <c r="J419" s="1"/>
    </row>
    <row r="420" spans="1:10">
      <c r="A420" s="1"/>
      <c r="B420" s="1"/>
      <c r="C420" s="1"/>
      <c r="D420" s="1"/>
      <c r="E420" s="1"/>
      <c r="F420" s="1"/>
      <c r="G420" s="1"/>
      <c r="H420" s="1"/>
      <c r="I420" s="1"/>
      <c r="J420" s="1"/>
    </row>
    <row r="421" spans="1:10">
      <c r="A421" s="1"/>
      <c r="B421" s="1"/>
      <c r="C421" s="1"/>
      <c r="D421" s="1"/>
      <c r="E421" s="1"/>
      <c r="F421" s="1"/>
      <c r="G421" s="1"/>
      <c r="H421" s="1"/>
      <c r="I421" s="1"/>
      <c r="J421" s="1"/>
    </row>
    <row r="422" spans="1:10">
      <c r="A422" s="1"/>
      <c r="B422" s="1"/>
      <c r="C422" s="1"/>
      <c r="D422" s="1"/>
      <c r="E422" s="1"/>
      <c r="F422" s="1"/>
      <c r="G422" s="1"/>
      <c r="H422" s="1"/>
      <c r="I422" s="1"/>
      <c r="J422" s="1"/>
    </row>
    <row r="423" spans="1:10">
      <c r="A423" s="1"/>
      <c r="B423" s="1"/>
      <c r="C423" s="1"/>
      <c r="D423" s="1"/>
      <c r="E423" s="1"/>
      <c r="F423" s="1"/>
      <c r="G423" s="1"/>
      <c r="H423" s="1"/>
      <c r="I423" s="1"/>
      <c r="J423" s="1"/>
    </row>
    <row r="424" spans="1:10">
      <c r="A424" s="1"/>
      <c r="B424" s="1"/>
      <c r="C424" s="1"/>
      <c r="D424" s="1"/>
      <c r="E424" s="1"/>
      <c r="F424" s="1"/>
      <c r="G424" s="1"/>
      <c r="H424" s="1"/>
      <c r="I424" s="1"/>
      <c r="J424" s="1"/>
    </row>
    <row r="425" spans="1:10">
      <c r="A425" s="1"/>
      <c r="B425" s="1"/>
      <c r="C425" s="1"/>
      <c r="D425" s="1"/>
      <c r="E425" s="1"/>
      <c r="F425" s="1"/>
      <c r="G425" s="1"/>
      <c r="H425" s="1"/>
      <c r="I425" s="1"/>
      <c r="J425" s="1"/>
    </row>
    <row r="426" spans="1:10">
      <c r="A426" s="1"/>
      <c r="B426" s="1"/>
      <c r="C426" s="1"/>
      <c r="D426" s="1"/>
      <c r="E426" s="1"/>
      <c r="F426" s="1"/>
      <c r="G426" s="1"/>
      <c r="H426" s="1"/>
      <c r="I426" s="1"/>
      <c r="J426" s="1"/>
    </row>
    <row r="427" spans="1:10">
      <c r="A427" s="1"/>
      <c r="B427" s="1"/>
      <c r="C427" s="1"/>
      <c r="D427" s="1"/>
      <c r="E427" s="1"/>
      <c r="F427" s="1"/>
      <c r="G427" s="1"/>
      <c r="H427" s="1"/>
      <c r="I427" s="1"/>
      <c r="J427" s="1"/>
    </row>
    <row r="428" spans="1:10">
      <c r="A428" s="1"/>
      <c r="B428" s="1"/>
      <c r="C428" s="1"/>
      <c r="D428" s="1"/>
      <c r="E428" s="1"/>
      <c r="F428" s="1"/>
      <c r="G428" s="1"/>
      <c r="H428" s="1"/>
      <c r="I428" s="1"/>
      <c r="J428" s="1"/>
    </row>
    <row r="429" spans="1:10">
      <c r="A429" s="1"/>
      <c r="B429" s="1"/>
      <c r="C429" s="1"/>
      <c r="D429" s="1"/>
      <c r="E429" s="1"/>
      <c r="F429" s="1"/>
      <c r="G429" s="1"/>
      <c r="H429" s="1"/>
      <c r="I429" s="1"/>
      <c r="J429" s="1"/>
    </row>
    <row r="430" spans="1:10">
      <c r="A430" s="1"/>
      <c r="B430" s="1"/>
      <c r="C430" s="1"/>
      <c r="D430" s="1"/>
      <c r="E430" s="1"/>
      <c r="F430" s="1"/>
      <c r="G430" s="1"/>
      <c r="H430" s="1"/>
      <c r="I430" s="1"/>
      <c r="J430" s="1"/>
    </row>
    <row r="431" spans="1:10">
      <c r="A431" s="1"/>
      <c r="B431" s="1"/>
      <c r="C431" s="1"/>
      <c r="D431" s="1"/>
      <c r="E431" s="1"/>
      <c r="F431" s="1"/>
      <c r="G431" s="1"/>
      <c r="H431" s="1"/>
      <c r="I431" s="1"/>
      <c r="J431" s="1"/>
    </row>
    <row r="432" spans="1:10">
      <c r="A432" s="1"/>
      <c r="B432" s="1"/>
      <c r="C432" s="1"/>
      <c r="D432" s="1"/>
      <c r="E432" s="1"/>
      <c r="F432" s="1"/>
      <c r="G432" s="1"/>
      <c r="H432" s="1"/>
      <c r="I432" s="1"/>
      <c r="J432" s="1"/>
    </row>
    <row r="433" spans="1:10">
      <c r="A433" s="1"/>
      <c r="B433" s="1"/>
      <c r="C433" s="1"/>
      <c r="D433" s="1"/>
      <c r="E433" s="1"/>
      <c r="F433" s="1"/>
      <c r="G433" s="1"/>
      <c r="H433" s="1"/>
      <c r="I433" s="1"/>
      <c r="J433" s="1"/>
    </row>
    <row r="434" spans="1:10">
      <c r="A434" s="1"/>
      <c r="B434" s="1"/>
      <c r="C434" s="1"/>
      <c r="D434" s="1"/>
      <c r="E434" s="1"/>
      <c r="F434" s="1"/>
      <c r="G434" s="1"/>
      <c r="H434" s="1"/>
      <c r="I434" s="1"/>
      <c r="J434" s="1"/>
    </row>
    <row r="435" spans="1:10">
      <c r="A435" s="1"/>
      <c r="B435" s="1"/>
      <c r="C435" s="1"/>
      <c r="D435" s="1"/>
      <c r="E435" s="1"/>
      <c r="F435" s="1"/>
      <c r="G435" s="1"/>
      <c r="H435" s="1"/>
      <c r="I435" s="1"/>
      <c r="J435" s="1"/>
    </row>
    <row r="436" spans="1:10">
      <c r="A436" s="1"/>
      <c r="B436" s="1"/>
      <c r="C436" s="1"/>
      <c r="D436" s="1"/>
      <c r="E436" s="1"/>
      <c r="F436" s="1"/>
      <c r="G436" s="1"/>
      <c r="H436" s="1"/>
      <c r="I436" s="1"/>
      <c r="J436" s="1"/>
    </row>
    <row r="437" spans="1:10">
      <c r="A437" s="1"/>
      <c r="B437" s="1"/>
      <c r="C437" s="1"/>
      <c r="D437" s="1"/>
      <c r="E437" s="1"/>
      <c r="F437" s="1"/>
      <c r="G437" s="1"/>
      <c r="H437" s="1"/>
      <c r="I437" s="1"/>
      <c r="J437" s="1"/>
    </row>
    <row r="438" spans="1:10">
      <c r="A438" s="1"/>
      <c r="B438" s="1"/>
      <c r="C438" s="1"/>
      <c r="D438" s="1"/>
      <c r="E438" s="1"/>
      <c r="F438" s="1"/>
      <c r="G438" s="1"/>
      <c r="H438" s="1"/>
      <c r="I438" s="1"/>
      <c r="J438" s="1"/>
    </row>
    <row r="439" spans="1:10">
      <c r="A439" s="1"/>
      <c r="B439" s="1"/>
      <c r="C439" s="1"/>
      <c r="D439" s="1"/>
      <c r="E439" s="1"/>
      <c r="F439" s="1"/>
      <c r="G439" s="1"/>
      <c r="H439" s="1"/>
      <c r="I439" s="1"/>
      <c r="J439" s="1"/>
    </row>
    <row r="440" spans="1:10">
      <c r="A440" s="1"/>
      <c r="B440" s="1"/>
      <c r="C440" s="1"/>
      <c r="D440" s="1"/>
      <c r="E440" s="1"/>
      <c r="F440" s="1"/>
      <c r="G440" s="1"/>
      <c r="H440" s="1"/>
      <c r="I440" s="1"/>
      <c r="J440" s="1"/>
    </row>
    <row r="441" spans="1:10">
      <c r="A441" s="1"/>
      <c r="B441" s="1"/>
      <c r="C441" s="1"/>
      <c r="D441" s="1"/>
      <c r="E441" s="1"/>
      <c r="F441" s="1"/>
      <c r="G441" s="1"/>
      <c r="H441" s="1"/>
      <c r="I441" s="1"/>
      <c r="J441" s="1"/>
    </row>
    <row r="442" spans="1:10">
      <c r="A442" s="1"/>
      <c r="B442" s="1"/>
      <c r="C442" s="1"/>
      <c r="D442" s="1"/>
      <c r="E442" s="1"/>
      <c r="F442" s="1"/>
      <c r="G442" s="1"/>
      <c r="H442" s="1"/>
      <c r="I442" s="1"/>
      <c r="J442" s="1"/>
    </row>
    <row r="443" spans="1:10">
      <c r="A443" s="1"/>
      <c r="B443" s="1"/>
      <c r="C443" s="1"/>
      <c r="D443" s="1"/>
      <c r="E443" s="1"/>
      <c r="F443" s="1"/>
      <c r="G443" s="1"/>
      <c r="H443" s="1"/>
      <c r="I443" s="1"/>
      <c r="J443" s="1"/>
    </row>
    <row r="444" spans="1:10">
      <c r="A444" s="1"/>
      <c r="B444" s="1"/>
      <c r="C444" s="1"/>
      <c r="D444" s="1"/>
      <c r="E444" s="1"/>
      <c r="F444" s="1"/>
      <c r="G444" s="1"/>
      <c r="H444" s="1"/>
      <c r="I444" s="1"/>
      <c r="J444" s="1"/>
    </row>
    <row r="445" spans="1:10">
      <c r="A445" s="1"/>
      <c r="B445" s="1"/>
      <c r="C445" s="1"/>
      <c r="D445" s="1"/>
      <c r="E445" s="1"/>
      <c r="F445" s="1"/>
      <c r="G445" s="1"/>
      <c r="H445" s="1"/>
      <c r="I445" s="1"/>
      <c r="J445" s="1"/>
    </row>
    <row r="446" spans="1:10">
      <c r="A446" s="1"/>
      <c r="B446" s="1"/>
      <c r="C446" s="1"/>
      <c r="D446" s="1"/>
      <c r="E446" s="1"/>
      <c r="F446" s="1"/>
      <c r="G446" s="1"/>
      <c r="H446" s="1"/>
      <c r="I446" s="1"/>
      <c r="J446" s="1"/>
    </row>
    <row r="447" spans="1:10">
      <c r="A447" s="1"/>
      <c r="B447" s="1"/>
      <c r="C447" s="1"/>
      <c r="D447" s="1"/>
      <c r="E447" s="1"/>
      <c r="F447" s="1"/>
      <c r="G447" s="1"/>
      <c r="H447" s="1"/>
      <c r="I447" s="1"/>
      <c r="J447" s="1"/>
    </row>
    <row r="448" spans="1:10">
      <c r="A448" s="1"/>
      <c r="B448" s="1"/>
      <c r="C448" s="1"/>
      <c r="D448" s="1"/>
      <c r="E448" s="1"/>
      <c r="F448" s="1"/>
      <c r="G448" s="1"/>
      <c r="H448" s="1"/>
      <c r="I448" s="1"/>
      <c r="J448" s="1"/>
    </row>
    <row r="449" spans="1:10">
      <c r="A449" s="1"/>
      <c r="B449" s="1"/>
      <c r="C449" s="1"/>
      <c r="D449" s="1"/>
      <c r="E449" s="1"/>
      <c r="F449" s="1"/>
      <c r="G449" s="1"/>
      <c r="H449" s="1"/>
      <c r="I449" s="1"/>
      <c r="J449" s="1"/>
    </row>
    <row r="450" spans="1:10">
      <c r="A450" s="1"/>
      <c r="B450" s="1"/>
      <c r="C450" s="1"/>
      <c r="D450" s="1"/>
      <c r="E450" s="1"/>
      <c r="F450" s="1"/>
      <c r="G450" s="1"/>
      <c r="H450" s="1"/>
      <c r="I450" s="1"/>
      <c r="J450" s="1"/>
    </row>
    <row r="451" spans="1:10">
      <c r="A451" s="1"/>
      <c r="B451" s="1"/>
      <c r="C451" s="1"/>
      <c r="D451" s="1"/>
      <c r="E451" s="1"/>
      <c r="F451" s="1"/>
      <c r="G451" s="1"/>
      <c r="H451" s="1"/>
      <c r="I451" s="1"/>
      <c r="J451" s="1"/>
    </row>
    <row r="452" spans="1:10">
      <c r="A452" s="1"/>
      <c r="B452" s="1"/>
      <c r="C452" s="1"/>
      <c r="D452" s="1"/>
      <c r="E452" s="1"/>
      <c r="F452" s="1"/>
      <c r="G452" s="1"/>
      <c r="H452" s="1"/>
      <c r="I452" s="1"/>
      <c r="J452" s="1"/>
    </row>
    <row r="453" spans="1:10">
      <c r="A453" s="1"/>
      <c r="B453" s="1"/>
      <c r="C453" s="1"/>
      <c r="D453" s="1"/>
      <c r="E453" s="1"/>
      <c r="F453" s="1"/>
      <c r="G453" s="1"/>
      <c r="H453" s="1"/>
      <c r="I453" s="1"/>
      <c r="J453" s="1"/>
    </row>
    <row r="454" spans="1:10">
      <c r="A454" s="1"/>
      <c r="B454" s="1"/>
      <c r="C454" s="1"/>
      <c r="D454" s="1"/>
      <c r="E454" s="1"/>
      <c r="F454" s="1"/>
      <c r="G454" s="1"/>
      <c r="H454" s="1"/>
      <c r="I454" s="1"/>
      <c r="J454" s="1"/>
    </row>
    <row r="455" spans="1:10">
      <c r="A455" s="1"/>
      <c r="B455" s="1"/>
      <c r="C455" s="1"/>
      <c r="D455" s="1"/>
      <c r="E455" s="1"/>
      <c r="F455" s="1"/>
      <c r="G455" s="1"/>
      <c r="H455" s="1"/>
      <c r="I455" s="1"/>
      <c r="J455" s="1"/>
    </row>
    <row r="456" spans="1:10">
      <c r="A456" s="1"/>
      <c r="B456" s="1"/>
      <c r="C456" s="1"/>
      <c r="D456" s="1"/>
      <c r="E456" s="1"/>
      <c r="F456" s="1"/>
      <c r="G456" s="1"/>
      <c r="H456" s="1"/>
      <c r="I456" s="1"/>
      <c r="J456" s="1"/>
    </row>
    <row r="457" spans="1:10">
      <c r="A457" s="1"/>
      <c r="B457" s="1"/>
      <c r="C457" s="1"/>
      <c r="D457" s="1"/>
      <c r="E457" s="1"/>
      <c r="F457" s="1"/>
      <c r="G457" s="1"/>
      <c r="H457" s="1"/>
      <c r="I457" s="1"/>
      <c r="J457" s="1"/>
    </row>
    <row r="458" spans="1:10">
      <c r="A458" s="1"/>
      <c r="B458" s="1"/>
      <c r="C458" s="1"/>
      <c r="D458" s="1"/>
      <c r="E458" s="1"/>
      <c r="F458" s="1"/>
      <c r="G458" s="1"/>
      <c r="H458" s="1"/>
      <c r="I458" s="1"/>
      <c r="J458" s="1"/>
    </row>
    <row r="459" spans="1:10">
      <c r="A459" s="1"/>
      <c r="B459" s="1"/>
      <c r="C459" s="1"/>
      <c r="D459" s="1"/>
      <c r="E459" s="1"/>
      <c r="F459" s="1"/>
      <c r="G459" s="1"/>
      <c r="H459" s="1"/>
      <c r="I459" s="1"/>
      <c r="J459" s="1"/>
    </row>
    <row r="460" spans="1:10">
      <c r="A460" s="1"/>
      <c r="B460" s="1"/>
      <c r="C460" s="1"/>
      <c r="D460" s="1"/>
      <c r="E460" s="1"/>
      <c r="F460" s="1"/>
      <c r="G460" s="1"/>
      <c r="H460" s="1"/>
      <c r="I460" s="1"/>
      <c r="J460" s="1"/>
    </row>
    <row r="461" spans="1:10">
      <c r="A461" s="1"/>
      <c r="B461" s="1"/>
      <c r="C461" s="1"/>
      <c r="D461" s="1"/>
      <c r="E461" s="1"/>
      <c r="F461" s="1"/>
      <c r="G461" s="1"/>
      <c r="H461" s="1"/>
      <c r="I461" s="1"/>
      <c r="J461" s="1"/>
    </row>
    <row r="462" spans="1:10">
      <c r="A462" s="1"/>
      <c r="B462" s="1"/>
      <c r="C462" s="1"/>
      <c r="D462" s="1"/>
      <c r="E462" s="1"/>
      <c r="F462" s="1"/>
      <c r="G462" s="1"/>
      <c r="H462" s="1"/>
      <c r="I462" s="1"/>
      <c r="J462" s="1"/>
    </row>
    <row r="463" spans="1:10">
      <c r="A463" s="1"/>
      <c r="B463" s="1"/>
      <c r="C463" s="1"/>
      <c r="D463" s="1"/>
      <c r="E463" s="1"/>
      <c r="F463" s="1"/>
      <c r="G463" s="1"/>
      <c r="H463" s="1"/>
      <c r="I463" s="1"/>
      <c r="J463" s="1"/>
    </row>
    <row r="464" spans="1:10">
      <c r="A464" s="1"/>
      <c r="B464" s="1"/>
      <c r="C464" s="1"/>
      <c r="D464" s="1"/>
      <c r="E464" s="1"/>
      <c r="F464" s="1"/>
      <c r="G464" s="1"/>
      <c r="H464" s="1"/>
      <c r="I464" s="1"/>
      <c r="J464" s="1"/>
    </row>
    <row r="465" spans="1:10">
      <c r="A465" s="1"/>
      <c r="B465" s="1"/>
      <c r="C465" s="1"/>
      <c r="D465" s="1"/>
      <c r="E465" s="1"/>
      <c r="F465" s="1"/>
      <c r="G465" s="1"/>
      <c r="H465" s="1"/>
      <c r="I465" s="1"/>
      <c r="J465" s="1"/>
    </row>
    <row r="466" spans="1:10">
      <c r="A466" s="1"/>
      <c r="B466" s="1"/>
      <c r="C466" s="1"/>
      <c r="D466" s="1"/>
      <c r="E466" s="1"/>
      <c r="F466" s="1"/>
      <c r="G466" s="1"/>
      <c r="H466" s="1"/>
      <c r="I466" s="1"/>
      <c r="J466" s="1"/>
    </row>
    <row r="467" spans="1:10">
      <c r="A467" s="1"/>
      <c r="B467" s="1"/>
      <c r="C467" s="1"/>
      <c r="D467" s="1"/>
      <c r="E467" s="1"/>
      <c r="F467" s="1"/>
      <c r="G467" s="1"/>
      <c r="H467" s="1"/>
      <c r="I467" s="1"/>
      <c r="J467" s="1"/>
    </row>
    <row r="468" spans="1:10">
      <c r="A468" s="1"/>
      <c r="B468" s="1"/>
      <c r="C468" s="1"/>
      <c r="D468" s="1"/>
      <c r="E468" s="1"/>
      <c r="F468" s="1"/>
      <c r="G468" s="1"/>
      <c r="H468" s="1"/>
      <c r="I468" s="1"/>
      <c r="J468" s="1"/>
    </row>
    <row r="469" spans="1:10">
      <c r="A469" s="1"/>
      <c r="B469" s="1"/>
      <c r="C469" s="1"/>
      <c r="D469" s="1"/>
      <c r="E469" s="1"/>
      <c r="F469" s="1"/>
      <c r="G469" s="1"/>
      <c r="H469" s="1"/>
      <c r="I469" s="1"/>
      <c r="J469" s="1"/>
    </row>
    <row r="470" spans="1:10">
      <c r="A470" s="1"/>
      <c r="B470" s="1"/>
      <c r="C470" s="1"/>
      <c r="D470" s="1"/>
      <c r="E470" s="1"/>
      <c r="F470" s="1"/>
      <c r="G470" s="1"/>
      <c r="H470" s="1"/>
      <c r="I470" s="1"/>
      <c r="J470" s="1"/>
    </row>
    <row r="471" spans="1:10">
      <c r="A471" s="1"/>
      <c r="B471" s="1"/>
      <c r="C471" s="1"/>
      <c r="D471" s="1"/>
      <c r="E471" s="1"/>
      <c r="F471" s="1"/>
      <c r="G471" s="1"/>
      <c r="H471" s="1"/>
      <c r="I471" s="1"/>
      <c r="J471" s="1"/>
    </row>
    <row r="472" spans="1:10">
      <c r="A472" s="1"/>
      <c r="B472" s="1"/>
      <c r="C472" s="1"/>
      <c r="D472" s="1"/>
      <c r="E472" s="1"/>
      <c r="F472" s="1"/>
      <c r="G472" s="1"/>
      <c r="H472" s="1"/>
      <c r="I472" s="1"/>
      <c r="J472" s="1"/>
    </row>
    <row r="473" spans="1:10">
      <c r="A473" s="1"/>
      <c r="B473" s="1"/>
      <c r="C473" s="1"/>
      <c r="D473" s="1"/>
      <c r="E473" s="1"/>
      <c r="F473" s="1"/>
      <c r="G473" s="1"/>
      <c r="H473" s="1"/>
      <c r="I473" s="1"/>
      <c r="J473" s="1"/>
    </row>
    <row r="474" spans="1:10">
      <c r="A474" s="1"/>
      <c r="B474" s="1"/>
      <c r="C474" s="1"/>
      <c r="D474" s="1"/>
      <c r="E474" s="1"/>
      <c r="F474" s="1"/>
      <c r="G474" s="1"/>
      <c r="H474" s="1"/>
      <c r="I474" s="1"/>
      <c r="J474" s="1"/>
    </row>
    <row r="475" spans="1:10">
      <c r="A475" s="1"/>
      <c r="B475" s="1"/>
      <c r="C475" s="1"/>
      <c r="D475" s="1"/>
      <c r="E475" s="1"/>
      <c r="F475" s="1"/>
      <c r="G475" s="1"/>
      <c r="H475" s="1"/>
      <c r="I475" s="1"/>
      <c r="J475" s="1"/>
    </row>
    <row r="503" spans="1:10">
      <c r="A503" s="1"/>
      <c r="B503" s="1"/>
      <c r="C503" s="1"/>
      <c r="D503" s="1"/>
      <c r="E503" s="1"/>
      <c r="F503" s="1"/>
      <c r="G503" s="1"/>
      <c r="H503" s="1"/>
      <c r="I503" s="1"/>
      <c r="J503" s="1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1D982-3737-492C-8751-2B00E3CEDFBC}">
  <dimension ref="A1:K1"/>
  <sheetViews>
    <sheetView workbookViewId="0">
      <selection activeCell="D10" sqref="D10"/>
    </sheetView>
  </sheetViews>
  <sheetFormatPr defaultRowHeight="18.75"/>
  <sheetData>
    <row r="1" spans="1:11">
      <c r="A1" t="s">
        <v>93</v>
      </c>
      <c r="B1" t="s">
        <v>94</v>
      </c>
      <c r="C1" t="s">
        <v>104</v>
      </c>
      <c r="D1" t="s">
        <v>116</v>
      </c>
      <c r="E1" t="s">
        <v>106</v>
      </c>
      <c r="F1" t="s">
        <v>107</v>
      </c>
      <c r="G1" t="s">
        <v>103</v>
      </c>
      <c r="H1" t="s">
        <v>108</v>
      </c>
      <c r="I1" t="s">
        <v>95</v>
      </c>
      <c r="J1" t="s">
        <v>109</v>
      </c>
      <c r="K1" t="s">
        <v>110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Order_test</vt:lpstr>
      <vt:lpstr>Quotes</vt:lpstr>
      <vt:lpstr>MarketDes</vt:lpstr>
      <vt:lpstr>OrderIDList</vt:lpstr>
      <vt:lpstr>OrderList</vt:lpstr>
      <vt:lpstr>ExecutionList</vt:lpstr>
      <vt:lpstr>MarginPositionList</vt:lpstr>
      <vt:lpstr>LiveFeed</vt:lpstr>
      <vt:lpstr>Chart</vt:lpstr>
      <vt:lpstr>SymbolQuotes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鈴子剛志</dc:creator>
  <cp:lastModifiedBy>剛志 鈴子</cp:lastModifiedBy>
  <dcterms:created xsi:type="dcterms:W3CDTF">2015-06-05T18:19:34Z</dcterms:created>
  <dcterms:modified xsi:type="dcterms:W3CDTF">2026-10-19T08:29:25Z</dcterms:modified>
</cp:coreProperties>
</file>