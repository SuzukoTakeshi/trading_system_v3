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Data\"/>
    </mc:Choice>
  </mc:AlternateContent>
  <xr:revisionPtr revIDLastSave="0" documentId="13_ncr:1_{78F42333-808A-424A-88FE-702AF84CF781}" xr6:coauthVersionLast="47" xr6:coauthVersionMax="47" xr10:uidLastSave="{00000000-0000-0000-0000-000000000000}"/>
  <bookViews>
    <workbookView xWindow="30270" yWindow="3840" windowWidth="25845" windowHeight="11295" xr2:uid="{00000000-000D-0000-FFFF-FFFF00000000}"/>
  </bookViews>
  <sheets>
    <sheet name="Sheet1" sheetId="14" r:id="rId1"/>
    <sheet name="ORDER" sheetId="9" r:id="rId2"/>
    <sheet name="OrderList" sheetId="2" r:id="rId3"/>
    <sheet name="ExecutionList" sheetId="3" r:id="rId4"/>
    <sheet name="ExecutionList_0818" sheetId="13" r:id="rId5"/>
    <sheet name="PositionList" sheetId="4" r:id="rId6"/>
    <sheet name="PositionList_0818" sheetId="12" r:id="rId7"/>
    <sheet name="MarginPositionList" sheetId="5" r:id="rId8"/>
    <sheet name="MarginPositionList_0818" sheetId="11" r:id="rId9"/>
    <sheet name="RssMarket" sheetId="6" r:id="rId10"/>
    <sheet name="RssTickList" sheetId="7" r:id="rId11"/>
    <sheet name="RssBuyingPower" sheetId="8" r:id="rId12"/>
    <sheet name="RssMarginPower" sheetId="10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" i="14" l="1" a="1"/>
  <c r="AI4" i="14" a="1"/>
  <c r="AT4" i="14" a="1"/>
  <c r="BE4" i="14" a="1"/>
  <c r="BP4" i="14" a="1"/>
  <c r="CA4" i="14" a="1"/>
  <c r="CL4" i="14" a="1"/>
  <c r="CW4" i="14" a="1"/>
  <c r="DH4" i="14" a="1"/>
  <c r="DS4" i="14" a="1"/>
  <c r="ED4" i="14" a="1"/>
  <c r="EO4" i="14" a="1"/>
  <c r="Y4" i="14" a="1"/>
  <c r="AJ4" i="14" a="1"/>
  <c r="AU4" i="14" a="1"/>
  <c r="BF4" i="14" a="1"/>
  <c r="BQ4" i="14" a="1"/>
  <c r="CB4" i="14" a="1"/>
  <c r="CM4" i="14" a="1"/>
  <c r="CX4" i="14" a="1"/>
  <c r="DI4" i="14" a="1"/>
  <c r="DT4" i="14" a="1"/>
  <c r="EE4" i="14" a="1"/>
  <c r="EP4" i="14" a="1"/>
  <c r="AB4" i="14" a="1"/>
  <c r="AM4" i="14" a="1"/>
  <c r="AX4" i="14" a="1"/>
  <c r="BI4" i="14" a="1"/>
  <c r="BT4" i="14" a="1"/>
  <c r="CE4" i="14" a="1"/>
  <c r="CP4" i="14" a="1"/>
  <c r="DA4" i="14" a="1"/>
  <c r="DL4" i="14" a="1"/>
  <c r="DW4" i="14" a="1"/>
  <c r="EH4" i="14" a="1"/>
  <c r="ES4" i="14" a="1"/>
  <c r="AC4" i="14" a="1"/>
  <c r="AN4" i="14" a="1"/>
  <c r="AY4" i="14" a="1"/>
  <c r="BJ4" i="14" a="1"/>
  <c r="BU4" i="14" a="1"/>
  <c r="CF4" i="14" a="1"/>
  <c r="CQ4" i="14" a="1"/>
  <c r="DB4" i="14" a="1"/>
  <c r="DM4" i="14" a="1"/>
  <c r="DX4" i="14" a="1"/>
  <c r="EI4" i="14" a="1"/>
  <c r="AD4" i="14" a="1"/>
  <c r="AO4" i="14" a="1"/>
  <c r="AZ4" i="14" a="1"/>
  <c r="BK4" i="14" a="1"/>
  <c r="BV4" i="14" a="1"/>
  <c r="CG4" i="14" a="1"/>
  <c r="CR4" i="14" a="1"/>
  <c r="DC4" i="14" a="1"/>
  <c r="DN4" i="14" a="1"/>
  <c r="DY4" i="14" a="1"/>
  <c r="EJ4" i="14" a="1"/>
  <c r="AE4" i="14" a="1"/>
  <c r="AP4" i="14" a="1"/>
  <c r="BA4" i="14" a="1"/>
  <c r="BL4" i="14" a="1"/>
  <c r="BW4" i="14" a="1"/>
  <c r="CH4" i="14" a="1"/>
  <c r="CS4" i="14" a="1"/>
  <c r="DD4" i="14" a="1"/>
  <c r="DO4" i="14" a="1"/>
  <c r="DZ4" i="14" a="1"/>
  <c r="EK4" i="14" a="1"/>
  <c r="AF4" i="14" a="1"/>
  <c r="AQ4" i="14" a="1"/>
  <c r="BB4" i="14" a="1"/>
  <c r="BM4" i="14" a="1"/>
  <c r="BX4" i="14" a="1"/>
  <c r="CI4" i="14" a="1"/>
  <c r="CT4" i="14" a="1"/>
  <c r="DE4" i="14" a="1"/>
  <c r="DP4" i="14" a="1"/>
  <c r="EA4" i="14" a="1"/>
  <c r="EL4" i="14" a="1"/>
  <c r="W4" i="14" a="1"/>
  <c r="BG4" i="14" a="1"/>
  <c r="CJ4" i="14" a="1"/>
  <c r="DJ4" i="14" a="1"/>
  <c r="Z4" i="14" a="1"/>
  <c r="EM4" i="14" a="1"/>
  <c r="BH4" i="14" a="1"/>
  <c r="CK4" i="14" a="1"/>
  <c r="DK4" i="14" a="1"/>
  <c r="AA4" i="14" a="1"/>
  <c r="EN4" i="14" a="1"/>
  <c r="CN4" i="14" a="1"/>
  <c r="AG4" i="14" a="1"/>
  <c r="BN4" i="14" a="1"/>
  <c r="DQ4" i="14" a="1"/>
  <c r="EQ4" i="14" a="1"/>
  <c r="CO4" i="14" a="1"/>
  <c r="AH4" i="14" a="1"/>
  <c r="BO4" i="14" a="1"/>
  <c r="DR4" i="14" a="1"/>
  <c r="ER4" i="14" a="1"/>
  <c r="CY4" i="14" a="1"/>
  <c r="AV4" i="14" a="1"/>
  <c r="AW4" i="14" a="1"/>
  <c r="EF4" i="14" a="1"/>
  <c r="CD4" i="14" a="1"/>
  <c r="EG4" i="14" a="1"/>
  <c r="AK4" i="14" a="1"/>
  <c r="BR4" i="14" a="1"/>
  <c r="CU4" i="14" a="1"/>
  <c r="DU4" i="14" a="1"/>
  <c r="AL4" i="14" a="1"/>
  <c r="BS4" i="14" a="1"/>
  <c r="CV4" i="14" a="1"/>
  <c r="DV4" i="14" a="1"/>
  <c r="AR4" i="14" a="1"/>
  <c r="BY4" i="14" a="1"/>
  <c r="AS4" i="14" a="1"/>
  <c r="EB4" i="14" a="1"/>
  <c r="BZ4" i="14" a="1"/>
  <c r="CZ4" i="14" a="1"/>
  <c r="EC4" i="14" a="1"/>
  <c r="CC4" i="14" a="1"/>
  <c r="DF4" i="14" a="1"/>
  <c r="BC4" i="14" a="1"/>
  <c r="V4" i="14" a="1"/>
  <c r="DG4" i="14" a="1"/>
  <c r="BD4" i="14" a="1"/>
  <c r="N4" i="14" a="1"/>
  <c r="O4" i="14" a="1"/>
  <c r="P4" i="14" a="1"/>
  <c r="Q4" i="14" a="1"/>
  <c r="S4" i="14" a="1"/>
  <c r="T4" i="14" a="1"/>
  <c r="L4" i="14" a="1"/>
  <c r="R4" i="14" a="1"/>
  <c r="U4" i="14" a="1"/>
  <c r="M4" i="14" a="1"/>
  <c r="E4" i="14" a="1"/>
  <c r="I4" i="14" a="1"/>
  <c r="K4" i="14" a="1"/>
  <c r="F4" i="14" a="1"/>
  <c r="H4" i="14" a="1"/>
  <c r="J4" i="14" a="1"/>
  <c r="G4" i="14" a="1"/>
  <c r="D4" i="14" a="1"/>
  <c r="C4" i="14" a="1"/>
  <c r="B4" i="14" a="1"/>
  <c r="D2" i="14" a="1"/>
  <c r="BD4" i="14" l="1"/>
  <c r="DG4" i="14"/>
  <c r="V4" i="14"/>
  <c r="BC4" i="14"/>
  <c r="DF4" i="14"/>
  <c r="CC4" i="14"/>
  <c r="EC4" i="14"/>
  <c r="CZ4" i="14"/>
  <c r="BZ4" i="14"/>
  <c r="EB4" i="14"/>
  <c r="AS4" i="14"/>
  <c r="BY4" i="14"/>
  <c r="AR4" i="14"/>
  <c r="DV4" i="14"/>
  <c r="CV4" i="14"/>
  <c r="BS4" i="14"/>
  <c r="AL4" i="14"/>
  <c r="DU4" i="14"/>
  <c r="CU4" i="14"/>
  <c r="BR4" i="14"/>
  <c r="AK4" i="14"/>
  <c r="EG4" i="14"/>
  <c r="CD4" i="14"/>
  <c r="EF4" i="14"/>
  <c r="AW4" i="14"/>
  <c r="AV4" i="14"/>
  <c r="CY4" i="14"/>
  <c r="ER4" i="14"/>
  <c r="DR4" i="14"/>
  <c r="BO4" i="14"/>
  <c r="AH4" i="14"/>
  <c r="CO4" i="14"/>
  <c r="EQ4" i="14"/>
  <c r="DQ4" i="14"/>
  <c r="BN4" i="14"/>
  <c r="AG4" i="14"/>
  <c r="CN4" i="14"/>
  <c r="EN4" i="14"/>
  <c r="AA4" i="14"/>
  <c r="DK4" i="14"/>
  <c r="CK4" i="14"/>
  <c r="BH4" i="14"/>
  <c r="EM4" i="14"/>
  <c r="Z4" i="14"/>
  <c r="DJ4" i="14"/>
  <c r="CJ4" i="14"/>
  <c r="BG4" i="14"/>
  <c r="W4" i="14"/>
  <c r="EL4" i="14"/>
  <c r="EA4" i="14"/>
  <c r="DP4" i="14"/>
  <c r="DE4" i="14"/>
  <c r="CT4" i="14"/>
  <c r="CI4" i="14"/>
  <c r="BX4" i="14"/>
  <c r="BM4" i="14"/>
  <c r="BB4" i="14"/>
  <c r="AQ4" i="14"/>
  <c r="AF4" i="14"/>
  <c r="EK4" i="14"/>
  <c r="DZ4" i="14"/>
  <c r="DO4" i="14"/>
  <c r="DD4" i="14"/>
  <c r="CS4" i="14"/>
  <c r="CH4" i="14"/>
  <c r="BW4" i="14"/>
  <c r="BL4" i="14"/>
  <c r="BA4" i="14"/>
  <c r="AP4" i="14"/>
  <c r="AE4" i="14"/>
  <c r="EJ4" i="14"/>
  <c r="DY4" i="14"/>
  <c r="DN4" i="14"/>
  <c r="DC4" i="14"/>
  <c r="CR4" i="14"/>
  <c r="CG4" i="14"/>
  <c r="BV4" i="14"/>
  <c r="BK4" i="14"/>
  <c r="AZ4" i="14"/>
  <c r="AO4" i="14"/>
  <c r="AD4" i="14"/>
  <c r="EI4" i="14"/>
  <c r="DX4" i="14"/>
  <c r="DM4" i="14"/>
  <c r="DB4" i="14"/>
  <c r="CQ4" i="14"/>
  <c r="CF4" i="14"/>
  <c r="BU4" i="14"/>
  <c r="BJ4" i="14"/>
  <c r="AY4" i="14"/>
  <c r="AN4" i="14"/>
  <c r="AC4" i="14"/>
  <c r="ES4" i="14"/>
  <c r="EH4" i="14"/>
  <c r="DW4" i="14"/>
  <c r="DL4" i="14"/>
  <c r="DA4" i="14"/>
  <c r="CP4" i="14"/>
  <c r="CE4" i="14"/>
  <c r="BT4" i="14"/>
  <c r="BI4" i="14"/>
  <c r="AX4" i="14"/>
  <c r="AM4" i="14"/>
  <c r="AB4" i="14"/>
  <c r="EP4" i="14"/>
  <c r="EE4" i="14"/>
  <c r="DT4" i="14"/>
  <c r="DI4" i="14"/>
  <c r="CX4" i="14"/>
  <c r="CM4" i="14"/>
  <c r="CB4" i="14"/>
  <c r="BQ4" i="14"/>
  <c r="BF4" i="14"/>
  <c r="AU4" i="14"/>
  <c r="AJ4" i="14"/>
  <c r="Y4" i="14"/>
  <c r="EO4" i="14"/>
  <c r="ED4" i="14"/>
  <c r="DS4" i="14"/>
  <c r="DH4" i="14"/>
  <c r="CW4" i="14"/>
  <c r="CL4" i="14"/>
  <c r="CA4" i="14"/>
  <c r="BP4" i="14"/>
  <c r="BE4" i="14"/>
  <c r="AT4" i="14"/>
  <c r="AI4" i="14"/>
  <c r="X4" i="14"/>
  <c r="M4" i="14"/>
  <c r="U4" i="14"/>
  <c r="R4" i="14"/>
  <c r="L4" i="14"/>
  <c r="T4" i="14"/>
  <c r="S4" i="14"/>
  <c r="Q4" i="14"/>
  <c r="P4" i="14"/>
  <c r="O4" i="14"/>
  <c r="N4" i="14"/>
  <c r="G4" i="14"/>
  <c r="J4" i="14"/>
  <c r="H4" i="14"/>
  <c r="F4" i="14"/>
  <c r="K4" i="14"/>
  <c r="I4" i="14"/>
  <c r="E4" i="14"/>
  <c r="D4" i="14"/>
  <c r="C4" i="14"/>
  <c r="B4" i="14"/>
  <c r="D2" i="14"/>
  <c r="E2" i="14" a="1"/>
  <c r="E2" i="14" l="1"/>
  <c r="B1" i="14" a="1"/>
  <c r="ES2" i="14" a="1"/>
  <c r="ER2" i="14" a="1"/>
  <c r="EQ2" i="14" a="1"/>
  <c r="EP2" i="14" a="1"/>
  <c r="EO2" i="14" a="1"/>
  <c r="EN2" i="14" a="1"/>
  <c r="EM2" i="14" a="1"/>
  <c r="EL2" i="14" a="1"/>
  <c r="EK2" i="14" a="1"/>
  <c r="EJ2" i="14" a="1"/>
  <c r="EI2" i="14" a="1"/>
  <c r="EH2" i="14" a="1"/>
  <c r="EG2" i="14" a="1"/>
  <c r="EF2" i="14" a="1"/>
  <c r="EE2" i="14" a="1"/>
  <c r="ED2" i="14" a="1"/>
  <c r="EC2" i="14" a="1"/>
  <c r="EB2" i="14" a="1"/>
  <c r="EA2" i="14" a="1"/>
  <c r="DZ2" i="14" a="1"/>
  <c r="DY2" i="14" a="1"/>
  <c r="DX2" i="14" a="1"/>
  <c r="DW2" i="14" a="1"/>
  <c r="DV2" i="14" a="1"/>
  <c r="DU2" i="14" a="1"/>
  <c r="DT2" i="14" a="1"/>
  <c r="DS2" i="14" a="1"/>
  <c r="DR2" i="14" a="1"/>
  <c r="DQ2" i="14" a="1"/>
  <c r="DP2" i="14" a="1"/>
  <c r="DO2" i="14" a="1"/>
  <c r="DN2" i="14" a="1"/>
  <c r="DM2" i="14" a="1"/>
  <c r="DL2" i="14" a="1"/>
  <c r="DK2" i="14" a="1"/>
  <c r="DJ2" i="14" a="1"/>
  <c r="DI2" i="14" a="1"/>
  <c r="DH2" i="14" a="1"/>
  <c r="DG2" i="14" a="1"/>
  <c r="DF2" i="14" a="1"/>
  <c r="DE2" i="14" a="1"/>
  <c r="DD2" i="14" a="1"/>
  <c r="DC2" i="14" a="1"/>
  <c r="DB2" i="14" a="1"/>
  <c r="DA2" i="14" a="1"/>
  <c r="CZ2" i="14" a="1"/>
  <c r="CY2" i="14" a="1"/>
  <c r="CX2" i="14" a="1"/>
  <c r="CW2" i="14" a="1"/>
  <c r="CV2" i="14" a="1"/>
  <c r="CU2" i="14" a="1"/>
  <c r="CT2" i="14" a="1"/>
  <c r="CS2" i="14" a="1"/>
  <c r="CR2" i="14" a="1"/>
  <c r="CQ2" i="14" a="1"/>
  <c r="CP2" i="14" a="1"/>
  <c r="CO2" i="14" a="1"/>
  <c r="CN2" i="14" a="1"/>
  <c r="CM2" i="14" a="1"/>
  <c r="CL2" i="14" a="1"/>
  <c r="CK2" i="14" a="1"/>
  <c r="CJ2" i="14" a="1"/>
  <c r="CI2" i="14" a="1"/>
  <c r="CH2" i="14" a="1"/>
  <c r="CG2" i="14" a="1"/>
  <c r="CF2" i="14" a="1"/>
  <c r="CE2" i="14" a="1"/>
  <c r="CD2" i="14" a="1"/>
  <c r="CC2" i="14" a="1"/>
  <c r="CB2" i="14" a="1"/>
  <c r="CA2" i="14" a="1"/>
  <c r="BZ2" i="14" a="1"/>
  <c r="BY2" i="14" a="1"/>
  <c r="BX2" i="14" a="1"/>
  <c r="BW2" i="14" a="1"/>
  <c r="BV2" i="14" a="1"/>
  <c r="BU2" i="14" a="1"/>
  <c r="BT2" i="14" a="1"/>
  <c r="BS2" i="14" a="1"/>
  <c r="BR2" i="14" a="1"/>
  <c r="BQ2" i="14" a="1"/>
  <c r="BP2" i="14" a="1"/>
  <c r="BO2" i="14" a="1"/>
  <c r="BN2" i="14" a="1"/>
  <c r="BM2" i="14" a="1"/>
  <c r="BL2" i="14" a="1"/>
  <c r="BK2" i="14" a="1"/>
  <c r="BJ2" i="14" a="1"/>
  <c r="BI2" i="14" a="1"/>
  <c r="BH2" i="14" a="1"/>
  <c r="BG2" i="14" a="1"/>
  <c r="BF2" i="14" a="1"/>
  <c r="BE2" i="14" a="1"/>
  <c r="BD2" i="14" a="1"/>
  <c r="BC2" i="14" a="1"/>
  <c r="BB2" i="14" a="1"/>
  <c r="BA2" i="14" a="1"/>
  <c r="AZ2" i="14" a="1"/>
  <c r="AY2" i="14" a="1"/>
  <c r="AX2" i="14" a="1"/>
  <c r="AW2" i="14" a="1"/>
  <c r="AV2" i="14" a="1"/>
  <c r="AU2" i="14" a="1"/>
  <c r="AT2" i="14" a="1"/>
  <c r="AS2" i="14" a="1"/>
  <c r="AR2" i="14" a="1"/>
  <c r="AQ2" i="14" a="1"/>
  <c r="AP2" i="14" a="1"/>
  <c r="AO2" i="14" a="1"/>
  <c r="AN2" i="14" a="1"/>
  <c r="AM2" i="14" a="1"/>
  <c r="AL2" i="14" a="1"/>
  <c r="AK2" i="14" a="1"/>
  <c r="AJ2" i="14" a="1"/>
  <c r="AI2" i="14" a="1"/>
  <c r="AH2" i="14" a="1"/>
  <c r="AG2" i="14" a="1"/>
  <c r="AF2" i="14" a="1"/>
  <c r="AE2" i="14" a="1"/>
  <c r="AD2" i="14" a="1"/>
  <c r="AC2" i="14" a="1"/>
  <c r="AB2" i="14" a="1"/>
  <c r="AA2" i="14" a="1"/>
  <c r="Z2" i="14" a="1"/>
  <c r="Y2" i="14" a="1"/>
  <c r="X2" i="14" a="1"/>
  <c r="W2" i="14" a="1"/>
  <c r="V2" i="14" a="1"/>
  <c r="U2" i="14" a="1"/>
  <c r="T2" i="14" a="1"/>
  <c r="S2" i="14" a="1"/>
  <c r="R2" i="14" a="1"/>
  <c r="Q2" i="14" a="1"/>
  <c r="P2" i="14" a="1"/>
  <c r="O2" i="14" a="1"/>
  <c r="N2" i="14" a="1"/>
  <c r="M2" i="14" a="1"/>
  <c r="L2" i="14" a="1"/>
  <c r="K2" i="14" a="1"/>
  <c r="J2" i="14" a="1"/>
  <c r="I2" i="14" a="1"/>
  <c r="H2" i="14" a="1"/>
  <c r="G2" i="14" a="1"/>
  <c r="F2" i="14" a="1"/>
  <c r="C2" i="14" a="1"/>
  <c r="B2" i="14" a="1"/>
  <c r="A7" i="10" a="1"/>
  <c r="A1" i="2" a="1"/>
  <c r="A1" i="5" a="1"/>
  <c r="A1" i="10" a="1"/>
  <c r="A1" i="7" a="1"/>
  <c r="A1" i="4" a="1"/>
  <c r="A1" i="8" a="1"/>
  <c r="A1" i="3" a="1"/>
  <c r="AY2" i="6" a="1"/>
  <c r="AM2" i="6" a="1"/>
  <c r="CX2" i="6" a="1"/>
  <c r="Z2" i="6" a="1"/>
  <c r="I2" i="6" a="1"/>
  <c r="AT2" i="6" a="1"/>
  <c r="W2" i="6" a="1"/>
  <c r="H2" i="6" a="1"/>
  <c r="AJ2" i="6" a="1"/>
  <c r="BI2" i="6" a="1"/>
  <c r="CP2" i="6" a="1"/>
  <c r="CE2" i="6" a="1"/>
  <c r="EG2" i="6" a="1"/>
  <c r="BT2" i="6" a="1"/>
  <c r="DT2" i="6" a="1"/>
  <c r="EC2" i="6" a="1"/>
  <c r="CN2" i="6" a="1"/>
  <c r="DN2" i="6" a="1"/>
  <c r="CL2" i="6" a="1"/>
  <c r="CO2" i="6" a="1"/>
  <c r="EF2" i="6" a="1"/>
  <c r="N2" i="6" a="1"/>
  <c r="CV2" i="6" a="1"/>
  <c r="DI2" i="6" a="1"/>
  <c r="BZ2" i="6" a="1"/>
  <c r="E2" i="6" a="1"/>
  <c r="AN2" i="6" a="1"/>
  <c r="BU2" i="6" a="1"/>
  <c r="BM2" i="6" a="1"/>
  <c r="AC2" i="6" a="1"/>
  <c r="DG2" i="6" a="1"/>
  <c r="BS2" i="6" a="1"/>
  <c r="DH2" i="6" a="1"/>
  <c r="DW2" i="6" a="1"/>
  <c r="CS2" i="6" a="1"/>
  <c r="ED2" i="6" a="1"/>
  <c r="BA2" i="6" a="1"/>
  <c r="DY2" i="6" a="1"/>
  <c r="AG2" i="6" a="1"/>
  <c r="ER2" i="6" a="1"/>
  <c r="AE2" i="6" a="1"/>
  <c r="EH2" i="6" a="1"/>
  <c r="CB2" i="6" a="1"/>
  <c r="M2" i="6" a="1"/>
  <c r="EP2" i="6" a="1"/>
  <c r="DK2" i="6" a="1"/>
  <c r="BL2" i="6" a="1"/>
  <c r="R2" i="6" a="1"/>
  <c r="AZ2" i="6" a="1"/>
  <c r="CJ2" i="6" a="1"/>
  <c r="AA2" i="6" a="1"/>
  <c r="CT2" i="6" a="1"/>
  <c r="AP2" i="6" a="1"/>
  <c r="AI2" i="6" a="1"/>
  <c r="DO2" i="6" a="1"/>
  <c r="P2" i="6" a="1"/>
  <c r="BO2" i="6" a="1"/>
  <c r="AD2" i="6" a="1"/>
  <c r="CK2" i="6" a="1"/>
  <c r="DX2" i="6" a="1"/>
  <c r="BD2" i="6" a="1"/>
  <c r="DR2" i="6" a="1"/>
  <c r="L2" i="6" a="1"/>
  <c r="AL2" i="6" a="1"/>
  <c r="EM2" i="6" a="1"/>
  <c r="BH2" i="6" a="1"/>
  <c r="O2" i="6" a="1"/>
  <c r="EO2" i="6" a="1"/>
  <c r="AW2" i="6" a="1"/>
  <c r="DQ2" i="6" a="1"/>
  <c r="AV2" i="6" a="1"/>
  <c r="BV2" i="6" a="1"/>
  <c r="AO2" i="6" a="1"/>
  <c r="AB2" i="6" a="1"/>
  <c r="BY2" i="6" a="1"/>
  <c r="DP2" i="6" a="1"/>
  <c r="CR2" i="6" a="1"/>
  <c r="CC2" i="6" a="1"/>
  <c r="EB2" i="6" a="1"/>
  <c r="Q2" i="6" a="1"/>
  <c r="DA2" i="6" a="1"/>
  <c r="A2" i="6" a="1"/>
  <c r="DS2" i="6" a="1"/>
  <c r="CQ2" i="6" a="1"/>
  <c r="DC2" i="6" a="1"/>
  <c r="EJ2" i="6" a="1"/>
  <c r="BB2" i="6" a="1"/>
  <c r="EE2" i="6" a="1"/>
  <c r="CU2" i="6" a="1"/>
  <c r="DL2" i="6" a="1"/>
  <c r="EK2" i="6" a="1"/>
  <c r="BJ2" i="6" a="1"/>
  <c r="CA2" i="6" a="1"/>
  <c r="G2" i="6" a="1"/>
  <c r="DF2" i="6" a="1"/>
  <c r="CZ2" i="6" a="1"/>
  <c r="EA2" i="6" a="1"/>
  <c r="V2" i="6" a="1"/>
  <c r="DU2" i="6" a="1"/>
  <c r="S2" i="6" a="1"/>
  <c r="BR2" i="6" a="1"/>
  <c r="BP2" i="6" a="1"/>
  <c r="DB2" i="6" a="1"/>
  <c r="AU2" i="6" a="1"/>
  <c r="BN2" i="6" a="1"/>
  <c r="AS2" i="6" a="1"/>
  <c r="DD2" i="6" a="1"/>
  <c r="DJ2" i="6" a="1"/>
  <c r="K2" i="6" a="1"/>
  <c r="BQ2" i="6" a="1"/>
  <c r="T2" i="6" a="1"/>
  <c r="BW2" i="6" a="1"/>
  <c r="DV2" i="6" a="1"/>
  <c r="BC2" i="6" a="1"/>
  <c r="BX2" i="6" a="1"/>
  <c r="Y2" i="6" a="1"/>
  <c r="BG2" i="6" a="1"/>
  <c r="DZ2" i="6" a="1"/>
  <c r="CI2" i="6" a="1"/>
  <c r="F2" i="6" a="1"/>
  <c r="X2" i="6" a="1"/>
  <c r="EL2" i="6" a="1"/>
  <c r="BF2" i="6" a="1"/>
  <c r="AR2" i="6" a="1"/>
  <c r="CW2" i="6" a="1"/>
  <c r="BK2" i="6" a="1"/>
  <c r="AQ2" i="6" a="1"/>
  <c r="CF2" i="6" a="1"/>
  <c r="U2" i="6" a="1"/>
  <c r="DE2" i="6" a="1"/>
  <c r="J2" i="6" a="1"/>
  <c r="CD2" i="6" a="1"/>
  <c r="AF2" i="6" a="1"/>
  <c r="DM2" i="6" a="1"/>
  <c r="EI2" i="6" a="1"/>
  <c r="CY2" i="6" a="1"/>
  <c r="AX2" i="6" a="1"/>
  <c r="AH2" i="6" a="1"/>
  <c r="EQ2" i="6" a="1"/>
  <c r="CG2" i="6" a="1"/>
  <c r="CM2" i="6" a="1"/>
  <c r="D2" i="6" a="1"/>
  <c r="C2" i="6" a="1"/>
  <c r="B2" i="6" a="1"/>
  <c r="BE2" i="6" a="1"/>
  <c r="EN2" i="6" a="1"/>
  <c r="CH2" i="6" a="1"/>
  <c r="AK2" i="6" a="1"/>
  <c r="B1" i="14" l="1"/>
  <c r="ES2" i="14"/>
  <c r="ER2" i="14"/>
  <c r="EQ2" i="14"/>
  <c r="EP2" i="14"/>
  <c r="EO2" i="14"/>
  <c r="EN2" i="14"/>
  <c r="EM2" i="14"/>
  <c r="EL2" i="14"/>
  <c r="EK2" i="14"/>
  <c r="EJ2" i="14"/>
  <c r="EI2" i="14"/>
  <c r="EH2" i="14"/>
  <c r="EG2" i="14"/>
  <c r="EF2" i="14"/>
  <c r="EE2" i="14"/>
  <c r="ED2" i="14"/>
  <c r="EC2" i="14"/>
  <c r="EB2" i="14"/>
  <c r="EA2" i="14"/>
  <c r="DZ2" i="14"/>
  <c r="DY2" i="14"/>
  <c r="DX2" i="14"/>
  <c r="DW2" i="14"/>
  <c r="DV2" i="14"/>
  <c r="DU2" i="14"/>
  <c r="DT2" i="14"/>
  <c r="DS2" i="14"/>
  <c r="DR2" i="14"/>
  <c r="DQ2" i="14"/>
  <c r="DP2" i="14"/>
  <c r="DO2" i="14"/>
  <c r="DN2" i="14"/>
  <c r="DM2" i="14"/>
  <c r="DL2" i="14"/>
  <c r="DK2" i="14"/>
  <c r="DJ2" i="14"/>
  <c r="DI2" i="14"/>
  <c r="DH2" i="14"/>
  <c r="DG2" i="14"/>
  <c r="DF2" i="14"/>
  <c r="DE2" i="14"/>
  <c r="DD2" i="14"/>
  <c r="DC2" i="14"/>
  <c r="DB2" i="14"/>
  <c r="DA2" i="14"/>
  <c r="CZ2" i="14"/>
  <c r="CY2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I2" i="14"/>
  <c r="CH2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R2" i="14"/>
  <c r="BQ2" i="14"/>
  <c r="BP2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C2" i="14"/>
  <c r="B2" i="14"/>
  <c r="A7" i="10"/>
  <c r="A1" i="2"/>
  <c r="A1" i="5"/>
  <c r="A1" i="10"/>
  <c r="A1" i="7"/>
  <c r="A1" i="4"/>
  <c r="A1" i="8"/>
  <c r="A1" i="3"/>
  <c r="AK2" i="6"/>
  <c r="CH2" i="6"/>
  <c r="EN2" i="6"/>
  <c r="BE2" i="6"/>
  <c r="B2" i="6"/>
  <c r="C2" i="6"/>
  <c r="D2" i="6"/>
  <c r="CM2" i="6"/>
  <c r="CG2" i="6"/>
  <c r="EQ2" i="6"/>
  <c r="AH2" i="6"/>
  <c r="AX2" i="6"/>
  <c r="CY2" i="6"/>
  <c r="EI2" i="6"/>
  <c r="DM2" i="6"/>
  <c r="AF2" i="6"/>
  <c r="CD2" i="6"/>
  <c r="J2" i="6"/>
  <c r="DE2" i="6"/>
  <c r="U2" i="6"/>
  <c r="CF2" i="6"/>
  <c r="AQ2" i="6"/>
  <c r="BK2" i="6"/>
  <c r="CW2" i="6"/>
  <c r="AR2" i="6"/>
  <c r="BF2" i="6"/>
  <c r="EL2" i="6"/>
  <c r="X2" i="6"/>
  <c r="F2" i="6"/>
  <c r="CI2" i="6"/>
  <c r="DZ2" i="6"/>
  <c r="BG2" i="6"/>
  <c r="Y2" i="6"/>
  <c r="BX2" i="6"/>
  <c r="BC2" i="6"/>
  <c r="DV2" i="6"/>
  <c r="BW2" i="6"/>
  <c r="T2" i="6"/>
  <c r="BQ2" i="6"/>
  <c r="K2" i="6"/>
  <c r="DJ2" i="6"/>
  <c r="DD2" i="6"/>
  <c r="AS2" i="6"/>
  <c r="BN2" i="6"/>
  <c r="AU2" i="6"/>
  <c r="DB2" i="6"/>
  <c r="BP2" i="6"/>
  <c r="BR2" i="6"/>
  <c r="S2" i="6"/>
  <c r="DU2" i="6"/>
  <c r="V2" i="6"/>
  <c r="EA2" i="6"/>
  <c r="CZ2" i="6"/>
  <c r="DF2" i="6"/>
  <c r="G2" i="6"/>
  <c r="CA2" i="6"/>
  <c r="BJ2" i="6"/>
  <c r="EK2" i="6"/>
  <c r="DL2" i="6"/>
  <c r="CU2" i="6"/>
  <c r="EE2" i="6"/>
  <c r="BB2" i="6"/>
  <c r="EJ2" i="6"/>
  <c r="DC2" i="6"/>
  <c r="CQ2" i="6"/>
  <c r="DS2" i="6"/>
  <c r="A2" i="6"/>
  <c r="DA2" i="6"/>
  <c r="Q2" i="6"/>
  <c r="EB2" i="6"/>
  <c r="CC2" i="6"/>
  <c r="CR2" i="6"/>
  <c r="DP2" i="6"/>
  <c r="BY2" i="6"/>
  <c r="AB2" i="6"/>
  <c r="AO2" i="6"/>
  <c r="BV2" i="6"/>
  <c r="AV2" i="6"/>
  <c r="DQ2" i="6"/>
  <c r="AW2" i="6"/>
  <c r="EO2" i="6"/>
  <c r="O2" i="6"/>
  <c r="BH2" i="6"/>
  <c r="EM2" i="6"/>
  <c r="AL2" i="6"/>
  <c r="L2" i="6"/>
  <c r="DR2" i="6"/>
  <c r="BD2" i="6"/>
  <c r="DX2" i="6"/>
  <c r="CK2" i="6"/>
  <c r="AD2" i="6"/>
  <c r="BO2" i="6"/>
  <c r="P2" i="6"/>
  <c r="DO2" i="6"/>
  <c r="AI2" i="6"/>
  <c r="AP2" i="6"/>
  <c r="CT2" i="6"/>
  <c r="AA2" i="6"/>
  <c r="CJ2" i="6"/>
  <c r="AZ2" i="6"/>
  <c r="R2" i="6"/>
  <c r="BL2" i="6"/>
  <c r="DK2" i="6"/>
  <c r="EP2" i="6"/>
  <c r="M2" i="6"/>
  <c r="CB2" i="6"/>
  <c r="EH2" i="6"/>
  <c r="AE2" i="6"/>
  <c r="ER2" i="6"/>
  <c r="AG2" i="6"/>
  <c r="DY2" i="6"/>
  <c r="BA2" i="6"/>
  <c r="ED2" i="6"/>
  <c r="CS2" i="6"/>
  <c r="DW2" i="6"/>
  <c r="DH2" i="6"/>
  <c r="BS2" i="6"/>
  <c r="DG2" i="6"/>
  <c r="AC2" i="6"/>
  <c r="BM2" i="6"/>
  <c r="BU2" i="6"/>
  <c r="AN2" i="6"/>
  <c r="E2" i="6"/>
  <c r="BZ2" i="6"/>
  <c r="DI2" i="6"/>
  <c r="CV2" i="6"/>
  <c r="N2" i="6"/>
  <c r="EF2" i="6"/>
  <c r="CO2" i="6"/>
  <c r="CL2" i="6"/>
  <c r="DN2" i="6"/>
  <c r="CN2" i="6"/>
  <c r="EC2" i="6"/>
  <c r="DT2" i="6"/>
  <c r="BT2" i="6"/>
  <c r="EG2" i="6"/>
  <c r="CE2" i="6"/>
  <c r="CP2" i="6"/>
  <c r="BI2" i="6"/>
  <c r="AJ2" i="6"/>
  <c r="H2" i="6"/>
  <c r="W2" i="6"/>
  <c r="AT2" i="6"/>
  <c r="I2" i="6"/>
  <c r="Z2" i="6"/>
  <c r="CX2" i="6"/>
  <c r="AM2" i="6"/>
  <c r="AY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<sst xmlns="http://schemas.openxmlformats.org/spreadsheetml/2006/main" count="6171" uniqueCount="706">
  <si>
    <t>注文番号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</si>
  <si>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</si>
  <si>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</si>
  <si>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</si>
  <si>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</si>
  <si>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</si>
  <si>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</si>
  <si>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</si>
  <si>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</si>
  <si>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</si>
  <si>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</si>
  <si>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発注/受注日時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</si>
  <si>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</si>
  <si>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</si>
  <si>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</si>
  <si>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</si>
  <si>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</si>
  <si>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</si>
  <si>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</si>
  <si>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</si>
  <si>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</si>
  <si>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</si>
  <si>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</si>
  <si>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</si>
  <si>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</si>
  <si>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</si>
  <si>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</si>
  <si>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</si>
  <si>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</si>
  <si>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</si>
  <si>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</si>
  <si>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</si>
  <si>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</si>
  <si>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買建</t>
  </si>
  <si>
    <t>約定日</t>
  </si>
  <si>
    <t>受渡日</t>
  </si>
  <si>
    <t>約定単価</t>
  </si>
  <si>
    <t>約定代金</t>
  </si>
  <si>
    <t>特別空売り料</t>
  </si>
  <si>
    <t>ＱＤレーザ</t>
    <phoneticPr fontId="1"/>
  </si>
  <si>
    <t>特定</t>
    <phoneticPr fontId="1"/>
  </si>
  <si>
    <t>JAX</t>
  </si>
  <si>
    <t>JAX</t>
    <phoneticPr fontId="1"/>
  </si>
  <si>
    <t>一般</t>
    <phoneticPr fontId="1"/>
  </si>
  <si>
    <t>1日</t>
    <phoneticPr fontId="1"/>
  </si>
  <si>
    <t>信用新規</t>
    <phoneticPr fontId="1"/>
  </si>
  <si>
    <t>買建</t>
    <phoneticPr fontId="1"/>
  </si>
  <si>
    <t>東証</t>
    <phoneticPr fontId="1"/>
  </si>
  <si>
    <t>信用返済</t>
    <phoneticPr fontId="1"/>
  </si>
  <si>
    <t>売埋</t>
    <phoneticPr fontId="1"/>
  </si>
  <si>
    <t>源徴あり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</si>
  <si>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</si>
  <si>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</si>
  <si>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</si>
  <si>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</si>
  <si>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</si>
  <si>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</si>
  <si>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</si>
  <si>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</si>
  <si>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</si>
  <si>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</si>
  <si>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</si>
  <si>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</si>
  <si>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</si>
  <si>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</si>
  <si>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</si>
  <si>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</si>
  <si>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</si>
  <si>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決算</t>
  </si>
  <si>
    <t>NISA</t>
  </si>
  <si>
    <t>三井金属</t>
  </si>
  <si>
    <t>フジクラ</t>
  </si>
  <si>
    <t>ジェイ・イー・テ</t>
  </si>
  <si>
    <t>富士通</t>
  </si>
  <si>
    <t>アドバンテスト</t>
  </si>
  <si>
    <t>レーザーテック</t>
  </si>
  <si>
    <t>村田製作所</t>
  </si>
  <si>
    <t>任　天　堂</t>
  </si>
  <si>
    <t>サンリオ</t>
  </si>
  <si>
    <t>イオン</t>
  </si>
  <si>
    <t>285A</t>
    <phoneticPr fontId="1"/>
  </si>
  <si>
    <t>キオクシアホールディングス</t>
    <phoneticPr fontId="1"/>
  </si>
  <si>
    <t>NISA</t>
    <phoneticPr fontId="1"/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</si>
  <si>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</si>
  <si>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</si>
  <si>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</si>
  <si>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</si>
  <si>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</si>
  <si>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</si>
  <si>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</si>
  <si>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ＪＸ金属</t>
  </si>
  <si>
    <t>制度</t>
  </si>
  <si>
    <t>6ヶ月</t>
  </si>
  <si>
    <t>ソフトバンクグループ</t>
  </si>
  <si>
    <t>時刻</t>
  </si>
  <si>
    <t>出来高</t>
  </si>
  <si>
    <t>約定値</t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</si>
  <si>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</si>
  <si>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</si>
  <si>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</si>
  <si>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</si>
  <si>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ＮＴＴ</t>
    <phoneticPr fontId="1"/>
  </si>
  <si>
    <t>買</t>
  </si>
  <si>
    <t>OrderID</t>
    <phoneticPr fontId="2"/>
  </si>
  <si>
    <t>銘柄名</t>
    <rPh sb="0" eb="2">
      <t>メイガラ</t>
    </rPh>
    <rPh sb="2" eb="3">
      <t>メイ</t>
    </rPh>
    <phoneticPr fontId="2"/>
  </si>
  <si>
    <t>銘柄コード</t>
    <phoneticPr fontId="2"/>
  </si>
  <si>
    <t>売買（買/売）</t>
    <phoneticPr fontId="2"/>
  </si>
  <si>
    <t>数量</t>
    <rPh sb="0" eb="2">
      <t>スウリョウ</t>
    </rPh>
    <phoneticPr fontId="2"/>
  </si>
  <si>
    <t>状態</t>
    <rPh sb="0" eb="2">
      <t>ジョウタイ</t>
    </rPh>
    <phoneticPr fontId="2"/>
  </si>
  <si>
    <t>結果</t>
    <rPh sb="0" eb="2">
      <t>ケッカ</t>
    </rPh>
    <phoneticPr fontId="2"/>
  </si>
  <si>
    <t>時刻</t>
    <rPh sb="0" eb="2">
      <t>ジコク</t>
    </rPh>
    <phoneticPr fontId="2"/>
  </si>
  <si>
    <t>価格（指値）</t>
    <phoneticPr fontId="2"/>
  </si>
  <si>
    <t>注文番号</t>
    <phoneticPr fontId="1"/>
  </si>
  <si>
    <t>DEBUG</t>
    <phoneticPr fontId="2"/>
  </si>
  <si>
    <t>RSS260722001</t>
    <phoneticPr fontId="1"/>
  </si>
  <si>
    <t>15:30:00</t>
    <phoneticPr fontId="1"/>
  </si>
  <si>
    <t>15:24:59</t>
    <phoneticPr fontId="1"/>
  </si>
  <si>
    <t>15:24:58</t>
    <phoneticPr fontId="1"/>
  </si>
  <si>
    <t>15:24:57</t>
    <phoneticPr fontId="1"/>
  </si>
  <si>
    <t>15:24:56</t>
    <phoneticPr fontId="1"/>
  </si>
  <si>
    <t>15:24:55</t>
    <phoneticPr fontId="1"/>
  </si>
  <si>
    <t>15:24:54</t>
    <phoneticPr fontId="1"/>
  </si>
  <si>
    <t>--------</t>
    <phoneticPr fontId="1"/>
  </si>
  <si>
    <t>15:24:53</t>
    <phoneticPr fontId="1"/>
  </si>
  <si>
    <t>現物買付可能額</t>
  </si>
  <si>
    <t>余力情報</t>
    <rPh sb="0" eb="2">
      <t>ヨリョク</t>
    </rPh>
    <rPh sb="2" eb="4">
      <t>ジョウホウ</t>
    </rPh>
    <phoneticPr fontId="1"/>
  </si>
  <si>
    <t>信用新規建余力</t>
  </si>
  <si>
    <t>保証金率(新規建)</t>
  </si>
  <si>
    <t>保証金率(リアル)</t>
  </si>
  <si>
    <t>--------</t>
  </si>
  <si>
    <t>約定</t>
    <phoneticPr fontId="1"/>
  </si>
  <si>
    <t>ソフトバンクグループ</t>
    <phoneticPr fontId="1"/>
  </si>
  <si>
    <t>2026/08/18 09:00:59</t>
    <phoneticPr fontId="1"/>
  </si>
  <si>
    <t>本日中</t>
    <phoneticPr fontId="1"/>
  </si>
  <si>
    <t>成行</t>
    <phoneticPr fontId="1"/>
  </si>
  <si>
    <t>#5991</t>
    <phoneticPr fontId="1"/>
  </si>
  <si>
    <t>2026/08/18 09:01:14</t>
    <phoneticPr fontId="1"/>
  </si>
  <si>
    <t>売気配(5,980) 買気配(5,978)</t>
    <phoneticPr fontId="1"/>
  </si>
  <si>
    <t>#5992</t>
    <phoneticPr fontId="1"/>
  </si>
  <si>
    <t>ＳＵＭＣＯ</t>
  </si>
  <si>
    <t>ＳＵＭＣＯ</t>
    <phoneticPr fontId="1"/>
  </si>
  <si>
    <t>2026/08/18 09:01:40</t>
    <phoneticPr fontId="1"/>
  </si>
  <si>
    <t>売気配(4,119) 買気配(4,113)</t>
    <phoneticPr fontId="1"/>
  </si>
  <si>
    <t>#5993</t>
    <phoneticPr fontId="1"/>
  </si>
  <si>
    <t>2026/08/18 09:01:56</t>
    <phoneticPr fontId="1"/>
  </si>
  <si>
    <t>売気配(6,008) 買気配(6,005)</t>
    <phoneticPr fontId="1"/>
  </si>
  <si>
    <t>#5994</t>
    <phoneticPr fontId="1"/>
  </si>
  <si>
    <t>2026/08/18 09:02:27</t>
    <phoneticPr fontId="1"/>
  </si>
  <si>
    <t>売気配(6,065) 買気配(6,064)</t>
    <phoneticPr fontId="1"/>
  </si>
  <si>
    <t>#5995</t>
    <phoneticPr fontId="1"/>
  </si>
  <si>
    <t>2026/08/18 09:02:55</t>
    <phoneticPr fontId="1"/>
  </si>
  <si>
    <t>売気配(4,112) 買気配(4,103)</t>
    <phoneticPr fontId="1"/>
  </si>
  <si>
    <t>#5996</t>
    <phoneticPr fontId="1"/>
  </si>
  <si>
    <t>2026/08/18 09:03:15</t>
    <phoneticPr fontId="1"/>
  </si>
  <si>
    <t>売気配(4,159) 買気配(4,157)</t>
    <phoneticPr fontId="1"/>
  </si>
  <si>
    <t>#5997</t>
    <phoneticPr fontId="1"/>
  </si>
  <si>
    <t>2026/08/18 09:05:37</t>
    <phoneticPr fontId="1"/>
  </si>
  <si>
    <t>売気配(6,057) 買気配(6,055)</t>
    <phoneticPr fontId="1"/>
  </si>
  <si>
    <t>#5998</t>
    <phoneticPr fontId="1"/>
  </si>
  <si>
    <t>2026/08/18 09:07:08</t>
    <phoneticPr fontId="1"/>
  </si>
  <si>
    <t>2026/08/18 09:07:09</t>
    <phoneticPr fontId="1"/>
  </si>
  <si>
    <t>売気配(6,078) 買気配(6,076)</t>
    <phoneticPr fontId="1"/>
  </si>
  <si>
    <t>#5999</t>
    <phoneticPr fontId="1"/>
  </si>
  <si>
    <t>2026/08/18 09:07:53</t>
    <phoneticPr fontId="1"/>
  </si>
  <si>
    <t>売気配(4,171) 買気配(4,169)</t>
    <phoneticPr fontId="1"/>
  </si>
  <si>
    <t>#6000</t>
    <phoneticPr fontId="1"/>
  </si>
  <si>
    <t>2026/08/18 09:09:17</t>
    <phoneticPr fontId="1"/>
  </si>
  <si>
    <t>売気配(6,074) 買気配(6,073)</t>
    <phoneticPr fontId="1"/>
  </si>
  <si>
    <t>#6001</t>
    <phoneticPr fontId="1"/>
  </si>
  <si>
    <t>2026/08/18 09:10:18</t>
    <phoneticPr fontId="1"/>
  </si>
  <si>
    <t>売気配(6,081) 買気配(6,080)</t>
    <phoneticPr fontId="1"/>
  </si>
  <si>
    <t>#6002</t>
    <phoneticPr fontId="1"/>
  </si>
  <si>
    <t>2026/08/18 09:11:00</t>
    <phoneticPr fontId="1"/>
  </si>
  <si>
    <t>売気配(4,116) 買気配(4,114)</t>
    <phoneticPr fontId="1"/>
  </si>
  <si>
    <t>#6003</t>
    <phoneticPr fontId="1"/>
  </si>
  <si>
    <t>2026/08/18 09:11:31</t>
    <phoneticPr fontId="1"/>
  </si>
  <si>
    <t>売気配(4,125) 買気配(4,123)</t>
    <phoneticPr fontId="1"/>
  </si>
  <si>
    <t>#6004</t>
    <phoneticPr fontId="1"/>
  </si>
  <si>
    <t>2026/08/18 09:11:53</t>
    <phoneticPr fontId="1"/>
  </si>
  <si>
    <t>売気配(6,083) 買気配(6,081)</t>
    <phoneticPr fontId="1"/>
  </si>
  <si>
    <t>#6005</t>
    <phoneticPr fontId="1"/>
  </si>
  <si>
    <t>2026/08/18 09:13:18</t>
    <phoneticPr fontId="1"/>
  </si>
  <si>
    <t>売気配(6,142) 買気配(6,141)</t>
    <phoneticPr fontId="1"/>
  </si>
  <si>
    <t>#6006</t>
    <phoneticPr fontId="1"/>
  </si>
  <si>
    <t>2026/08/18 09:13:39</t>
    <phoneticPr fontId="1"/>
  </si>
  <si>
    <t>売気配(6,179) 買気配(6,177)</t>
    <phoneticPr fontId="1"/>
  </si>
  <si>
    <t>#6007</t>
    <phoneticPr fontId="1"/>
  </si>
  <si>
    <t>2026/08/18 09:13:56</t>
    <phoneticPr fontId="1"/>
  </si>
  <si>
    <t>売気配(4,121) 買気配(4,120)</t>
    <phoneticPr fontId="1"/>
  </si>
  <si>
    <t>#6008</t>
    <phoneticPr fontId="1"/>
  </si>
  <si>
    <t>2026/08/18 09:14:52</t>
    <phoneticPr fontId="1"/>
  </si>
  <si>
    <t>売気配(6,204) 買気配(6,202)</t>
    <phoneticPr fontId="1"/>
  </si>
  <si>
    <t>#6009</t>
    <phoneticPr fontId="1"/>
  </si>
  <si>
    <t>2026/08/18 09:15:43</t>
    <phoneticPr fontId="1"/>
  </si>
  <si>
    <t>売気配(4,064) 買気配(4,062)</t>
    <phoneticPr fontId="1"/>
  </si>
  <si>
    <t>#6010</t>
    <phoneticPr fontId="1"/>
  </si>
  <si>
    <t>2026/08/18 09:16:48</t>
    <phoneticPr fontId="1"/>
  </si>
  <si>
    <t>売気配(4,059) 買気配(4,058)</t>
    <phoneticPr fontId="1"/>
  </si>
  <si>
    <t>#6011</t>
    <phoneticPr fontId="1"/>
  </si>
  <si>
    <t>2026/08/18 09:17:08</t>
    <phoneticPr fontId="1"/>
  </si>
  <si>
    <t>売気配(6,173) 買気配(6,171)</t>
    <phoneticPr fontId="1"/>
  </si>
  <si>
    <t>#6012</t>
    <phoneticPr fontId="1"/>
  </si>
  <si>
    <t>2026/08/18 09:18:17</t>
    <phoneticPr fontId="1"/>
  </si>
  <si>
    <t>売気配(6,172) 買気配(6,170)</t>
    <phoneticPr fontId="1"/>
  </si>
  <si>
    <t>#6013</t>
    <phoneticPr fontId="1"/>
  </si>
  <si>
    <t>2026/08/18 09:19:04</t>
    <phoneticPr fontId="1"/>
  </si>
  <si>
    <t>売気配(4,019) 買気配(4,018)</t>
    <phoneticPr fontId="1"/>
  </si>
  <si>
    <t>#6014</t>
    <phoneticPr fontId="1"/>
  </si>
  <si>
    <t>2026/08/18 09:19:56</t>
    <phoneticPr fontId="1"/>
  </si>
  <si>
    <t>2026/08/18 09:19:57</t>
    <phoneticPr fontId="1"/>
  </si>
  <si>
    <t>売気配(6,153) 買気配(6,151)</t>
    <phoneticPr fontId="1"/>
  </si>
  <si>
    <t>#6015</t>
    <phoneticPr fontId="1"/>
  </si>
  <si>
    <t>2026/08/18 09:20:30</t>
    <phoneticPr fontId="1"/>
  </si>
  <si>
    <t>売気配(4,049) 買気配(4,047)</t>
    <phoneticPr fontId="1"/>
  </si>
  <si>
    <t>#6016</t>
    <phoneticPr fontId="1"/>
  </si>
  <si>
    <t>2026/08/18 09:22:38</t>
    <phoneticPr fontId="1"/>
  </si>
  <si>
    <t>売気配(6,158) 買気配(6,157)</t>
    <phoneticPr fontId="1"/>
  </si>
  <si>
    <t>#6017</t>
    <phoneticPr fontId="1"/>
  </si>
  <si>
    <t>2026/08/18 09:26:43</t>
    <phoneticPr fontId="1"/>
  </si>
  <si>
    <t>売気配(2,145) 買気配(2,141)</t>
    <phoneticPr fontId="1"/>
  </si>
  <si>
    <t>#6018</t>
    <phoneticPr fontId="1"/>
  </si>
  <si>
    <t>2026/08/18 09:30:24</t>
    <phoneticPr fontId="1"/>
  </si>
  <si>
    <t>売気配(2,185) 買気配(2,184)</t>
    <phoneticPr fontId="1"/>
  </si>
  <si>
    <t>#6019</t>
    <phoneticPr fontId="1"/>
  </si>
  <si>
    <t>2026/08/18 09:30:37</t>
    <phoneticPr fontId="1"/>
  </si>
  <si>
    <t>売気配(4,035) 買気配(4,033)</t>
    <phoneticPr fontId="1"/>
  </si>
  <si>
    <t>#6020</t>
    <phoneticPr fontId="1"/>
  </si>
  <si>
    <t>2026/08/18 09:31:10</t>
    <phoneticPr fontId="1"/>
  </si>
  <si>
    <t>売気配(4,022) 買気配(4,021)</t>
    <phoneticPr fontId="1"/>
  </si>
  <si>
    <t>#6021</t>
    <phoneticPr fontId="1"/>
  </si>
  <si>
    <t>2026/08/18 09:31:31</t>
    <phoneticPr fontId="1"/>
  </si>
  <si>
    <t>売気配(2,189) 買気配(2,187)</t>
    <phoneticPr fontId="1"/>
  </si>
  <si>
    <t>#6022</t>
    <phoneticPr fontId="1"/>
  </si>
  <si>
    <t>2026/08/18 09:34:12</t>
    <phoneticPr fontId="1"/>
  </si>
  <si>
    <t>売気配(2,208) 買気配(2,206)</t>
    <phoneticPr fontId="1"/>
  </si>
  <si>
    <t>#6023</t>
    <phoneticPr fontId="1"/>
  </si>
  <si>
    <t>信越化学</t>
    <phoneticPr fontId="1"/>
  </si>
  <si>
    <t>2026/08/18 09:35:57</t>
    <phoneticPr fontId="1"/>
  </si>
  <si>
    <t>売気配(6,392) 買気配(6,390)</t>
    <phoneticPr fontId="1"/>
  </si>
  <si>
    <t>#6024</t>
    <phoneticPr fontId="1"/>
  </si>
  <si>
    <t>2026/08/18 09:37:24</t>
    <phoneticPr fontId="1"/>
  </si>
  <si>
    <t>売気配(6,136) 買気配(6,135)</t>
    <phoneticPr fontId="1"/>
  </si>
  <si>
    <t>#6025</t>
    <phoneticPr fontId="1"/>
  </si>
  <si>
    <t>2026/08/18 09:39:50</t>
    <phoneticPr fontId="1"/>
  </si>
  <si>
    <t>売気配(6,112) 買気配(6,110)</t>
    <phoneticPr fontId="1"/>
  </si>
  <si>
    <t>#6026</t>
    <phoneticPr fontId="1"/>
  </si>
  <si>
    <t>2026/08/18 09:41:38</t>
    <phoneticPr fontId="1"/>
  </si>
  <si>
    <t>売気配(6,109) 買気配(6,108)</t>
    <phoneticPr fontId="1"/>
  </si>
  <si>
    <t>#6027</t>
    <phoneticPr fontId="1"/>
  </si>
  <si>
    <t>2026/08/18 09:45:29</t>
    <phoneticPr fontId="1"/>
  </si>
  <si>
    <t>売気配(6,153) 買気配(6,152)</t>
    <phoneticPr fontId="1"/>
  </si>
  <si>
    <t>#6028</t>
    <phoneticPr fontId="1"/>
  </si>
  <si>
    <t>2026/08/18 09:47:43</t>
    <phoneticPr fontId="1"/>
  </si>
  <si>
    <t>売気配(2,249) 買気配(2,246)</t>
    <phoneticPr fontId="1"/>
  </si>
  <si>
    <t>#6029</t>
    <phoneticPr fontId="1"/>
  </si>
  <si>
    <t>2026/08/18 09:50:59</t>
    <phoneticPr fontId="1"/>
  </si>
  <si>
    <t>売気配(2,287) 買気配(2,283)</t>
    <phoneticPr fontId="1"/>
  </si>
  <si>
    <t>#6030</t>
    <phoneticPr fontId="1"/>
  </si>
  <si>
    <t>2026/08/18 09:51:30</t>
    <phoneticPr fontId="1"/>
  </si>
  <si>
    <t>売気配(2,288) 買気配(2,286)</t>
    <phoneticPr fontId="1"/>
  </si>
  <si>
    <t>#6031</t>
    <phoneticPr fontId="1"/>
  </si>
  <si>
    <t>2026/08/18 09:53:02</t>
    <phoneticPr fontId="1"/>
  </si>
  <si>
    <t>売気配(2,274) 買気配(2,272)</t>
    <phoneticPr fontId="1"/>
  </si>
  <si>
    <t>#6032</t>
    <phoneticPr fontId="1"/>
  </si>
  <si>
    <t>2026/08/18 09:55:39</t>
    <phoneticPr fontId="1"/>
  </si>
  <si>
    <t>売気配(2,273) 買気配(2,270)</t>
    <phoneticPr fontId="1"/>
  </si>
  <si>
    <t>#6033</t>
    <phoneticPr fontId="1"/>
  </si>
  <si>
    <t>2026/08/18 09:58:07</t>
    <phoneticPr fontId="1"/>
  </si>
  <si>
    <t>売気配(2,238) 買気配(2,235)</t>
    <phoneticPr fontId="1"/>
  </si>
  <si>
    <t>#6034</t>
    <phoneticPr fontId="1"/>
  </si>
  <si>
    <t>2026/08/18 09:59:38</t>
    <phoneticPr fontId="1"/>
  </si>
  <si>
    <t>売気配(6,377) 買気配(6,375)</t>
    <phoneticPr fontId="1"/>
  </si>
  <si>
    <t>#6035</t>
    <phoneticPr fontId="1"/>
  </si>
  <si>
    <t>2026/08/18 10:00:21</t>
    <phoneticPr fontId="1"/>
  </si>
  <si>
    <t>売気配(3,970) 買気配(3,968)</t>
    <phoneticPr fontId="1"/>
  </si>
  <si>
    <t>#6036</t>
    <phoneticPr fontId="1"/>
  </si>
  <si>
    <t>2026/08/18 10:01:37</t>
    <phoneticPr fontId="1"/>
  </si>
  <si>
    <t>売気配(2,241) 買気配(2,238)</t>
    <phoneticPr fontId="1"/>
  </si>
  <si>
    <t>#6037</t>
    <phoneticPr fontId="1"/>
  </si>
  <si>
    <t>2026/08/18 10:01:59</t>
    <phoneticPr fontId="1"/>
  </si>
  <si>
    <t>売気配(6,383) 買気配(6,381)</t>
    <phoneticPr fontId="1"/>
  </si>
  <si>
    <t>#6038</t>
    <phoneticPr fontId="1"/>
  </si>
  <si>
    <t>2026/08/18 10:02:33</t>
    <phoneticPr fontId="1"/>
  </si>
  <si>
    <t>売気配(6,186) 買気配(6,184)</t>
    <phoneticPr fontId="1"/>
  </si>
  <si>
    <t>#6039</t>
    <phoneticPr fontId="1"/>
  </si>
  <si>
    <t>2026/08/18 10:04:57</t>
    <phoneticPr fontId="1"/>
  </si>
  <si>
    <t>売気配(2,251) 買気配(2,249)</t>
    <phoneticPr fontId="1"/>
  </si>
  <si>
    <t>#6040</t>
    <phoneticPr fontId="1"/>
  </si>
  <si>
    <t>2026/08/18 10:06:17</t>
    <phoneticPr fontId="1"/>
  </si>
  <si>
    <t>売気配(2,253) 買気配(2,251)</t>
    <phoneticPr fontId="1"/>
  </si>
  <si>
    <t>#6041</t>
    <phoneticPr fontId="1"/>
  </si>
  <si>
    <t>2026/08/18 10:06:49</t>
    <phoneticPr fontId="1"/>
  </si>
  <si>
    <t>売気配(6,209) 買気配(6,208)</t>
    <phoneticPr fontId="1"/>
  </si>
  <si>
    <t>#6042</t>
    <phoneticPr fontId="1"/>
  </si>
  <si>
    <t>2026/08/18 10:07:07</t>
    <phoneticPr fontId="1"/>
  </si>
  <si>
    <t>売気配(2,244) 買気配(2,243)</t>
    <phoneticPr fontId="1"/>
  </si>
  <si>
    <t>#6043</t>
    <phoneticPr fontId="1"/>
  </si>
  <si>
    <t>フジクラ</t>
    <phoneticPr fontId="1"/>
  </si>
  <si>
    <t>2026/08/18 10:08:15</t>
    <phoneticPr fontId="1"/>
  </si>
  <si>
    <t>売気配(6,335) 買気配(6,334)</t>
    <phoneticPr fontId="1"/>
  </si>
  <si>
    <t>#6044</t>
    <phoneticPr fontId="1"/>
  </si>
  <si>
    <t>2026/08/18 10:09:37</t>
    <phoneticPr fontId="1"/>
  </si>
  <si>
    <t>売気配(6,365) 買気配(6,364)</t>
    <phoneticPr fontId="1"/>
  </si>
  <si>
    <t>#6045</t>
    <phoneticPr fontId="1"/>
  </si>
  <si>
    <t>141A</t>
    <phoneticPr fontId="1"/>
  </si>
  <si>
    <t>トライアルホールディングス</t>
    <phoneticPr fontId="1"/>
  </si>
  <si>
    <t>2026/08/18 10:11:04</t>
    <phoneticPr fontId="1"/>
  </si>
  <si>
    <t>売気配(3,755) 買気配(3,750)</t>
    <phoneticPr fontId="1"/>
  </si>
  <si>
    <t>#6047</t>
    <phoneticPr fontId="1"/>
  </si>
  <si>
    <t>2026/08/18 10:14:34</t>
    <phoneticPr fontId="1"/>
  </si>
  <si>
    <t>売気配(2,224) 買気配(2,221)</t>
    <phoneticPr fontId="1"/>
  </si>
  <si>
    <t>#6048</t>
    <phoneticPr fontId="1"/>
  </si>
  <si>
    <t>2026/08/18 10:15:35</t>
    <phoneticPr fontId="1"/>
  </si>
  <si>
    <t>売気配(6,347) 買気配(6,346)</t>
    <phoneticPr fontId="1"/>
  </si>
  <si>
    <t>#6049</t>
    <phoneticPr fontId="1"/>
  </si>
  <si>
    <t>2026/08/18 10:20:37</t>
    <phoneticPr fontId="1"/>
  </si>
  <si>
    <t>売気配(2,206) 買気配(2,203)</t>
    <phoneticPr fontId="1"/>
  </si>
  <si>
    <t>#6046</t>
    <phoneticPr fontId="1"/>
  </si>
  <si>
    <t>市場執行済</t>
    <phoneticPr fontId="1"/>
  </si>
  <si>
    <t>2026/08/18 10:21:33</t>
    <phoneticPr fontId="1"/>
  </si>
  <si>
    <t>売気配(3,780) 買気配(3,770)</t>
    <phoneticPr fontId="1"/>
  </si>
  <si>
    <t>#6050</t>
    <phoneticPr fontId="1"/>
  </si>
  <si>
    <t>2026/08/18 10:22:24</t>
    <phoneticPr fontId="1"/>
  </si>
  <si>
    <t>売気配(3,800) 買気配(3,790)</t>
    <phoneticPr fontId="1"/>
  </si>
  <si>
    <t>#6051</t>
    <phoneticPr fontId="1"/>
  </si>
  <si>
    <t>2026/08/18 10:26:51</t>
    <phoneticPr fontId="1"/>
  </si>
  <si>
    <t>売気配(4,011) 買気配(4,010)</t>
    <phoneticPr fontId="1"/>
  </si>
  <si>
    <t>#6052</t>
    <phoneticPr fontId="1"/>
  </si>
  <si>
    <t>2026/08/18 10:27:35</t>
    <phoneticPr fontId="1"/>
  </si>
  <si>
    <t>売気配(2,244) 買気配(2,242)</t>
    <phoneticPr fontId="1"/>
  </si>
  <si>
    <t>#6053</t>
    <phoneticPr fontId="1"/>
  </si>
  <si>
    <t>2026/08/18 10:28:15</t>
    <phoneticPr fontId="1"/>
  </si>
  <si>
    <t>売気配(2,242) 買気配(2,240)</t>
    <phoneticPr fontId="1"/>
  </si>
  <si>
    <t>#6054</t>
    <phoneticPr fontId="1"/>
  </si>
  <si>
    <t>2026/08/18 10:29:17</t>
    <phoneticPr fontId="1"/>
  </si>
  <si>
    <t>売気配(4,000) 買気配(3,999)</t>
    <phoneticPr fontId="1"/>
  </si>
  <si>
    <t>#6055</t>
    <phoneticPr fontId="1"/>
  </si>
  <si>
    <t>2026/08/18 10:30:07</t>
    <phoneticPr fontId="1"/>
  </si>
  <si>
    <t>売気配(3,820) 買気配(3,810)</t>
    <phoneticPr fontId="1"/>
  </si>
  <si>
    <t>#6056</t>
    <phoneticPr fontId="1"/>
  </si>
  <si>
    <t>2026/08/18 10:30:37</t>
    <phoneticPr fontId="1"/>
  </si>
  <si>
    <t>売気配(2,241) 買気配(2,239)</t>
    <phoneticPr fontId="1"/>
  </si>
  <si>
    <t>#6057</t>
    <phoneticPr fontId="1"/>
  </si>
  <si>
    <t>2026/08/18 10:31:57</t>
    <phoneticPr fontId="1"/>
  </si>
  <si>
    <t>2026/08/18 10:31:58</t>
    <phoneticPr fontId="1"/>
  </si>
  <si>
    <t>売気配(2,220) 買気配(2,218)</t>
    <phoneticPr fontId="1"/>
  </si>
  <si>
    <t>#6058</t>
    <phoneticPr fontId="1"/>
  </si>
  <si>
    <t>2026/08/18 10:46:01</t>
    <phoneticPr fontId="1"/>
  </si>
  <si>
    <t>売気配(2,153) 買気配(2,149)</t>
    <phoneticPr fontId="1"/>
  </si>
  <si>
    <t>#6059</t>
    <phoneticPr fontId="1"/>
  </si>
  <si>
    <t>2026/08/18 10:47:37</t>
    <phoneticPr fontId="1"/>
  </si>
  <si>
    <t>売気配(2,140) 買気配(2,137)</t>
    <phoneticPr fontId="1"/>
  </si>
  <si>
    <t>#6060</t>
    <phoneticPr fontId="1"/>
  </si>
  <si>
    <t>2026/08/18 10:49:33</t>
    <phoneticPr fontId="1"/>
  </si>
  <si>
    <t>2026/08/18 10:49:34</t>
    <phoneticPr fontId="1"/>
  </si>
  <si>
    <t>売気配(2,131) 買気配(2,128)</t>
    <phoneticPr fontId="1"/>
  </si>
  <si>
    <t>#6061</t>
    <phoneticPr fontId="1"/>
  </si>
  <si>
    <t>2026/08/18 10:50:19</t>
    <phoneticPr fontId="1"/>
  </si>
  <si>
    <t>2026/08/18 10:50:20</t>
    <phoneticPr fontId="1"/>
  </si>
  <si>
    <t>売気配(2,134) 買気配(2,131)</t>
    <phoneticPr fontId="1"/>
  </si>
  <si>
    <t>#6062</t>
    <phoneticPr fontId="1"/>
  </si>
  <si>
    <t>2026/08/18 10:52:14</t>
    <phoneticPr fontId="1"/>
  </si>
  <si>
    <t>売気配(6,057) 買気配(6,056)</t>
    <phoneticPr fontId="1"/>
  </si>
  <si>
    <t>#6063</t>
    <phoneticPr fontId="1"/>
  </si>
  <si>
    <t>2026/08/18 11:01:40</t>
    <phoneticPr fontId="1"/>
  </si>
  <si>
    <t>売気配(2,140) 買気配(2,138)</t>
    <phoneticPr fontId="1"/>
  </si>
  <si>
    <t>#6064</t>
    <phoneticPr fontId="1"/>
  </si>
  <si>
    <t>2026/08/18 12:30:47</t>
    <phoneticPr fontId="1"/>
  </si>
  <si>
    <t>売気配(5,918) 買気配(5,917)</t>
    <phoneticPr fontId="1"/>
  </si>
  <si>
    <t>#6065</t>
    <phoneticPr fontId="1"/>
  </si>
  <si>
    <t>2026/08/18 12:32:37</t>
    <phoneticPr fontId="1"/>
  </si>
  <si>
    <t>売気配(3,815) 買気配(3,814)</t>
    <phoneticPr fontId="1"/>
  </si>
  <si>
    <t>#6066</t>
    <phoneticPr fontId="1"/>
  </si>
  <si>
    <t>2026/08/18 12:33:02</t>
    <phoneticPr fontId="1"/>
  </si>
  <si>
    <t>売気配(5,931) 買気配(5,930)</t>
    <phoneticPr fontId="1"/>
  </si>
  <si>
    <t>#6067</t>
    <phoneticPr fontId="1"/>
  </si>
  <si>
    <t>2026/08/18 12:34:31</t>
    <phoneticPr fontId="1"/>
  </si>
  <si>
    <t>売気配(5,902) 買気配(5,901)</t>
    <phoneticPr fontId="1"/>
  </si>
  <si>
    <t>#6068</t>
    <phoneticPr fontId="1"/>
  </si>
  <si>
    <t>2026/08/18 12:35:11</t>
    <phoneticPr fontId="1"/>
  </si>
  <si>
    <t>売気配(3,765) 買気配(3,760)</t>
    <phoneticPr fontId="1"/>
  </si>
  <si>
    <t>#6069</t>
    <phoneticPr fontId="1"/>
  </si>
  <si>
    <t>2026/08/18 12:36:21</t>
    <phoneticPr fontId="1"/>
  </si>
  <si>
    <t>売気配(3,770) 買気配(3,765)</t>
    <phoneticPr fontId="1"/>
  </si>
  <si>
    <t>#6070</t>
    <phoneticPr fontId="1"/>
  </si>
  <si>
    <t>2026/08/18 12:36:36</t>
    <phoneticPr fontId="1"/>
  </si>
  <si>
    <t>売気配(5,928) 買気配(5,926)</t>
    <phoneticPr fontId="1"/>
  </si>
  <si>
    <t>#6071</t>
    <phoneticPr fontId="1"/>
  </si>
  <si>
    <t>2026/08/18 12:37:19</t>
    <phoneticPr fontId="1"/>
  </si>
  <si>
    <t>売気配(2,049) 買気配(2,046)</t>
    <phoneticPr fontId="1"/>
  </si>
  <si>
    <t>#6072</t>
    <phoneticPr fontId="1"/>
  </si>
  <si>
    <t>2026/08/18 12:37:30</t>
    <phoneticPr fontId="1"/>
  </si>
  <si>
    <t>売気配(3,826) 買気配(3,824)</t>
    <phoneticPr fontId="1"/>
  </si>
  <si>
    <t>#6073</t>
    <phoneticPr fontId="1"/>
  </si>
  <si>
    <t>2026/08/18 12:38:31</t>
    <phoneticPr fontId="1"/>
  </si>
  <si>
    <t>売気配(2,043) 買気配(2,040)</t>
    <phoneticPr fontId="1"/>
  </si>
  <si>
    <t>#6074</t>
    <phoneticPr fontId="1"/>
  </si>
  <si>
    <t>2026/08/18 12:38:55</t>
    <phoneticPr fontId="1"/>
  </si>
  <si>
    <t>2026/08/18 12:38:56</t>
    <phoneticPr fontId="1"/>
  </si>
  <si>
    <t>売気配(3,837) 買気配(3,836)</t>
    <phoneticPr fontId="1"/>
  </si>
  <si>
    <t>#6075</t>
    <phoneticPr fontId="1"/>
  </si>
  <si>
    <t>2026/08/18 13:18:42</t>
    <phoneticPr fontId="1"/>
  </si>
  <si>
    <t>売気配(3,882) 買気配(3,881)</t>
    <phoneticPr fontId="1"/>
  </si>
  <si>
    <t>#6076</t>
    <phoneticPr fontId="1"/>
  </si>
  <si>
    <t>2026/08/18 13:19:36</t>
    <phoneticPr fontId="1"/>
  </si>
  <si>
    <t>売気配(3,886) 買気配(3,884)</t>
    <phoneticPr fontId="1"/>
  </si>
  <si>
    <t>#6077</t>
    <phoneticPr fontId="1"/>
  </si>
  <si>
    <t>2026/08/18 13:20:41</t>
    <phoneticPr fontId="1"/>
  </si>
  <si>
    <t>売気配(3,868) 買気配(3,866)</t>
    <phoneticPr fontId="1"/>
  </si>
  <si>
    <t>#6078</t>
    <phoneticPr fontId="1"/>
  </si>
  <si>
    <t>2026/08/18 13:21:01</t>
    <phoneticPr fontId="1"/>
  </si>
  <si>
    <t>売気配(2,079) 買気配(2,076)</t>
    <phoneticPr fontId="1"/>
  </si>
  <si>
    <t>#6079</t>
    <phoneticPr fontId="1"/>
  </si>
  <si>
    <t>2026/08/18 13:22:25</t>
    <phoneticPr fontId="1"/>
  </si>
  <si>
    <t>売気配(5,974) 買気配(5,973)</t>
    <phoneticPr fontId="1"/>
  </si>
  <si>
    <t>#6080</t>
    <phoneticPr fontId="1"/>
  </si>
  <si>
    <t>2026/08/18 13:25:24</t>
    <phoneticPr fontId="1"/>
  </si>
  <si>
    <t>売気配(3,851) 買気配(3,850)</t>
    <phoneticPr fontId="1"/>
  </si>
  <si>
    <t>#6081</t>
    <phoneticPr fontId="1"/>
  </si>
  <si>
    <t>2026/08/18 13:25:42</t>
    <phoneticPr fontId="1"/>
  </si>
  <si>
    <t>売気配(5,970) 買気配(5,969)</t>
    <phoneticPr fontId="1"/>
  </si>
  <si>
    <t>#6082</t>
    <phoneticPr fontId="1"/>
  </si>
  <si>
    <t>2026/08/18 13:26:01</t>
    <phoneticPr fontId="1"/>
  </si>
  <si>
    <t>2026/08/18 13:26:02</t>
    <phoneticPr fontId="1"/>
  </si>
  <si>
    <t>売気配(2,074) 買気配(2,072)</t>
    <phoneticPr fontId="1"/>
  </si>
  <si>
    <t>#6083</t>
    <phoneticPr fontId="1"/>
  </si>
  <si>
    <t>2026/08/18 13:27:57</t>
    <phoneticPr fontId="1"/>
  </si>
  <si>
    <t>売気配(3,864) 買気配(3,863)</t>
    <phoneticPr fontId="1"/>
  </si>
  <si>
    <t>#6084</t>
    <phoneticPr fontId="1"/>
  </si>
  <si>
    <t>2026/08/18 13:53:59</t>
    <phoneticPr fontId="1"/>
  </si>
  <si>
    <t>売気配(2,098) 買気配(2,096)</t>
    <phoneticPr fontId="1"/>
  </si>
  <si>
    <t>#6085</t>
    <phoneticPr fontId="1"/>
  </si>
  <si>
    <t>2026/08/18 13:54:26</t>
    <phoneticPr fontId="1"/>
  </si>
  <si>
    <t>売気配(2,102) 買気配(2,101)</t>
    <phoneticPr fontId="1"/>
  </si>
  <si>
    <t>#6086</t>
    <phoneticPr fontId="1"/>
  </si>
  <si>
    <t>2026/08/18 13:59:13</t>
    <phoneticPr fontId="1"/>
  </si>
  <si>
    <t>売気配(3,847) 買気配(3,846)</t>
    <phoneticPr fontId="1"/>
  </si>
  <si>
    <t>#6087</t>
    <phoneticPr fontId="1"/>
  </si>
  <si>
    <t>2026/08/18 14:04:43</t>
    <phoneticPr fontId="1"/>
  </si>
  <si>
    <t>売気配(3,828) 買気配(3,827)</t>
    <phoneticPr fontId="1"/>
  </si>
  <si>
    <t>#6088</t>
    <phoneticPr fontId="1"/>
  </si>
  <si>
    <t>2026/08/18 14:05:18</t>
    <phoneticPr fontId="1"/>
  </si>
  <si>
    <t>売気配(2,104) 買気配(2,102)</t>
    <phoneticPr fontId="1"/>
  </si>
  <si>
    <t>#6089</t>
    <phoneticPr fontId="1"/>
  </si>
  <si>
    <t>2026/08/18 14:06:07</t>
    <phoneticPr fontId="1"/>
  </si>
  <si>
    <t>売気配(3,829) 買気配(3,827)</t>
    <phoneticPr fontId="1"/>
  </si>
  <si>
    <t>#6090</t>
    <phoneticPr fontId="1"/>
  </si>
  <si>
    <t>2026/08/18 14:07:21</t>
    <phoneticPr fontId="1"/>
  </si>
  <si>
    <t>売気配(2,108) 買気配(2,106)</t>
    <phoneticPr fontId="1"/>
  </si>
  <si>
    <t>#6091</t>
    <phoneticPr fontId="1"/>
  </si>
  <si>
    <t>2026/08/18 14:07:45</t>
    <phoneticPr fontId="1"/>
  </si>
  <si>
    <t>2026/08/18 14:07:46</t>
    <phoneticPr fontId="1"/>
  </si>
  <si>
    <t>売気配(3,833) 買気配(3,831)</t>
    <phoneticPr fontId="1"/>
  </si>
  <si>
    <t>#6092</t>
    <phoneticPr fontId="1"/>
  </si>
  <si>
    <t>2026/08/18 14:08:27</t>
    <phoneticPr fontId="1"/>
  </si>
  <si>
    <t>2026/08/18 14:08:28</t>
    <phoneticPr fontId="1"/>
  </si>
  <si>
    <t>#6093</t>
    <phoneticPr fontId="1"/>
  </si>
  <si>
    <t>2026/08/18 14:10:26</t>
    <phoneticPr fontId="1"/>
  </si>
  <si>
    <t>売気配(2,120) 買気配(2,118)</t>
    <phoneticPr fontId="1"/>
  </si>
  <si>
    <t>#6094</t>
    <phoneticPr fontId="1"/>
  </si>
  <si>
    <t>2026/08/18 14:12:04</t>
    <phoneticPr fontId="1"/>
  </si>
  <si>
    <t>売気配(3,823) 買気配(3,822)</t>
    <phoneticPr fontId="1"/>
  </si>
  <si>
    <t>#6095</t>
    <phoneticPr fontId="1"/>
  </si>
  <si>
    <t>2026/08/18 14:12:30</t>
    <phoneticPr fontId="1"/>
  </si>
  <si>
    <t>売気配(5,943) 買気配(5,942)</t>
    <phoneticPr fontId="1"/>
  </si>
  <si>
    <t>#6096</t>
    <phoneticPr fontId="1"/>
  </si>
  <si>
    <t>2026/08/18 14:14:45</t>
    <phoneticPr fontId="1"/>
  </si>
  <si>
    <t>売気配(2,127) 買気配(2,125)</t>
    <phoneticPr fontId="1"/>
  </si>
  <si>
    <t>#6097</t>
    <phoneticPr fontId="1"/>
  </si>
  <si>
    <t>2026/08/18 14:15:02</t>
    <phoneticPr fontId="1"/>
  </si>
  <si>
    <t>売気配(5,959) 買気配(5,958)</t>
    <phoneticPr fontId="1"/>
  </si>
  <si>
    <t>#6098</t>
    <phoneticPr fontId="1"/>
  </si>
  <si>
    <t>2026/08/18 14:15:24</t>
    <phoneticPr fontId="1"/>
  </si>
  <si>
    <t>売気配(3,826) 買気配(3,825)</t>
    <phoneticPr fontId="1"/>
  </si>
  <si>
    <t>#6099</t>
    <phoneticPr fontId="1"/>
  </si>
  <si>
    <t>2026/08/18 14:17:07</t>
    <phoneticPr fontId="1"/>
  </si>
  <si>
    <t>売気配(2,146) 買気配(2,144)</t>
    <phoneticPr fontId="1"/>
  </si>
  <si>
    <t>#6100</t>
    <phoneticPr fontId="1"/>
  </si>
  <si>
    <t>2026/08/18 14:22:50</t>
    <phoneticPr fontId="1"/>
  </si>
  <si>
    <t>売気配(5,947) 買気配(5,946)</t>
    <phoneticPr fontId="1"/>
  </si>
  <si>
    <t>#6101</t>
    <phoneticPr fontId="1"/>
  </si>
  <si>
    <t>2026/08/18 14:24:21</t>
    <phoneticPr fontId="1"/>
  </si>
  <si>
    <t>売気配(3,822) 買気配(3,820)</t>
    <phoneticPr fontId="1"/>
  </si>
  <si>
    <t>#6102</t>
    <phoneticPr fontId="1"/>
  </si>
  <si>
    <t>2026/08/18 14:24:41</t>
    <phoneticPr fontId="1"/>
  </si>
  <si>
    <t>売気配(2,131) 買気配(2,129)</t>
    <phoneticPr fontId="1"/>
  </si>
  <si>
    <t>#6103</t>
    <phoneticPr fontId="1"/>
  </si>
  <si>
    <t>2026/08/18 14:27:12</t>
    <phoneticPr fontId="1"/>
  </si>
  <si>
    <t>売気配(2,130) 買気配(2,128)</t>
    <phoneticPr fontId="1"/>
  </si>
  <si>
    <t>#6104</t>
    <phoneticPr fontId="1"/>
  </si>
  <si>
    <t>2026/08/18 14:33:43</t>
    <phoneticPr fontId="1"/>
  </si>
  <si>
    <t>2026/08/18 14:33:44</t>
    <phoneticPr fontId="1"/>
  </si>
  <si>
    <t>売気配(3,814) 買気配(3,813)</t>
    <phoneticPr fontId="1"/>
  </si>
  <si>
    <t>#6105</t>
    <phoneticPr fontId="1"/>
  </si>
  <si>
    <t>2026/08/18 14:34:00</t>
    <phoneticPr fontId="1"/>
  </si>
  <si>
    <t>売気配(5,898) 買気配(5,897)</t>
    <phoneticPr fontId="1"/>
  </si>
  <si>
    <t>#6106</t>
    <phoneticPr fontId="1"/>
  </si>
  <si>
    <t>2026/08/18 14:35:43</t>
    <phoneticPr fontId="1"/>
  </si>
  <si>
    <t>売気配(3,810) 買気配(3,809)</t>
    <phoneticPr fontId="1"/>
  </si>
  <si>
    <t>#6107</t>
    <phoneticPr fontId="1"/>
  </si>
  <si>
    <t>制度</t>
    <phoneticPr fontId="1"/>
  </si>
  <si>
    <t>6ヶ月</t>
    <phoneticPr fontId="1"/>
  </si>
  <si>
    <t>2026/08/18 14:36:22</t>
    <phoneticPr fontId="1"/>
  </si>
  <si>
    <t>売気配(3,806) 買気配(3,805)</t>
    <phoneticPr fontId="1"/>
  </si>
  <si>
    <t>#6108</t>
    <phoneticPr fontId="1"/>
  </si>
  <si>
    <t>2026/08/18 14:37:14</t>
    <phoneticPr fontId="1"/>
  </si>
  <si>
    <t>売気配(5,866) 買気配(5,865)</t>
    <phoneticPr fontId="1"/>
  </si>
  <si>
    <t>#6109</t>
    <phoneticPr fontId="1"/>
  </si>
  <si>
    <t>2026/08/18 14:38:12</t>
    <phoneticPr fontId="1"/>
  </si>
  <si>
    <t>売気配(3,797) 買気配(3,796)</t>
    <phoneticPr fontId="1"/>
  </si>
  <si>
    <t>#6110</t>
    <phoneticPr fontId="1"/>
  </si>
  <si>
    <t>2026/08/18 14:39:57</t>
    <phoneticPr fontId="1"/>
  </si>
  <si>
    <t>売気配(3,794) 買気配(3,793)</t>
    <phoneticPr fontId="1"/>
  </si>
  <si>
    <t>#6111</t>
    <phoneticPr fontId="1"/>
  </si>
  <si>
    <t>2026/08/18 14:41:54</t>
    <phoneticPr fontId="1"/>
  </si>
  <si>
    <t>売気配(5,863) 買気配(5,862)</t>
    <phoneticPr fontId="1"/>
  </si>
  <si>
    <t>#6112</t>
    <phoneticPr fontId="1"/>
  </si>
  <si>
    <t>2026/08/18 15:22:08</t>
    <phoneticPr fontId="1"/>
  </si>
  <si>
    <t>売気配(2,096) 買気配(2,093)</t>
    <phoneticPr fontId="1"/>
  </si>
  <si>
    <t>285A</t>
  </si>
  <si>
    <t>キオクシアホールディングス</t>
  </si>
  <si>
    <t>CA</t>
  </si>
  <si>
    <t>CA</t>
    <phoneticPr fontId="1"/>
  </si>
  <si>
    <t>JNX</t>
    <phoneticPr fontId="1"/>
  </si>
  <si>
    <t>2026/08/18 14:17:21</t>
    <phoneticPr fontId="1"/>
  </si>
  <si>
    <t>2026/08/18 14:37:18</t>
    <phoneticPr fontId="1"/>
  </si>
  <si>
    <t>RssMarginPositionList($A$2:$T$2, "", "A", 0, 0, 0)</t>
    <phoneticPr fontId="1"/>
  </si>
  <si>
    <t>RssPositionList($A$2:$R$2, "", "A")</t>
    <phoneticPr fontId="1"/>
  </si>
  <si>
    <t>RssExecutionList($A$2:$O$2, 0, "", "A", 0, 0)</t>
    <phoneticPr fontId="1"/>
  </si>
  <si>
    <t>15:30:00</t>
  </si>
  <si>
    <t>15:24:59</t>
  </si>
  <si>
    <t>15:24:52</t>
    <phoneticPr fontId="1"/>
  </si>
  <si>
    <t>市場コード</t>
    <phoneticPr fontId="1"/>
  </si>
  <si>
    <t>銘柄名称</t>
    <phoneticPr fontId="1"/>
  </si>
  <si>
    <t>市場名称</t>
    <phoneticPr fontId="1"/>
  </si>
  <si>
    <t>市場部名称</t>
    <phoneticPr fontId="1"/>
  </si>
  <si>
    <t>"市場部略称</t>
    <phoneticPr fontId="1"/>
  </si>
  <si>
    <t>現在日付</t>
    <phoneticPr fontId="1"/>
  </si>
  <si>
    <t>現在値</t>
    <phoneticPr fontId="1"/>
  </si>
  <si>
    <t>現在値時刻</t>
    <phoneticPr fontId="1"/>
  </si>
  <si>
    <t>現在値詳細時刻</t>
    <phoneticPr fontId="1"/>
  </si>
  <si>
    <t>現在値ティック</t>
    <phoneticPr fontId="1"/>
  </si>
  <si>
    <t>現在値フラグ</t>
    <phoneticPr fontId="1"/>
  </si>
  <si>
    <t>前日比</t>
    <phoneticPr fontId="1"/>
  </si>
  <si>
    <t>T</t>
  </si>
  <si>
    <t>トヨタ自動車</t>
  </si>
  <si>
    <t>東証</t>
  </si>
  <si>
    <t>東証Ｐ</t>
  </si>
  <si>
    <t>東Ｐ</t>
  </si>
  <si>
    <t>2026/08/21</t>
  </si>
  <si>
    <t>15:30</t>
  </si>
  <si>
    <t>↑</t>
  </si>
  <si>
    <t>C</t>
  </si>
  <si>
    <t>2026/08/20</t>
  </si>
  <si>
    <t>09:00</t>
  </si>
  <si>
    <t>14:30</t>
  </si>
  <si>
    <t>09:00:00</t>
  </si>
  <si>
    <t>14:30:32</t>
  </si>
  <si>
    <t>10:19</t>
  </si>
  <si>
    <t>11:30</t>
  </si>
  <si>
    <t>12:30</t>
  </si>
  <si>
    <t xml:space="preserve"> </t>
  </si>
  <si>
    <t>2027/03/30</t>
  </si>
  <si>
    <t>2026/09/29</t>
  </si>
  <si>
    <t>2021/09/29</t>
  </si>
  <si>
    <t>2026/08/04</t>
  </si>
  <si>
    <t>2026/02/09</t>
  </si>
  <si>
    <t>2026/06/24</t>
  </si>
  <si>
    <t>2021/09/28</t>
  </si>
  <si>
    <t>1950/06/01</t>
  </si>
  <si>
    <t>2026/08/24</t>
  </si>
  <si>
    <t>前日比率</t>
    <phoneticPr fontId="1"/>
  </si>
  <si>
    <t>前日終値</t>
    <phoneticPr fontId="1"/>
  </si>
  <si>
    <t>前日日付</t>
    <phoneticPr fontId="1"/>
  </si>
  <si>
    <t>前日終値フラグ</t>
    <phoneticPr fontId="1"/>
  </si>
  <si>
    <t>歩み1</t>
    <phoneticPr fontId="1"/>
  </si>
  <si>
    <t>歩み2</t>
    <phoneticPr fontId="1"/>
  </si>
  <si>
    <t>歩み3</t>
    <phoneticPr fontId="1"/>
  </si>
  <si>
    <t>歩み4</t>
    <phoneticPr fontId="1"/>
  </si>
  <si>
    <t>歩み1詳細時刻</t>
    <phoneticPr fontId="1"/>
  </si>
  <si>
    <t>歩み2詳細時刻</t>
    <phoneticPr fontId="1"/>
  </si>
  <si>
    <t>歩み3詳細時刻</t>
    <phoneticPr fontId="1"/>
  </si>
  <si>
    <t>歩み4詳細時刻</t>
    <phoneticPr fontId="1"/>
  </si>
  <si>
    <t>出来高</t>
    <phoneticPr fontId="1"/>
  </si>
  <si>
    <t>売買代金</t>
    <phoneticPr fontId="1"/>
  </si>
  <si>
    <t>出来高加重平均</t>
    <phoneticPr fontId="1"/>
  </si>
  <si>
    <t>時価総額</t>
    <phoneticPr fontId="1"/>
  </si>
  <si>
    <t>始値</t>
    <phoneticPr fontId="1"/>
  </si>
  <si>
    <t>高値</t>
    <phoneticPr fontId="1"/>
  </si>
  <si>
    <t>安値</t>
    <phoneticPr fontId="1"/>
  </si>
  <si>
    <t>始値時刻</t>
    <phoneticPr fontId="1"/>
  </si>
  <si>
    <t>高値時刻</t>
    <phoneticPr fontId="1"/>
  </si>
  <si>
    <t>安値時刻</t>
    <phoneticPr fontId="1"/>
  </si>
  <si>
    <t>始値詳細時刻</t>
    <phoneticPr fontId="1"/>
  </si>
  <si>
    <t>高値詳細時刻</t>
    <phoneticPr fontId="1"/>
  </si>
  <si>
    <t>安値詳細時刻</t>
    <phoneticPr fontId="1"/>
  </si>
  <si>
    <t>前場始値</t>
    <phoneticPr fontId="1"/>
  </si>
  <si>
    <t>前場高値</t>
    <phoneticPr fontId="1"/>
  </si>
  <si>
    <t>前場安値</t>
    <phoneticPr fontId="1"/>
  </si>
  <si>
    <t>前場終値</t>
    <phoneticPr fontId="1"/>
  </si>
  <si>
    <t>前場出来高</t>
    <phoneticPr fontId="1"/>
  </si>
  <si>
    <t>後場始値</t>
    <phoneticPr fontId="1"/>
  </si>
  <si>
    <t>後場高値</t>
    <phoneticPr fontId="1"/>
  </si>
  <si>
    <t>後場安値</t>
    <phoneticPr fontId="1"/>
  </si>
  <si>
    <t>前場始値時刻</t>
    <phoneticPr fontId="1"/>
  </si>
  <si>
    <t>前場高値時刻</t>
    <phoneticPr fontId="1"/>
  </si>
  <si>
    <t>前場安値時刻</t>
    <phoneticPr fontId="1"/>
  </si>
  <si>
    <t>前場終値時刻</t>
    <phoneticPr fontId="1"/>
  </si>
  <si>
    <t>前場出来高時刻</t>
    <phoneticPr fontId="1"/>
  </si>
  <si>
    <t>後場始値時刻</t>
    <phoneticPr fontId="1"/>
  </si>
  <si>
    <t>後場高値時刻</t>
    <phoneticPr fontId="1"/>
  </si>
  <si>
    <t>後場安値時刻</t>
    <phoneticPr fontId="1"/>
  </si>
  <si>
    <t>最良売気配値</t>
    <phoneticPr fontId="1"/>
  </si>
  <si>
    <t>最良買気配値</t>
    <phoneticPr fontId="1"/>
  </si>
  <si>
    <t>最良売気配数量</t>
    <phoneticPr fontId="1"/>
  </si>
  <si>
    <t>最良買気配数量</t>
    <phoneticPr fontId="1"/>
  </si>
  <si>
    <t>最良売気配時刻</t>
    <phoneticPr fontId="1"/>
  </si>
  <si>
    <t>最良買気配時刻</t>
    <phoneticPr fontId="1"/>
  </si>
  <si>
    <t>最良売気配詳細時刻</t>
    <phoneticPr fontId="1"/>
  </si>
  <si>
    <t>最良買気配詳細時刻</t>
    <phoneticPr fontId="1"/>
  </si>
  <si>
    <t>特別売気配フラグ</t>
    <phoneticPr fontId="1"/>
  </si>
  <si>
    <t>特別買気配フラグ</t>
    <phoneticPr fontId="1"/>
  </si>
  <si>
    <t>信用貸借区分</t>
    <phoneticPr fontId="1"/>
  </si>
  <si>
    <t>逆日歩</t>
    <phoneticPr fontId="1"/>
  </si>
  <si>
    <t>逆日歩更新日付</t>
    <phoneticPr fontId="1"/>
  </si>
  <si>
    <t>信用売残</t>
    <phoneticPr fontId="1"/>
  </si>
  <si>
    <t>信用売残前週比</t>
    <phoneticPr fontId="1"/>
  </si>
  <si>
    <t>信用買残</t>
    <phoneticPr fontId="1"/>
  </si>
  <si>
    <t>信用買残前週比</t>
    <phoneticPr fontId="1"/>
  </si>
  <si>
    <t>信用倍率</t>
    <phoneticPr fontId="1"/>
  </si>
  <si>
    <t>証金残更新日付</t>
    <phoneticPr fontId="1"/>
  </si>
  <si>
    <t>新規貸株</t>
    <phoneticPr fontId="1"/>
  </si>
  <si>
    <t>新規融資</t>
    <phoneticPr fontId="1"/>
  </si>
  <si>
    <t>返済貸株</t>
    <phoneticPr fontId="1"/>
  </si>
  <si>
    <t>返済融資</t>
    <phoneticPr fontId="1"/>
  </si>
  <si>
    <t>残高貸株</t>
    <phoneticPr fontId="1"/>
  </si>
  <si>
    <t>残高融資</t>
    <phoneticPr fontId="1"/>
  </si>
  <si>
    <t>残高差引</t>
    <phoneticPr fontId="1"/>
  </si>
  <si>
    <t>前日比貸株</t>
    <phoneticPr fontId="1"/>
  </si>
  <si>
    <t>前日比融資</t>
    <phoneticPr fontId="1"/>
  </si>
  <si>
    <t>前日比差引</t>
    <phoneticPr fontId="1"/>
  </si>
  <si>
    <t>回転日数</t>
    <phoneticPr fontId="1"/>
  </si>
  <si>
    <t>貸借倍率</t>
    <phoneticPr fontId="1"/>
  </si>
  <si>
    <t>最良売気配値1</t>
    <phoneticPr fontId="1"/>
  </si>
  <si>
    <t>最良売気配値2</t>
    <phoneticPr fontId="1"/>
  </si>
  <si>
    <t>最良売気配値3</t>
    <phoneticPr fontId="1"/>
  </si>
  <si>
    <t>最良売気配値4</t>
    <phoneticPr fontId="1"/>
  </si>
  <si>
    <t>最良売気配値5</t>
    <phoneticPr fontId="1"/>
  </si>
  <si>
    <t>最良売気配値6</t>
    <phoneticPr fontId="1"/>
  </si>
  <si>
    <t>最良売気配値7</t>
    <phoneticPr fontId="1"/>
  </si>
  <si>
    <t>最良売気配値8</t>
    <phoneticPr fontId="1"/>
  </si>
  <si>
    <t>最良売気配値9</t>
    <phoneticPr fontId="1"/>
  </si>
  <si>
    <t>最良売気配値10</t>
    <phoneticPr fontId="1"/>
  </si>
  <si>
    <t>最良買気配値1</t>
    <phoneticPr fontId="1"/>
  </si>
  <si>
    <t>最良買気配値2</t>
    <phoneticPr fontId="1"/>
  </si>
  <si>
    <t>最良買気配値3</t>
    <phoneticPr fontId="1"/>
  </si>
  <si>
    <t>最良買気配値4</t>
    <phoneticPr fontId="1"/>
  </si>
  <si>
    <t>最良買気配値5</t>
    <phoneticPr fontId="1"/>
  </si>
  <si>
    <t>最良買気配値6</t>
    <phoneticPr fontId="1"/>
  </si>
  <si>
    <t>最良買気配値7</t>
  </si>
  <si>
    <t>最良買気配値8</t>
  </si>
  <si>
    <t>最良買気配値9</t>
  </si>
  <si>
    <t>最良買気配値10</t>
  </si>
  <si>
    <t>最良売気配数量1</t>
    <phoneticPr fontId="1"/>
  </si>
  <si>
    <t>最良売気配数量2</t>
  </si>
  <si>
    <t>最良売気配数量3</t>
  </si>
  <si>
    <t>最良売気配数量4</t>
  </si>
  <si>
    <t>最良売気配数量5</t>
  </si>
  <si>
    <t>最良売気配数量6</t>
  </si>
  <si>
    <t>最良売気配数量7</t>
  </si>
  <si>
    <t>最良売気配数量8</t>
  </si>
  <si>
    <t>最良売気配数量9</t>
  </si>
  <si>
    <t>最良売気配数量10</t>
  </si>
  <si>
    <t>最良買気配数量1</t>
    <phoneticPr fontId="1"/>
  </si>
  <si>
    <t>最良買気配数量2</t>
  </si>
  <si>
    <t>最良買気配数量3</t>
  </si>
  <si>
    <t>最良買気配数量4</t>
  </si>
  <si>
    <t>最良買気配数量5</t>
  </si>
  <si>
    <t>最良買気配数量6</t>
  </si>
  <si>
    <t>最良買気配数量7</t>
  </si>
  <si>
    <t>最良買気配数量8</t>
  </si>
  <si>
    <t>最良買気配数量9</t>
  </si>
  <si>
    <t>最良買気配数量10</t>
  </si>
  <si>
    <t>売成行数量</t>
    <phoneticPr fontId="1"/>
  </si>
  <si>
    <t>買成行数量</t>
    <phoneticPr fontId="1"/>
  </si>
  <si>
    <t>OVER気配数量</t>
    <phoneticPr fontId="1"/>
  </si>
  <si>
    <t>UNDER気配数量</t>
    <phoneticPr fontId="1"/>
  </si>
  <si>
    <t>単位株数</t>
    <phoneticPr fontId="1"/>
  </si>
  <si>
    <t>配当</t>
    <phoneticPr fontId="1"/>
  </si>
  <si>
    <t>配当落日</t>
    <phoneticPr fontId="1"/>
  </si>
  <si>
    <t>中配落日</t>
    <phoneticPr fontId="1"/>
  </si>
  <si>
    <t>権利落日</t>
    <phoneticPr fontId="1"/>
  </si>
  <si>
    <t>決算発表日</t>
    <phoneticPr fontId="1"/>
  </si>
  <si>
    <t>PER</t>
    <phoneticPr fontId="1"/>
  </si>
  <si>
    <t>PBR</t>
    <phoneticPr fontId="1"/>
  </si>
  <si>
    <t>当日基準値</t>
    <phoneticPr fontId="1"/>
  </si>
  <si>
    <t>年初来高値</t>
    <phoneticPr fontId="1"/>
  </si>
  <si>
    <t>年初来安値</t>
    <phoneticPr fontId="1"/>
  </si>
  <si>
    <t>年初来高値日付</t>
    <phoneticPr fontId="1"/>
  </si>
  <si>
    <t>年初来安値日付</t>
    <phoneticPr fontId="1"/>
  </si>
  <si>
    <t>上場来高値</t>
    <phoneticPr fontId="1"/>
  </si>
  <si>
    <t>上場来安値</t>
    <phoneticPr fontId="1"/>
  </si>
  <si>
    <t>上場来高値日付</t>
    <phoneticPr fontId="1"/>
  </si>
  <si>
    <t>上場来安値日付</t>
    <phoneticPr fontId="1"/>
  </si>
  <si>
    <t>貸株金利</t>
    <phoneticPr fontId="1"/>
  </si>
  <si>
    <t>貸株金利適用日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</si>
</sst>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vertical="center"/>
    </xf>
    <xf numFmtId="21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e3fe66e5a884410a629214c60667380">
      <tp>
        <v>334000</v>
        <stp/>
        <stp>Market</stp>
        <stp>STOCK</stp>
        <stp>94320.T</stp>
        <stp>最良買気配数量10</stp>
        <tr r="DU2" s="6"/>
      </tp>
    </main>
    <main first="rtdsrv.de3fe66e5a884410a629214c60667380">
      <tp>
        <v>7097600</v>
        <stp/>
        <stp>Market</stp>
        <stp>STOCK</stp>
        <stp>94320.T</stp>
        <stp>信用売残前週比</stp>
        <tr r="BQ2" s="6"/>
      </tp>
    </main>
    <main first="rtdsrv.de3fe66e5a884410a629214c60667380">
      <tp>
        <v>33400</v>
        <stp/>
        <stp>Market</stp>
        <stp>STOCK</stp>
        <stp>72030.T</stp>
        <stp>最良買気配数量10</stp>
        <tr r="DV4" s="14"/>
        <tr r="DV2" s="14"/>
      </tp>
      <tp>
        <v>-9440300</v>
        <stp/>
        <stp>Market</stp>
        <stp>STOCK</stp>
        <stp>94320.T</stp>
        <stp>信用買残前週比</stp>
        <tr r="BS2" s="6"/>
      </tp>
    </main>
    <main first="rtdsrv.de3fe66e5a884410a629214c60667380">
      <tp>
        <v>142000</v>
        <stp/>
        <stp>Market</stp>
        <stp>STOCK</stp>
        <stp>72030.T</stp>
        <stp>信用売残前週比</stp>
        <tr r="BR4" s="14"/>
        <tr r="BR2" s="14"/>
      </tp>
      <tp>
        <v>-844100</v>
        <stp/>
        <stp>Market</stp>
        <stp>STOCK</stp>
        <stp>72030.T</stp>
        <stp>信用買残前週比</stp>
        <tr r="BT4" s="14"/>
        <tr r="BT2" s="14"/>
      </tp>
    </main>
    <main first="rtdsrv.de3fe66e5a884410a629214c60667380">
      <tp>
        <v>100</v>
        <stp/>
        <stp>Market</stp>
        <stp>STOCK</stp>
        <stp>72030.T</stp>
        <stp>単位株数</stp>
        <tr r="EA4" s="14"/>
        <tr r="EA2" s="14"/>
      </tp>
    </main>
    <main first="rtdsrv.de3fe66e5a884410a629214c60667380">
      <tp>
        <v>100</v>
        <stp/>
        <stp>Market</stp>
        <stp>STOCK</stp>
        <stp>94320.T</stp>
        <stp>単位株数</stp>
        <tr r="DZ2" s="6"/>
      </tp>
    </main>
    <main first="rtdsrv.de3fe66e5a884410a629214c60667380">
      <tp>
        <v>11.41</v>
        <stp/>
        <stp>Market</stp>
        <stp>STOCK</stp>
        <stp>72030.T</stp>
        <stp>PER</stp>
        <tr r="EG4" s="14"/>
        <tr r="EG2" s="14"/>
      </tp>
      <tp>
        <v>1.02</v>
        <stp/>
        <stp>Market</stp>
        <stp>STOCK</stp>
        <stp>72030.T</stp>
        <stp>PBR</stp>
        <tr r="EH4" s="14"/>
        <tr r="EH2" s="14"/>
      </tp>
    </main>
    <main first="rtdsrv.de3fe66e5a884410a629214c60667380">
      <tp>
        <v>162</v>
        <stp/>
        <stp>Market</stp>
        <stp>STOCK</stp>
        <stp>94320.T</stp>
        <stp>始値</stp>
        <tr r="AD2" s="6"/>
      </tp>
    </main>
    <main first="rtdsrv.de3fe66e5a884410a629214c60667380">
      <tp>
        <v>3066</v>
        <stp/>
        <stp>Market</stp>
        <stp>STOCK</stp>
        <stp>72030.T</stp>
        <stp>始値</stp>
        <tr r="AE4" s="14"/>
        <tr r="AE2" s="14"/>
      </tp>
    </main>
    <main first="rtdsrv.de3fe66e5a884410a629214c60667380">
      <tp>
        <v>161.69999999999999</v>
        <stp/>
        <stp>Market</stp>
        <stp>STOCK</stp>
        <stp>94320.T</stp>
        <stp>安値</stp>
        <tr r="AF2" s="6"/>
      </tp>
    </main>
    <main first="rtdsrv.de3fe66e5a884410a629214c60667380">
      <tp>
        <v>166.2</v>
        <stp/>
        <stp>Market</stp>
        <stp>STOCK</stp>
        <stp>94320.T</stp>
        <stp>歩み1</stp>
        <tr r="R2" s="6"/>
      </tp>
      <tp>
        <v>166.1</v>
        <stp/>
        <stp>Market</stp>
        <stp>STOCK</stp>
        <stp>94320.T</stp>
        <stp>歩み2</stp>
        <tr r="S2" s="6"/>
      </tp>
      <tp>
        <v>166.2</v>
        <stp/>
        <stp>Market</stp>
        <stp>STOCK</stp>
        <stp>94320.T</stp>
        <stp>歩み3</stp>
        <tr r="T2" s="6"/>
      </tp>
      <tp>
        <v>166.1</v>
        <stp/>
        <stp>Market</stp>
        <stp>STOCK</stp>
        <stp>94320.T</stp>
        <stp>歩み4</stp>
        <tr r="U2" s="6"/>
      </tp>
      <tp t="s">
        <v/>
        <stp/>
        <stp>BuyingPower</stp>
        <stp>2708640403536,0,0,0,0</stp>
        <stp>7203</stp>
        <tr r="A1" s="8"/>
      </tp>
      <tp>
        <v>3056</v>
        <stp/>
        <stp>Market</stp>
        <stp>STOCK</stp>
        <stp>72030.T</stp>
        <stp>安値</stp>
        <tr r="AG4" s="14"/>
        <tr r="AG2" s="14"/>
      </tp>
    </main>
    <main first="rtdsrv.de3fe66e5a884410a629214c60667380">
      <tp>
        <v>3129</v>
        <stp/>
        <stp>Market</stp>
        <stp>STOCK</stp>
        <stp>72030.T</stp>
        <stp>歩み3</stp>
        <tr r="U4" s="14"/>
        <tr r="U2" s="14"/>
      </tp>
      <tp>
        <v>3128</v>
        <stp/>
        <stp>Market</stp>
        <stp>STOCK</stp>
        <stp>72030.T</stp>
        <stp>歩み2</stp>
        <tr r="T4" s="14"/>
        <tr r="T2" s="14"/>
      </tp>
      <tp>
        <v>3129</v>
        <stp/>
        <stp>Market</stp>
        <stp>STOCK</stp>
        <stp>72030.T</stp>
        <stp>歩み1</stp>
        <tr r="S4" s="14"/>
        <tr r="S2" s="14"/>
      </tp>
      <tp>
        <v>3128</v>
        <stp/>
        <stp>Market</stp>
        <stp>STOCK</stp>
        <stp>72030.T</stp>
        <stp>歩み4</stp>
        <tr r="V4" s="14"/>
        <tr r="V2" s="14"/>
      </tp>
    </main>
    <main first="rtdsrv.de3fe66e5a884410a629214c60667380">
      <tp t="s">
        <v/>
        <stp/>
        <stp>MarginPower</stp>
        <stp>2708640425040,0,0,0,0</stp>
        <stp>7203</stp>
        <tr r="A1" s="10"/>
      </tp>
      <tp>
        <v>1.39</v>
        <stp/>
        <stp>Market</stp>
        <stp>STOCK</stp>
        <stp>94320.T</stp>
        <stp>PBR</stp>
        <tr r="EG2" s="6"/>
      </tp>
      <tp>
        <v>13.72</v>
        <stp/>
        <stp>Market</stp>
        <stp>STOCK</stp>
        <stp>94320.T</stp>
        <stp>PER</stp>
        <tr r="EF2" s="6"/>
      </tp>
    </main>
    <main first="rtdsrv.de3fe66e5a884410a629214c60667380">
      <tp t="s">
        <v/>
        <stp/>
        <stp>MarginPower</stp>
        <stp>2708640425040,6,6,0,0</stp>
        <stp>8306</stp>
        <tr r="A7" s="10"/>
      </tp>
      <tp>
        <v>142100</v>
        <stp/>
        <stp>Market</stp>
        <stp>STOCK</stp>
        <stp>94320.T</stp>
        <stp>新規融資</stp>
        <tr r="BW2" s="6"/>
      </tp>
    </main>
    <main first="rtdsrv.de3fe66e5a884410a629214c60667380">
      <tp>
        <v>0</v>
        <stp/>
        <stp>Market</stp>
        <stp>STOCK</stp>
        <stp>72030.T</stp>
        <stp>逆日歩</stp>
        <tr r="BO4" s="14"/>
        <tr r="BO2" s="14"/>
      </tp>
      <tp>
        <v>500</v>
        <stp/>
        <stp>Market</stp>
        <stp>STOCK</stp>
        <stp>72030.T</stp>
        <stp>新規融資</stp>
        <tr r="BX4" s="14"/>
        <tr r="BX2" s="14"/>
      </tp>
    </main>
    <main first="rtdsrv.de3fe66e5a884410a629214c60667380">
      <tp t="s">
        <v>2026/02/09</v>
        <stp/>
        <stp>Market</stp>
        <stp>STOCK</stp>
        <stp>72030.T</stp>
        <stp>年初来高値日付</stp>
        <tr r="EL4" s="14"/>
        <tr r="EL2" s="14"/>
      </tp>
      <tp t="s">
        <v>2026/06/24</v>
        <stp/>
        <stp>Market</stp>
        <stp>STOCK</stp>
        <stp>72030.T</stp>
        <stp>年初来安値日付</stp>
        <tr r="EM4" s="14"/>
        <tr r="EM2" s="14"/>
      </tp>
    </main>
    <main first="rtdsrv.de3fe66e5a884410a629214c60667380">
      <tp t="s">
        <v>2026/08/17</v>
        <stp/>
        <stp>Market</stp>
        <stp>STOCK</stp>
        <stp>94320.T</stp>
        <stp>年初来高値日付</stp>
        <tr r="EK2" s="6"/>
      </tp>
      <tp t="s">
        <v>2026/06/23</v>
        <stp/>
        <stp>Market</stp>
        <stp>STOCK</stp>
        <stp>94320.T</stp>
        <stp>年初来安値日付</stp>
        <tr r="EL2" s="6"/>
      </tp>
      <tp>
        <v>87700</v>
        <stp/>
        <stp>Market</stp>
        <stp>STOCK</stp>
        <stp>94320.T</stp>
        <stp>最良買気配数量6</stp>
        <tr r="DQ2" s="6"/>
      </tp>
      <tp>
        <v>55100</v>
        <stp/>
        <stp>Market</stp>
        <stp>STOCK</stp>
        <stp>94320.T</stp>
        <stp>最良買気配数量7</stp>
        <tr r="DR2" s="6"/>
      </tp>
      <tp>
        <v>118200</v>
        <stp/>
        <stp>Market</stp>
        <stp>STOCK</stp>
        <stp>94320.T</stp>
        <stp>最良買気配数量4</stp>
        <tr r="DO2" s="6"/>
      </tp>
      <tp>
        <v>272700</v>
        <stp/>
        <stp>Market</stp>
        <stp>STOCK</stp>
        <stp>94320.T</stp>
        <stp>最良買気配数量5</stp>
        <tr r="DP2" s="6"/>
      </tp>
      <tp>
        <v>24900</v>
        <stp/>
        <stp>Market</stp>
        <stp>STOCK</stp>
        <stp>94320.T</stp>
        <stp>最良買気配数量2</stp>
        <tr r="DM2" s="6"/>
      </tp>
      <tp>
        <v>128300</v>
        <stp/>
        <stp>Market</stp>
        <stp>STOCK</stp>
        <stp>94320.T</stp>
        <stp>最良買気配数量3</stp>
        <tr r="DN2" s="6"/>
      </tp>
      <tp>
        <v>595900</v>
        <stp/>
        <stp>Market</stp>
        <stp>STOCK</stp>
        <stp>94320.T</stp>
        <stp>最良買気配数量1</stp>
        <tr r="DL2" s="6"/>
      </tp>
      <tp>
        <v>51700</v>
        <stp/>
        <stp>Market</stp>
        <stp>STOCK</stp>
        <stp>94320.T</stp>
        <stp>最良買気配数量8</stp>
        <tr r="DS2" s="6"/>
      </tp>
      <tp>
        <v>76800</v>
        <stp/>
        <stp>Market</stp>
        <stp>STOCK</stp>
        <stp>94320.T</stp>
        <stp>最良買気配数量9</stp>
        <tr r="DT2" s="6"/>
      </tp>
    </main>
    <main first="rtdsrv.de3fe66e5a884410a629214c60667380">
      <tp>
        <v>2030100</v>
        <stp/>
        <stp>Market</stp>
        <stp>STOCK</stp>
        <stp>94320.T</stp>
        <stp>新規貸株</stp>
        <tr r="BV2" s="6"/>
      </tp>
      <tp>
        <v>6300</v>
        <stp/>
        <stp>Market</stp>
        <stp>STOCK</stp>
        <stp>72030.T</stp>
        <stp>最良買気配数量7</stp>
        <tr r="DS4" s="14"/>
        <tr r="DS2" s="14"/>
      </tp>
      <tp>
        <v>19600</v>
        <stp/>
        <stp>Market</stp>
        <stp>STOCK</stp>
        <stp>72030.T</stp>
        <stp>最良買気配数量6</stp>
        <tr r="DR4" s="14"/>
        <tr r="DR2" s="14"/>
      </tp>
      <tp>
        <v>2300</v>
        <stp/>
        <stp>Market</stp>
        <stp>STOCK</stp>
        <stp>72030.T</stp>
        <stp>最良買気配数量5</stp>
        <tr r="DQ4" s="14"/>
        <tr r="DQ2" s="14"/>
      </tp>
      <tp>
        <v>1500</v>
        <stp/>
        <stp>Market</stp>
        <stp>STOCK</stp>
        <stp>72030.T</stp>
        <stp>最良買気配数量4</stp>
        <tr r="DP4" s="14"/>
        <tr r="DP2" s="14"/>
      </tp>
      <tp>
        <v>2400</v>
        <stp/>
        <stp>Market</stp>
        <stp>STOCK</stp>
        <stp>72030.T</stp>
        <stp>最良買気配数量3</stp>
        <tr r="DO4" s="14"/>
        <tr r="DO2" s="14"/>
      </tp>
      <tp>
        <v>800</v>
        <stp/>
        <stp>Market</stp>
        <stp>STOCK</stp>
        <stp>72030.T</stp>
        <stp>最良買気配数量2</stp>
        <tr r="DN4" s="14"/>
        <tr r="DN2" s="14"/>
      </tp>
      <tp>
        <v>100</v>
        <stp/>
        <stp>Market</stp>
        <stp>STOCK</stp>
        <stp>72030.T</stp>
        <stp>最良買気配数量1</stp>
        <tr r="DM4" s="14"/>
        <tr r="DM2" s="14"/>
      </tp>
      <tp>
        <v>2100</v>
        <stp/>
        <stp>Market</stp>
        <stp>STOCK</stp>
        <stp>72030.T</stp>
        <stp>最良買気配数量9</stp>
        <tr r="DU4" s="14"/>
        <tr r="DU2" s="14"/>
      </tp>
      <tp>
        <v>24600</v>
        <stp/>
        <stp>Market</stp>
        <stp>STOCK</stp>
        <stp>72030.T</stp>
        <stp>最良買気配数量8</stp>
        <tr r="DT4" s="14"/>
        <tr r="DT2" s="14"/>
      </tp>
    </main>
    <main first="rtdsrv.de3fe66e5a884410a629214c60667380">
      <tp t="s">
        <v/>
        <stp/>
        <stp>TickList</stp>
        <stp>2708640419664,0,0,0,0</stp>
        <stp>9432.T</stp>
        <stp>50</stp>
        <tr r="A1" s="7"/>
      </tp>
      <tp>
        <v>0</v>
        <stp/>
        <stp>Market</stp>
        <stp>STOCK</stp>
        <stp>94320.T</stp>
        <stp>逆日歩</stp>
        <tr r="BN2" s="6"/>
      </tp>
      <tp>
        <v>200</v>
        <stp/>
        <stp>Market</stp>
        <stp>STOCK</stp>
        <stp>72030.T</stp>
        <stp>新規貸株</stp>
        <tr r="BW4" s="14"/>
        <tr r="BW2" s="14"/>
      </tp>
      <tp>
        <v>2686</v>
        <stp/>
        <stp>Market</stp>
        <stp>STOCK</stp>
        <stp>72030.T</stp>
        <stp>年初来安値</stp>
        <tr r="EK4" s="14"/>
        <tr r="EK2" s="14"/>
      </tp>
      <tp>
        <v>21</v>
        <stp/>
        <stp>Market</stp>
        <stp>STOCK</stp>
        <stp>72030.T</stp>
        <stp>上場来安値</stp>
        <tr r="EO4" s="14"/>
        <tr r="EO2" s="14"/>
      </tp>
      <tp>
        <v>142.6</v>
        <stp/>
        <stp>Market</stp>
        <stp>STOCK</stp>
        <stp>94320.T</stp>
        <stp>年初来安値</stp>
        <tr r="EJ2" s="6"/>
      </tp>
      <tp>
        <v>135.19999999999999</v>
        <stp/>
        <stp>Market</stp>
        <stp>STOCK</stp>
        <stp>94320.T</stp>
        <stp>上場来安値</stp>
        <tr r="EN2" s="6"/>
      </tp>
    </main>
    <main first="rtdsrv.de3fe66e5a884410a629214c60667380">
      <tp t="s">
        <v>2026/08/21</v>
        <stp/>
        <stp>Market</stp>
        <stp>STOCK</stp>
        <stp>94320.T</stp>
        <stp>証金残更新日付</stp>
        <tr r="BU2" s="6"/>
      </tp>
    </main>
    <main first="rtdsrv.de3fe66e5a884410a629214c60667380">
      <tp t="s">
        <v>2026/08/21</v>
        <stp/>
        <stp>Market</stp>
        <stp>STOCK</stp>
        <stp>72030.T</stp>
        <stp>証金残更新日付</stp>
        <tr r="BV4" s="14"/>
        <tr r="BV2" s="14"/>
      </tp>
      <tp>
        <v>0</v>
        <stp/>
        <stp>Market</stp>
        <stp>STOCK</stp>
        <stp>94320.T</stp>
        <stp>買成行数量</stp>
        <tr r="DW2" s="6"/>
      </tp>
      <tp>
        <v>0</v>
        <stp/>
        <stp>Market</stp>
        <stp>STOCK</stp>
        <stp>94320.T</stp>
        <stp>売成行数量</stp>
        <tr r="DV2" s="6"/>
      </tp>
      <tp>
        <v>0</v>
        <stp/>
        <stp>Market</stp>
        <stp>STOCK</stp>
        <stp>72030.T</stp>
        <stp>買成行数量</stp>
        <tr r="DX4" s="14"/>
        <tr r="DX2" s="14"/>
      </tp>
    </main>
    <main first="rtdsrv.de3fe66e5a884410a629214c60667380">
      <tp>
        <v>0</v>
        <stp/>
        <stp>Market</stp>
        <stp>STOCK</stp>
        <stp>72030.T</stp>
        <stp>売成行数量</stp>
        <tr r="DW4" s="14"/>
        <tr r="DW2" s="14"/>
      </tp>
    </main>
    <main first="rtdsrv.de3fe66e5a884410a629214c60667380">
      <tp>
        <v>167.1</v>
        <stp/>
        <stp>Market</stp>
        <stp>STOCK</stp>
        <stp>94320.T</stp>
        <stp>最良売気配値10</stp>
        <tr r="CQ2" s="6"/>
      </tp>
    </main>
    <main first="rtdsrv.de3fe66e5a884410a629214c60667380">
      <tp>
        <v>3142</v>
        <stp/>
        <stp>Market</stp>
        <stp>STOCK</stp>
        <stp>72030.T</stp>
        <stp>最良売気配値10</stp>
        <tr r="CR4" s="14"/>
        <tr r="CR2" s="14"/>
      </tp>
    </main>
    <main first="rtdsrv.de3fe66e5a884410a629214c60667380">
      <tp>
        <v>-8000</v>
        <stp/>
        <stp>Market</stp>
        <stp>STOCK</stp>
        <stp>72030.T</stp>
        <stp>前日比融資</stp>
        <tr r="CE4" s="14"/>
        <tr r="CE2" s="14"/>
      </tp>
    </main>
    <main first="rtdsrv.de3fe66e5a884410a629214c60667380">
      <tp>
        <v>164.72890000000001</v>
        <stp/>
        <stp>Market</stp>
        <stp>STOCK</stp>
        <stp>94320.T</stp>
        <stp>出来高加重平均</stp>
        <tr r="AB2" s="6"/>
      </tp>
      <tp t="s">
        <v>15:24:59</v>
        <stp/>
        <stp>Market</stp>
        <stp>STOCK</stp>
        <stp>94320.T</stp>
        <stp>歩み1詳細時刻</stp>
        <tr r="V2" s="6"/>
      </tp>
      <tp t="s">
        <v>15:24:58</v>
        <stp/>
        <stp>Market</stp>
        <stp>STOCK</stp>
        <stp>94320.T</stp>
        <stp>歩み3詳細時刻</stp>
        <tr r="X2" s="6"/>
      </tp>
      <tp t="s">
        <v>15:24:59</v>
        <stp/>
        <stp>Market</stp>
        <stp>STOCK</stp>
        <stp>94320.T</stp>
        <stp>歩み2詳細時刻</stp>
        <tr r="W2" s="6"/>
      </tp>
      <tp t="s">
        <v>15:24:57</v>
        <stp/>
        <stp>Market</stp>
        <stp>STOCK</stp>
        <stp>94320.T</stp>
        <stp>歩み4詳細時刻</stp>
        <tr r="Y2" s="6"/>
      </tp>
      <tp>
        <v>222000</v>
        <stp/>
        <stp>Market</stp>
        <stp>STOCK</stp>
        <stp>94320.T</stp>
        <stp>最良売気配数量10</stp>
        <tr r="DK2" s="6"/>
      </tp>
    </main>
    <main first="rtdsrv.de3fe66e5a884410a629214c60667380">
      <tp>
        <v>3097</v>
        <stp/>
        <stp>Market</stp>
        <stp>STOCK</stp>
        <stp>72030.T</stp>
        <stp>後場安値</stp>
        <tr r="AU4" s="14"/>
        <tr r="AU2" s="14"/>
      </tp>
      <tp>
        <v>3056</v>
        <stp/>
        <stp>Market</stp>
        <stp>STOCK</stp>
        <stp>72030.T</stp>
        <stp>前場安値</stp>
        <tr r="AP4" s="14"/>
        <tr r="AP2" s="14"/>
      </tp>
      <tp>
        <v>3200</v>
        <stp/>
        <stp>Market</stp>
        <stp>STOCK</stp>
        <stp>72030.T</stp>
        <stp>最良売気配数量10</stp>
        <tr r="DL4" s="14"/>
        <tr r="DL2" s="14"/>
      </tp>
      <tp>
        <v>-843800</v>
        <stp/>
        <stp>Market</stp>
        <stp>STOCK</stp>
        <stp>94320.T</stp>
        <stp>前日比融資</stp>
        <tr r="CD2" s="6"/>
      </tp>
      <tp t="s">
        <v/>
        <stp/>
        <stp>MarginPositionList</stp>
        <stp>2708640416976,0,0,0,0</stp>
        <stp/>
        <stp>A</stp>
        <stp>0</stp>
        <stp>0</stp>
        <stp>0</stp>
        <tr r="A1" s="5"/>
      </tp>
      <tp>
        <v>3100</v>
        <stp/>
        <stp>Market</stp>
        <stp>STOCK</stp>
        <stp>72030.T</stp>
        <stp>後場始値</stp>
        <tr r="AS4" s="14"/>
        <tr r="AS2" s="14"/>
      </tp>
      <tp>
        <v>3066</v>
        <stp/>
        <stp>Market</stp>
        <stp>STOCK</stp>
        <stp>72030.T</stp>
        <stp>前場始値</stp>
        <tr r="AN4" s="14"/>
        <tr r="AN2" s="14"/>
      </tp>
    </main>
    <main first="rtdsrv.de3fe66e5a884410a629214c60667380">
      <tp t="s">
        <v>09:00:00</v>
        <stp/>
        <stp>Market</stp>
        <stp>STOCK</stp>
        <stp>94320.T</stp>
        <stp>安値詳細時刻</stp>
        <tr r="AL2" s="6"/>
      </tp>
    </main>
    <main first="rtdsrv.de3fe66e5a884410a629214c60667380">
      <tp t="s">
        <v/>
        <stp/>
        <stp>ExecutionList</stp>
        <stp>2708640408912,0,0,0,0</stp>
        <stp>0</stp>
        <stp/>
        <stp>A</stp>
        <stp>0</stp>
        <stp>0</stp>
        <tr r="A1" s="3"/>
      </tp>
    </main>
    <main first="rtdsrv.de3fe66e5a884410a629214c60667380">
      <tp t="s">
        <v>09:00:00</v>
        <stp/>
        <stp>Market</stp>
        <stp>STOCK</stp>
        <stp>72030.T</stp>
        <stp>安値詳細時刻</stp>
        <tr r="AM4" s="14"/>
        <tr r="AM2" s="14"/>
      </tp>
      <tp>
        <v>164.6</v>
        <stp/>
        <stp>Market</stp>
        <stp>STOCK</stp>
        <stp>94320.T</stp>
        <stp>後場始値</stp>
        <tr r="AR2" s="6"/>
      </tp>
      <tp>
        <v>162</v>
        <stp/>
        <stp>Market</stp>
        <stp>STOCK</stp>
        <stp>94320.T</stp>
        <stp>前場始値</stp>
        <tr r="AM2" s="6"/>
      </tp>
    </main>
    <main first="rtdsrv.de3fe66e5a884410a629214c60667380">
      <tp t="s">
        <v>09:00:00</v>
        <stp/>
        <stp>Market</stp>
        <stp>STOCK</stp>
        <stp>94320.T</stp>
        <stp>始値詳細時刻</stp>
        <tr r="AJ2" s="6"/>
      </tp>
    </main>
    <main first="rtdsrv.de3fe66e5a884410a629214c60667380">
      <tp>
        <v>164.4</v>
        <stp/>
        <stp>Market</stp>
        <stp>STOCK</stp>
        <stp>94320.T</stp>
        <stp>後場安値</stp>
        <tr r="AT2" s="6"/>
      </tp>
      <tp>
        <v>161.69999999999999</v>
        <stp/>
        <stp>Market</stp>
        <stp>STOCK</stp>
        <stp>94320.T</stp>
        <stp>前場安値</stp>
        <tr r="AO2" s="6"/>
      </tp>
      <tp t="s">
        <v>09:00:00</v>
        <stp/>
        <stp>Market</stp>
        <stp>STOCK</stp>
        <stp>72030.T</stp>
        <stp>始値詳細時刻</stp>
        <tr r="AK4" s="14"/>
        <tr r="AK2" s="14"/>
      </tp>
    </main>
    <main first="rtdsrv.de3fe66e5a884410a629214c60667380">
      <tp t="s">
        <v>東証</v>
        <stp/>
        <stp>Market</stp>
        <stp>STOCK</stp>
        <stp>94320.T</stp>
        <stp>市場名称</stp>
        <tr r="D2" s="6"/>
      </tp>
      <tp>
        <v>2029100</v>
        <stp/>
        <stp>Market</stp>
        <stp>STOCK</stp>
        <stp>94320.T</stp>
        <stp>前日比貸株</stp>
        <tr r="CC2" s="6"/>
      </tp>
    </main>
    <main first="rtdsrv.de3fe66e5a884410a629214c60667380">
      <tp>
        <v>1</v>
        <stp/>
        <stp>Market</stp>
        <stp>STOCK</stp>
        <stp>94320.T</stp>
        <stp>信用貸借区分</stp>
        <tr r="BM2" s="6"/>
      </tp>
    </main>
    <main first="rtdsrv.de3fe66e5a884410a629214c60667380">
      <tp>
        <v>1</v>
        <stp/>
        <stp>Market</stp>
        <stp>STOCK</stp>
        <stp>72030.T</stp>
        <stp>信用貸借区分</stp>
        <tr r="BN4" s="14"/>
        <tr r="BN2" s="14"/>
      </tp>
      <tp>
        <v>-135000</v>
        <stp/>
        <stp>Market</stp>
        <stp>STOCK</stp>
        <stp>72030.T</stp>
        <stp>前日比貸株</stp>
        <tr r="CD4" s="14"/>
        <tr r="CD2" s="14"/>
      </tp>
    </main>
    <main first="rtdsrv.de3fe66e5a884410a629214c60667380">
      <tp t="s">
        <v>東証</v>
        <stp/>
        <stp>Market</stp>
        <stp>STOCK</stp>
        <stp>72030.T</stp>
        <stp>市場名称</stp>
        <tr r="E4" s="14"/>
        <tr r="E2" s="14"/>
      </tp>
      <tp>
        <v>3114.0445</v>
        <stp/>
        <stp>Market</stp>
        <stp>STOCK</stp>
        <stp>72030.T</stp>
        <stp>出来高加重平均</stp>
        <tr r="AC4" s="14"/>
        <tr r="AC2" s="14"/>
      </tp>
      <tp t="s">
        <v/>
        <stp/>
        <stp>OrderList</stp>
        <stp>2708640422352,0,0,0,0</stp>
        <stp>0</stp>
        <stp>0</stp>
        <stp/>
        <stp>A</stp>
        <stp>0</stp>
        <stp>0</stp>
        <stp>0</stp>
        <stp>0</stp>
        <stp>0</stp>
        <tr r="A1" s="2"/>
      </tp>
      <tp t="s">
        <v>15:24:59</v>
        <stp/>
        <stp>Market</stp>
        <stp>STOCK</stp>
        <stp>72030.T</stp>
        <stp>歩み2詳細時刻</stp>
        <tr r="X4" s="14"/>
        <tr r="X2" s="14"/>
      </tp>
      <tp t="s">
        <v>15:24:59</v>
        <stp/>
        <stp>Market</stp>
        <stp>STOCK</stp>
        <stp>72030.T</stp>
        <stp>歩み3詳細時刻</stp>
        <tr r="Y4" s="14"/>
        <tr r="Y2" s="14"/>
      </tp>
      <tp t="s">
        <v>15:24:59</v>
        <stp/>
        <stp>Market</stp>
        <stp>STOCK</stp>
        <stp>72030.T</stp>
        <stp>歩み1詳細時刻</stp>
        <tr r="W4" s="14"/>
        <tr r="W2" s="14"/>
      </tp>
      <tp t="s">
        <v>15:24:59</v>
        <stp/>
        <stp>Market</stp>
        <stp>STOCK</stp>
        <stp>72030.T</stp>
        <stp>歩み4詳細時刻</stp>
        <tr r="Z4" s="14"/>
        <tr r="Z2" s="14"/>
      </tp>
    </main>
    <main first="rtdsrv.de3fe66e5a884410a629214c60667380">
      <tp>
        <v>3.93</v>
        <stp/>
        <stp>Market</stp>
        <stp>STOCK</stp>
        <stp>94320.T</stp>
        <stp>信用倍率</stp>
        <tr r="BT2" s="6"/>
      </tp>
      <tp>
        <v>4282200</v>
        <stp/>
        <stp>Market</stp>
        <stp>STOCK</stp>
        <stp>72030.T</stp>
        <stp>OVER気配数量</stp>
        <tr r="DY4" s="14"/>
        <tr r="DY2" s="14"/>
      </tp>
      <tp t="s">
        <v>15:30</v>
        <stp/>
        <stp>Market</stp>
        <stp>STOCK</stp>
        <stp>72030.T</stp>
        <stp>現在値時刻</stp>
        <tr r="J4" s="14"/>
        <tr r="J2" s="14"/>
      </tp>
    </main>
    <main first="rtdsrv.de3fe66e5a884410a629214c60667380">
      <tp t="s">
        <v>15:30</v>
        <stp/>
        <stp>Market</stp>
        <stp>STOCK</stp>
        <stp>94320.T</stp>
        <stp>現在値時刻</stp>
        <tr r="I2" s="6"/>
      </tp>
    </main>
    <main first="rtdsrv.de3fe66e5a884410a629214c60667380">
      <tp t="s">
        <v>2021/09/28</v>
        <stp/>
        <stp>Market</stp>
        <stp>STOCK</stp>
        <stp>72030.T</stp>
        <stp>上場来高値日付</stp>
        <tr r="EP4" s="14"/>
        <tr r="EP2" s="14"/>
      </tp>
      <tp t="s">
        <v>1950/06/01</v>
        <stp/>
        <stp>Market</stp>
        <stp>STOCK</stp>
        <stp>72030.T</stp>
        <stp>上場来安値日付</stp>
        <tr r="EQ4" s="14"/>
        <tr r="EQ2" s="14"/>
      </tp>
      <tp t="s">
        <v>12:30</v>
        <stp/>
        <stp>Market</stp>
        <stp>STOCK</stp>
        <stp>94320.T</stp>
        <stp>後場安値時刻</stp>
        <tr r="BB2" s="6"/>
      </tp>
      <tp t="s">
        <v>12:30</v>
        <stp/>
        <stp>Market</stp>
        <stp>STOCK</stp>
        <stp>94320.T</stp>
        <stp>後場始値時刻</stp>
        <tr r="AZ2" s="6"/>
      </tp>
      <tp t="s">
        <v>14:06</v>
        <stp/>
        <stp>Market</stp>
        <stp>STOCK</stp>
        <stp>94320.T</stp>
        <stp>後場高値時刻</stp>
        <tr r="BA2" s="6"/>
      </tp>
      <tp t="s">
        <v>12:30</v>
        <stp/>
        <stp>Market</stp>
        <stp>STOCK</stp>
        <stp>72030.T</stp>
        <stp>後場始値時刻</stp>
        <tr r="BA4" s="14"/>
        <tr r="BA2" s="14"/>
      </tp>
      <tp t="s">
        <v>12:30</v>
        <stp/>
        <stp>Market</stp>
        <stp>STOCK</stp>
        <stp>72030.T</stp>
        <stp>後場安値時刻</stp>
        <tr r="BC4" s="14"/>
        <tr r="BC2" s="14"/>
      </tp>
      <tp t="s">
        <v>14:30</v>
        <stp/>
        <stp>Market</stp>
        <stp>STOCK</stp>
        <stp>72030.T</stp>
        <stp>後場高値時刻</stp>
        <tr r="BB4" s="14"/>
        <tr r="BB2" s="14"/>
      </tp>
      <tp>
        <v>13.12</v>
        <stp/>
        <stp>Market</stp>
        <stp>STOCK</stp>
        <stp>72030.T</stp>
        <stp>信用倍率</stp>
        <tr r="BU4" s="14"/>
        <tr r="BU2" s="14"/>
      </tp>
    </main>
    <main first="rtdsrv.de3fe66e5a884410a629214c60667380">
      <tp>
        <v>31834500</v>
        <stp/>
        <stp>Market</stp>
        <stp>STOCK</stp>
        <stp>94320.T</stp>
        <stp>OVER気配数量</stp>
        <tr r="DX2" s="6"/>
      </tp>
    </main>
    <main first="rtdsrv.de3fe66e5a884410a629214c60667380">
      <tp t="s">
        <v>11:30</v>
        <stp/>
        <stp>Market</stp>
        <stp>STOCK</stp>
        <stp>72030.T</stp>
        <stp>前場終値時刻</stp>
        <tr r="AY4" s="14"/>
        <tr r="AY2" s="14"/>
      </tp>
      <tp t="s">
        <v>09:00</v>
        <stp/>
        <stp>Market</stp>
        <stp>STOCK</stp>
        <stp>72030.T</stp>
        <stp>前場始値時刻</stp>
        <tr r="AV4" s="14"/>
        <tr r="AV2" s="14"/>
      </tp>
      <tp t="s">
        <v>09:00</v>
        <stp/>
        <stp>Market</stp>
        <stp>STOCK</stp>
        <stp>72030.T</stp>
        <stp>前場安値時刻</stp>
        <tr r="AX4" s="14"/>
        <tr r="AX2" s="14"/>
      </tp>
      <tp t="s">
        <v>10:19</v>
        <stp/>
        <stp>Market</stp>
        <stp>STOCK</stp>
        <stp>72030.T</stp>
        <stp>前場高値時刻</stp>
        <tr r="AW4" s="14"/>
        <tr r="AW2" s="14"/>
      </tp>
      <tp>
        <v>22319100</v>
        <stp/>
        <stp>Market</stp>
        <stp>STOCK</stp>
        <stp>94320.T</stp>
        <stp>信用売残</stp>
        <tr r="BP2" s="6"/>
      </tp>
    </main>
    <main first="rtdsrv.de3fe66e5a884410a629214c60667380">
      <tp t="s">
        <v>11:30</v>
        <stp/>
        <stp>Market</stp>
        <stp>STOCK</stp>
        <stp>94320.T</stp>
        <stp>前場終値時刻</stp>
        <tr r="AX2" s="6"/>
      </tp>
      <tp t="s">
        <v>09:00</v>
        <stp/>
        <stp>Market</stp>
        <stp>STOCK</stp>
        <stp>94320.T</stp>
        <stp>前場安値時刻</stp>
        <tr r="AW2" s="6"/>
      </tp>
      <tp t="s">
        <v>09:00</v>
        <stp/>
        <stp>Market</stp>
        <stp>STOCK</stp>
        <stp>94320.T</stp>
        <stp>前場始値時刻</stp>
        <tr r="AU2" s="6"/>
      </tp>
      <tp t="s">
        <v>10:08</v>
        <stp/>
        <stp>Market</stp>
        <stp>STOCK</stp>
        <stp>94320.T</stp>
        <stp>前場高値時刻</stp>
        <tr r="AV2" s="6"/>
      </tp>
    </main>
    <main first="rtdsrv.de3fe66e5a884410a629214c60667380">
      <tp t="s">
        <v>1987/04/22</v>
        <stp/>
        <stp>Market</stp>
        <stp>STOCK</stp>
        <stp>94320.T</stp>
        <stp>上場来高値日付</stp>
        <tr r="EO2" s="6"/>
      </tp>
      <tp t="s">
        <v>2025/04/07</v>
        <stp/>
        <stp>Market</stp>
        <stp>STOCK</stp>
        <stp>94320.T</stp>
        <stp>上場来安値日付</stp>
        <tr r="EP2" s="6"/>
      </tp>
    </main>
    <main first="rtdsrv.de3fe66e5a884410a629214c60667380">
      <tp t="s">
        <v/>
        <stp/>
        <stp>PositionList</stp>
        <stp>2708640414288,0,0,0,0</stp>
        <stp/>
        <stp>A</stp>
        <tr r="A1" s="4"/>
      </tp>
      <tp>
        <v>1500200</v>
        <stp/>
        <stp>Market</stp>
        <stp>STOCK</stp>
        <stp>72030.T</stp>
        <stp>信用売残</stp>
        <tr r="BQ4" s="14"/>
        <tr r="BQ2" s="14"/>
      </tp>
    </main>
    <main first="rtdsrv.de3fe66e5a884410a629214c60667380">
      <tp>
        <v>164.6</v>
        <stp/>
        <stp>Market</stp>
        <stp>STOCK</stp>
        <stp>94320.T</stp>
        <stp>前場終値</stp>
        <tr r="AP2" s="6"/>
      </tp>
    </main>
    <main first="rtdsrv.de3fe66e5a884410a629214c60667380">
      <tp>
        <v>2.4500000000000002</v>
        <stp/>
        <stp>Market</stp>
        <stp>STOCK</stp>
        <stp>72030.T</stp>
        <stp>貸借倍率</stp>
        <tr r="CH4" s="14"/>
        <tr r="CH2" s="14"/>
      </tp>
      <tp t="s">
        <v xml:space="preserve"> </v>
        <stp/>
        <stp>Market</stp>
        <stp>STOCK</stp>
        <stp>72030.T</stp>
        <stp>特別買気配フラグ</stp>
        <tr r="BM4" s="14"/>
        <tr r="BM2" s="14"/>
      </tp>
      <tp t="s">
        <v>2026/08/21</v>
        <stp/>
        <stp>Market</stp>
        <stp>STOCK</stp>
        <stp>72030.T</stp>
        <stp>現在日付</stp>
        <tr r="H4" s="14"/>
        <tr r="H2" s="14"/>
      </tp>
      <tp t="s">
        <v xml:space="preserve"> </v>
        <stp/>
        <stp>Market</stp>
        <stp>STOCK</stp>
        <stp>94320.T</stp>
        <stp>特別買気配フラグ</stp>
        <tr r="BL2" s="6"/>
      </tp>
    </main>
    <main first="rtdsrv.de3fe66e5a884410a629214c60667380">
      <tp t="s">
        <v>2026/08/21</v>
        <stp/>
        <stp>Market</stp>
        <stp>STOCK</stp>
        <stp>94320.T</stp>
        <stp>現在日付</stp>
        <tr r="G2" s="6"/>
      </tp>
    </main>
    <main first="rtdsrv.de3fe66e5a884410a629214c60667380">
      <tp>
        <v>4.7</v>
        <stp/>
        <stp>Market</stp>
        <stp>STOCK</stp>
        <stp>94320.T</stp>
        <stp>前日比</stp>
        <tr r="M2" s="6"/>
      </tp>
      <tp>
        <v>3096</v>
        <stp/>
        <stp>Market</stp>
        <stp>STOCK</stp>
        <stp>72030.T</stp>
        <stp>前場終値</stp>
        <tr r="AQ4" s="14"/>
        <tr r="AQ2" s="14"/>
      </tp>
    </main>
    <main first="rtdsrv.de3fe66e5a884410a629214c60667380">
      <tp>
        <v>0.7</v>
        <stp/>
        <stp>Market</stp>
        <stp>STOCK</stp>
        <stp>94320.T</stp>
        <stp>貸借倍率</stp>
        <tr r="CG2" s="6"/>
      </tp>
      <tp>
        <v>66</v>
        <stp/>
        <stp>Market</stp>
        <stp>STOCK</stp>
        <stp>72030.T</stp>
        <stp>前日比</stp>
        <tr r="N4" s="14"/>
        <tr r="N2" s="14"/>
      </tp>
      <tp t="s">
        <v>09:00</v>
        <stp/>
        <stp>Market</stp>
        <stp>STOCK</stp>
        <stp>94320.T</stp>
        <stp>始値時刻</stp>
        <tr r="AG2" s="6"/>
      </tp>
      <tp t="s">
        <v>09:00</v>
        <stp/>
        <stp>Market</stp>
        <stp>STOCK</stp>
        <stp>94320.T</stp>
        <stp>安値時刻</stp>
        <tr r="AI2" s="6"/>
      </tp>
      <tp t="s">
        <v>14:06</v>
        <stp/>
        <stp>Market</stp>
        <stp>STOCK</stp>
        <stp>94320.T</stp>
        <stp>高値時刻</stp>
        <tr r="AH2" s="6"/>
      </tp>
    </main>
    <main first="rtdsrv.de3fe66e5a884410a629214c60667380">
      <tp t="s">
        <v>09:00</v>
        <stp/>
        <stp>Market</stp>
        <stp>STOCK</stp>
        <stp>72030.T</stp>
        <stp>始値時刻</stp>
        <tr r="AH4" s="14"/>
        <tr r="AH2" s="14"/>
      </tp>
      <tp t="s">
        <v>09:00</v>
        <stp/>
        <stp>Market</stp>
        <stp>STOCK</stp>
        <stp>72030.T</stp>
        <stp>安値時刻</stp>
        <tr r="AJ4" s="14"/>
        <tr r="AJ2" s="14"/>
      </tp>
      <tp t="s">
        <v>14:30</v>
        <stp/>
        <stp>Market</stp>
        <stp>STOCK</stp>
        <stp>72030.T</stp>
        <stp>高値時刻</stp>
        <tr r="AI4" s="14"/>
        <tr r="AI2" s="14"/>
      </tp>
    </main>
    <main first="rtdsrv.de3fe66e5a884410a629214c60667380">
      <tp>
        <v>284600</v>
        <stp/>
        <stp>Market</stp>
        <stp>STOCK</stp>
        <stp>72030.T</stp>
        <stp>残高融資</stp>
        <tr r="CB4" s="14"/>
        <tr r="CB2" s="14"/>
      </tp>
    </main>
    <main first="rtdsrv.de3fe66e5a884410a629214c60667380">
      <tp t="s">
        <v>↓</v>
        <stp/>
        <stp>Market</stp>
        <stp>STOCK</stp>
        <stp>94320.T</stp>
        <stp>現在値ティック</stp>
        <tr r="K2" s="6"/>
      </tp>
    </main>
    <main first="rtdsrv.de3fe66e5a884410a629214c60667380">
      <tp>
        <v>1767600</v>
        <stp/>
        <stp>Market</stp>
        <stp>STOCK</stp>
        <stp>94320.T</stp>
        <stp>残高融資</stp>
        <tr r="CA2" s="6"/>
      </tp>
    </main>
    <main first="rtdsrv.de3fe66e5a884410a629214c60667380">
      <tp t="s">
        <v>↑</v>
        <stp/>
        <stp>Market</stp>
        <stp>STOCK</stp>
        <stp>72030.T</stp>
        <stp>現在値ティック</stp>
        <tr r="L4" s="14"/>
        <tr r="L2" s="14"/>
      </tp>
      <tp>
        <v>116400</v>
        <stp/>
        <stp>Market</stp>
        <stp>STOCK</stp>
        <stp>72030.T</stp>
        <stp>残高貸株</stp>
        <tr r="CA4" s="14"/>
        <tr r="CA2" s="14"/>
      </tp>
    </main>
    <main first="rtdsrv.de3fe66e5a884410a629214c60667380">
      <tp>
        <v>2526700</v>
        <stp/>
        <stp>Market</stp>
        <stp>STOCK</stp>
        <stp>94320.T</stp>
        <stp>残高貸株</stp>
        <tr r="BZ2" s="6"/>
      </tp>
      <tp>
        <v>72916300</v>
        <stp/>
        <stp>Market</stp>
        <stp>STOCK</stp>
        <stp>94320.T</stp>
        <stp>UNDER気配数量</stp>
        <tr r="DY2" s="6"/>
      </tp>
    </main>
    <main first="rtdsrv.de3fe66e5a884410a629214c60667380">
      <tp>
        <v>5198900</v>
        <stp/>
        <stp>Market</stp>
        <stp>STOCK</stp>
        <stp>72030.T</stp>
        <stp>UNDER気配数量</stp>
        <tr r="DZ4" s="14"/>
        <tr r="DZ2" s="14"/>
      </tp>
    </main>
    <main first="rtdsrv.de3fe66e5a884410a629214c60667380">
      <tp>
        <v>3132</v>
        <stp/>
        <stp>Market</stp>
        <stp>STOCK</stp>
        <stp>72030.T</stp>
        <stp>後場高値</stp>
        <tr r="AT4" s="14"/>
        <tr r="AT2" s="14"/>
      </tp>
      <tp>
        <v>3127</v>
        <stp/>
        <stp>Market</stp>
        <stp>STOCK</stp>
        <stp>72030.T</stp>
        <stp>前場高値</stp>
        <tr r="AO4" s="14"/>
        <tr r="AO2" s="14"/>
      </tp>
    </main>
    <main first="rtdsrv.de3fe66e5a884410a629214c60667380">
      <tp t="s">
        <v>2026/08/24</v>
        <stp/>
        <stp>Market</stp>
        <stp>STOCK</stp>
        <stp>94320.T</stp>
        <stp>貸株金利適用日</stp>
        <tr r="ER2" s="6"/>
      </tp>
      <tp t="s">
        <v>2021/09/29</v>
        <stp/>
        <stp>Market</stp>
        <stp>STOCK</stp>
        <stp>72030.T</stp>
        <stp>権利落日</stp>
        <tr r="EE4" s="14"/>
        <tr r="EE2" s="14"/>
      </tp>
      <tp t="s">
        <v>C</v>
        <stp/>
        <stp>Market</stp>
        <stp>STOCK</stp>
        <stp>94320.T</stp>
        <stp>前日終値フラグ</stp>
        <tr r="Q2" s="6"/>
      </tp>
      <tp>
        <v>161</v>
        <stp/>
        <stp>Market</stp>
        <stp>STOCK</stp>
        <stp>94320.T</stp>
        <stp>当日基準値</stp>
        <tr r="EH2" s="6"/>
      </tp>
      <tp t="s">
        <v>14:30:32</v>
        <stp/>
        <stp>Market</stp>
        <stp>STOCK</stp>
        <stp>72030.T</stp>
        <stp>高値詳細時刻</stp>
        <tr r="AL4" s="14"/>
        <tr r="AL2" s="14"/>
      </tp>
    </main>
    <main first="rtdsrv.de3fe66e5a884410a629214c60667380">
      <tp t="s">
        <v>2023/06/29</v>
        <stp/>
        <stp>Market</stp>
        <stp>STOCK</stp>
        <stp>94320.T</stp>
        <stp>権利落日</stp>
        <tr r="ED2" s="6"/>
      </tp>
    </main>
    <main first="rtdsrv.de3fe66e5a884410a629214c60667380">
      <tp t="s">
        <v>14:06:06</v>
        <stp/>
        <stp>Market</stp>
        <stp>STOCK</stp>
        <stp>94320.T</stp>
        <stp>高値詳細時刻</stp>
        <tr r="AK2" s="6"/>
      </tp>
      <tp>
        <v>166.2</v>
        <stp/>
        <stp>Market</stp>
        <stp>STOCK</stp>
        <stp>94320.T</stp>
        <stp>後場高値</stp>
        <tr r="AS2" s="6"/>
      </tp>
      <tp>
        <v>165</v>
        <stp/>
        <stp>Market</stp>
        <stp>STOCK</stp>
        <stp>94320.T</stp>
        <stp>前場高値</stp>
        <tr r="AN2" s="6"/>
      </tp>
    </main>
    <main first="rtdsrv.de3fe66e5a884410a629214c60667380">
      <tp>
        <v>3066</v>
        <stp/>
        <stp>Market</stp>
        <stp>STOCK</stp>
        <stp>72030.T</stp>
        <stp>当日基準値</stp>
        <tr r="EI4" s="14"/>
        <tr r="EI2" s="14"/>
      </tp>
    </main>
    <main first="rtdsrv.de3fe66e5a884410a629214c60667380">
      <tp>
        <v>19687200</v>
        <stp/>
        <stp>Market</stp>
        <stp>STOCK</stp>
        <stp>72030.T</stp>
        <stp>信用買残</stp>
        <tr r="BS4" s="14"/>
        <tr r="BS2" s="14"/>
      </tp>
    </main>
    <main first="rtdsrv.de3fe66e5a884410a629214c60667380">
      <tp>
        <v>87662900</v>
        <stp/>
        <stp>Market</stp>
        <stp>STOCK</stp>
        <stp>94320.T</stp>
        <stp>信用買残</stp>
        <tr r="BR2" s="6"/>
      </tp>
      <tp t="s">
        <v>2026/08/24</v>
        <stp/>
        <stp>Market</stp>
        <stp>STOCK</stp>
        <stp>72030.T</stp>
        <stp>貸株金利適用日</stp>
        <tr r="ES4" s="14"/>
        <tr r="ES2" s="14"/>
      </tp>
      <tp t="s">
        <v>東Ｐ</v>
        <stp/>
        <stp>Market</stp>
        <stp>STOCK</stp>
        <stp>94320.T</stp>
        <stp>市場部略称</stp>
        <tr r="F2" s="6"/>
      </tp>
      <tp t="s">
        <v>C</v>
        <stp/>
        <stp>Market</stp>
        <stp>STOCK</stp>
        <stp>72030.T</stp>
        <stp>前日終値フラグ</stp>
        <tr r="R4" s="14"/>
        <tr r="R2" s="14"/>
      </tp>
    </main>
    <main first="rtdsrv.de3fe66e5a884410a629214c60667380">
      <tp>
        <v>167703300</v>
        <stp/>
        <stp>Market</stp>
        <stp>STOCK</stp>
        <stp>94320.T</stp>
        <stp>前場出来高</stp>
        <tr r="AQ2" s="6"/>
      </tp>
      <tp t="s">
        <v>東Ｐ</v>
        <stp/>
        <stp>Market</stp>
        <stp>STOCK</stp>
        <stp>72030.T</stp>
        <stp>市場部略称</stp>
        <tr r="G2" s="14"/>
      </tp>
    </main>
    <main first="rtdsrv.de3fe66e5a884410a629214c60667380">
      <tp>
        <v>12093200</v>
        <stp/>
        <stp>Market</stp>
        <stp>STOCK</stp>
        <stp>72030.T</stp>
        <stp>前場出来高</stp>
        <tr r="AR4" s="14"/>
        <tr r="AR2" s="14"/>
      </tp>
      <tp>
        <v>7203</v>
        <stp/>
        <stp>Market</stp>
        <stp>STOCK</stp>
        <stp>72030.T</stp>
        <stp>銘柄コード</stp>
        <tr r="B4" s="14"/>
        <tr r="B2" s="14"/>
      </tp>
      <tp t="s">
        <v>T</v>
        <stp/>
        <stp>Market</stp>
        <stp>STOCK</stp>
        <stp>72030.T</stp>
        <stp>市場コード</stp>
        <tr r="C4" s="14"/>
        <tr r="C2" s="14"/>
      </tp>
      <tp>
        <v>9432</v>
        <stp/>
        <stp>Market</stp>
        <stp>STOCK</stp>
        <stp>94320.T</stp>
        <stp>銘柄コード</stp>
        <tr r="A2" s="6"/>
      </tp>
      <tp>
        <v>0.1</v>
        <stp/>
        <stp>Market</stp>
        <stp>STOCK</stp>
        <stp>94320.T</stp>
        <stp>貸株金利</stp>
        <tr r="EQ2" s="6"/>
      </tp>
    </main>
    <main first="rtdsrv.de3fe66e5a884410a629214c60667380">
      <tp t="s">
        <v>T</v>
        <stp/>
        <stp>Market</stp>
        <stp>STOCK</stp>
        <stp>94320.T</stp>
        <stp>市場コード</stp>
        <tr r="B2" s="6"/>
      </tp>
      <tp>
        <v>0.1</v>
        <stp/>
        <stp>Market</stp>
        <stp>STOCK</stp>
        <stp>72030.T</stp>
        <stp>貸株金利</stp>
        <tr r="ER4" s="14"/>
        <tr r="ER2" s="14"/>
      </tp>
      <tp>
        <v>-2872900</v>
        <stp/>
        <stp>Market</stp>
        <stp>STOCK</stp>
        <stp>94320.T</stp>
        <stp>前日比差引</stp>
        <tr r="CE2" s="6"/>
      </tp>
      <tp>
        <v>127000</v>
        <stp/>
        <stp>Market</stp>
        <stp>STOCK</stp>
        <stp>72030.T</stp>
        <stp>前日比差引</stp>
        <tr r="CF4" s="14"/>
        <tr r="CF2" s="14"/>
      </tp>
      <tp t="s">
        <v>15:30:00</v>
        <stp/>
        <stp>Market</stp>
        <stp>STOCK</stp>
        <stp>94320.T</stp>
        <stp>最良買気配詳細時刻</stp>
        <tr r="BJ2" s="6"/>
      </tp>
      <tp t="s">
        <v>15:30:00</v>
        <stp/>
        <stp>Market</stp>
        <stp>STOCK</stp>
        <stp>72030.T</stp>
        <stp>最良買気配詳細時刻</stp>
        <tr r="BK4" s="14"/>
        <tr r="BK2" s="14"/>
      </tp>
    </main>
    <main first="rtdsrv.de3fe66e5a884410a629214c60667380">
      <tp>
        <v>2.15</v>
        <stp/>
        <stp>Market</stp>
        <stp>STOCK</stp>
        <stp>72030.T</stp>
        <stp>前日比率</stp>
        <tr r="O4" s="14"/>
        <tr r="O2" s="14"/>
      </tp>
      <tp>
        <v>8500</v>
        <stp/>
        <stp>Market</stp>
        <stp>STOCK</stp>
        <stp>72030.T</stp>
        <stp>返済融資</stp>
        <tr r="BZ4" s="14"/>
        <tr r="BZ2" s="14"/>
      </tp>
    </main>
    <main first="rtdsrv.de3fe66e5a884410a629214c60667380">
      <tp>
        <v>2.91</v>
        <stp/>
        <stp>Market</stp>
        <stp>STOCK</stp>
        <stp>94320.T</stp>
        <stp>前日比率</stp>
        <tr r="N2" s="6"/>
      </tp>
    </main>
    <main first="rtdsrv.de3fe66e5a884410a629214c60667380">
      <tp>
        <v>985900</v>
        <stp/>
        <stp>Market</stp>
        <stp>STOCK</stp>
        <stp>94320.T</stp>
        <stp>返済融資</stp>
        <tr r="BY2" s="6"/>
      </tp>
    </main>
    <main first="rtdsrv.de3fe66e5a884410a629214c60667380">
      <tp t="s">
        <v>2026/08/20</v>
        <stp/>
        <stp>Market</stp>
        <stp>STOCK</stp>
        <stp>94320.T</stp>
        <stp>前日日付</stp>
        <tr r="P2" s="6"/>
      </tp>
      <tp>
        <v>166.2</v>
        <stp/>
        <stp>Market</stp>
        <stp>STOCK</stp>
        <stp>94320.T</stp>
        <stp>最良売気配値</stp>
        <tr r="BC2" s="6"/>
      </tp>
      <tp>
        <v>166</v>
        <stp/>
        <stp>Market</stp>
        <stp>STOCK</stp>
        <stp>94320.T</stp>
        <stp>最良買気配値</stp>
        <tr r="BD2" s="6"/>
      </tp>
    </main>
    <main first="rtdsrv.de3fe66e5a884410a629214c60667380">
      <tp>
        <v>6.6</v>
        <stp/>
        <stp>Market</stp>
        <stp>STOCK</stp>
        <stp>72030.T</stp>
        <stp>回転日数</stp>
        <tr r="CG4" s="14"/>
        <tr r="CG2" s="14"/>
      </tp>
      <tp>
        <v>3133</v>
        <stp/>
        <stp>Market</stp>
        <stp>STOCK</stp>
        <stp>72030.T</stp>
        <stp>最良売気配値</stp>
        <tr r="BD4" s="14"/>
        <tr r="BD2" s="14"/>
      </tp>
      <tp>
        <v>3131</v>
        <stp/>
        <stp>Market</stp>
        <stp>STOCK</stp>
        <stp>72030.T</stp>
        <stp>最良買気配値</stp>
        <tr r="BE4" s="14"/>
        <tr r="BE2" s="14"/>
      </tp>
      <tp>
        <v>135200</v>
        <stp/>
        <stp>Market</stp>
        <stp>STOCK</stp>
        <stp>72030.T</stp>
        <stp>返済貸株</stp>
        <tr r="BY4" s="14"/>
        <tr r="BY2" s="14"/>
      </tp>
    </main>
    <main first="rtdsrv.de3fe66e5a884410a629214c60667380">
      <tp>
        <v>168200</v>
        <stp/>
        <stp>Market</stp>
        <stp>STOCK</stp>
        <stp>72030.T</stp>
        <stp>残高差引</stp>
        <tr r="CC4" s="14"/>
        <tr r="CC2" s="14"/>
      </tp>
      <tp t="s">
        <v>東証Ｐ</v>
        <stp/>
        <stp>Market</stp>
        <stp>STOCK</stp>
        <stp>94320.T</stp>
        <stp>市場部名称</stp>
        <tr r="E2" s="6"/>
      </tp>
    </main>
    <main first="rtdsrv.de3fe66e5a884410a629214c60667380">
      <tp>
        <v>1000</v>
        <stp/>
        <stp>Market</stp>
        <stp>STOCK</stp>
        <stp>94320.T</stp>
        <stp>返済貸株</stp>
        <tr r="BX2" s="6"/>
      </tp>
      <tp>
        <v>-759100</v>
        <stp/>
        <stp>Market</stp>
        <stp>STOCK</stp>
        <stp>94320.T</stp>
        <stp>残高差引</stp>
        <tr r="CB2" s="6"/>
      </tp>
    </main>
    <main first="rtdsrv.de3fe66e5a884410a629214c60667380">
      <tp t="s">
        <v>2026/08/20</v>
        <stp/>
        <stp>Market</stp>
        <stp>STOCK</stp>
        <stp>72030.T</stp>
        <stp>前日日付</stp>
        <tr r="Q4" s="14"/>
        <tr r="Q2" s="14"/>
      </tp>
      <tp t="s">
        <v>東証Ｐ</v>
        <stp/>
        <stp>Market</stp>
        <stp>STOCK</stp>
        <stp>72030.T</stp>
        <stp>市場部名称</stp>
        <tr r="F4" s="14"/>
        <tr r="F2" s="14"/>
      </tp>
    </main>
    <main first="rtdsrv.de3fe66e5a884410a629214c60667380">
      <tp>
        <v>6.2</v>
        <stp/>
        <stp>Market</stp>
        <stp>STOCK</stp>
        <stp>94320.T</stp>
        <stp>回転日数</stp>
        <tr r="CF2" s="6"/>
      </tp>
    </main>
    <main first="rtdsrv.de3fe66e5a884410a629214c60667380">
      <tp>
        <v>161.4</v>
        <stp/>
        <stp>Market</stp>
        <stp>STOCK</stp>
        <stp>94320.T</stp>
        <stp>前日終値</stp>
        <tr r="O2" s="6"/>
      </tp>
    </main>
    <main first="rtdsrv.de3fe66e5a884410a629214c60667380">
      <tp t="s">
        <v xml:space="preserve"> </v>
        <stp/>
        <stp>Market</stp>
        <stp>STOCK</stp>
        <stp>94320.T</stp>
        <stp>特別売気配フラグ</stp>
        <tr r="BK2" s="6"/>
      </tp>
    </main>
    <main first="rtdsrv.de3fe66e5a884410a629214c60667380">
      <tp t="s">
        <v>15:30:00</v>
        <stp/>
        <stp>Market</stp>
        <stp>STOCK</stp>
        <stp>94320.T</stp>
        <stp>現在値詳細時刻</stp>
        <tr r="J2" s="6"/>
      </tp>
    </main>
    <main first="rtdsrv.de3fe66e5a884410a629214c60667380">
      <tp>
        <v>3066</v>
        <stp/>
        <stp>Market</stp>
        <stp>STOCK</stp>
        <stp>72030.T</stp>
        <stp>前日終値</stp>
        <tr r="P4" s="14"/>
        <tr r="P2" s="14"/>
      </tp>
      <tp t="s">
        <v xml:space="preserve"> </v>
        <stp/>
        <stp>Market</stp>
        <stp>STOCK</stp>
        <stp>72030.T</stp>
        <stp>特別売気配フラグ</stp>
        <tr r="BL4" s="14"/>
        <tr r="BL2" s="14"/>
      </tp>
    </main>
    <main first="rtdsrv.de3fe66e5a884410a629214c60667380">
      <tp t="s">
        <v>ＮＴＴ</v>
        <stp/>
        <stp>Market</stp>
        <stp>STOCK</stp>
        <stp>94320.T</stp>
        <stp>銘柄名称</stp>
        <tr r="C2" s="6"/>
      </tp>
    </main>
    <main first="rtdsrv.de3fe66e5a884410a629214c60667380">
      <tp t="s">
        <v>トヨタ自動車</v>
        <stp/>
        <stp>Market</stp>
        <stp>STOCK</stp>
        <stp>72030.T</stp>
        <stp>銘柄名称</stp>
        <tr r="D4" s="14"/>
        <tr r="D2" s="14"/>
      </tp>
    </main>
    <main first="rtdsrv.de3fe66e5a884410a629214c60667380">
      <tp t="s">
        <v>15:30:00</v>
        <stp/>
        <stp>Market</stp>
        <stp>STOCK</stp>
        <stp>72030.T</stp>
        <stp>現在値詳細時刻</stp>
        <tr r="K4" s="14"/>
        <tr r="K2" s="14"/>
      </tp>
    </main>
    <main first="rtdsrv.de3fe66e5a884410a629214c60667380">
      <tp>
        <v>166.9</v>
        <stp/>
        <stp>Market</stp>
        <stp>STOCK</stp>
        <stp>94320.T</stp>
        <stp>最良売気配値8</stp>
        <tr r="CO2" s="6"/>
      </tp>
      <tp>
        <v>167</v>
        <stp/>
        <stp>Market</stp>
        <stp>STOCK</stp>
        <stp>94320.T</stp>
        <stp>最良売気配値9</stp>
        <tr r="CP2" s="6"/>
      </tp>
      <tp>
        <v>166.7</v>
        <stp/>
        <stp>Market</stp>
        <stp>STOCK</stp>
        <stp>94320.T</stp>
        <stp>最良売気配値6</stp>
        <tr r="CM2" s="6"/>
      </tp>
      <tp>
        <v>166.8</v>
        <stp/>
        <stp>Market</stp>
        <stp>STOCK</stp>
        <stp>94320.T</stp>
        <stp>最良売気配値7</stp>
        <tr r="CN2" s="6"/>
      </tp>
      <tp>
        <v>166.5</v>
        <stp/>
        <stp>Market</stp>
        <stp>STOCK</stp>
        <stp>94320.T</stp>
        <stp>最良売気配値4</stp>
        <tr r="CK2" s="6"/>
      </tp>
      <tp>
        <v>166.6</v>
        <stp/>
        <stp>Market</stp>
        <stp>STOCK</stp>
        <stp>94320.T</stp>
        <stp>最良売気配値5</stp>
        <tr r="CL2" s="6"/>
      </tp>
      <tp>
        <v>166.3</v>
        <stp/>
        <stp>Market</stp>
        <stp>STOCK</stp>
        <stp>94320.T</stp>
        <stp>最良売気配値2</stp>
        <tr r="CI2" s="6"/>
      </tp>
      <tp>
        <v>166.4</v>
        <stp/>
        <stp>Market</stp>
        <stp>STOCK</stp>
        <stp>94320.T</stp>
        <stp>最良売気配値3</stp>
        <tr r="CJ2" s="6"/>
      </tp>
      <tp>
        <v>166.2</v>
        <stp/>
        <stp>Market</stp>
        <stp>STOCK</stp>
        <stp>94320.T</stp>
        <stp>最良売気配値1</stp>
        <tr r="CH2" s="6"/>
      </tp>
    </main>
    <main first="rtdsrv.de3fe66e5a884410a629214c60667380">
      <tp>
        <v>60955401</v>
        <stp/>
        <stp>Market</stp>
        <stp>STOCK</stp>
        <stp>94320.T</stp>
        <stp>売買代金</stp>
        <tr r="AA2" s="6"/>
      </tp>
    </main>
    <main first="rtdsrv.de3fe66e5a884410a629214c60667380">
      <tp>
        <v>165.2</v>
        <stp/>
        <stp>Market</stp>
        <stp>STOCK</stp>
        <stp>94320.T</stp>
        <stp>最良買気配値9</stp>
        <tr r="CZ2" s="6"/>
      </tp>
      <tp>
        <v>165.3</v>
        <stp/>
        <stp>Market</stp>
        <stp>STOCK</stp>
        <stp>94320.T</stp>
        <stp>最良買気配値8</stp>
        <tr r="CY2" s="6"/>
      </tp>
      <tp>
        <v>165.8</v>
        <stp/>
        <stp>Market</stp>
        <stp>STOCK</stp>
        <stp>94320.T</stp>
        <stp>最良買気配値3</stp>
        <tr r="CT2" s="6"/>
      </tp>
      <tp>
        <v>165.9</v>
        <stp/>
        <stp>Market</stp>
        <stp>STOCK</stp>
        <stp>94320.T</stp>
        <stp>最良買気配値2</stp>
        <tr r="CS2" s="6"/>
      </tp>
      <tp>
        <v>166</v>
        <stp/>
        <stp>Market</stp>
        <stp>STOCK</stp>
        <stp>94320.T</stp>
        <stp>最良買気配値1</stp>
        <tr r="CR2" s="6"/>
      </tp>
      <tp>
        <v>165.4</v>
        <stp/>
        <stp>Market</stp>
        <stp>STOCK</stp>
        <stp>94320.T</stp>
        <stp>最良買気配値7</stp>
        <tr r="CX2" s="6"/>
      </tp>
      <tp>
        <v>165.5</v>
        <stp/>
        <stp>Market</stp>
        <stp>STOCK</stp>
        <stp>94320.T</stp>
        <stp>最良買気配値6</stp>
        <tr r="CW2" s="6"/>
      </tp>
      <tp>
        <v>165.6</v>
        <stp/>
        <stp>Market</stp>
        <stp>STOCK</stp>
        <stp>94320.T</stp>
        <stp>最良買気配値5</stp>
        <tr r="CV2" s="6"/>
      </tp>
      <tp>
        <v>165.7</v>
        <stp/>
        <stp>Market</stp>
        <stp>STOCK</stp>
        <stp>94320.T</stp>
        <stp>最良買気配値4</stp>
        <tr r="CU2" s="6"/>
      </tp>
    </main>
    <main first="rtdsrv.de3fe66e5a884410a629214c60667380">
      <tp>
        <v>370034500</v>
        <stp/>
        <stp>Market</stp>
        <stp>STOCK</stp>
        <stp>94320.T</stp>
        <stp>出来高</stp>
        <tr r="Z2" s="6"/>
      </tp>
      <tp t="s">
        <v/>
        <stp/>
        <stp>Market</stp>
        <stp>STOCK</stp>
        <stp>72030.T</stp>
        <stp>"市場部略称</stp>
        <tr r="G4" s="14"/>
      </tp>
      <tp>
        <v>3132</v>
        <stp/>
        <stp>Market</stp>
        <stp>STOCK</stp>
        <stp>72030.T</stp>
        <stp>高値</stp>
        <tr r="AF4" s="14"/>
        <tr r="AF2" s="14"/>
      </tp>
      <tp>
        <v>80730049</v>
        <stp/>
        <stp>Market</stp>
        <stp>STOCK</stp>
        <stp>72030.T</stp>
        <stp>売買代金</stp>
        <tr r="AB4" s="14"/>
        <tr r="AB2" s="14"/>
      </tp>
      <tp>
        <v>166.2</v>
        <stp/>
        <stp>Market</stp>
        <stp>STOCK</stp>
        <stp>94320.T</stp>
        <stp>高値</stp>
        <tr r="AE2" s="6"/>
      </tp>
    </main>
    <main first="rtdsrv.de3fe66e5a884410a629214c60667380">
      <tp t="s">
        <v>15:30:00</v>
        <stp/>
        <stp>Market</stp>
        <stp>STOCK</stp>
        <stp>94320.T</stp>
        <stp>最良売気配詳細時刻</stp>
        <tr r="BI2" s="6"/>
      </tp>
    </main>
    <main first="rtdsrv.de3fe66e5a884410a629214c60667380">
      <tp t="s">
        <v>15:30:00</v>
        <stp/>
        <stp>Market</stp>
        <stp>STOCK</stp>
        <stp>72030.T</stp>
        <stp>最良売気配詳細時刻</stp>
        <tr r="BJ4" s="14"/>
        <tr r="BJ2" s="14"/>
      </tp>
      <tp>
        <v>5.4</v>
        <stp/>
        <stp>Market</stp>
        <stp>STOCK</stp>
        <stp>94320.T</stp>
        <stp>配当</stp>
        <tr r="EA2" s="6"/>
      </tp>
      <tp>
        <v>100</v>
        <stp/>
        <stp>Market</stp>
        <stp>STOCK</stp>
        <stp>72030.T</stp>
        <stp>配当</stp>
        <tr r="EB4" s="14"/>
        <tr r="EB2" s="14"/>
      </tp>
      <tp>
        <v>25924500</v>
        <stp/>
        <stp>Market</stp>
        <stp>STOCK</stp>
        <stp>72030.T</stp>
        <stp>出来高</stp>
        <tr r="AA4" s="14"/>
        <tr r="AA2" s="14"/>
      </tp>
      <tp t="s">
        <v>C</v>
        <stp/>
        <stp>Market</stp>
        <stp>STOCK</stp>
        <stp>72030.T</stp>
        <stp>現在値フラグ</stp>
        <tr r="M4" s="14"/>
        <tr r="M2" s="14"/>
      </tp>
      <tp>
        <v>3141</v>
        <stp/>
        <stp>Market</stp>
        <stp>STOCK</stp>
        <stp>72030.T</stp>
        <stp>最良売気配値9</stp>
        <tr r="CQ4" s="14"/>
        <tr r="CQ2" s="14"/>
      </tp>
      <tp>
        <v>3140</v>
        <stp/>
        <stp>Market</stp>
        <stp>STOCK</stp>
        <stp>72030.T</stp>
        <stp>最良売気配値8</stp>
        <tr r="CP4" s="14"/>
        <tr r="CP2" s="14"/>
      </tp>
      <tp>
        <v>3137</v>
        <stp/>
        <stp>Market</stp>
        <stp>STOCK</stp>
        <stp>72030.T</stp>
        <stp>最良売気配値5</stp>
        <tr r="CM4" s="14"/>
        <tr r="CM2" s="14"/>
      </tp>
      <tp>
        <v>3136</v>
        <stp/>
        <stp>Market</stp>
        <stp>STOCK</stp>
        <stp>72030.T</stp>
        <stp>最良売気配値4</stp>
        <tr r="CL4" s="14"/>
        <tr r="CL2" s="14"/>
      </tp>
      <tp>
        <v>3139</v>
        <stp/>
        <stp>Market</stp>
        <stp>STOCK</stp>
        <stp>72030.T</stp>
        <stp>最良売気配値7</stp>
        <tr r="CO4" s="14"/>
        <tr r="CO2" s="14"/>
      </tp>
      <tp>
        <v>3138</v>
        <stp/>
        <stp>Market</stp>
        <stp>STOCK</stp>
        <stp>72030.T</stp>
        <stp>最良売気配値6</stp>
        <tr r="CN4" s="14"/>
        <tr r="CN2" s="14"/>
      </tp>
      <tp>
        <v>3133</v>
        <stp/>
        <stp>Market</stp>
        <stp>STOCK</stp>
        <stp>72030.T</stp>
        <stp>最良売気配値1</stp>
        <tr r="CI4" s="14"/>
        <tr r="CI2" s="14"/>
      </tp>
      <tp>
        <v>3135</v>
        <stp/>
        <stp>Market</stp>
        <stp>STOCK</stp>
        <stp>72030.T</stp>
        <stp>最良売気配値3</stp>
        <tr r="CK4" s="14"/>
        <tr r="CK2" s="14"/>
      </tp>
      <tp>
        <v>3134</v>
        <stp/>
        <stp>Market</stp>
        <stp>STOCK</stp>
        <stp>72030.T</stp>
        <stp>最良売気配値2</stp>
        <tr r="CJ4" s="14"/>
        <tr r="CJ2" s="14"/>
      </tp>
      <tp t="s">
        <v>C</v>
        <stp/>
        <stp>Market</stp>
        <stp>STOCK</stp>
        <stp>94320.T</stp>
        <stp>現在値フラグ</stp>
        <tr r="L2" s="6"/>
      </tp>
      <tp>
        <v>3124</v>
        <stp/>
        <stp>Market</stp>
        <stp>STOCK</stp>
        <stp>72030.T</stp>
        <stp>最良買気配値8</stp>
        <tr r="CZ4" s="14"/>
        <tr r="CZ2" s="14"/>
      </tp>
      <tp>
        <v>3123</v>
        <stp/>
        <stp>Market</stp>
        <stp>STOCK</stp>
        <stp>72030.T</stp>
        <stp>最良買気配値9</stp>
        <tr r="DA4" s="14"/>
        <tr r="DA2" s="14"/>
      </tp>
      <tp>
        <v>3131</v>
        <stp/>
        <stp>Market</stp>
        <stp>STOCK</stp>
        <stp>72030.T</stp>
        <stp>最良買気配値1</stp>
        <tr r="CS4" s="14"/>
        <tr r="CS2" s="14"/>
      </tp>
      <tp>
        <v>3130</v>
        <stp/>
        <stp>Market</stp>
        <stp>STOCK</stp>
        <stp>72030.T</stp>
        <stp>最良買気配値2</stp>
        <tr r="CT4" s="14"/>
        <tr r="CT2" s="14"/>
      </tp>
      <tp>
        <v>3129</v>
        <stp/>
        <stp>Market</stp>
        <stp>STOCK</stp>
        <stp>72030.T</stp>
        <stp>最良買気配値3</stp>
        <tr r="CU4" s="14"/>
        <tr r="CU2" s="14"/>
      </tp>
      <tp>
        <v>3128</v>
        <stp/>
        <stp>Market</stp>
        <stp>STOCK</stp>
        <stp>72030.T</stp>
        <stp>最良買気配値4</stp>
        <tr r="CV4" s="14"/>
        <tr r="CV2" s="14"/>
      </tp>
      <tp>
        <v>3127</v>
        <stp/>
        <stp>Market</stp>
        <stp>STOCK</stp>
        <stp>72030.T</stp>
        <stp>最良買気配値5</stp>
        <tr r="CW4" s="14"/>
        <tr r="CW2" s="14"/>
      </tp>
      <tp>
        <v>3126</v>
        <stp/>
        <stp>Market</stp>
        <stp>STOCK</stp>
        <stp>72030.T</stp>
        <stp>最良買気配値6</stp>
        <tr r="CX4" s="14"/>
        <tr r="CX2" s="14"/>
      </tp>
      <tp>
        <v>3125</v>
        <stp/>
        <stp>Market</stp>
        <stp>STOCK</stp>
        <stp>72030.T</stp>
        <stp>最良買気配値7</stp>
        <tr r="CY4" s="14"/>
        <tr r="CY2" s="14"/>
      </tp>
    </main>
    <main first="rtdsrv.de3fe66e5a884410a629214c60667380">
      <tp t="s">
        <v>2026/08/04</v>
        <stp/>
        <stp>Market</stp>
        <stp>STOCK</stp>
        <stp>72030.T</stp>
        <stp>決算発表日</stp>
        <tr r="EF4" s="14"/>
        <tr r="EF2" s="14"/>
      </tp>
      <tp t="s">
        <v>2026/09/29</v>
        <stp/>
        <stp>Market</stp>
        <stp>STOCK</stp>
        <stp>94320.T</stp>
        <stp>中配落日</stp>
        <tr r="EC2" s="6"/>
      </tp>
    </main>
    <main first="rtdsrv.de3fe66e5a884410a629214c60667380">
      <tp t="s">
        <v>2026/08/06</v>
        <stp/>
        <stp>Market</stp>
        <stp>STOCK</stp>
        <stp>94320.T</stp>
        <stp>決算発表日</stp>
        <tr r="EE2" s="6"/>
      </tp>
    </main>
    <main first="rtdsrv.de3fe66e5a884410a629214c60667380">
      <tp>
        <v>595900</v>
        <stp/>
        <stp>Market</stp>
        <stp>STOCK</stp>
        <stp>94320.T</stp>
        <stp>最良買気配数量</stp>
        <tr r="BF2" s="6"/>
      </tp>
      <tp>
        <v>1241200</v>
        <stp/>
        <stp>Market</stp>
        <stp>STOCK</stp>
        <stp>94320.T</stp>
        <stp>最良売気配数量</stp>
        <tr r="BE2" s="6"/>
      </tp>
      <tp t="s">
        <v>11:30</v>
        <stp/>
        <stp>Market</stp>
        <stp>STOCK</stp>
        <stp>94320.T</stp>
        <stp>前場出来高時刻</stp>
        <tr r="AY2" s="6"/>
      </tp>
    </main>
    <main first="rtdsrv.de3fe66e5a884410a629214c60667380">
      <tp t="s">
        <v>15:30</v>
        <stp/>
        <stp>Market</stp>
        <stp>STOCK</stp>
        <stp>94320.T</stp>
        <stp>最良売気配時刻</stp>
        <tr r="BG2" s="6"/>
      </tp>
    </main>
    <main first="rtdsrv.de3fe66e5a884410a629214c60667380">
      <tp t="s">
        <v>2026/09/29</v>
        <stp/>
        <stp>Market</stp>
        <stp>STOCK</stp>
        <stp>72030.T</stp>
        <stp>中配落日</stp>
        <tr r="ED4" s="14"/>
        <tr r="ED2" s="14"/>
      </tp>
      <tp>
        <v>166.1</v>
        <stp/>
        <stp>Market</stp>
        <stp>STOCK</stp>
        <stp>94320.T</stp>
        <stp>現在値</stp>
        <tr r="H2" s="6"/>
      </tp>
      <tp t="s">
        <v>15:30</v>
        <stp/>
        <stp>Market</stp>
        <stp>STOCK</stp>
        <stp>94320.T</stp>
        <stp>最良買気配時刻</stp>
        <tr r="BH2" s="6"/>
      </tp>
      <tp t="s">
        <v>15:30</v>
        <stp/>
        <stp>Market</stp>
        <stp>STOCK</stp>
        <stp>72030.T</stp>
        <stp>最良売気配時刻</stp>
        <tr r="BH4" s="14"/>
        <tr r="BH2" s="14"/>
      </tp>
    </main>
    <main first="rtdsrv.de3fe66e5a884410a629214c60667380">
      <tp>
        <v>3132</v>
        <stp/>
        <stp>Market</stp>
        <stp>STOCK</stp>
        <stp>72030.T</stp>
        <stp>現在値</stp>
        <tr r="I4" s="14"/>
        <tr r="I2" s="14"/>
      </tp>
      <tp t="s">
        <v>15:30</v>
        <stp/>
        <stp>Market</stp>
        <stp>STOCK</stp>
        <stp>72030.T</stp>
        <stp>最良買気配時刻</stp>
        <tr r="BI4" s="14"/>
        <tr r="BI2" s="14"/>
      </tp>
      <tp>
        <v>3122</v>
        <stp/>
        <stp>Market</stp>
        <stp>STOCK</stp>
        <stp>72030.T</stp>
        <stp>最良買気配値10</stp>
        <tr r="DB4" s="14"/>
        <tr r="DB2" s="14"/>
      </tp>
      <tp>
        <v>100</v>
        <stp/>
        <stp>Market</stp>
        <stp>STOCK</stp>
        <stp>72030.T</stp>
        <stp>最良買気配数量</stp>
        <tr r="BG4" s="14"/>
        <tr r="BG2" s="14"/>
      </tp>
      <tp>
        <v>30100</v>
        <stp/>
        <stp>Market</stp>
        <stp>STOCK</stp>
        <stp>72030.T</stp>
        <stp>最良売気配数量</stp>
        <tr r="BF4" s="14"/>
        <tr r="BF2" s="14"/>
      </tp>
      <tp t="s">
        <v>11:30</v>
        <stp/>
        <stp>Market</stp>
        <stp>STOCK</stp>
        <stp>72030.T</stp>
        <stp>前場出来高時刻</stp>
        <tr r="AZ4" s="14"/>
        <tr r="AZ2" s="14"/>
      </tp>
    </main>
    <main first="rtdsrv.de3fe66e5a884410a629214c60667380">
      <tp>
        <v>10460</v>
        <stp/>
        <stp>Market</stp>
        <stp>STOCK</stp>
        <stp>72030.T</stp>
        <stp>上場来高値</stp>
        <tr r="EN4" s="14"/>
        <tr r="EN2" s="14"/>
      </tp>
      <tp>
        <v>4000</v>
        <stp/>
        <stp>Market</stp>
        <stp>STOCK</stp>
        <stp>72030.T</stp>
        <stp>年初来高値</stp>
        <tr r="EJ4" s="14"/>
        <tr r="EJ2" s="14"/>
      </tp>
    </main>
    <main first="rtdsrv.de3fe66e5a884410a629214c60667380">
      <tp>
        <v>3180000</v>
        <stp/>
        <stp>Market</stp>
        <stp>STOCK</stp>
        <stp>94320.T</stp>
        <stp>上場来高値</stp>
        <tr r="EM2" s="6"/>
      </tp>
      <tp>
        <v>163.30000000000001</v>
        <stp/>
        <stp>Market</stp>
        <stp>STOCK</stp>
        <stp>94320.T</stp>
        <stp>年初来高値</stp>
        <tr r="EI2" s="6"/>
      </tp>
    </main>
    <main first="rtdsrv.de3fe66e5a884410a629214c60667380">
      <tp>
        <v>165.1</v>
        <stp/>
        <stp>Market</stp>
        <stp>STOCK</stp>
        <stp>94320.T</stp>
        <stp>最良買気配値10</stp>
        <tr r="DA2" s="6"/>
      </tp>
    </main>
    <main first="rtdsrv.de3fe66e5a884410a629214c60667380">
      <tp>
        <v>45711500</v>
        <stp/>
        <stp>Market</stp>
        <stp>STOCK</stp>
        <stp>72030.T</stp>
        <stp>時価総額</stp>
        <tr r="AD4" s="14"/>
        <tr r="AD2" s="14"/>
      </tp>
    </main>
    <main first="rtdsrv.de3fe66e5a884410a629214c60667380">
      <tp>
        <v>15040407</v>
        <stp/>
        <stp>Market</stp>
        <stp>STOCK</stp>
        <stp>94320.T</stp>
        <stp>時価総額</stp>
        <tr r="AC2" s="6"/>
      </tp>
      <tp t="s">
        <v/>
        <stp/>
        <stp>Market</stp>
        <stp>STOCK</stp>
        <stp>72030.T</stp>
        <stp>逆日歩更新日付</stp>
        <tr r="BP4" s="14"/>
        <tr r="BP2" s="14"/>
      </tp>
    </main>
    <main first="rtdsrv.de3fe66e5a884410a629214c60667380">
      <tp t="s">
        <v/>
        <stp/>
        <stp>Market</stp>
        <stp>STOCK</stp>
        <stp>94320.T</stp>
        <stp>逆日歩更新日付</stp>
        <tr r="BO2" s="6"/>
      </tp>
      <tp>
        <v>11900</v>
        <stp/>
        <stp>Market</stp>
        <stp>STOCK</stp>
        <stp>72030.T</stp>
        <stp>最良売気配数量7</stp>
        <tr r="DI4" s="14"/>
        <tr r="DI2" s="14"/>
      </tp>
      <tp>
        <v>79200</v>
        <stp/>
        <stp>Market</stp>
        <stp>STOCK</stp>
        <stp>72030.T</stp>
        <stp>最良売気配数量6</stp>
        <tr r="DH4" s="14"/>
        <tr r="DH2" s="14"/>
      </tp>
      <tp>
        <v>4400</v>
        <stp/>
        <stp>Market</stp>
        <stp>STOCK</stp>
        <stp>72030.T</stp>
        <stp>最良売気配数量5</stp>
        <tr r="DG4" s="14"/>
        <tr r="DG2" s="14"/>
      </tp>
      <tp>
        <v>11900</v>
        <stp/>
        <stp>Market</stp>
        <stp>STOCK</stp>
        <stp>72030.T</stp>
        <stp>最良売気配数量4</stp>
        <tr r="DF4" s="14"/>
        <tr r="DF2" s="14"/>
      </tp>
      <tp>
        <v>107900</v>
        <stp/>
        <stp>Market</stp>
        <stp>STOCK</stp>
        <stp>72030.T</stp>
        <stp>最良売気配数量3</stp>
        <tr r="DE4" s="14"/>
        <tr r="DE2" s="14"/>
      </tp>
      <tp>
        <v>17400</v>
        <stp/>
        <stp>Market</stp>
        <stp>STOCK</stp>
        <stp>72030.T</stp>
        <stp>最良売気配数量2</stp>
        <tr r="DD4" s="14"/>
        <tr r="DD2" s="14"/>
      </tp>
      <tp>
        <v>30100</v>
        <stp/>
        <stp>Market</stp>
        <stp>STOCK</stp>
        <stp>72030.T</stp>
        <stp>最良売気配数量1</stp>
        <tr r="DC4" s="14"/>
        <tr r="DC2" s="14"/>
      </tp>
      <tp>
        <v>91700</v>
        <stp/>
        <stp>Market</stp>
        <stp>STOCK</stp>
        <stp>72030.T</stp>
        <stp>最良売気配数量9</stp>
        <tr r="DK4" s="14"/>
        <tr r="DK2" s="14"/>
      </tp>
      <tp>
        <v>66800</v>
        <stp/>
        <stp>Market</stp>
        <stp>STOCK</stp>
        <stp>72030.T</stp>
        <stp>最良売気配数量8</stp>
        <tr r="DJ4" s="14"/>
        <tr r="DJ2" s="14"/>
      </tp>
    </main>
    <main first="rtdsrv.de3fe66e5a884410a629214c60667380">
      <tp t="s">
        <v/>
        <stp/>
        <stp>Market</stp>
        <stp>STOCK</stp>
        <stp/>
        <stp>銘柄コード</stp>
        <tr r="B1" s="14"/>
      </tp>
    </main>
    <main first="rtdsrv.de3fe66e5a884410a629214c60667380">
      <tp t="s">
        <v>2027/03/30</v>
        <stp/>
        <stp>Market</stp>
        <stp>STOCK</stp>
        <stp>72030.T</stp>
        <stp>配当落日</stp>
        <tr r="EC4" s="14"/>
        <tr r="EC2" s="14"/>
      </tp>
    </main>
    <main first="rtdsrv.de3fe66e5a884410a629214c60667380">
      <tp>
        <v>364500</v>
        <stp/>
        <stp>Market</stp>
        <stp>STOCK</stp>
        <stp>94320.T</stp>
        <stp>最良売気配数量6</stp>
        <tr r="DG2" s="6"/>
      </tp>
      <tp>
        <v>390000</v>
        <stp/>
        <stp>Market</stp>
        <stp>STOCK</stp>
        <stp>94320.T</stp>
        <stp>最良売気配数量7</stp>
        <tr r="DH2" s="6"/>
      </tp>
      <tp>
        <v>1362300</v>
        <stp/>
        <stp>Market</stp>
        <stp>STOCK</stp>
        <stp>94320.T</stp>
        <stp>最良売気配数量4</stp>
        <tr r="DE2" s="6"/>
      </tp>
      <tp>
        <v>521500</v>
        <stp/>
        <stp>Market</stp>
        <stp>STOCK</stp>
        <stp>94320.T</stp>
        <stp>最良売気配数量5</stp>
        <tr r="DF2" s="6"/>
      </tp>
      <tp>
        <v>1810900</v>
        <stp/>
        <stp>Market</stp>
        <stp>STOCK</stp>
        <stp>94320.T</stp>
        <stp>最良売気配数量2</stp>
        <tr r="DC2" s="6"/>
      </tp>
      <tp>
        <v>725500</v>
        <stp/>
        <stp>Market</stp>
        <stp>STOCK</stp>
        <stp>94320.T</stp>
        <stp>最良売気配数量3</stp>
        <tr r="DD2" s="6"/>
      </tp>
      <tp>
        <v>1241200</v>
        <stp/>
        <stp>Market</stp>
        <stp>STOCK</stp>
        <stp>94320.T</stp>
        <stp>最良売気配数量1</stp>
        <tr r="DB2" s="6"/>
      </tp>
      <tp>
        <v>574200</v>
        <stp/>
        <stp>Market</stp>
        <stp>STOCK</stp>
        <stp>94320.T</stp>
        <stp>最良売気配数量8</stp>
        <tr r="DI2" s="6"/>
      </tp>
      <tp>
        <v>4201900</v>
        <stp/>
        <stp>Market</stp>
        <stp>STOCK</stp>
        <stp>94320.T</stp>
        <stp>最良売気配数量9</stp>
        <tr r="DJ2" s="6"/>
      </tp>
    </main>
    <main first="rtdsrv.de3fe66e5a884410a629214c60667380">
      <tp t="s">
        <v>2027/03/30</v>
        <stp/>
        <stp>Market</stp>
        <stp>STOCK</stp>
        <stp>94320.T</stp>
        <stp>配当落日</stp>
        <tr r="EB2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D5D30-E7E5-44A2-BE6E-8C93FD273570}">
  <dimension ref="A1:ES6"/>
  <sheetViews>
    <sheetView tabSelected="1" workbookViewId="0">
      <selection activeCell="L1" sqref="L1"/>
    </sheetView>
  </sheetViews>
  <sheetFormatPr defaultRowHeight="18.75"/>
  <cols>
    <col min="8" max="8" width="12.25" customWidth="1"/>
    <col min="10" max="10" width="14.375" customWidth="1"/>
    <col min="12" max="12" width="15.875" customWidth="1"/>
    <col min="142" max="143" width="13.625" customWidth="1"/>
    <col min="146" max="147" width="12.25" customWidth="1"/>
    <col min="149" max="149" width="13.75" customWidth="1"/>
  </cols>
  <sheetData>
    <row r="1" spans="1:149">
      <c r="B1" t="str" cm="1">
        <f t="array" ref="B1">_xll.RssMarket(A1, "銘柄コード")</f>
        <v/>
      </c>
      <c r="C1" t="s">
        <v>532</v>
      </c>
      <c r="D1" t="s">
        <v>533</v>
      </c>
      <c r="E1" t="s">
        <v>534</v>
      </c>
      <c r="F1" t="s">
        <v>535</v>
      </c>
      <c r="G1" t="s">
        <v>536</v>
      </c>
      <c r="H1" t="s">
        <v>537</v>
      </c>
      <c r="I1" t="s">
        <v>538</v>
      </c>
      <c r="J1" t="s">
        <v>539</v>
      </c>
      <c r="K1" t="s">
        <v>540</v>
      </c>
      <c r="L1" t="s">
        <v>541</v>
      </c>
      <c r="M1" t="s">
        <v>542</v>
      </c>
      <c r="N1" t="s">
        <v>543</v>
      </c>
      <c r="O1" t="s">
        <v>571</v>
      </c>
      <c r="P1" t="s">
        <v>572</v>
      </c>
      <c r="Q1" t="s">
        <v>573</v>
      </c>
      <c r="R1" t="s">
        <v>574</v>
      </c>
      <c r="S1" t="s">
        <v>575</v>
      </c>
      <c r="T1" t="s">
        <v>576</v>
      </c>
      <c r="U1" t="s">
        <v>577</v>
      </c>
      <c r="V1" t="s">
        <v>578</v>
      </c>
      <c r="W1" t="s">
        <v>579</v>
      </c>
      <c r="X1" t="s">
        <v>580</v>
      </c>
      <c r="Y1" t="s">
        <v>581</v>
      </c>
      <c r="Z1" t="s">
        <v>582</v>
      </c>
      <c r="AA1" t="s">
        <v>583</v>
      </c>
      <c r="AB1" t="s">
        <v>584</v>
      </c>
      <c r="AC1" t="s">
        <v>585</v>
      </c>
      <c r="AD1" t="s">
        <v>586</v>
      </c>
      <c r="AE1" t="s">
        <v>587</v>
      </c>
      <c r="AF1" t="s">
        <v>588</v>
      </c>
      <c r="AG1" t="s">
        <v>589</v>
      </c>
      <c r="AH1" t="s">
        <v>590</v>
      </c>
      <c r="AI1" t="s">
        <v>591</v>
      </c>
      <c r="AJ1" t="s">
        <v>592</v>
      </c>
      <c r="AK1" t="s">
        <v>593</v>
      </c>
      <c r="AL1" t="s">
        <v>594</v>
      </c>
      <c r="AM1" t="s">
        <v>595</v>
      </c>
      <c r="AN1" t="s">
        <v>596</v>
      </c>
      <c r="AO1" t="s">
        <v>597</v>
      </c>
      <c r="AP1" t="s">
        <v>598</v>
      </c>
      <c r="AQ1" t="s">
        <v>599</v>
      </c>
      <c r="AR1" t="s">
        <v>600</v>
      </c>
      <c r="AS1" t="s">
        <v>601</v>
      </c>
      <c r="AT1" t="s">
        <v>602</v>
      </c>
      <c r="AU1" t="s">
        <v>603</v>
      </c>
      <c r="AV1" t="s">
        <v>604</v>
      </c>
      <c r="AW1" t="s">
        <v>605</v>
      </c>
      <c r="AX1" t="s">
        <v>606</v>
      </c>
      <c r="AY1" t="s">
        <v>607</v>
      </c>
      <c r="AZ1" t="s">
        <v>608</v>
      </c>
      <c r="BA1" t="s">
        <v>609</v>
      </c>
      <c r="BB1" t="s">
        <v>610</v>
      </c>
      <c r="BC1" t="s">
        <v>611</v>
      </c>
      <c r="BD1" t="s">
        <v>612</v>
      </c>
      <c r="BE1" t="s">
        <v>613</v>
      </c>
      <c r="BF1" t="s">
        <v>614</v>
      </c>
      <c r="BG1" t="s">
        <v>615</v>
      </c>
      <c r="BH1" t="s">
        <v>616</v>
      </c>
      <c r="BI1" t="s">
        <v>617</v>
      </c>
      <c r="BJ1" t="s">
        <v>618</v>
      </c>
      <c r="BK1" t="s">
        <v>619</v>
      </c>
      <c r="BL1" t="s">
        <v>620</v>
      </c>
      <c r="BM1" t="s">
        <v>621</v>
      </c>
      <c r="BN1" t="s">
        <v>622</v>
      </c>
      <c r="BO1" t="s">
        <v>623</v>
      </c>
      <c r="BP1" t="s">
        <v>624</v>
      </c>
      <c r="BQ1" t="s">
        <v>625</v>
      </c>
      <c r="BR1" t="s">
        <v>626</v>
      </c>
      <c r="BS1" t="s">
        <v>627</v>
      </c>
      <c r="BT1" t="s">
        <v>628</v>
      </c>
      <c r="BU1" t="s">
        <v>629</v>
      </c>
      <c r="BV1" t="s">
        <v>630</v>
      </c>
      <c r="BW1" t="s">
        <v>631</v>
      </c>
      <c r="BX1" t="s">
        <v>632</v>
      </c>
      <c r="BY1" t="s">
        <v>633</v>
      </c>
      <c r="BZ1" t="s">
        <v>634</v>
      </c>
      <c r="CA1" t="s">
        <v>635</v>
      </c>
      <c r="CB1" t="s">
        <v>636</v>
      </c>
      <c r="CC1" t="s">
        <v>637</v>
      </c>
      <c r="CD1" t="s">
        <v>638</v>
      </c>
      <c r="CE1" t="s">
        <v>639</v>
      </c>
      <c r="CF1" t="s">
        <v>640</v>
      </c>
      <c r="CG1" t="s">
        <v>641</v>
      </c>
      <c r="CH1" t="s">
        <v>642</v>
      </c>
      <c r="CI1" t="s">
        <v>643</v>
      </c>
      <c r="CJ1" t="s">
        <v>644</v>
      </c>
      <c r="CK1" t="s">
        <v>645</v>
      </c>
      <c r="CL1" t="s">
        <v>646</v>
      </c>
      <c r="CM1" t="s">
        <v>647</v>
      </c>
      <c r="CN1" t="s">
        <v>648</v>
      </c>
      <c r="CO1" t="s">
        <v>649</v>
      </c>
      <c r="CP1" t="s">
        <v>650</v>
      </c>
      <c r="CQ1" t="s">
        <v>651</v>
      </c>
      <c r="CR1" t="s">
        <v>652</v>
      </c>
      <c r="CS1" t="s">
        <v>653</v>
      </c>
      <c r="CT1" t="s">
        <v>654</v>
      </c>
      <c r="CU1" t="s">
        <v>655</v>
      </c>
      <c r="CV1" t="s">
        <v>656</v>
      </c>
      <c r="CW1" t="s">
        <v>657</v>
      </c>
      <c r="CX1" t="s">
        <v>658</v>
      </c>
      <c r="CY1" t="s">
        <v>659</v>
      </c>
      <c r="CZ1" t="s">
        <v>660</v>
      </c>
      <c r="DA1" t="s">
        <v>661</v>
      </c>
      <c r="DB1" t="s">
        <v>662</v>
      </c>
      <c r="DC1" t="s">
        <v>663</v>
      </c>
      <c r="DD1" t="s">
        <v>664</v>
      </c>
      <c r="DE1" t="s">
        <v>665</v>
      </c>
      <c r="DF1" t="s">
        <v>666</v>
      </c>
      <c r="DG1" t="s">
        <v>667</v>
      </c>
      <c r="DH1" t="s">
        <v>668</v>
      </c>
      <c r="DI1" t="s">
        <v>669</v>
      </c>
      <c r="DJ1" t="s">
        <v>670</v>
      </c>
      <c r="DK1" t="s">
        <v>671</v>
      </c>
      <c r="DL1" t="s">
        <v>672</v>
      </c>
      <c r="DM1" t="s">
        <v>673</v>
      </c>
      <c r="DN1" t="s">
        <v>674</v>
      </c>
      <c r="DO1" t="s">
        <v>675</v>
      </c>
      <c r="DP1" t="s">
        <v>676</v>
      </c>
      <c r="DQ1" t="s">
        <v>677</v>
      </c>
      <c r="DR1" t="s">
        <v>678</v>
      </c>
      <c r="DS1" t="s">
        <v>679</v>
      </c>
      <c r="DT1" t="s">
        <v>680</v>
      </c>
      <c r="DU1" t="s">
        <v>681</v>
      </c>
      <c r="DV1" t="s">
        <v>682</v>
      </c>
      <c r="DW1" t="s">
        <v>683</v>
      </c>
      <c r="DX1" t="s">
        <v>684</v>
      </c>
      <c r="DY1" t="s">
        <v>685</v>
      </c>
      <c r="DZ1" t="s">
        <v>686</v>
      </c>
      <c r="EA1" t="s">
        <v>687</v>
      </c>
      <c r="EB1" t="s">
        <v>688</v>
      </c>
      <c r="EC1" t="s">
        <v>689</v>
      </c>
      <c r="ED1" t="s">
        <v>690</v>
      </c>
      <c r="EE1" t="s">
        <v>691</v>
      </c>
      <c r="EF1" t="s">
        <v>692</v>
      </c>
      <c r="EG1" t="s">
        <v>693</v>
      </c>
      <c r="EH1" t="s">
        <v>694</v>
      </c>
      <c r="EI1" t="s">
        <v>695</v>
      </c>
      <c r="EJ1" t="s">
        <v>696</v>
      </c>
      <c r="EK1" t="s">
        <v>697</v>
      </c>
      <c r="EL1" t="s">
        <v>698</v>
      </c>
      <c r="EM1" t="s">
        <v>699</v>
      </c>
      <c r="EN1" t="s">
        <v>700</v>
      </c>
      <c r="EO1" t="s">
        <v>701</v>
      </c>
      <c r="EP1" t="s">
        <v>702</v>
      </c>
      <c r="EQ1" t="s">
        <v>703</v>
      </c>
      <c r="ER1" t="s">
        <v>704</v>
      </c>
      <c r="ES1" t="s">
        <v>705</v>
      </c>
    </row>
    <row r="2" spans="1:149">
      <c r="A2">
        <v>7203</v>
      </c>
      <c r="B2" cm="1">
        <f t="array" ref="B2">_xll.RssMarket(A2, "銘柄コード")</f>
        <v>7203</v>
      </c>
      <c r="C2" t="str" cm="1">
        <f t="array" ref="C2">_xll.RssMarket(A2, "市場コード")</f>
        <v>T</v>
      </c>
      <c r="D2" t="str" cm="1">
        <f t="array" ref="D2">_xll.RssMarket(A2, "銘柄名称")</f>
        <v>トヨタ自動車</v>
      </c>
      <c r="E2" t="str" cm="1">
        <f t="array" ref="E2">_xll.RssMarket(A2, "市場名称")</f>
        <v>東証</v>
      </c>
      <c r="F2" t="str" cm="1">
        <f t="array" ref="F2">_xll.RssMarket(A2, "市場部名称")</f>
        <v>東証Ｐ</v>
      </c>
      <c r="G2" t="str" cm="1">
        <f t="array" ref="G2">_xll.RssMarket(A2, "市場部略称")</f>
        <v>東Ｐ</v>
      </c>
      <c r="H2" t="str" cm="1">
        <f t="array" ref="H2">_xll.RssMarket(A2, "現在日付")</f>
        <v>2026/08/21</v>
      </c>
      <c r="I2" cm="1">
        <f t="array" ref="I2">_xll.RssMarket(A2, "現在値")</f>
        <v>3132</v>
      </c>
      <c r="J2" t="str" cm="1">
        <f t="array" ref="J2">_xll.RssMarket(A2, "現在値時刻")</f>
        <v>15:30</v>
      </c>
      <c r="K2" t="str" cm="1">
        <f t="array" ref="K2">_xll.RssMarket(A2, "現在値詳細時刻")</f>
        <v>15:30:00</v>
      </c>
      <c r="L2" t="str" cm="1">
        <f t="array" ref="L2">_xll.RssMarket(A2, "現在値ティック")</f>
        <v>↑</v>
      </c>
      <c r="M2" t="str" cm="1">
        <f t="array" ref="M2">_xll.RssMarket(A2, "現在値フラグ")</f>
        <v>C</v>
      </c>
      <c r="N2" cm="1">
        <f t="array" ref="N2">_xll.RssMarket(A2, "前日比")</f>
        <v>66</v>
      </c>
      <c r="O2" cm="1">
        <f t="array" ref="O2">_xll.RssMarket(A2, "前日比率")</f>
        <v>2.15</v>
      </c>
      <c r="P2" cm="1">
        <f t="array" ref="P2">_xll.RssMarket(A2, "前日終値")</f>
        <v>3066</v>
      </c>
      <c r="Q2" t="str" cm="1">
        <f t="array" ref="Q2">_xll.RssMarket(A2, "前日日付")</f>
        <v>2026/08/20</v>
      </c>
      <c r="R2" t="str" cm="1">
        <f t="array" ref="R2">_xll.RssMarket(A2, "前日終値フラグ")</f>
        <v>C</v>
      </c>
      <c r="S2" cm="1">
        <f t="array" ref="S2">_xll.RssMarket(A2, "歩み1")</f>
        <v>3129</v>
      </c>
      <c r="T2" cm="1">
        <f t="array" ref="T2">_xll.RssMarket(A2, "歩み2")</f>
        <v>3128</v>
      </c>
      <c r="U2" cm="1">
        <f t="array" ref="U2">_xll.RssMarket(A2, "歩み3")</f>
        <v>3129</v>
      </c>
      <c r="V2" cm="1">
        <f t="array" ref="V2">_xll.RssMarket(A2, "歩み4")</f>
        <v>3128</v>
      </c>
      <c r="W2" t="str" cm="1">
        <f t="array" ref="W2">_xll.RssMarket(A2, "歩み1詳細時刻")</f>
        <v>15:24:59</v>
      </c>
      <c r="X2" t="str" cm="1">
        <f t="array" ref="X2">_xll.RssMarket(A2, "歩み2詳細時刻")</f>
        <v>15:24:59</v>
      </c>
      <c r="Y2" t="str" cm="1">
        <f t="array" ref="Y2">_xll.RssMarket(A2, "歩み3詳細時刻")</f>
        <v>15:24:59</v>
      </c>
      <c r="Z2" t="str" cm="1">
        <f t="array" ref="Z2">_xll.RssMarket(A2, "歩み4詳細時刻")</f>
        <v>15:24:59</v>
      </c>
      <c r="AA2" cm="1">
        <f t="array" ref="AA2">_xll.RssMarket(A2, "出来高")</f>
        <v>25924500</v>
      </c>
      <c r="AB2" cm="1">
        <f t="array" ref="AB2">_xll.RssMarket(A2, "売買代金")</f>
        <v>80730049</v>
      </c>
      <c r="AC2" cm="1">
        <f t="array" ref="AC2">_xll.RssMarket(A2, "出来高加重平均")</f>
        <v>3114.0445</v>
      </c>
      <c r="AD2" cm="1">
        <f t="array" ref="AD2">_xll.RssMarket(A2, "時価総額")</f>
        <v>45711500</v>
      </c>
      <c r="AE2" cm="1">
        <f t="array" ref="AE2">_xll.RssMarket(A2, "始値")</f>
        <v>3066</v>
      </c>
      <c r="AF2" cm="1">
        <f t="array" ref="AF2">_xll.RssMarket(A2, "高値")</f>
        <v>3132</v>
      </c>
      <c r="AG2" cm="1">
        <f t="array" ref="AG2">_xll.RssMarket(A2, "安値")</f>
        <v>3056</v>
      </c>
      <c r="AH2" t="str" cm="1">
        <f t="array" ref="AH2">_xll.RssMarket(A2, "始値時刻")</f>
        <v>09:00</v>
      </c>
      <c r="AI2" t="str" cm="1">
        <f t="array" ref="AI2">_xll.RssMarket(A2, "高値時刻")</f>
        <v>14:30</v>
      </c>
      <c r="AJ2" t="str" cm="1">
        <f t="array" ref="AJ2">_xll.RssMarket(A2, "安値時刻")</f>
        <v>09:00</v>
      </c>
      <c r="AK2" t="str" cm="1">
        <f t="array" ref="AK2">_xll.RssMarket(A2, "始値詳細時刻")</f>
        <v>09:00:00</v>
      </c>
      <c r="AL2" t="str" cm="1">
        <f t="array" ref="AL2">_xll.RssMarket(A2, "高値詳細時刻")</f>
        <v>14:30:32</v>
      </c>
      <c r="AM2" t="str" cm="1">
        <f t="array" ref="AM2">_xll.RssMarket(A2, "安値詳細時刻")</f>
        <v>09:00:00</v>
      </c>
      <c r="AN2" cm="1">
        <f t="array" ref="AN2">_xll.RssMarket(A2, "前場始値")</f>
        <v>3066</v>
      </c>
      <c r="AO2" cm="1">
        <f t="array" ref="AO2">_xll.RssMarket(A2, "前場高値")</f>
        <v>3127</v>
      </c>
      <c r="AP2" cm="1">
        <f t="array" ref="AP2">_xll.RssMarket(A2, "前場安値")</f>
        <v>3056</v>
      </c>
      <c r="AQ2" cm="1">
        <f t="array" ref="AQ2">_xll.RssMarket(A2, "前場終値")</f>
        <v>3096</v>
      </c>
      <c r="AR2" cm="1">
        <f t="array" ref="AR2">_xll.RssMarket(A2, "前場出来高")</f>
        <v>12093200</v>
      </c>
      <c r="AS2" cm="1">
        <f t="array" ref="AS2">_xll.RssMarket(A2, "後場始値")</f>
        <v>3100</v>
      </c>
      <c r="AT2" cm="1">
        <f t="array" ref="AT2">_xll.RssMarket(A2, "後場高値")</f>
        <v>3132</v>
      </c>
      <c r="AU2" cm="1">
        <f t="array" ref="AU2">_xll.RssMarket(A2, "後場安値")</f>
        <v>3097</v>
      </c>
      <c r="AV2" t="str" cm="1">
        <f t="array" ref="AV2">_xll.RssMarket(A2, "前場始値時刻")</f>
        <v>09:00</v>
      </c>
      <c r="AW2" t="str" cm="1">
        <f t="array" ref="AW2">_xll.RssMarket(A2, "前場高値時刻")</f>
        <v>10:19</v>
      </c>
      <c r="AX2" t="str" cm="1">
        <f t="array" ref="AX2">_xll.RssMarket(A2, "前場安値時刻")</f>
        <v>09:00</v>
      </c>
      <c r="AY2" t="str" cm="1">
        <f t="array" ref="AY2">_xll.RssMarket(A2, "前場終値時刻")</f>
        <v>11:30</v>
      </c>
      <c r="AZ2" t="str" cm="1">
        <f t="array" ref="AZ2">_xll.RssMarket(A2, "前場出来高時刻")</f>
        <v>11:30</v>
      </c>
      <c r="BA2" t="str" cm="1">
        <f t="array" ref="BA2">_xll.RssMarket(A2, "後場始値時刻")</f>
        <v>12:30</v>
      </c>
      <c r="BB2" t="str" cm="1">
        <f t="array" ref="BB2">_xll.RssMarket(A2, "後場高値時刻")</f>
        <v>14:30</v>
      </c>
      <c r="BC2" t="str" cm="1">
        <f t="array" ref="BC2">_xll.RssMarket(A2, "後場安値時刻")</f>
        <v>12:30</v>
      </c>
      <c r="BD2" cm="1">
        <f t="array" ref="BD2">_xll.RssMarket(A2, "最良売気配値")</f>
        <v>3133</v>
      </c>
      <c r="BE2" cm="1">
        <f t="array" ref="BE2">_xll.RssMarket(A2, "最良買気配値")</f>
        <v>3131</v>
      </c>
      <c r="BF2" cm="1">
        <f t="array" ref="BF2">_xll.RssMarket(A2, "最良売気配数量")</f>
        <v>30100</v>
      </c>
      <c r="BG2" cm="1">
        <f t="array" ref="BG2">_xll.RssMarket(A2, "最良買気配数量")</f>
        <v>100</v>
      </c>
      <c r="BH2" t="str" cm="1">
        <f t="array" ref="BH2">_xll.RssMarket(A2, "最良売気配時刻")</f>
        <v>15:30</v>
      </c>
      <c r="BI2" t="str" cm="1">
        <f t="array" ref="BI2">_xll.RssMarket(A2, "最良買気配時刻")</f>
        <v>15:30</v>
      </c>
      <c r="BJ2" t="str" cm="1">
        <f t="array" ref="BJ2">_xll.RssMarket(A2, "最良売気配詳細時刻")</f>
        <v>15:30:00</v>
      </c>
      <c r="BK2" t="str" cm="1">
        <f t="array" ref="BK2">_xll.RssMarket(A2, "最良買気配詳細時刻")</f>
        <v>15:30:00</v>
      </c>
      <c r="BL2" t="str" cm="1">
        <f t="array" ref="BL2">_xll.RssMarket(A2, "特別売気配フラグ")</f>
        <v xml:space="preserve"> </v>
      </c>
      <c r="BM2" t="str" cm="1">
        <f t="array" ref="BM2">_xll.RssMarket(A2, "特別買気配フラグ")</f>
        <v xml:space="preserve"> </v>
      </c>
      <c r="BN2" cm="1">
        <f t="array" ref="BN2">_xll.RssMarket(A2, "信用貸借区分")</f>
        <v>1</v>
      </c>
      <c r="BO2" cm="1">
        <f t="array" ref="BO2">_xll.RssMarket(A2, "逆日歩")</f>
        <v>0</v>
      </c>
      <c r="BP2" t="str" cm="1">
        <f t="array" ref="BP2">_xll.RssMarket(A2, "逆日歩更新日付")</f>
        <v/>
      </c>
      <c r="BQ2" cm="1">
        <f t="array" ref="BQ2">_xll.RssMarket(A2, "信用売残")</f>
        <v>1500200</v>
      </c>
      <c r="BR2" cm="1">
        <f t="array" ref="BR2">_xll.RssMarket(A2, "信用売残前週比")</f>
        <v>142000</v>
      </c>
      <c r="BS2" cm="1">
        <f t="array" ref="BS2">_xll.RssMarket(A2, "信用買残")</f>
        <v>19687200</v>
      </c>
      <c r="BT2" cm="1">
        <f t="array" ref="BT2">_xll.RssMarket(A2, "信用買残前週比")</f>
        <v>-844100</v>
      </c>
      <c r="BU2" cm="1">
        <f t="array" ref="BU2">_xll.RssMarket(A2, "信用倍率")</f>
        <v>13.12</v>
      </c>
      <c r="BV2" t="str" cm="1">
        <f t="array" ref="BV2">_xll.RssMarket(A2, "証金残更新日付")</f>
        <v>2026/08/21</v>
      </c>
      <c r="BW2" cm="1">
        <f t="array" ref="BW2">_xll.RssMarket(A2, "新規貸株")</f>
        <v>200</v>
      </c>
      <c r="BX2" cm="1">
        <f t="array" ref="BX2">_xll.RssMarket(A2, "新規融資")</f>
        <v>500</v>
      </c>
      <c r="BY2" cm="1">
        <f t="array" ref="BY2">_xll.RssMarket(A2, "返済貸株")</f>
        <v>135200</v>
      </c>
      <c r="BZ2" cm="1">
        <f t="array" ref="BZ2">_xll.RssMarket(A2, "返済融資")</f>
        <v>8500</v>
      </c>
      <c r="CA2" cm="1">
        <f t="array" ref="CA2">_xll.RssMarket(A2, "残高貸株")</f>
        <v>116400</v>
      </c>
      <c r="CB2" cm="1">
        <f t="array" ref="CB2">_xll.RssMarket(A2, "残高融資")</f>
        <v>284600</v>
      </c>
      <c r="CC2" cm="1">
        <f t="array" ref="CC2">_xll.RssMarket(A2, "残高差引")</f>
        <v>168200</v>
      </c>
      <c r="CD2" cm="1">
        <f t="array" ref="CD2">_xll.RssMarket(A2, "前日比貸株")</f>
        <v>-135000</v>
      </c>
      <c r="CE2" cm="1">
        <f t="array" ref="CE2">_xll.RssMarket(A2, "前日比融資")</f>
        <v>-8000</v>
      </c>
      <c r="CF2" cm="1">
        <f t="array" ref="CF2">_xll.RssMarket(A2, "前日比差引")</f>
        <v>127000</v>
      </c>
      <c r="CG2" cm="1">
        <f t="array" ref="CG2">_xll.RssMarket(A2, "回転日数")</f>
        <v>6.6</v>
      </c>
      <c r="CH2" cm="1">
        <f t="array" ref="CH2">_xll.RssMarket(A2, "貸借倍率")</f>
        <v>2.4500000000000002</v>
      </c>
      <c r="CI2" cm="1">
        <f t="array" ref="CI2">_xll.RssMarket(A2, "最良売気配値1")</f>
        <v>3133</v>
      </c>
      <c r="CJ2" cm="1">
        <f t="array" ref="CJ2">_xll.RssMarket(A2, "最良売気配値2")</f>
        <v>3134</v>
      </c>
      <c r="CK2" cm="1">
        <f t="array" ref="CK2">_xll.RssMarket(A2, "最良売気配値3")</f>
        <v>3135</v>
      </c>
      <c r="CL2" cm="1">
        <f t="array" ref="CL2">_xll.RssMarket(A2, "最良売気配値4")</f>
        <v>3136</v>
      </c>
      <c r="CM2" cm="1">
        <f t="array" ref="CM2">_xll.RssMarket(A2, "最良売気配値5")</f>
        <v>3137</v>
      </c>
      <c r="CN2" cm="1">
        <f t="array" ref="CN2">_xll.RssMarket(A2, "最良売気配値6")</f>
        <v>3138</v>
      </c>
      <c r="CO2" cm="1">
        <f t="array" ref="CO2">_xll.RssMarket(A2, "最良売気配値7")</f>
        <v>3139</v>
      </c>
      <c r="CP2" cm="1">
        <f t="array" ref="CP2">_xll.RssMarket(A2, "最良売気配値8")</f>
        <v>3140</v>
      </c>
      <c r="CQ2" cm="1">
        <f t="array" ref="CQ2">_xll.RssMarket(A2, "最良売気配値9")</f>
        <v>3141</v>
      </c>
      <c r="CR2" cm="1">
        <f t="array" ref="CR2">_xll.RssMarket(A2, "最良売気配値10")</f>
        <v>3142</v>
      </c>
      <c r="CS2" cm="1">
        <f t="array" ref="CS2">_xll.RssMarket(A2, "最良買気配値1")</f>
        <v>3131</v>
      </c>
      <c r="CT2" cm="1">
        <f t="array" ref="CT2">_xll.RssMarket(A2, "最良買気配値2")</f>
        <v>3130</v>
      </c>
      <c r="CU2" cm="1">
        <f t="array" ref="CU2">_xll.RssMarket(A2, "最良買気配値3")</f>
        <v>3129</v>
      </c>
      <c r="CV2" cm="1">
        <f t="array" ref="CV2">_xll.RssMarket(A2, "最良買気配値4")</f>
        <v>3128</v>
      </c>
      <c r="CW2" cm="1">
        <f t="array" ref="CW2">_xll.RssMarket(A2, "最良買気配値5")</f>
        <v>3127</v>
      </c>
      <c r="CX2" cm="1">
        <f t="array" ref="CX2">_xll.RssMarket(A2, "最良買気配値6")</f>
        <v>3126</v>
      </c>
      <c r="CY2" cm="1">
        <f t="array" ref="CY2">_xll.RssMarket(A2, "最良買気配値7")</f>
        <v>3125</v>
      </c>
      <c r="CZ2" cm="1">
        <f t="array" ref="CZ2">_xll.RssMarket(A2, "最良買気配値8")</f>
        <v>3124</v>
      </c>
      <c r="DA2" cm="1">
        <f t="array" ref="DA2">_xll.RssMarket(A2, "最良買気配値9")</f>
        <v>3123</v>
      </c>
      <c r="DB2" cm="1">
        <f t="array" ref="DB2">_xll.RssMarket(A2, "最良買気配値10")</f>
        <v>3122</v>
      </c>
      <c r="DC2" cm="1">
        <f t="array" ref="DC2">_xll.RssMarket(A2, "最良売気配数量1")</f>
        <v>30100</v>
      </c>
      <c r="DD2" cm="1">
        <f t="array" ref="DD2">_xll.RssMarket(A2, "最良売気配数量2")</f>
        <v>17400</v>
      </c>
      <c r="DE2" cm="1">
        <f t="array" ref="DE2">_xll.RssMarket(A2, "最良売気配数量3")</f>
        <v>107900</v>
      </c>
      <c r="DF2" cm="1">
        <f t="array" ref="DF2">_xll.RssMarket(A2, "最良売気配数量4")</f>
        <v>11900</v>
      </c>
      <c r="DG2" cm="1">
        <f t="array" ref="DG2">_xll.RssMarket(A2, "最良売気配数量5")</f>
        <v>4400</v>
      </c>
      <c r="DH2" cm="1">
        <f t="array" ref="DH2">_xll.RssMarket(A2, "最良売気配数量6")</f>
        <v>79200</v>
      </c>
      <c r="DI2" cm="1">
        <f t="array" ref="DI2">_xll.RssMarket(A2, "最良売気配数量7")</f>
        <v>11900</v>
      </c>
      <c r="DJ2" cm="1">
        <f t="array" ref="DJ2">_xll.RssMarket(A2, "最良売気配数量8")</f>
        <v>66800</v>
      </c>
      <c r="DK2" cm="1">
        <f t="array" ref="DK2">_xll.RssMarket(A2, "最良売気配数量9")</f>
        <v>91700</v>
      </c>
      <c r="DL2" cm="1">
        <f t="array" ref="DL2">_xll.RssMarket(A2, "最良売気配数量10")</f>
        <v>3200</v>
      </c>
      <c r="DM2" cm="1">
        <f t="array" ref="DM2">_xll.RssMarket(A2, "最良買気配数量1")</f>
        <v>100</v>
      </c>
      <c r="DN2" cm="1">
        <f t="array" ref="DN2">_xll.RssMarket(A2, "最良買気配数量2")</f>
        <v>800</v>
      </c>
      <c r="DO2" cm="1">
        <f t="array" ref="DO2">_xll.RssMarket(A2, "最良買気配数量3")</f>
        <v>2400</v>
      </c>
      <c r="DP2" cm="1">
        <f t="array" ref="DP2">_xll.RssMarket(A2, "最良買気配数量4")</f>
        <v>1500</v>
      </c>
      <c r="DQ2" cm="1">
        <f t="array" ref="DQ2">_xll.RssMarket(A2, "最良買気配数量5")</f>
        <v>2300</v>
      </c>
      <c r="DR2" cm="1">
        <f t="array" ref="DR2">_xll.RssMarket(A2, "最良買気配数量6")</f>
        <v>19600</v>
      </c>
      <c r="DS2" cm="1">
        <f t="array" ref="DS2">_xll.RssMarket(A2, "最良買気配数量7")</f>
        <v>6300</v>
      </c>
      <c r="DT2" cm="1">
        <f t="array" ref="DT2">_xll.RssMarket(A2, "最良買気配数量8")</f>
        <v>24600</v>
      </c>
      <c r="DU2" cm="1">
        <f t="array" ref="DU2">_xll.RssMarket(A2, "最良買気配数量9")</f>
        <v>2100</v>
      </c>
      <c r="DV2" cm="1">
        <f t="array" ref="DV2">_xll.RssMarket(A2, "最良買気配数量10")</f>
        <v>33400</v>
      </c>
      <c r="DW2" cm="1">
        <f t="array" ref="DW2">_xll.RssMarket(A2, "売成行数量")</f>
        <v>0</v>
      </c>
      <c r="DX2" cm="1">
        <f t="array" ref="DX2">_xll.RssMarket(A2, "買成行数量")</f>
        <v>0</v>
      </c>
      <c r="DY2" cm="1">
        <f t="array" ref="DY2">_xll.RssMarket(A2, "OVER気配数量")</f>
        <v>4282200</v>
      </c>
      <c r="DZ2" cm="1">
        <f t="array" ref="DZ2">_xll.RssMarket(A2, "UNDER気配数量")</f>
        <v>5198900</v>
      </c>
      <c r="EA2" cm="1">
        <f t="array" ref="EA2">_xll.RssMarket(A2, "単位株数")</f>
        <v>100</v>
      </c>
      <c r="EB2" cm="1">
        <f t="array" ref="EB2">_xll.RssMarket(A2, "配当")</f>
        <v>100</v>
      </c>
      <c r="EC2" t="str" cm="1">
        <f t="array" ref="EC2">_xll.RssMarket(A2, "配当落日")</f>
        <v>2027/03/30</v>
      </c>
      <c r="ED2" t="str" cm="1">
        <f t="array" ref="ED2">_xll.RssMarket(A2, "中配落日")</f>
        <v>2026/09/29</v>
      </c>
      <c r="EE2" t="str" cm="1">
        <f t="array" ref="EE2">_xll.RssMarket(A2, "権利落日")</f>
        <v>2021/09/29</v>
      </c>
      <c r="EF2" t="str" cm="1">
        <f t="array" ref="EF2">_xll.RssMarket(A2, "決算発表日")</f>
        <v>2026/08/04</v>
      </c>
      <c r="EG2" cm="1">
        <f t="array" ref="EG2">_xll.RssMarket(A2, "PER")</f>
        <v>11.41</v>
      </c>
      <c r="EH2" cm="1">
        <f t="array" ref="EH2">_xll.RssMarket(A2, "PBR")</f>
        <v>1.02</v>
      </c>
      <c r="EI2" cm="1">
        <f t="array" ref="EI2">_xll.RssMarket(A2, "当日基準値")</f>
        <v>3066</v>
      </c>
      <c r="EJ2" cm="1">
        <f t="array" ref="EJ2">_xll.RssMarket(A2, "年初来高値")</f>
        <v>4000</v>
      </c>
      <c r="EK2" cm="1">
        <f t="array" ref="EK2">_xll.RssMarket(A2, "年初来安値")</f>
        <v>2686</v>
      </c>
      <c r="EL2" t="str" cm="1">
        <f t="array" ref="EL2">_xll.RssMarket(A2, "年初来高値日付")</f>
        <v>2026/02/09</v>
      </c>
      <c r="EM2" t="str" cm="1">
        <f t="array" ref="EM2">_xll.RssMarket(A2, "年初来安値日付")</f>
        <v>2026/06/24</v>
      </c>
      <c r="EN2" cm="1">
        <f t="array" ref="EN2">_xll.RssMarket(A2, "上場来高値")</f>
        <v>10460</v>
      </c>
      <c r="EO2" cm="1">
        <f t="array" ref="EO2">_xll.RssMarket(A2, "上場来安値")</f>
        <v>21</v>
      </c>
      <c r="EP2" t="str" cm="1">
        <f t="array" ref="EP2">_xll.RssMarket(A2, "上場来高値日付")</f>
        <v>2021/09/28</v>
      </c>
      <c r="EQ2" t="str" cm="1">
        <f t="array" ref="EQ2">_xll.RssMarket(A2, "上場来安値日付")</f>
        <v>1950/06/01</v>
      </c>
      <c r="ER2" cm="1">
        <f t="array" ref="ER2">_xll.RssMarket(A2, "貸株金利")</f>
        <v>0.1</v>
      </c>
      <c r="ES2" t="str" cm="1">
        <f t="array" ref="ES2">_xll.RssMarket(A2, "貸株金利適用日")</f>
        <v>2026/08/24</v>
      </c>
    </row>
    <row r="4" spans="1:149">
      <c r="A4">
        <v>7203</v>
      </c>
      <c r="B4" cm="1">
        <f t="array" ref="B4">_xll.RssMarket(A4, "銘柄コード")</f>
        <v>7203</v>
      </c>
      <c r="C4" t="str" cm="1">
        <f t="array" ref="C4">_xll.RssMarket($A4, C$1)</f>
        <v>T</v>
      </c>
      <c r="D4" t="str" cm="1">
        <f t="array" ref="D4">_xll.RssMarket($A4, D$1)</f>
        <v>トヨタ自動車</v>
      </c>
      <c r="E4" t="str" cm="1">
        <f t="array" ref="E4">_xll.RssMarket($A4, E$1)</f>
        <v>東証</v>
      </c>
      <c r="F4" t="str" cm="1">
        <f t="array" ref="F4">_xll.RssMarket($A4, F$1)</f>
        <v>東証Ｐ</v>
      </c>
      <c r="G4" t="str" cm="1">
        <f t="array" ref="G4">_xll.RssMarket($A4, G$1)</f>
        <v/>
      </c>
      <c r="H4" t="str" cm="1">
        <f t="array" ref="H4">_xll.RssMarket($A4, H$1)</f>
        <v>2026/08/21</v>
      </c>
      <c r="I4" cm="1">
        <f t="array" ref="I4">_xll.RssMarket($A4, I$1)</f>
        <v>3132</v>
      </c>
      <c r="J4" t="str" cm="1">
        <f t="array" ref="J4">_xll.RssMarket($A4, J$1)</f>
        <v>15:30</v>
      </c>
      <c r="K4" t="str" cm="1">
        <f t="array" ref="K4">_xll.RssMarket($A4, K$1)</f>
        <v>15:30:00</v>
      </c>
      <c r="L4" t="str" cm="1">
        <f t="array" ref="L4">_xll.RssMarket($A4, L$1)</f>
        <v>↑</v>
      </c>
      <c r="M4" t="str" cm="1">
        <f t="array" ref="M4">_xll.RssMarket($A4, M$1)</f>
        <v>C</v>
      </c>
      <c r="N4" cm="1">
        <f t="array" ref="N4">_xll.RssMarket($A4, N$1)</f>
        <v>66</v>
      </c>
      <c r="O4" cm="1">
        <f t="array" ref="O4">_xll.RssMarket($A4, O$1)</f>
        <v>2.15</v>
      </c>
      <c r="P4" cm="1">
        <f t="array" ref="P4">_xll.RssMarket($A4, P$1)</f>
        <v>3066</v>
      </c>
      <c r="Q4" t="str" cm="1">
        <f t="array" ref="Q4">_xll.RssMarket($A4, Q$1)</f>
        <v>2026/08/20</v>
      </c>
      <c r="R4" t="str" cm="1">
        <f t="array" ref="R4">_xll.RssMarket($A4, R$1)</f>
        <v>C</v>
      </c>
      <c r="S4" cm="1">
        <f t="array" ref="S4">_xll.RssMarket($A4, S$1)</f>
        <v>3129</v>
      </c>
      <c r="T4" cm="1">
        <f t="array" ref="T4">_xll.RssMarket($A4, T$1)</f>
        <v>3128</v>
      </c>
      <c r="U4" cm="1">
        <f t="array" ref="U4">_xll.RssMarket($A4, U$1)</f>
        <v>3129</v>
      </c>
      <c r="V4" cm="1">
        <f t="array" ref="V4">_xll.RssMarket($A4, V$1)</f>
        <v>3128</v>
      </c>
      <c r="W4" t="str" cm="1">
        <f t="array" ref="W4">_xll.RssMarket($A4, W$1)</f>
        <v>15:24:59</v>
      </c>
      <c r="X4" t="str" cm="1">
        <f t="array" ref="X4">_xll.RssMarket($A4, X$1)</f>
        <v>15:24:59</v>
      </c>
      <c r="Y4" t="str" cm="1">
        <f t="array" ref="Y4">_xll.RssMarket($A4, Y$1)</f>
        <v>15:24:59</v>
      </c>
      <c r="Z4" t="str" cm="1">
        <f t="array" ref="Z4">_xll.RssMarket($A4, Z$1)</f>
        <v>15:24:59</v>
      </c>
      <c r="AA4" cm="1">
        <f t="array" ref="AA4">_xll.RssMarket($A4, AA$1)</f>
        <v>25924500</v>
      </c>
      <c r="AB4" cm="1">
        <f t="array" ref="AB4">_xll.RssMarket($A4, AB$1)</f>
        <v>80730049</v>
      </c>
      <c r="AC4" cm="1">
        <f t="array" ref="AC4">_xll.RssMarket($A4, AC$1)</f>
        <v>3114.0445</v>
      </c>
      <c r="AD4" cm="1">
        <f t="array" ref="AD4">_xll.RssMarket($A4, AD$1)</f>
        <v>45711500</v>
      </c>
      <c r="AE4" cm="1">
        <f t="array" ref="AE4">_xll.RssMarket($A4, AE$1)</f>
        <v>3066</v>
      </c>
      <c r="AF4" cm="1">
        <f t="array" ref="AF4">_xll.RssMarket($A4, AF$1)</f>
        <v>3132</v>
      </c>
      <c r="AG4" cm="1">
        <f t="array" ref="AG4">_xll.RssMarket($A4, AG$1)</f>
        <v>3056</v>
      </c>
      <c r="AH4" t="str" cm="1">
        <f t="array" ref="AH4">_xll.RssMarket($A4, AH$1)</f>
        <v>09:00</v>
      </c>
      <c r="AI4" t="str" cm="1">
        <f t="array" ref="AI4">_xll.RssMarket($A4, AI$1)</f>
        <v>14:30</v>
      </c>
      <c r="AJ4" t="str" cm="1">
        <f t="array" ref="AJ4">_xll.RssMarket($A4, AJ$1)</f>
        <v>09:00</v>
      </c>
      <c r="AK4" t="str" cm="1">
        <f t="array" ref="AK4">_xll.RssMarket($A4, AK$1)</f>
        <v>09:00:00</v>
      </c>
      <c r="AL4" t="str" cm="1">
        <f t="array" ref="AL4">_xll.RssMarket($A4, AL$1)</f>
        <v>14:30:32</v>
      </c>
      <c r="AM4" t="str" cm="1">
        <f t="array" ref="AM4">_xll.RssMarket($A4, AM$1)</f>
        <v>09:00:00</v>
      </c>
      <c r="AN4" cm="1">
        <f t="array" ref="AN4">_xll.RssMarket($A4, AN$1)</f>
        <v>3066</v>
      </c>
      <c r="AO4" cm="1">
        <f t="array" ref="AO4">_xll.RssMarket($A4, AO$1)</f>
        <v>3127</v>
      </c>
      <c r="AP4" cm="1">
        <f t="array" ref="AP4">_xll.RssMarket($A4, AP$1)</f>
        <v>3056</v>
      </c>
      <c r="AQ4" cm="1">
        <f t="array" ref="AQ4">_xll.RssMarket($A4, AQ$1)</f>
        <v>3096</v>
      </c>
      <c r="AR4" cm="1">
        <f t="array" ref="AR4">_xll.RssMarket($A4, AR$1)</f>
        <v>12093200</v>
      </c>
      <c r="AS4" cm="1">
        <f t="array" ref="AS4">_xll.RssMarket($A4, AS$1)</f>
        <v>3100</v>
      </c>
      <c r="AT4" cm="1">
        <f t="array" ref="AT4">_xll.RssMarket($A4, AT$1)</f>
        <v>3132</v>
      </c>
      <c r="AU4" cm="1">
        <f t="array" ref="AU4">_xll.RssMarket($A4, AU$1)</f>
        <v>3097</v>
      </c>
      <c r="AV4" t="str" cm="1">
        <f t="array" ref="AV4">_xll.RssMarket($A4, AV$1)</f>
        <v>09:00</v>
      </c>
      <c r="AW4" t="str" cm="1">
        <f t="array" ref="AW4">_xll.RssMarket($A4, AW$1)</f>
        <v>10:19</v>
      </c>
      <c r="AX4" t="str" cm="1">
        <f t="array" ref="AX4">_xll.RssMarket($A4, AX$1)</f>
        <v>09:00</v>
      </c>
      <c r="AY4" t="str" cm="1">
        <f t="array" ref="AY4">_xll.RssMarket($A4, AY$1)</f>
        <v>11:30</v>
      </c>
      <c r="AZ4" t="str" cm="1">
        <f t="array" ref="AZ4">_xll.RssMarket($A4, AZ$1)</f>
        <v>11:30</v>
      </c>
      <c r="BA4" t="str" cm="1">
        <f t="array" ref="BA4">_xll.RssMarket($A4, BA$1)</f>
        <v>12:30</v>
      </c>
      <c r="BB4" t="str" cm="1">
        <f t="array" ref="BB4">_xll.RssMarket($A4, BB$1)</f>
        <v>14:30</v>
      </c>
      <c r="BC4" t="str" cm="1">
        <f t="array" ref="BC4">_xll.RssMarket($A4, BC$1)</f>
        <v>12:30</v>
      </c>
      <c r="BD4" cm="1">
        <f t="array" ref="BD4">_xll.RssMarket($A4, BD$1)</f>
        <v>3133</v>
      </c>
      <c r="BE4" cm="1">
        <f t="array" ref="BE4">_xll.RssMarket($A4, BE$1)</f>
        <v>3131</v>
      </c>
      <c r="BF4" cm="1">
        <f t="array" ref="BF4">_xll.RssMarket($A4, BF$1)</f>
        <v>30100</v>
      </c>
      <c r="BG4" cm="1">
        <f t="array" ref="BG4">_xll.RssMarket($A4, BG$1)</f>
        <v>100</v>
      </c>
      <c r="BH4" t="str" cm="1">
        <f t="array" ref="BH4">_xll.RssMarket($A4, BH$1)</f>
        <v>15:30</v>
      </c>
      <c r="BI4" t="str" cm="1">
        <f t="array" ref="BI4">_xll.RssMarket($A4, BI$1)</f>
        <v>15:30</v>
      </c>
      <c r="BJ4" t="str" cm="1">
        <f t="array" ref="BJ4">_xll.RssMarket($A4, BJ$1)</f>
        <v>15:30:00</v>
      </c>
      <c r="BK4" t="str" cm="1">
        <f t="array" ref="BK4">_xll.RssMarket($A4, BK$1)</f>
        <v>15:30:00</v>
      </c>
      <c r="BL4" t="str" cm="1">
        <f t="array" ref="BL4">_xll.RssMarket($A4, BL$1)</f>
        <v xml:space="preserve"> </v>
      </c>
      <c r="BM4" t="str" cm="1">
        <f t="array" ref="BM4">_xll.RssMarket($A4, BM$1)</f>
        <v xml:space="preserve"> </v>
      </c>
      <c r="BN4" cm="1">
        <f t="array" ref="BN4">_xll.RssMarket($A4, BN$1)</f>
        <v>1</v>
      </c>
      <c r="BO4" cm="1">
        <f t="array" ref="BO4">_xll.RssMarket($A4, BO$1)</f>
        <v>0</v>
      </c>
      <c r="BP4" t="str" cm="1">
        <f t="array" ref="BP4">_xll.RssMarket($A4, BP$1)</f>
        <v/>
      </c>
      <c r="BQ4" cm="1">
        <f t="array" ref="BQ4">_xll.RssMarket($A4, BQ$1)</f>
        <v>1500200</v>
      </c>
      <c r="BR4" cm="1">
        <f t="array" ref="BR4">_xll.RssMarket($A4, BR$1)</f>
        <v>142000</v>
      </c>
      <c r="BS4" cm="1">
        <f t="array" ref="BS4">_xll.RssMarket($A4, BS$1)</f>
        <v>19687200</v>
      </c>
      <c r="BT4" cm="1">
        <f t="array" ref="BT4">_xll.RssMarket($A4, BT$1)</f>
        <v>-844100</v>
      </c>
      <c r="BU4" cm="1">
        <f t="array" ref="BU4">_xll.RssMarket($A4, BU$1)</f>
        <v>13.12</v>
      </c>
      <c r="BV4" t="str" cm="1">
        <f t="array" ref="BV4">_xll.RssMarket($A4, BV$1)</f>
        <v>2026/08/21</v>
      </c>
      <c r="BW4" cm="1">
        <f t="array" ref="BW4">_xll.RssMarket($A4, BW$1)</f>
        <v>200</v>
      </c>
      <c r="BX4" cm="1">
        <f t="array" ref="BX4">_xll.RssMarket($A4, BX$1)</f>
        <v>500</v>
      </c>
      <c r="BY4" cm="1">
        <f t="array" ref="BY4">_xll.RssMarket($A4, BY$1)</f>
        <v>135200</v>
      </c>
      <c r="BZ4" cm="1">
        <f t="array" ref="BZ4">_xll.RssMarket($A4, BZ$1)</f>
        <v>8500</v>
      </c>
      <c r="CA4" cm="1">
        <f t="array" ref="CA4">_xll.RssMarket($A4, CA$1)</f>
        <v>116400</v>
      </c>
      <c r="CB4" cm="1">
        <f t="array" ref="CB4">_xll.RssMarket($A4, CB$1)</f>
        <v>284600</v>
      </c>
      <c r="CC4" cm="1">
        <f t="array" ref="CC4">_xll.RssMarket($A4, CC$1)</f>
        <v>168200</v>
      </c>
      <c r="CD4" cm="1">
        <f t="array" ref="CD4">_xll.RssMarket($A4, CD$1)</f>
        <v>-135000</v>
      </c>
      <c r="CE4" cm="1">
        <f t="array" ref="CE4">_xll.RssMarket($A4, CE$1)</f>
        <v>-8000</v>
      </c>
      <c r="CF4" cm="1">
        <f t="array" ref="CF4">_xll.RssMarket($A4, CF$1)</f>
        <v>127000</v>
      </c>
      <c r="CG4" cm="1">
        <f t="array" ref="CG4">_xll.RssMarket($A4, CG$1)</f>
        <v>6.6</v>
      </c>
      <c r="CH4" cm="1">
        <f t="array" ref="CH4">_xll.RssMarket($A4, CH$1)</f>
        <v>2.4500000000000002</v>
      </c>
      <c r="CI4" cm="1">
        <f t="array" ref="CI4">_xll.RssMarket($A4, CI$1)</f>
        <v>3133</v>
      </c>
      <c r="CJ4" cm="1">
        <f t="array" ref="CJ4">_xll.RssMarket($A4, CJ$1)</f>
        <v>3134</v>
      </c>
      <c r="CK4" cm="1">
        <f t="array" ref="CK4">_xll.RssMarket($A4, CK$1)</f>
        <v>3135</v>
      </c>
      <c r="CL4" cm="1">
        <f t="array" ref="CL4">_xll.RssMarket($A4, CL$1)</f>
        <v>3136</v>
      </c>
      <c r="CM4" cm="1">
        <f t="array" ref="CM4">_xll.RssMarket($A4, CM$1)</f>
        <v>3137</v>
      </c>
      <c r="CN4" cm="1">
        <f t="array" ref="CN4">_xll.RssMarket($A4, CN$1)</f>
        <v>3138</v>
      </c>
      <c r="CO4" cm="1">
        <f t="array" ref="CO4">_xll.RssMarket($A4, CO$1)</f>
        <v>3139</v>
      </c>
      <c r="CP4" cm="1">
        <f t="array" ref="CP4">_xll.RssMarket($A4, CP$1)</f>
        <v>3140</v>
      </c>
      <c r="CQ4" cm="1">
        <f t="array" ref="CQ4">_xll.RssMarket($A4, CQ$1)</f>
        <v>3141</v>
      </c>
      <c r="CR4" cm="1">
        <f t="array" ref="CR4">_xll.RssMarket($A4, CR$1)</f>
        <v>3142</v>
      </c>
      <c r="CS4" cm="1">
        <f t="array" ref="CS4">_xll.RssMarket($A4, CS$1)</f>
        <v>3131</v>
      </c>
      <c r="CT4" cm="1">
        <f t="array" ref="CT4">_xll.RssMarket($A4, CT$1)</f>
        <v>3130</v>
      </c>
      <c r="CU4" cm="1">
        <f t="array" ref="CU4">_xll.RssMarket($A4, CU$1)</f>
        <v>3129</v>
      </c>
      <c r="CV4" cm="1">
        <f t="array" ref="CV4">_xll.RssMarket($A4, CV$1)</f>
        <v>3128</v>
      </c>
      <c r="CW4" cm="1">
        <f t="array" ref="CW4">_xll.RssMarket($A4, CW$1)</f>
        <v>3127</v>
      </c>
      <c r="CX4" cm="1">
        <f t="array" ref="CX4">_xll.RssMarket($A4, CX$1)</f>
        <v>3126</v>
      </c>
      <c r="CY4" cm="1">
        <f t="array" ref="CY4">_xll.RssMarket($A4, CY$1)</f>
        <v>3125</v>
      </c>
      <c r="CZ4" cm="1">
        <f t="array" ref="CZ4">_xll.RssMarket($A4, CZ$1)</f>
        <v>3124</v>
      </c>
      <c r="DA4" cm="1">
        <f t="array" ref="DA4">_xll.RssMarket($A4, DA$1)</f>
        <v>3123</v>
      </c>
      <c r="DB4" cm="1">
        <f t="array" ref="DB4">_xll.RssMarket($A4, DB$1)</f>
        <v>3122</v>
      </c>
      <c r="DC4" cm="1">
        <f t="array" ref="DC4">_xll.RssMarket($A4, DC$1)</f>
        <v>30100</v>
      </c>
      <c r="DD4" cm="1">
        <f t="array" ref="DD4">_xll.RssMarket($A4, DD$1)</f>
        <v>17400</v>
      </c>
      <c r="DE4" cm="1">
        <f t="array" ref="DE4">_xll.RssMarket($A4, DE$1)</f>
        <v>107900</v>
      </c>
      <c r="DF4" cm="1">
        <f t="array" ref="DF4">_xll.RssMarket($A4, DF$1)</f>
        <v>11900</v>
      </c>
      <c r="DG4" cm="1">
        <f t="array" ref="DG4">_xll.RssMarket($A4, DG$1)</f>
        <v>4400</v>
      </c>
      <c r="DH4" cm="1">
        <f t="array" ref="DH4">_xll.RssMarket($A4, DH$1)</f>
        <v>79200</v>
      </c>
      <c r="DI4" cm="1">
        <f t="array" ref="DI4">_xll.RssMarket($A4, DI$1)</f>
        <v>11900</v>
      </c>
      <c r="DJ4" cm="1">
        <f t="array" ref="DJ4">_xll.RssMarket($A4, DJ$1)</f>
        <v>66800</v>
      </c>
      <c r="DK4" cm="1">
        <f t="array" ref="DK4">_xll.RssMarket($A4, DK$1)</f>
        <v>91700</v>
      </c>
      <c r="DL4" cm="1">
        <f t="array" ref="DL4">_xll.RssMarket($A4, DL$1)</f>
        <v>3200</v>
      </c>
      <c r="DM4" cm="1">
        <f t="array" ref="DM4">_xll.RssMarket($A4, DM$1)</f>
        <v>100</v>
      </c>
      <c r="DN4" cm="1">
        <f t="array" ref="DN4">_xll.RssMarket($A4, DN$1)</f>
        <v>800</v>
      </c>
      <c r="DO4" cm="1">
        <f t="array" ref="DO4">_xll.RssMarket($A4, DO$1)</f>
        <v>2400</v>
      </c>
      <c r="DP4" cm="1">
        <f t="array" ref="DP4">_xll.RssMarket($A4, DP$1)</f>
        <v>1500</v>
      </c>
      <c r="DQ4" cm="1">
        <f t="array" ref="DQ4">_xll.RssMarket($A4, DQ$1)</f>
        <v>2300</v>
      </c>
      <c r="DR4" cm="1">
        <f t="array" ref="DR4">_xll.RssMarket($A4, DR$1)</f>
        <v>19600</v>
      </c>
      <c r="DS4" cm="1">
        <f t="array" ref="DS4">_xll.RssMarket($A4, DS$1)</f>
        <v>6300</v>
      </c>
      <c r="DT4" cm="1">
        <f t="array" ref="DT4">_xll.RssMarket($A4, DT$1)</f>
        <v>24600</v>
      </c>
      <c r="DU4" cm="1">
        <f t="array" ref="DU4">_xll.RssMarket($A4, DU$1)</f>
        <v>2100</v>
      </c>
      <c r="DV4" cm="1">
        <f t="array" ref="DV4">_xll.RssMarket($A4, DV$1)</f>
        <v>33400</v>
      </c>
      <c r="DW4" cm="1">
        <f t="array" ref="DW4">_xll.RssMarket($A4, DW$1)</f>
        <v>0</v>
      </c>
      <c r="DX4" cm="1">
        <f t="array" ref="DX4">_xll.RssMarket($A4, DX$1)</f>
        <v>0</v>
      </c>
      <c r="DY4" cm="1">
        <f t="array" ref="DY4">_xll.RssMarket($A4, DY$1)</f>
        <v>4282200</v>
      </c>
      <c r="DZ4" cm="1">
        <f t="array" ref="DZ4">_xll.RssMarket($A4, DZ$1)</f>
        <v>5198900</v>
      </c>
      <c r="EA4" cm="1">
        <f t="array" ref="EA4">_xll.RssMarket($A4, EA$1)</f>
        <v>100</v>
      </c>
      <c r="EB4" cm="1">
        <f t="array" ref="EB4">_xll.RssMarket($A4, EB$1)</f>
        <v>100</v>
      </c>
      <c r="EC4" t="str" cm="1">
        <f t="array" ref="EC4">_xll.RssMarket($A4, EC$1)</f>
        <v>2027/03/30</v>
      </c>
      <c r="ED4" t="str" cm="1">
        <f t="array" ref="ED4">_xll.RssMarket($A4, ED$1)</f>
        <v>2026/09/29</v>
      </c>
      <c r="EE4" t="str" cm="1">
        <f t="array" ref="EE4">_xll.RssMarket($A4, EE$1)</f>
        <v>2021/09/29</v>
      </c>
      <c r="EF4" t="str" cm="1">
        <f t="array" ref="EF4">_xll.RssMarket($A4, EF$1)</f>
        <v>2026/08/04</v>
      </c>
      <c r="EG4" cm="1">
        <f t="array" ref="EG4">_xll.RssMarket($A4, EG$1)</f>
        <v>11.41</v>
      </c>
      <c r="EH4" cm="1">
        <f t="array" ref="EH4">_xll.RssMarket($A4, EH$1)</f>
        <v>1.02</v>
      </c>
      <c r="EI4" cm="1">
        <f t="array" ref="EI4">_xll.RssMarket($A4, EI$1)</f>
        <v>3066</v>
      </c>
      <c r="EJ4" cm="1">
        <f t="array" ref="EJ4">_xll.RssMarket($A4, EJ$1)</f>
        <v>4000</v>
      </c>
      <c r="EK4" cm="1">
        <f t="array" ref="EK4">_xll.RssMarket($A4, EK$1)</f>
        <v>2686</v>
      </c>
      <c r="EL4" t="str" cm="1">
        <f t="array" ref="EL4">_xll.RssMarket($A4, EL$1)</f>
        <v>2026/02/09</v>
      </c>
      <c r="EM4" t="str" cm="1">
        <f t="array" ref="EM4">_xll.RssMarket($A4, EM$1)</f>
        <v>2026/06/24</v>
      </c>
      <c r="EN4" cm="1">
        <f t="array" ref="EN4">_xll.RssMarket($A4, EN$1)</f>
        <v>10460</v>
      </c>
      <c r="EO4" cm="1">
        <f t="array" ref="EO4">_xll.RssMarket($A4, EO$1)</f>
        <v>21</v>
      </c>
      <c r="EP4" t="str" cm="1">
        <f t="array" ref="EP4">_xll.RssMarket($A4, EP$1)</f>
        <v>2021/09/28</v>
      </c>
      <c r="EQ4" t="str" cm="1">
        <f t="array" ref="EQ4">_xll.RssMarket($A4, EQ$1)</f>
        <v>1950/06/01</v>
      </c>
      <c r="ER4" cm="1">
        <f t="array" ref="ER4">_xll.RssMarket($A4, ER$1)</f>
        <v>0.1</v>
      </c>
      <c r="ES4" t="str" cm="1">
        <f t="array" ref="ES4">_xll.RssMarket($A4, ES$1)</f>
        <v>2026/08/24</v>
      </c>
    </row>
    <row r="6" spans="1:149">
      <c r="A6">
        <v>7203</v>
      </c>
      <c r="B6">
        <v>7203</v>
      </c>
      <c r="C6" t="s">
        <v>544</v>
      </c>
      <c r="D6" t="s">
        <v>545</v>
      </c>
      <c r="E6" t="s">
        <v>546</v>
      </c>
      <c r="F6" t="s">
        <v>547</v>
      </c>
      <c r="G6" t="s">
        <v>548</v>
      </c>
      <c r="H6" t="s">
        <v>549</v>
      </c>
      <c r="I6">
        <v>3132</v>
      </c>
      <c r="J6" t="s">
        <v>550</v>
      </c>
      <c r="K6" t="s">
        <v>529</v>
      </c>
      <c r="L6" t="s">
        <v>551</v>
      </c>
      <c r="M6" t="s">
        <v>552</v>
      </c>
      <c r="N6">
        <v>66</v>
      </c>
      <c r="O6">
        <v>2.15</v>
      </c>
      <c r="P6">
        <v>3066</v>
      </c>
      <c r="Q6" t="s">
        <v>553</v>
      </c>
      <c r="R6" t="s">
        <v>552</v>
      </c>
      <c r="S6">
        <v>3129</v>
      </c>
      <c r="T6">
        <v>3128</v>
      </c>
      <c r="U6">
        <v>3129</v>
      </c>
      <c r="V6">
        <v>3128</v>
      </c>
      <c r="W6" t="s">
        <v>530</v>
      </c>
      <c r="X6" t="s">
        <v>530</v>
      </c>
      <c r="Y6" t="s">
        <v>530</v>
      </c>
      <c r="Z6" t="s">
        <v>530</v>
      </c>
      <c r="AA6">
        <v>25924500</v>
      </c>
      <c r="AB6">
        <v>80730049</v>
      </c>
      <c r="AC6">
        <v>3114.0445</v>
      </c>
      <c r="AD6">
        <v>45711500</v>
      </c>
      <c r="AE6">
        <v>3066</v>
      </c>
      <c r="AF6">
        <v>3132</v>
      </c>
      <c r="AG6">
        <v>3056</v>
      </c>
      <c r="AH6" t="s">
        <v>554</v>
      </c>
      <c r="AI6" t="s">
        <v>555</v>
      </c>
      <c r="AJ6" t="s">
        <v>554</v>
      </c>
      <c r="AK6" t="s">
        <v>556</v>
      </c>
      <c r="AL6" t="s">
        <v>557</v>
      </c>
      <c r="AM6" t="s">
        <v>556</v>
      </c>
      <c r="AN6">
        <v>3066</v>
      </c>
      <c r="AO6">
        <v>3127</v>
      </c>
      <c r="AP6">
        <v>3056</v>
      </c>
      <c r="AQ6">
        <v>3096</v>
      </c>
      <c r="AR6">
        <v>12093200</v>
      </c>
      <c r="AS6">
        <v>3100</v>
      </c>
      <c r="AT6">
        <v>3132</v>
      </c>
      <c r="AU6">
        <v>3097</v>
      </c>
      <c r="AV6" t="s">
        <v>554</v>
      </c>
      <c r="AW6" t="s">
        <v>558</v>
      </c>
      <c r="AX6" t="s">
        <v>554</v>
      </c>
      <c r="AY6" t="s">
        <v>559</v>
      </c>
      <c r="AZ6" t="s">
        <v>559</v>
      </c>
      <c r="BA6" t="s">
        <v>560</v>
      </c>
      <c r="BB6" t="s">
        <v>555</v>
      </c>
      <c r="BC6" t="s">
        <v>560</v>
      </c>
      <c r="BD6">
        <v>3133</v>
      </c>
      <c r="BE6">
        <v>3131</v>
      </c>
      <c r="BF6">
        <v>30100</v>
      </c>
      <c r="BG6">
        <v>100</v>
      </c>
      <c r="BH6" t="s">
        <v>550</v>
      </c>
      <c r="BI6" t="s">
        <v>550</v>
      </c>
      <c r="BJ6" t="s">
        <v>529</v>
      </c>
      <c r="BK6" t="s">
        <v>529</v>
      </c>
      <c r="BL6" t="s">
        <v>561</v>
      </c>
      <c r="BM6" t="s">
        <v>561</v>
      </c>
      <c r="BN6">
        <v>1</v>
      </c>
      <c r="BO6">
        <v>0</v>
      </c>
      <c r="BP6" t="s">
        <v>31</v>
      </c>
      <c r="BQ6">
        <v>1500200</v>
      </c>
      <c r="BR6">
        <v>142000</v>
      </c>
      <c r="BS6">
        <v>19687200</v>
      </c>
      <c r="BT6">
        <v>-844100</v>
      </c>
      <c r="BU6">
        <v>13.12</v>
      </c>
      <c r="BV6" t="s">
        <v>549</v>
      </c>
      <c r="BW6">
        <v>200</v>
      </c>
      <c r="BX6">
        <v>500</v>
      </c>
      <c r="BY6">
        <v>135200</v>
      </c>
      <c r="BZ6">
        <v>8500</v>
      </c>
      <c r="CA6">
        <v>116400</v>
      </c>
      <c r="CB6">
        <v>284600</v>
      </c>
      <c r="CC6">
        <v>168200</v>
      </c>
      <c r="CD6">
        <v>-135000</v>
      </c>
      <c r="CE6">
        <v>-8000</v>
      </c>
      <c r="CF6">
        <v>127000</v>
      </c>
      <c r="CG6">
        <v>6.6</v>
      </c>
      <c r="CH6">
        <v>2.4500000000000002</v>
      </c>
      <c r="CI6">
        <v>3133</v>
      </c>
      <c r="CJ6">
        <v>3134</v>
      </c>
      <c r="CK6">
        <v>3135</v>
      </c>
      <c r="CL6">
        <v>3136</v>
      </c>
      <c r="CM6">
        <v>3137</v>
      </c>
      <c r="CN6">
        <v>3138</v>
      </c>
      <c r="CO6">
        <v>3139</v>
      </c>
      <c r="CP6">
        <v>3140</v>
      </c>
      <c r="CQ6">
        <v>3141</v>
      </c>
      <c r="CR6">
        <v>3142</v>
      </c>
      <c r="CS6">
        <v>3131</v>
      </c>
      <c r="CT6">
        <v>3130</v>
      </c>
      <c r="CU6">
        <v>3129</v>
      </c>
      <c r="CV6">
        <v>3128</v>
      </c>
      <c r="CW6">
        <v>3127</v>
      </c>
      <c r="CX6">
        <v>3126</v>
      </c>
      <c r="CY6">
        <v>3125</v>
      </c>
      <c r="CZ6">
        <v>3124</v>
      </c>
      <c r="DA6">
        <v>3123</v>
      </c>
      <c r="DB6">
        <v>3122</v>
      </c>
      <c r="DC6">
        <v>30100</v>
      </c>
      <c r="DD6">
        <v>17400</v>
      </c>
      <c r="DE6">
        <v>107900</v>
      </c>
      <c r="DF6">
        <v>11900</v>
      </c>
      <c r="DG6">
        <v>4400</v>
      </c>
      <c r="DH6">
        <v>79200</v>
      </c>
      <c r="DI6">
        <v>11900</v>
      </c>
      <c r="DJ6">
        <v>66800</v>
      </c>
      <c r="DK6">
        <v>91700</v>
      </c>
      <c r="DL6">
        <v>3200</v>
      </c>
      <c r="DM6">
        <v>100</v>
      </c>
      <c r="DN6">
        <v>800</v>
      </c>
      <c r="DO6">
        <v>2400</v>
      </c>
      <c r="DP6">
        <v>1500</v>
      </c>
      <c r="DQ6">
        <v>2300</v>
      </c>
      <c r="DR6">
        <v>19600</v>
      </c>
      <c r="DS6">
        <v>6300</v>
      </c>
      <c r="DT6">
        <v>24600</v>
      </c>
      <c r="DU6">
        <v>2100</v>
      </c>
      <c r="DV6">
        <v>33400</v>
      </c>
      <c r="DW6">
        <v>0</v>
      </c>
      <c r="DX6">
        <v>0</v>
      </c>
      <c r="DY6">
        <v>4282200</v>
      </c>
      <c r="DZ6">
        <v>5198900</v>
      </c>
      <c r="EA6">
        <v>100</v>
      </c>
      <c r="EB6">
        <v>100</v>
      </c>
      <c r="EC6" t="s">
        <v>562</v>
      </c>
      <c r="ED6" t="s">
        <v>563</v>
      </c>
      <c r="EE6" t="s">
        <v>564</v>
      </c>
      <c r="EF6" t="s">
        <v>565</v>
      </c>
      <c r="EG6">
        <v>11.41</v>
      </c>
      <c r="EH6">
        <v>1.02</v>
      </c>
      <c r="EI6">
        <v>3066</v>
      </c>
      <c r="EJ6">
        <v>4000</v>
      </c>
      <c r="EK6">
        <v>2686</v>
      </c>
      <c r="EL6" t="s">
        <v>566</v>
      </c>
      <c r="EM6" t="s">
        <v>567</v>
      </c>
      <c r="EN6">
        <v>10460</v>
      </c>
      <c r="EO6">
        <v>21</v>
      </c>
      <c r="EP6" t="s">
        <v>568</v>
      </c>
      <c r="EQ6" t="s">
        <v>569</v>
      </c>
      <c r="ER6">
        <v>0.1</v>
      </c>
      <c r="ES6" t="s">
        <v>570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06A9C-C750-4112-85D0-4E31B87B7ACC}">
  <sheetPr codeName="Sheet1"/>
  <dimension ref="B1:AA2"/>
  <sheetViews>
    <sheetView workbookViewId="0">
      <selection activeCell="I22" sqref="I22"/>
    </sheetView>
  </sheetViews>
  <sheetFormatPr defaultRowHeight="18.75"/>
  <cols>
    <col min="2" max="2" width="11" customWidth="1"/>
    <col min="3" max="3" width="18.25" customWidth="1"/>
    <col min="4" max="4" width="11.75" customWidth="1"/>
    <col min="5" max="5" width="11.375" customWidth="1"/>
    <col min="6" max="6" width="8.375" customWidth="1"/>
    <col min="7" max="7" width="8.875" customWidth="1"/>
    <col min="8" max="8" width="10.25" customWidth="1"/>
    <col min="11" max="11" width="9.5" customWidth="1"/>
    <col min="14" max="14" width="15.5" customWidth="1"/>
    <col min="15" max="15" width="14.625" customWidth="1"/>
    <col min="16" max="16" width="14.875" customWidth="1"/>
    <col min="17" max="17" width="11" customWidth="1"/>
    <col min="18" max="18" width="14.25" customWidth="1"/>
    <col min="19" max="19" width="19.125" customWidth="1"/>
    <col min="20" max="20" width="17" customWidth="1"/>
  </cols>
  <sheetData>
    <row r="1" spans="2:27" s="2" customFormat="1"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J1" s="2" t="s">
        <v>111</v>
      </c>
      <c r="K1" s="2" t="s">
        <v>112</v>
      </c>
      <c r="AA1" s="2" t="s">
        <v>113</v>
      </c>
    </row>
    <row r="2" spans="2:27" s="2" customFormat="1">
      <c r="B2" s="2" t="s">
        <v>114</v>
      </c>
      <c r="C2" s="4" t="s">
        <v>101</v>
      </c>
      <c r="D2" s="2">
        <v>8306</v>
      </c>
      <c r="E2" s="2" t="s">
        <v>102</v>
      </c>
      <c r="F2" s="2">
        <v>100</v>
      </c>
      <c r="I2" s="3"/>
      <c r="J2" s="2">
        <v>3000</v>
      </c>
      <c r="AA2" s="2" t="b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126"/>
  <sheetViews>
    <sheetView topLeftCell="A101" workbookViewId="0">
      <selection activeCell="S121" sqref="S121"/>
    </sheetView>
  </sheetViews>
  <sheetFormatPr defaultRowHeight="18.75"/>
  <cols>
    <col min="5" max="5" width="7.125" customWidth="1"/>
    <col min="6" max="6" width="7.375" customWidth="1"/>
    <col min="7" max="7" width="21.75" customWidth="1"/>
    <col min="19" max="19" width="11.75" customWidth="1"/>
  </cols>
  <sheetData>
    <row r="1" spans="1:30">
      <c r="A1" t="str" cm="1">
        <f t="array" ref="A1">_xll.RssOrderList($A$2:$AD$2, 0, 0, "", "A", 0, 0, 0, 0, 0)</f>
        <v>=RssOrderList($A$2:$AD$2, 0, 0, "", "A", 0, 0, 0, 0, 0) =&gt; 配信中</v>
      </c>
    </row>
    <row r="2" spans="1:30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</row>
    <row r="3" spans="1:30">
      <c r="A3" s="1" t="s">
        <v>129</v>
      </c>
      <c r="B3" s="1" t="s">
        <v>129</v>
      </c>
      <c r="C3" s="1" t="s">
        <v>129</v>
      </c>
      <c r="D3" s="1" t="s">
        <v>129</v>
      </c>
      <c r="E3" s="1" t="s">
        <v>129</v>
      </c>
      <c r="F3" s="1" t="s">
        <v>129</v>
      </c>
      <c r="G3" s="1" t="s">
        <v>129</v>
      </c>
      <c r="H3" s="1" t="s">
        <v>129</v>
      </c>
      <c r="I3" s="1" t="s">
        <v>129</v>
      </c>
      <c r="J3" s="1" t="s">
        <v>129</v>
      </c>
      <c r="K3" s="1" t="s">
        <v>129</v>
      </c>
      <c r="L3" s="1" t="s">
        <v>129</v>
      </c>
      <c r="M3" s="1" t="s">
        <v>129</v>
      </c>
      <c r="N3" s="1" t="s">
        <v>129</v>
      </c>
      <c r="O3" s="1" t="s">
        <v>129</v>
      </c>
      <c r="P3" s="1" t="s">
        <v>129</v>
      </c>
      <c r="Q3" s="1" t="s">
        <v>129</v>
      </c>
      <c r="R3" s="1" t="s">
        <v>129</v>
      </c>
      <c r="S3" s="1" t="s">
        <v>129</v>
      </c>
      <c r="T3" s="1" t="s">
        <v>129</v>
      </c>
      <c r="U3" s="1" t="s">
        <v>129</v>
      </c>
      <c r="V3" s="1" t="s">
        <v>129</v>
      </c>
      <c r="W3" s="1" t="s">
        <v>129</v>
      </c>
      <c r="X3" s="1" t="s">
        <v>129</v>
      </c>
      <c r="Y3" s="1" t="s">
        <v>129</v>
      </c>
      <c r="Z3" s="1" t="s">
        <v>129</v>
      </c>
      <c r="AA3" s="1" t="s">
        <v>129</v>
      </c>
      <c r="AB3" s="1" t="s">
        <v>129</v>
      </c>
      <c r="AC3" s="1" t="s">
        <v>129</v>
      </c>
      <c r="AD3" s="1" t="s">
        <v>129</v>
      </c>
    </row>
    <row r="4" spans="1:30">
      <c r="A4">
        <v>52091962</v>
      </c>
      <c r="B4" t="s">
        <v>135</v>
      </c>
      <c r="C4" t="s">
        <v>130</v>
      </c>
      <c r="D4" t="s">
        <v>97</v>
      </c>
      <c r="E4" t="s">
        <v>31</v>
      </c>
      <c r="F4">
        <v>9984</v>
      </c>
      <c r="G4" t="s">
        <v>131</v>
      </c>
      <c r="H4" t="s">
        <v>40</v>
      </c>
      <c r="I4" t="s">
        <v>98</v>
      </c>
      <c r="J4" t="s">
        <v>43</v>
      </c>
      <c r="K4" t="s">
        <v>44</v>
      </c>
      <c r="L4" t="s">
        <v>136</v>
      </c>
      <c r="M4" t="s">
        <v>49</v>
      </c>
      <c r="N4" t="s">
        <v>48</v>
      </c>
      <c r="O4" t="s">
        <v>133</v>
      </c>
      <c r="P4">
        <v>20260818</v>
      </c>
      <c r="Q4">
        <v>100</v>
      </c>
      <c r="R4">
        <v>100</v>
      </c>
      <c r="S4" t="s">
        <v>134</v>
      </c>
      <c r="T4" t="s">
        <v>99</v>
      </c>
      <c r="U4" t="s">
        <v>97</v>
      </c>
      <c r="V4" t="s">
        <v>97</v>
      </c>
      <c r="W4" t="s">
        <v>97</v>
      </c>
      <c r="X4" t="s">
        <v>50</v>
      </c>
      <c r="Y4" t="s">
        <v>97</v>
      </c>
      <c r="Z4" t="s">
        <v>31</v>
      </c>
      <c r="AA4" t="s">
        <v>100</v>
      </c>
      <c r="AB4" t="s">
        <v>31</v>
      </c>
      <c r="AC4" t="s">
        <v>136</v>
      </c>
      <c r="AD4" t="s">
        <v>137</v>
      </c>
    </row>
    <row r="5" spans="1:30">
      <c r="A5">
        <v>52092870</v>
      </c>
      <c r="B5" t="s">
        <v>138</v>
      </c>
      <c r="C5" t="s">
        <v>130</v>
      </c>
      <c r="D5" t="s">
        <v>97</v>
      </c>
      <c r="E5" t="s">
        <v>31</v>
      </c>
      <c r="F5">
        <v>3436</v>
      </c>
      <c r="G5" t="s">
        <v>140</v>
      </c>
      <c r="H5" t="s">
        <v>40</v>
      </c>
      <c r="I5" t="s">
        <v>98</v>
      </c>
      <c r="J5" t="s">
        <v>43</v>
      </c>
      <c r="K5" t="s">
        <v>44</v>
      </c>
      <c r="L5" t="s">
        <v>141</v>
      </c>
      <c r="M5" t="s">
        <v>46</v>
      </c>
      <c r="N5" t="s">
        <v>45</v>
      </c>
      <c r="O5" t="s">
        <v>133</v>
      </c>
      <c r="P5">
        <v>20260818</v>
      </c>
      <c r="Q5">
        <v>100</v>
      </c>
      <c r="R5">
        <v>100</v>
      </c>
      <c r="S5" t="s">
        <v>134</v>
      </c>
      <c r="T5" t="s">
        <v>99</v>
      </c>
      <c r="U5" t="s">
        <v>97</v>
      </c>
      <c r="V5" t="s">
        <v>97</v>
      </c>
      <c r="W5" t="s">
        <v>97</v>
      </c>
      <c r="X5" t="s">
        <v>31</v>
      </c>
      <c r="Y5" t="s">
        <v>97</v>
      </c>
      <c r="Z5" t="s">
        <v>31</v>
      </c>
      <c r="AA5" t="s">
        <v>100</v>
      </c>
      <c r="AB5" t="s">
        <v>31</v>
      </c>
      <c r="AC5" t="s">
        <v>141</v>
      </c>
      <c r="AD5" t="s">
        <v>142</v>
      </c>
    </row>
    <row r="6" spans="1:30">
      <c r="A6">
        <v>52093404</v>
      </c>
      <c r="B6" t="s">
        <v>143</v>
      </c>
      <c r="C6" t="s">
        <v>130</v>
      </c>
      <c r="D6" t="s">
        <v>97</v>
      </c>
      <c r="E6" t="s">
        <v>31</v>
      </c>
      <c r="F6">
        <v>9984</v>
      </c>
      <c r="G6" t="s">
        <v>131</v>
      </c>
      <c r="H6" t="s">
        <v>40</v>
      </c>
      <c r="I6" t="s">
        <v>98</v>
      </c>
      <c r="J6" t="s">
        <v>43</v>
      </c>
      <c r="K6" t="s">
        <v>44</v>
      </c>
      <c r="L6" t="s">
        <v>144</v>
      </c>
      <c r="M6" t="s">
        <v>46</v>
      </c>
      <c r="N6" t="s">
        <v>45</v>
      </c>
      <c r="O6" t="s">
        <v>133</v>
      </c>
      <c r="P6">
        <v>20260818</v>
      </c>
      <c r="Q6">
        <v>100</v>
      </c>
      <c r="R6">
        <v>100</v>
      </c>
      <c r="S6" t="s">
        <v>134</v>
      </c>
      <c r="T6" t="s">
        <v>99</v>
      </c>
      <c r="U6" t="s">
        <v>97</v>
      </c>
      <c r="V6" t="s">
        <v>97</v>
      </c>
      <c r="W6" t="s">
        <v>97</v>
      </c>
      <c r="X6" t="s">
        <v>31</v>
      </c>
      <c r="Y6" t="s">
        <v>97</v>
      </c>
      <c r="Z6" t="s">
        <v>31</v>
      </c>
      <c r="AA6" t="s">
        <v>100</v>
      </c>
      <c r="AB6" t="s">
        <v>31</v>
      </c>
      <c r="AC6" t="s">
        <v>144</v>
      </c>
      <c r="AD6" t="s">
        <v>145</v>
      </c>
    </row>
    <row r="7" spans="1:30">
      <c r="A7">
        <v>52094525</v>
      </c>
      <c r="B7" t="s">
        <v>146</v>
      </c>
      <c r="C7" t="s">
        <v>130</v>
      </c>
      <c r="D7" t="s">
        <v>97</v>
      </c>
      <c r="E7" t="s">
        <v>31</v>
      </c>
      <c r="F7">
        <v>9984</v>
      </c>
      <c r="G7" t="s">
        <v>131</v>
      </c>
      <c r="H7" t="s">
        <v>40</v>
      </c>
      <c r="I7" t="s">
        <v>98</v>
      </c>
      <c r="J7" t="s">
        <v>43</v>
      </c>
      <c r="K7" t="s">
        <v>44</v>
      </c>
      <c r="L7" t="s">
        <v>147</v>
      </c>
      <c r="M7" t="s">
        <v>49</v>
      </c>
      <c r="N7" t="s">
        <v>48</v>
      </c>
      <c r="O7" t="s">
        <v>133</v>
      </c>
      <c r="P7">
        <v>20260818</v>
      </c>
      <c r="Q7">
        <v>100</v>
      </c>
      <c r="R7">
        <v>100</v>
      </c>
      <c r="S7" t="s">
        <v>134</v>
      </c>
      <c r="T7" t="s">
        <v>99</v>
      </c>
      <c r="U7" t="s">
        <v>97</v>
      </c>
      <c r="V7" t="s">
        <v>97</v>
      </c>
      <c r="W7" t="s">
        <v>97</v>
      </c>
      <c r="X7" t="s">
        <v>50</v>
      </c>
      <c r="Y7" t="s">
        <v>97</v>
      </c>
      <c r="Z7" t="s">
        <v>31</v>
      </c>
      <c r="AA7" t="s">
        <v>100</v>
      </c>
      <c r="AB7" t="s">
        <v>31</v>
      </c>
      <c r="AC7" t="s">
        <v>147</v>
      </c>
      <c r="AD7" t="s">
        <v>148</v>
      </c>
    </row>
    <row r="8" spans="1:30">
      <c r="A8">
        <v>52095512</v>
      </c>
      <c r="B8" t="s">
        <v>149</v>
      </c>
      <c r="C8" t="s">
        <v>130</v>
      </c>
      <c r="D8" t="s">
        <v>97</v>
      </c>
      <c r="E8" t="s">
        <v>31</v>
      </c>
      <c r="F8">
        <v>3436</v>
      </c>
      <c r="G8" t="s">
        <v>140</v>
      </c>
      <c r="H8" t="s">
        <v>40</v>
      </c>
      <c r="I8" t="s">
        <v>98</v>
      </c>
      <c r="J8" t="s">
        <v>43</v>
      </c>
      <c r="K8" t="s">
        <v>44</v>
      </c>
      <c r="L8" t="s">
        <v>150</v>
      </c>
      <c r="M8" t="s">
        <v>49</v>
      </c>
      <c r="N8" t="s">
        <v>48</v>
      </c>
      <c r="O8" t="s">
        <v>133</v>
      </c>
      <c r="P8">
        <v>20260818</v>
      </c>
      <c r="Q8">
        <v>100</v>
      </c>
      <c r="R8">
        <v>100</v>
      </c>
      <c r="S8" t="s">
        <v>134</v>
      </c>
      <c r="T8" t="s">
        <v>99</v>
      </c>
      <c r="U8" t="s">
        <v>97</v>
      </c>
      <c r="V8" t="s">
        <v>97</v>
      </c>
      <c r="W8" t="s">
        <v>97</v>
      </c>
      <c r="X8" t="s">
        <v>50</v>
      </c>
      <c r="Y8" t="s">
        <v>97</v>
      </c>
      <c r="Z8" t="s">
        <v>31</v>
      </c>
      <c r="AA8" t="s">
        <v>100</v>
      </c>
      <c r="AB8" t="s">
        <v>31</v>
      </c>
      <c r="AC8" t="s">
        <v>150</v>
      </c>
      <c r="AD8" t="s">
        <v>151</v>
      </c>
    </row>
    <row r="9" spans="1:30">
      <c r="A9">
        <v>52096317</v>
      </c>
      <c r="B9" t="s">
        <v>152</v>
      </c>
      <c r="C9" t="s">
        <v>130</v>
      </c>
      <c r="D9" t="s">
        <v>97</v>
      </c>
      <c r="E9" t="s">
        <v>31</v>
      </c>
      <c r="F9">
        <v>3436</v>
      </c>
      <c r="G9" t="s">
        <v>140</v>
      </c>
      <c r="H9" t="s">
        <v>40</v>
      </c>
      <c r="I9" t="s">
        <v>98</v>
      </c>
      <c r="J9" t="s">
        <v>43</v>
      </c>
      <c r="K9" t="s">
        <v>44</v>
      </c>
      <c r="L9" t="s">
        <v>153</v>
      </c>
      <c r="M9" t="s">
        <v>46</v>
      </c>
      <c r="N9" t="s">
        <v>45</v>
      </c>
      <c r="O9" t="s">
        <v>133</v>
      </c>
      <c r="P9">
        <v>20260818</v>
      </c>
      <c r="Q9">
        <v>100</v>
      </c>
      <c r="R9">
        <v>100</v>
      </c>
      <c r="S9" t="s">
        <v>134</v>
      </c>
      <c r="T9" t="s">
        <v>99</v>
      </c>
      <c r="U9" t="s">
        <v>97</v>
      </c>
      <c r="V9" t="s">
        <v>97</v>
      </c>
      <c r="W9" t="s">
        <v>97</v>
      </c>
      <c r="X9" t="s">
        <v>31</v>
      </c>
      <c r="Y9" t="s">
        <v>97</v>
      </c>
      <c r="Z9" t="s">
        <v>31</v>
      </c>
      <c r="AA9" t="s">
        <v>100</v>
      </c>
      <c r="AB9" t="s">
        <v>31</v>
      </c>
      <c r="AC9" t="s">
        <v>153</v>
      </c>
      <c r="AD9" t="s">
        <v>154</v>
      </c>
    </row>
    <row r="10" spans="1:30">
      <c r="A10">
        <v>52101365</v>
      </c>
      <c r="B10" t="s">
        <v>155</v>
      </c>
      <c r="C10" t="s">
        <v>130</v>
      </c>
      <c r="D10" t="s">
        <v>97</v>
      </c>
      <c r="E10" t="s">
        <v>31</v>
      </c>
      <c r="F10">
        <v>9984</v>
      </c>
      <c r="G10" t="s">
        <v>131</v>
      </c>
      <c r="H10" t="s">
        <v>40</v>
      </c>
      <c r="I10" t="s">
        <v>98</v>
      </c>
      <c r="J10" t="s">
        <v>43</v>
      </c>
      <c r="K10" t="s">
        <v>44</v>
      </c>
      <c r="L10" t="s">
        <v>156</v>
      </c>
      <c r="M10" t="s">
        <v>46</v>
      </c>
      <c r="N10" t="s">
        <v>45</v>
      </c>
      <c r="O10" t="s">
        <v>133</v>
      </c>
      <c r="P10">
        <v>20260818</v>
      </c>
      <c r="Q10">
        <v>100</v>
      </c>
      <c r="R10">
        <v>100</v>
      </c>
      <c r="S10" t="s">
        <v>134</v>
      </c>
      <c r="T10" t="s">
        <v>99</v>
      </c>
      <c r="U10" t="s">
        <v>97</v>
      </c>
      <c r="V10" t="s">
        <v>97</v>
      </c>
      <c r="W10" t="s">
        <v>97</v>
      </c>
      <c r="X10" t="s">
        <v>31</v>
      </c>
      <c r="Y10" t="s">
        <v>97</v>
      </c>
      <c r="Z10" t="s">
        <v>31</v>
      </c>
      <c r="AA10" t="s">
        <v>100</v>
      </c>
      <c r="AB10" t="s">
        <v>31</v>
      </c>
      <c r="AC10" t="s">
        <v>156</v>
      </c>
      <c r="AD10" t="s">
        <v>157</v>
      </c>
    </row>
    <row r="11" spans="1:30">
      <c r="A11" s="1">
        <v>52104758</v>
      </c>
      <c r="B11" s="1" t="s">
        <v>158</v>
      </c>
      <c r="C11" s="1" t="s">
        <v>130</v>
      </c>
      <c r="D11" s="1" t="s">
        <v>97</v>
      </c>
      <c r="E11" s="1" t="s">
        <v>31</v>
      </c>
      <c r="F11" s="1">
        <v>9984</v>
      </c>
      <c r="G11" s="1" t="s">
        <v>131</v>
      </c>
      <c r="H11" s="1" t="s">
        <v>40</v>
      </c>
      <c r="I11" s="1" t="s">
        <v>98</v>
      </c>
      <c r="J11" s="1" t="s">
        <v>43</v>
      </c>
      <c r="K11" s="1" t="s">
        <v>44</v>
      </c>
      <c r="L11" s="1" t="s">
        <v>159</v>
      </c>
      <c r="M11" s="1" t="s">
        <v>49</v>
      </c>
      <c r="N11" s="1" t="s">
        <v>48</v>
      </c>
      <c r="O11" s="1" t="s">
        <v>133</v>
      </c>
      <c r="P11" s="1">
        <v>20260818</v>
      </c>
      <c r="Q11" s="1">
        <v>100</v>
      </c>
      <c r="R11" s="1">
        <v>100</v>
      </c>
      <c r="S11" s="1" t="s">
        <v>134</v>
      </c>
      <c r="T11" s="1" t="s">
        <v>99</v>
      </c>
      <c r="U11" s="1" t="s">
        <v>97</v>
      </c>
      <c r="V11" s="1" t="s">
        <v>97</v>
      </c>
      <c r="W11" s="1" t="s">
        <v>97</v>
      </c>
      <c r="X11" s="1" t="s">
        <v>50</v>
      </c>
      <c r="Y11" s="1" t="s">
        <v>97</v>
      </c>
      <c r="Z11" s="1" t="s">
        <v>31</v>
      </c>
      <c r="AA11" s="1" t="s">
        <v>100</v>
      </c>
      <c r="AB11" s="1" t="s">
        <v>31</v>
      </c>
      <c r="AC11" s="1" t="s">
        <v>160</v>
      </c>
      <c r="AD11" s="1" t="s">
        <v>161</v>
      </c>
    </row>
    <row r="12" spans="1:30">
      <c r="A12" s="1">
        <v>52106347</v>
      </c>
      <c r="B12" s="1" t="s">
        <v>162</v>
      </c>
      <c r="C12" s="1" t="s">
        <v>130</v>
      </c>
      <c r="D12" s="1" t="s">
        <v>97</v>
      </c>
      <c r="E12" s="1" t="s">
        <v>31</v>
      </c>
      <c r="F12" s="1">
        <v>3436</v>
      </c>
      <c r="G12" s="1" t="s">
        <v>140</v>
      </c>
      <c r="H12" s="1" t="s">
        <v>40</v>
      </c>
      <c r="I12" s="1" t="s">
        <v>98</v>
      </c>
      <c r="J12" s="1" t="s">
        <v>43</v>
      </c>
      <c r="K12" s="1" t="s">
        <v>44</v>
      </c>
      <c r="L12" s="1" t="s">
        <v>163</v>
      </c>
      <c r="M12" s="1" t="s">
        <v>49</v>
      </c>
      <c r="N12" s="1" t="s">
        <v>48</v>
      </c>
      <c r="O12" s="1" t="s">
        <v>133</v>
      </c>
      <c r="P12" s="1">
        <v>20260818</v>
      </c>
      <c r="Q12" s="1">
        <v>100</v>
      </c>
      <c r="R12" s="1">
        <v>100</v>
      </c>
      <c r="S12" s="1" t="s">
        <v>134</v>
      </c>
      <c r="T12" s="1" t="s">
        <v>99</v>
      </c>
      <c r="U12" s="1" t="s">
        <v>97</v>
      </c>
      <c r="V12" s="1" t="s">
        <v>97</v>
      </c>
      <c r="W12" s="1" t="s">
        <v>97</v>
      </c>
      <c r="X12" s="1" t="s">
        <v>50</v>
      </c>
      <c r="Y12" s="1" t="s">
        <v>97</v>
      </c>
      <c r="Z12" s="1" t="s">
        <v>31</v>
      </c>
      <c r="AA12" s="1" t="s">
        <v>100</v>
      </c>
      <c r="AB12" s="1" t="s">
        <v>31</v>
      </c>
      <c r="AC12" s="1" t="s">
        <v>163</v>
      </c>
      <c r="AD12" s="1" t="s">
        <v>164</v>
      </c>
    </row>
    <row r="13" spans="1:30">
      <c r="A13" s="1">
        <v>52109199</v>
      </c>
      <c r="B13" s="1" t="s">
        <v>165</v>
      </c>
      <c r="C13" s="1" t="s">
        <v>130</v>
      </c>
      <c r="D13" s="1" t="s">
        <v>97</v>
      </c>
      <c r="E13" s="1" t="s">
        <v>31</v>
      </c>
      <c r="F13" s="1">
        <v>9984</v>
      </c>
      <c r="G13" s="1" t="s">
        <v>131</v>
      </c>
      <c r="H13" s="1" t="s">
        <v>40</v>
      </c>
      <c r="I13" s="1" t="s">
        <v>98</v>
      </c>
      <c r="J13" s="1" t="s">
        <v>43</v>
      </c>
      <c r="K13" s="1" t="s">
        <v>44</v>
      </c>
      <c r="L13" s="1" t="s">
        <v>166</v>
      </c>
      <c r="M13" s="1" t="s">
        <v>46</v>
      </c>
      <c r="N13" s="1" t="s">
        <v>45</v>
      </c>
      <c r="O13" s="1" t="s">
        <v>133</v>
      </c>
      <c r="P13" s="1">
        <v>20260818</v>
      </c>
      <c r="Q13" s="1">
        <v>100</v>
      </c>
      <c r="R13" s="1">
        <v>100</v>
      </c>
      <c r="S13" s="1" t="s">
        <v>134</v>
      </c>
      <c r="T13" s="1" t="s">
        <v>99</v>
      </c>
      <c r="U13" s="1" t="s">
        <v>97</v>
      </c>
      <c r="V13" s="1" t="s">
        <v>97</v>
      </c>
      <c r="W13" s="1" t="s">
        <v>97</v>
      </c>
      <c r="X13" s="1" t="s">
        <v>31</v>
      </c>
      <c r="Y13" s="1" t="s">
        <v>97</v>
      </c>
      <c r="Z13" s="1" t="s">
        <v>31</v>
      </c>
      <c r="AA13" s="1" t="s">
        <v>100</v>
      </c>
      <c r="AB13" s="1" t="s">
        <v>31</v>
      </c>
      <c r="AC13" s="1" t="s">
        <v>166</v>
      </c>
      <c r="AD13" s="1" t="s">
        <v>167</v>
      </c>
    </row>
    <row r="14" spans="1:30">
      <c r="A14" s="1">
        <v>52111019</v>
      </c>
      <c r="B14" s="1" t="s">
        <v>168</v>
      </c>
      <c r="C14" s="1" t="s">
        <v>130</v>
      </c>
      <c r="D14" s="1" t="s">
        <v>97</v>
      </c>
      <c r="E14" s="1" t="s">
        <v>31</v>
      </c>
      <c r="F14" s="1">
        <v>9984</v>
      </c>
      <c r="G14" s="1" t="s">
        <v>131</v>
      </c>
      <c r="H14" s="1" t="s">
        <v>40</v>
      </c>
      <c r="I14" s="1" t="s">
        <v>98</v>
      </c>
      <c r="J14" s="1" t="s">
        <v>43</v>
      </c>
      <c r="K14" s="1" t="s">
        <v>44</v>
      </c>
      <c r="L14" s="1" t="s">
        <v>169</v>
      </c>
      <c r="M14" s="1" t="s">
        <v>49</v>
      </c>
      <c r="N14" s="1" t="s">
        <v>48</v>
      </c>
      <c r="O14" s="1" t="s">
        <v>133</v>
      </c>
      <c r="P14" s="1">
        <v>20260818</v>
      </c>
      <c r="Q14" s="1">
        <v>100</v>
      </c>
      <c r="R14" s="1">
        <v>100</v>
      </c>
      <c r="S14" s="1" t="s">
        <v>134</v>
      </c>
      <c r="T14" s="1" t="s">
        <v>99</v>
      </c>
      <c r="U14" s="1" t="s">
        <v>97</v>
      </c>
      <c r="V14" s="1" t="s">
        <v>97</v>
      </c>
      <c r="W14" s="1" t="s">
        <v>97</v>
      </c>
      <c r="X14" s="1" t="s">
        <v>50</v>
      </c>
      <c r="Y14" s="1" t="s">
        <v>97</v>
      </c>
      <c r="Z14" s="1" t="s">
        <v>31</v>
      </c>
      <c r="AA14" s="1" t="s">
        <v>100</v>
      </c>
      <c r="AB14" s="1" t="s">
        <v>31</v>
      </c>
      <c r="AC14" s="1" t="s">
        <v>169</v>
      </c>
      <c r="AD14" s="1" t="s">
        <v>170</v>
      </c>
    </row>
    <row r="15" spans="1:30">
      <c r="A15" s="1">
        <v>52112341</v>
      </c>
      <c r="B15" s="1" t="s">
        <v>171</v>
      </c>
      <c r="C15" s="1" t="s">
        <v>130</v>
      </c>
      <c r="D15" s="1" t="s">
        <v>97</v>
      </c>
      <c r="E15" s="1" t="s">
        <v>31</v>
      </c>
      <c r="F15" s="1">
        <v>3436</v>
      </c>
      <c r="G15" s="1" t="s">
        <v>140</v>
      </c>
      <c r="H15" s="1" t="s">
        <v>40</v>
      </c>
      <c r="I15" s="1" t="s">
        <v>98</v>
      </c>
      <c r="J15" s="1" t="s">
        <v>43</v>
      </c>
      <c r="K15" s="1" t="s">
        <v>44</v>
      </c>
      <c r="L15" s="1" t="s">
        <v>172</v>
      </c>
      <c r="M15" s="1" t="s">
        <v>46</v>
      </c>
      <c r="N15" s="1" t="s">
        <v>45</v>
      </c>
      <c r="O15" s="1" t="s">
        <v>133</v>
      </c>
      <c r="P15" s="1">
        <v>20260818</v>
      </c>
      <c r="Q15" s="1">
        <v>100</v>
      </c>
      <c r="R15" s="1">
        <v>100</v>
      </c>
      <c r="S15" s="1" t="s">
        <v>134</v>
      </c>
      <c r="T15" s="1" t="s">
        <v>99</v>
      </c>
      <c r="U15" s="1" t="s">
        <v>97</v>
      </c>
      <c r="V15" s="1" t="s">
        <v>97</v>
      </c>
      <c r="W15" s="1" t="s">
        <v>97</v>
      </c>
      <c r="X15" s="1" t="s">
        <v>31</v>
      </c>
      <c r="Y15" s="1" t="s">
        <v>97</v>
      </c>
      <c r="Z15" s="1" t="s">
        <v>31</v>
      </c>
      <c r="AA15" s="1" t="s">
        <v>100</v>
      </c>
      <c r="AB15" s="1" t="s">
        <v>31</v>
      </c>
      <c r="AC15" s="1" t="s">
        <v>172</v>
      </c>
      <c r="AD15" s="1" t="s">
        <v>173</v>
      </c>
    </row>
    <row r="16" spans="1:30">
      <c r="A16" s="1">
        <v>52113380</v>
      </c>
      <c r="B16" s="1" t="s">
        <v>174</v>
      </c>
      <c r="C16" s="1" t="s">
        <v>130</v>
      </c>
      <c r="D16" s="1" t="s">
        <v>97</v>
      </c>
      <c r="E16" s="1" t="s">
        <v>31</v>
      </c>
      <c r="F16" s="1">
        <v>3436</v>
      </c>
      <c r="G16" s="1" t="s">
        <v>140</v>
      </c>
      <c r="H16" s="1" t="s">
        <v>40</v>
      </c>
      <c r="I16" s="1" t="s">
        <v>98</v>
      </c>
      <c r="J16" s="1" t="s">
        <v>43</v>
      </c>
      <c r="K16" s="1" t="s">
        <v>44</v>
      </c>
      <c r="L16" s="1" t="s">
        <v>175</v>
      </c>
      <c r="M16" s="1" t="s">
        <v>49</v>
      </c>
      <c r="N16" s="1" t="s">
        <v>48</v>
      </c>
      <c r="O16" s="1" t="s">
        <v>133</v>
      </c>
      <c r="P16" s="1">
        <v>20260818</v>
      </c>
      <c r="Q16" s="1">
        <v>100</v>
      </c>
      <c r="R16" s="1">
        <v>100</v>
      </c>
      <c r="S16" s="1" t="s">
        <v>134</v>
      </c>
      <c r="T16" s="1" t="s">
        <v>99</v>
      </c>
      <c r="U16" s="1" t="s">
        <v>97</v>
      </c>
      <c r="V16" s="1" t="s">
        <v>97</v>
      </c>
      <c r="W16" s="1" t="s">
        <v>97</v>
      </c>
      <c r="X16" s="1" t="s">
        <v>50</v>
      </c>
      <c r="Y16" s="1" t="s">
        <v>97</v>
      </c>
      <c r="Z16" s="1" t="s">
        <v>31</v>
      </c>
      <c r="AA16" s="1" t="s">
        <v>100</v>
      </c>
      <c r="AB16" s="1" t="s">
        <v>31</v>
      </c>
      <c r="AC16" s="1" t="s">
        <v>175</v>
      </c>
      <c r="AD16" s="1" t="s">
        <v>176</v>
      </c>
    </row>
    <row r="17" spans="1:30">
      <c r="A17" s="1">
        <v>52114090</v>
      </c>
      <c r="B17" s="1" t="s">
        <v>177</v>
      </c>
      <c r="C17" s="1" t="s">
        <v>130</v>
      </c>
      <c r="D17" s="1" t="s">
        <v>97</v>
      </c>
      <c r="E17" s="1" t="s">
        <v>31</v>
      </c>
      <c r="F17" s="1">
        <v>9984</v>
      </c>
      <c r="G17" s="1" t="s">
        <v>131</v>
      </c>
      <c r="H17" s="1" t="s">
        <v>40</v>
      </c>
      <c r="I17" s="1" t="s">
        <v>98</v>
      </c>
      <c r="J17" s="1" t="s">
        <v>43</v>
      </c>
      <c r="K17" s="1" t="s">
        <v>44</v>
      </c>
      <c r="L17" s="1" t="s">
        <v>178</v>
      </c>
      <c r="M17" s="1" t="s">
        <v>46</v>
      </c>
      <c r="N17" s="1" t="s">
        <v>45</v>
      </c>
      <c r="O17" s="1" t="s">
        <v>133</v>
      </c>
      <c r="P17" s="1">
        <v>20260818</v>
      </c>
      <c r="Q17" s="1">
        <v>100</v>
      </c>
      <c r="R17" s="1">
        <v>100</v>
      </c>
      <c r="S17" s="1" t="s">
        <v>134</v>
      </c>
      <c r="T17" s="1" t="s">
        <v>99</v>
      </c>
      <c r="U17" s="1" t="s">
        <v>97</v>
      </c>
      <c r="V17" s="1" t="s">
        <v>97</v>
      </c>
      <c r="W17" s="1" t="s">
        <v>97</v>
      </c>
      <c r="X17" s="1" t="s">
        <v>31</v>
      </c>
      <c r="Y17" s="1" t="s">
        <v>97</v>
      </c>
      <c r="Z17" s="1" t="s">
        <v>31</v>
      </c>
      <c r="AA17" s="1" t="s">
        <v>100</v>
      </c>
      <c r="AB17" s="1" t="s">
        <v>31</v>
      </c>
      <c r="AC17" s="1" t="s">
        <v>178</v>
      </c>
      <c r="AD17" s="1" t="s">
        <v>179</v>
      </c>
    </row>
    <row r="18" spans="1:30">
      <c r="A18">
        <v>52116653</v>
      </c>
      <c r="B18" t="s">
        <v>180</v>
      </c>
      <c r="C18" t="s">
        <v>130</v>
      </c>
      <c r="D18" t="s">
        <v>97</v>
      </c>
      <c r="E18" t="s">
        <v>31</v>
      </c>
      <c r="F18">
        <v>9984</v>
      </c>
      <c r="G18" t="s">
        <v>131</v>
      </c>
      <c r="H18" t="s">
        <v>40</v>
      </c>
      <c r="I18" t="s">
        <v>98</v>
      </c>
      <c r="J18" t="s">
        <v>43</v>
      </c>
      <c r="K18" t="s">
        <v>44</v>
      </c>
      <c r="L18" t="s">
        <v>181</v>
      </c>
      <c r="M18" t="s">
        <v>49</v>
      </c>
      <c r="N18" t="s">
        <v>48</v>
      </c>
      <c r="O18" t="s">
        <v>133</v>
      </c>
      <c r="P18">
        <v>20260818</v>
      </c>
      <c r="Q18">
        <v>100</v>
      </c>
      <c r="R18">
        <v>100</v>
      </c>
      <c r="S18" t="s">
        <v>134</v>
      </c>
      <c r="T18" t="s">
        <v>99</v>
      </c>
      <c r="U18" t="s">
        <v>97</v>
      </c>
      <c r="V18" t="s">
        <v>97</v>
      </c>
      <c r="W18" t="s">
        <v>97</v>
      </c>
      <c r="X18" t="s">
        <v>50</v>
      </c>
      <c r="Y18" t="s">
        <v>97</v>
      </c>
      <c r="Z18" t="s">
        <v>31</v>
      </c>
      <c r="AA18" t="s">
        <v>100</v>
      </c>
      <c r="AB18" t="s">
        <v>31</v>
      </c>
      <c r="AC18" t="s">
        <v>181</v>
      </c>
      <c r="AD18" t="s">
        <v>182</v>
      </c>
    </row>
    <row r="19" spans="1:30">
      <c r="A19" s="1">
        <v>52117256</v>
      </c>
      <c r="B19" s="1" t="s">
        <v>183</v>
      </c>
      <c r="C19" s="1" t="s">
        <v>130</v>
      </c>
      <c r="D19" s="1" t="s">
        <v>97</v>
      </c>
      <c r="E19" s="1" t="s">
        <v>31</v>
      </c>
      <c r="F19" s="1">
        <v>9984</v>
      </c>
      <c r="G19" s="1" t="s">
        <v>131</v>
      </c>
      <c r="H19" s="1" t="s">
        <v>40</v>
      </c>
      <c r="I19" s="1" t="s">
        <v>98</v>
      </c>
      <c r="J19" s="1" t="s">
        <v>43</v>
      </c>
      <c r="K19" s="1" t="s">
        <v>44</v>
      </c>
      <c r="L19" s="1" t="s">
        <v>184</v>
      </c>
      <c r="M19" s="1" t="s">
        <v>46</v>
      </c>
      <c r="N19" s="1" t="s">
        <v>45</v>
      </c>
      <c r="O19" s="1" t="s">
        <v>133</v>
      </c>
      <c r="P19" s="1">
        <v>20260818</v>
      </c>
      <c r="Q19" s="1">
        <v>100</v>
      </c>
      <c r="R19" s="1">
        <v>100</v>
      </c>
      <c r="S19" s="1" t="s">
        <v>134</v>
      </c>
      <c r="T19" s="1" t="s">
        <v>99</v>
      </c>
      <c r="U19" s="1" t="s">
        <v>97</v>
      </c>
      <c r="V19" s="1" t="s">
        <v>97</v>
      </c>
      <c r="W19" s="1" t="s">
        <v>97</v>
      </c>
      <c r="X19" s="1" t="s">
        <v>31</v>
      </c>
      <c r="Y19" s="1" t="s">
        <v>97</v>
      </c>
      <c r="Z19" s="1" t="s">
        <v>31</v>
      </c>
      <c r="AA19" s="1" t="s">
        <v>100</v>
      </c>
      <c r="AB19" s="1" t="s">
        <v>31</v>
      </c>
      <c r="AC19" s="1" t="s">
        <v>184</v>
      </c>
      <c r="AD19" s="1" t="s">
        <v>185</v>
      </c>
    </row>
    <row r="20" spans="1:30">
      <c r="A20" s="1">
        <v>52117753</v>
      </c>
      <c r="B20" s="1" t="s">
        <v>186</v>
      </c>
      <c r="C20" s="1" t="s">
        <v>130</v>
      </c>
      <c r="D20" s="1" t="s">
        <v>97</v>
      </c>
      <c r="E20" s="1" t="s">
        <v>31</v>
      </c>
      <c r="F20" s="1">
        <v>3436</v>
      </c>
      <c r="G20" s="1" t="s">
        <v>140</v>
      </c>
      <c r="H20" s="1" t="s">
        <v>40</v>
      </c>
      <c r="I20" s="1" t="s">
        <v>98</v>
      </c>
      <c r="J20" s="1" t="s">
        <v>43</v>
      </c>
      <c r="K20" s="1" t="s">
        <v>44</v>
      </c>
      <c r="L20" s="1" t="s">
        <v>187</v>
      </c>
      <c r="M20" s="1" t="s">
        <v>46</v>
      </c>
      <c r="N20" s="1" t="s">
        <v>45</v>
      </c>
      <c r="O20" s="1" t="s">
        <v>133</v>
      </c>
      <c r="P20" s="1">
        <v>20260818</v>
      </c>
      <c r="Q20" s="1">
        <v>100</v>
      </c>
      <c r="R20" s="1">
        <v>100</v>
      </c>
      <c r="S20" s="1" t="s">
        <v>134</v>
      </c>
      <c r="T20" s="1" t="s">
        <v>99</v>
      </c>
      <c r="U20" s="1" t="s">
        <v>97</v>
      </c>
      <c r="V20" s="1" t="s">
        <v>97</v>
      </c>
      <c r="W20" s="1" t="s">
        <v>97</v>
      </c>
      <c r="X20" s="1" t="s">
        <v>31</v>
      </c>
      <c r="Y20" s="1" t="s">
        <v>97</v>
      </c>
      <c r="Z20" s="1" t="s">
        <v>31</v>
      </c>
      <c r="AA20" s="1" t="s">
        <v>100</v>
      </c>
      <c r="AB20" s="1" t="s">
        <v>31</v>
      </c>
      <c r="AC20" s="1" t="s">
        <v>187</v>
      </c>
      <c r="AD20" s="1" t="s">
        <v>188</v>
      </c>
    </row>
    <row r="21" spans="1:30">
      <c r="A21" s="1">
        <v>52119323</v>
      </c>
      <c r="B21" s="1" t="s">
        <v>189</v>
      </c>
      <c r="C21" s="1" t="s">
        <v>130</v>
      </c>
      <c r="D21" s="1" t="s">
        <v>97</v>
      </c>
      <c r="E21" s="1" t="s">
        <v>31</v>
      </c>
      <c r="F21" s="1">
        <v>9984</v>
      </c>
      <c r="G21" s="1" t="s">
        <v>131</v>
      </c>
      <c r="H21" s="1" t="s">
        <v>40</v>
      </c>
      <c r="I21" s="1" t="s">
        <v>98</v>
      </c>
      <c r="J21" s="1" t="s">
        <v>43</v>
      </c>
      <c r="K21" s="1" t="s">
        <v>44</v>
      </c>
      <c r="L21" s="1" t="s">
        <v>190</v>
      </c>
      <c r="M21" s="1" t="s">
        <v>49</v>
      </c>
      <c r="N21" s="1" t="s">
        <v>48</v>
      </c>
      <c r="O21" s="1" t="s">
        <v>133</v>
      </c>
      <c r="P21" s="1">
        <v>20260818</v>
      </c>
      <c r="Q21" s="1">
        <v>100</v>
      </c>
      <c r="R21" s="1">
        <v>100</v>
      </c>
      <c r="S21" s="1" t="s">
        <v>134</v>
      </c>
      <c r="T21" s="1" t="s">
        <v>99</v>
      </c>
      <c r="U21" s="1" t="s">
        <v>97</v>
      </c>
      <c r="V21" s="1" t="s">
        <v>97</v>
      </c>
      <c r="W21" s="1" t="s">
        <v>97</v>
      </c>
      <c r="X21" s="1" t="s">
        <v>50</v>
      </c>
      <c r="Y21" s="1" t="s">
        <v>97</v>
      </c>
      <c r="Z21" s="1" t="s">
        <v>31</v>
      </c>
      <c r="AA21" s="1" t="s">
        <v>100</v>
      </c>
      <c r="AB21" s="1" t="s">
        <v>31</v>
      </c>
      <c r="AC21" s="1" t="s">
        <v>190</v>
      </c>
      <c r="AD21" s="1" t="s">
        <v>191</v>
      </c>
    </row>
    <row r="22" spans="1:30">
      <c r="A22" s="1">
        <v>52120831</v>
      </c>
      <c r="B22" s="1" t="s">
        <v>192</v>
      </c>
      <c r="C22" s="1" t="s">
        <v>130</v>
      </c>
      <c r="D22" s="1" t="s">
        <v>97</v>
      </c>
      <c r="E22" s="1" t="s">
        <v>31</v>
      </c>
      <c r="F22" s="1">
        <v>3436</v>
      </c>
      <c r="G22" s="1" t="s">
        <v>140</v>
      </c>
      <c r="H22" s="1" t="s">
        <v>40</v>
      </c>
      <c r="I22" s="1" t="s">
        <v>98</v>
      </c>
      <c r="J22" s="1" t="s">
        <v>43</v>
      </c>
      <c r="K22" s="1" t="s">
        <v>44</v>
      </c>
      <c r="L22" s="1" t="s">
        <v>193</v>
      </c>
      <c r="M22" s="1" t="s">
        <v>49</v>
      </c>
      <c r="N22" s="1" t="s">
        <v>48</v>
      </c>
      <c r="O22" s="1" t="s">
        <v>133</v>
      </c>
      <c r="P22" s="1">
        <v>20260818</v>
      </c>
      <c r="Q22" s="1">
        <v>100</v>
      </c>
      <c r="R22" s="1">
        <v>100</v>
      </c>
      <c r="S22" s="1" t="s">
        <v>134</v>
      </c>
      <c r="T22" s="1" t="s">
        <v>99</v>
      </c>
      <c r="U22" s="1" t="s">
        <v>97</v>
      </c>
      <c r="V22" s="1" t="s">
        <v>97</v>
      </c>
      <c r="W22" s="1" t="s">
        <v>97</v>
      </c>
      <c r="X22" s="1" t="s">
        <v>50</v>
      </c>
      <c r="Y22" s="1" t="s">
        <v>97</v>
      </c>
      <c r="Z22" s="1" t="s">
        <v>31</v>
      </c>
      <c r="AA22" s="1" t="s">
        <v>100</v>
      </c>
      <c r="AB22" s="1" t="s">
        <v>31</v>
      </c>
      <c r="AC22" s="1" t="s">
        <v>193</v>
      </c>
      <c r="AD22" s="1" t="s">
        <v>194</v>
      </c>
    </row>
    <row r="23" spans="1:30">
      <c r="A23" s="1">
        <v>52122758</v>
      </c>
      <c r="B23" s="1" t="s">
        <v>195</v>
      </c>
      <c r="C23" s="1" t="s">
        <v>130</v>
      </c>
      <c r="D23" s="1" t="s">
        <v>97</v>
      </c>
      <c r="E23" s="1" t="s">
        <v>31</v>
      </c>
      <c r="F23" s="1">
        <v>3436</v>
      </c>
      <c r="G23" s="1" t="s">
        <v>140</v>
      </c>
      <c r="H23" s="1" t="s">
        <v>40</v>
      </c>
      <c r="I23" s="1" t="s">
        <v>98</v>
      </c>
      <c r="J23" s="1" t="s">
        <v>43</v>
      </c>
      <c r="K23" s="1" t="s">
        <v>44</v>
      </c>
      <c r="L23" s="1" t="s">
        <v>196</v>
      </c>
      <c r="M23" s="1" t="s">
        <v>46</v>
      </c>
      <c r="N23" s="1" t="s">
        <v>45</v>
      </c>
      <c r="O23" s="1" t="s">
        <v>133</v>
      </c>
      <c r="P23" s="1">
        <v>20260818</v>
      </c>
      <c r="Q23" s="1">
        <v>100</v>
      </c>
      <c r="R23" s="1">
        <v>100</v>
      </c>
      <c r="S23" s="1" t="s">
        <v>134</v>
      </c>
      <c r="T23" s="1" t="s">
        <v>99</v>
      </c>
      <c r="U23" s="1" t="s">
        <v>97</v>
      </c>
      <c r="V23" s="1" t="s">
        <v>97</v>
      </c>
      <c r="W23" s="1" t="s">
        <v>97</v>
      </c>
      <c r="X23" s="1" t="s">
        <v>31</v>
      </c>
      <c r="Y23" s="1" t="s">
        <v>97</v>
      </c>
      <c r="Z23" s="1" t="s">
        <v>31</v>
      </c>
      <c r="AA23" s="1" t="s">
        <v>100</v>
      </c>
      <c r="AB23" s="1" t="s">
        <v>31</v>
      </c>
      <c r="AC23" s="1" t="s">
        <v>196</v>
      </c>
      <c r="AD23" s="1" t="s">
        <v>197</v>
      </c>
    </row>
    <row r="24" spans="1:30">
      <c r="A24" s="1">
        <v>52123306</v>
      </c>
      <c r="B24" s="1" t="s">
        <v>198</v>
      </c>
      <c r="C24" s="1" t="s">
        <v>130</v>
      </c>
      <c r="D24" s="1" t="s">
        <v>97</v>
      </c>
      <c r="E24" s="1" t="s">
        <v>31</v>
      </c>
      <c r="F24" s="1">
        <v>9984</v>
      </c>
      <c r="G24" s="1" t="s">
        <v>131</v>
      </c>
      <c r="H24" s="1" t="s">
        <v>40</v>
      </c>
      <c r="I24" s="1" t="s">
        <v>98</v>
      </c>
      <c r="J24" s="1" t="s">
        <v>43</v>
      </c>
      <c r="K24" s="1" t="s">
        <v>44</v>
      </c>
      <c r="L24" s="1" t="s">
        <v>199</v>
      </c>
      <c r="M24" s="1" t="s">
        <v>46</v>
      </c>
      <c r="N24" s="1" t="s">
        <v>45</v>
      </c>
      <c r="O24" s="1" t="s">
        <v>133</v>
      </c>
      <c r="P24" s="1">
        <v>20260818</v>
      </c>
      <c r="Q24" s="1">
        <v>100</v>
      </c>
      <c r="R24" s="1">
        <v>100</v>
      </c>
      <c r="S24" s="1" t="s">
        <v>134</v>
      </c>
      <c r="T24" s="1" t="s">
        <v>99</v>
      </c>
      <c r="U24" s="1" t="s">
        <v>97</v>
      </c>
      <c r="V24" s="1" t="s">
        <v>97</v>
      </c>
      <c r="W24" s="1" t="s">
        <v>97</v>
      </c>
      <c r="X24" s="1" t="s">
        <v>31</v>
      </c>
      <c r="Y24" s="1" t="s">
        <v>97</v>
      </c>
      <c r="Z24" s="1" t="s">
        <v>31</v>
      </c>
      <c r="AA24" s="1" t="s">
        <v>100</v>
      </c>
      <c r="AB24" s="1" t="s">
        <v>31</v>
      </c>
      <c r="AC24" s="1" t="s">
        <v>199</v>
      </c>
      <c r="AD24" s="1" t="s">
        <v>200</v>
      </c>
    </row>
    <row r="25" spans="1:30">
      <c r="A25" s="1">
        <v>52125131</v>
      </c>
      <c r="B25" s="1" t="s">
        <v>201</v>
      </c>
      <c r="C25" s="1" t="s">
        <v>130</v>
      </c>
      <c r="D25" s="1" t="s">
        <v>97</v>
      </c>
      <c r="E25" s="1" t="s">
        <v>31</v>
      </c>
      <c r="F25" s="1">
        <v>9984</v>
      </c>
      <c r="G25" s="1" t="s">
        <v>131</v>
      </c>
      <c r="H25" s="1" t="s">
        <v>40</v>
      </c>
      <c r="I25" s="1" t="s">
        <v>98</v>
      </c>
      <c r="J25" s="1" t="s">
        <v>43</v>
      </c>
      <c r="K25" s="1" t="s">
        <v>44</v>
      </c>
      <c r="L25" s="1" t="s">
        <v>202</v>
      </c>
      <c r="M25" s="1" t="s">
        <v>49</v>
      </c>
      <c r="N25" s="1" t="s">
        <v>48</v>
      </c>
      <c r="O25" s="1" t="s">
        <v>133</v>
      </c>
      <c r="P25" s="1">
        <v>20260818</v>
      </c>
      <c r="Q25" s="1">
        <v>100</v>
      </c>
      <c r="R25" s="1">
        <v>100</v>
      </c>
      <c r="S25" s="1" t="s">
        <v>134</v>
      </c>
      <c r="T25" s="1" t="s">
        <v>99</v>
      </c>
      <c r="U25" s="1" t="s">
        <v>97</v>
      </c>
      <c r="V25" s="1" t="s">
        <v>97</v>
      </c>
      <c r="W25" s="1" t="s">
        <v>97</v>
      </c>
      <c r="X25" s="1" t="s">
        <v>50</v>
      </c>
      <c r="Y25" s="1" t="s">
        <v>97</v>
      </c>
      <c r="Z25" s="1" t="s">
        <v>31</v>
      </c>
      <c r="AA25" s="1" t="s">
        <v>100</v>
      </c>
      <c r="AB25" s="1" t="s">
        <v>31</v>
      </c>
      <c r="AC25" s="1" t="s">
        <v>202</v>
      </c>
      <c r="AD25" s="1" t="s">
        <v>203</v>
      </c>
    </row>
    <row r="26" spans="1:30">
      <c r="A26">
        <v>52126349</v>
      </c>
      <c r="B26" t="s">
        <v>204</v>
      </c>
      <c r="C26" t="s">
        <v>130</v>
      </c>
      <c r="D26" t="s">
        <v>97</v>
      </c>
      <c r="E26" t="s">
        <v>31</v>
      </c>
      <c r="F26">
        <v>3436</v>
      </c>
      <c r="G26" t="s">
        <v>140</v>
      </c>
      <c r="H26" t="s">
        <v>40</v>
      </c>
      <c r="I26" t="s">
        <v>98</v>
      </c>
      <c r="J26" t="s">
        <v>43</v>
      </c>
      <c r="K26" t="s">
        <v>44</v>
      </c>
      <c r="L26" t="s">
        <v>205</v>
      </c>
      <c r="M26" t="s">
        <v>49</v>
      </c>
      <c r="N26" t="s">
        <v>48</v>
      </c>
      <c r="O26" t="s">
        <v>133</v>
      </c>
      <c r="P26">
        <v>20260818</v>
      </c>
      <c r="Q26">
        <v>100</v>
      </c>
      <c r="R26">
        <v>100</v>
      </c>
      <c r="S26" t="s">
        <v>134</v>
      </c>
      <c r="T26" t="s">
        <v>99</v>
      </c>
      <c r="U26" t="s">
        <v>97</v>
      </c>
      <c r="V26" t="s">
        <v>97</v>
      </c>
      <c r="W26" t="s">
        <v>97</v>
      </c>
      <c r="X26" t="s">
        <v>50</v>
      </c>
      <c r="Y26" t="s">
        <v>97</v>
      </c>
      <c r="Z26" t="s">
        <v>31</v>
      </c>
      <c r="AA26" t="s">
        <v>100</v>
      </c>
      <c r="AB26" t="s">
        <v>31</v>
      </c>
      <c r="AC26" t="s">
        <v>205</v>
      </c>
      <c r="AD26" t="s">
        <v>206</v>
      </c>
    </row>
    <row r="27" spans="1:30">
      <c r="A27" s="1">
        <v>52127452</v>
      </c>
      <c r="B27" s="1" t="s">
        <v>207</v>
      </c>
      <c r="C27" s="1" t="s">
        <v>130</v>
      </c>
      <c r="D27" s="1" t="s">
        <v>97</v>
      </c>
      <c r="E27" s="1" t="s">
        <v>31</v>
      </c>
      <c r="F27" s="1">
        <v>9984</v>
      </c>
      <c r="G27" s="1" t="s">
        <v>131</v>
      </c>
      <c r="H27" s="1" t="s">
        <v>40</v>
      </c>
      <c r="I27" s="1" t="s">
        <v>98</v>
      </c>
      <c r="J27" s="1" t="s">
        <v>43</v>
      </c>
      <c r="K27" s="1" t="s">
        <v>44</v>
      </c>
      <c r="L27" s="1" t="s">
        <v>208</v>
      </c>
      <c r="M27" s="1" t="s">
        <v>46</v>
      </c>
      <c r="N27" s="1" t="s">
        <v>45</v>
      </c>
      <c r="O27" s="1" t="s">
        <v>133</v>
      </c>
      <c r="P27" s="1">
        <v>20260818</v>
      </c>
      <c r="Q27" s="1">
        <v>100</v>
      </c>
      <c r="R27" s="1">
        <v>100</v>
      </c>
      <c r="S27" s="1" t="s">
        <v>134</v>
      </c>
      <c r="T27" s="1" t="s">
        <v>99</v>
      </c>
      <c r="U27" s="1" t="s">
        <v>97</v>
      </c>
      <c r="V27" s="1" t="s">
        <v>97</v>
      </c>
      <c r="W27" s="1" t="s">
        <v>97</v>
      </c>
      <c r="X27" s="1" t="s">
        <v>31</v>
      </c>
      <c r="Y27" s="1" t="s">
        <v>97</v>
      </c>
      <c r="Z27" s="1" t="s">
        <v>31</v>
      </c>
      <c r="AA27" s="1" t="s">
        <v>100</v>
      </c>
      <c r="AB27" s="1" t="s">
        <v>31</v>
      </c>
      <c r="AC27" s="1" t="s">
        <v>209</v>
      </c>
      <c r="AD27" s="1" t="s">
        <v>210</v>
      </c>
    </row>
    <row r="28" spans="1:30">
      <c r="A28">
        <v>52128213</v>
      </c>
      <c r="B28" t="s">
        <v>211</v>
      </c>
      <c r="C28" t="s">
        <v>130</v>
      </c>
      <c r="D28" t="s">
        <v>97</v>
      </c>
      <c r="E28" t="s">
        <v>31</v>
      </c>
      <c r="F28">
        <v>3436</v>
      </c>
      <c r="G28" t="s">
        <v>140</v>
      </c>
      <c r="H28" t="s">
        <v>40</v>
      </c>
      <c r="I28" t="s">
        <v>98</v>
      </c>
      <c r="J28" t="s">
        <v>43</v>
      </c>
      <c r="K28" t="s">
        <v>44</v>
      </c>
      <c r="L28" t="s">
        <v>212</v>
      </c>
      <c r="M28" t="s">
        <v>46</v>
      </c>
      <c r="N28" t="s">
        <v>45</v>
      </c>
      <c r="O28" t="s">
        <v>133</v>
      </c>
      <c r="P28">
        <v>20260818</v>
      </c>
      <c r="Q28">
        <v>100</v>
      </c>
      <c r="R28">
        <v>100</v>
      </c>
      <c r="S28" t="s">
        <v>134</v>
      </c>
      <c r="T28" t="s">
        <v>99</v>
      </c>
      <c r="U28" t="s">
        <v>97</v>
      </c>
      <c r="V28" t="s">
        <v>97</v>
      </c>
      <c r="W28" t="s">
        <v>97</v>
      </c>
      <c r="X28" t="s">
        <v>31</v>
      </c>
      <c r="Y28" t="s">
        <v>97</v>
      </c>
      <c r="Z28" t="s">
        <v>31</v>
      </c>
      <c r="AA28" t="s">
        <v>100</v>
      </c>
      <c r="AB28" t="s">
        <v>31</v>
      </c>
      <c r="AC28" t="s">
        <v>212</v>
      </c>
      <c r="AD28" t="s">
        <v>213</v>
      </c>
    </row>
    <row r="29" spans="1:30">
      <c r="A29">
        <v>52131033</v>
      </c>
      <c r="B29" t="s">
        <v>214</v>
      </c>
      <c r="C29" t="s">
        <v>130</v>
      </c>
      <c r="D29" t="s">
        <v>97</v>
      </c>
      <c r="E29" t="s">
        <v>31</v>
      </c>
      <c r="F29">
        <v>9984</v>
      </c>
      <c r="G29" t="s">
        <v>131</v>
      </c>
      <c r="H29" t="s">
        <v>40</v>
      </c>
      <c r="I29" t="s">
        <v>98</v>
      </c>
      <c r="J29" t="s">
        <v>43</v>
      </c>
      <c r="K29" t="s">
        <v>44</v>
      </c>
      <c r="L29" t="s">
        <v>215</v>
      </c>
      <c r="M29" t="s">
        <v>49</v>
      </c>
      <c r="N29" t="s">
        <v>48</v>
      </c>
      <c r="O29" t="s">
        <v>133</v>
      </c>
      <c r="P29">
        <v>20260818</v>
      </c>
      <c r="Q29">
        <v>100</v>
      </c>
      <c r="R29">
        <v>100</v>
      </c>
      <c r="S29" t="s">
        <v>134</v>
      </c>
      <c r="T29" t="s">
        <v>99</v>
      </c>
      <c r="U29" t="s">
        <v>97</v>
      </c>
      <c r="V29" t="s">
        <v>97</v>
      </c>
      <c r="W29" t="s">
        <v>97</v>
      </c>
      <c r="X29" t="s">
        <v>50</v>
      </c>
      <c r="Y29" t="s">
        <v>97</v>
      </c>
      <c r="Z29" t="s">
        <v>31</v>
      </c>
      <c r="AA29" t="s">
        <v>100</v>
      </c>
      <c r="AB29" t="s">
        <v>31</v>
      </c>
      <c r="AC29" t="s">
        <v>215</v>
      </c>
      <c r="AD29" t="s">
        <v>216</v>
      </c>
    </row>
    <row r="30" spans="1:30">
      <c r="A30">
        <v>52136099</v>
      </c>
      <c r="B30" t="s">
        <v>217</v>
      </c>
      <c r="C30" t="s">
        <v>130</v>
      </c>
      <c r="D30" t="s">
        <v>97</v>
      </c>
      <c r="E30" t="s">
        <v>31</v>
      </c>
      <c r="F30">
        <v>6613</v>
      </c>
      <c r="G30" t="s">
        <v>39</v>
      </c>
      <c r="H30" t="s">
        <v>40</v>
      </c>
      <c r="I30" t="s">
        <v>98</v>
      </c>
      <c r="J30" t="s">
        <v>43</v>
      </c>
      <c r="K30" t="s">
        <v>44</v>
      </c>
      <c r="L30" t="s">
        <v>218</v>
      </c>
      <c r="M30" t="s">
        <v>46</v>
      </c>
      <c r="N30" t="s">
        <v>45</v>
      </c>
      <c r="O30" t="s">
        <v>133</v>
      </c>
      <c r="P30">
        <v>20260818</v>
      </c>
      <c r="Q30">
        <v>100</v>
      </c>
      <c r="R30">
        <v>100</v>
      </c>
      <c r="S30" t="s">
        <v>134</v>
      </c>
      <c r="T30" t="s">
        <v>99</v>
      </c>
      <c r="U30" t="s">
        <v>97</v>
      </c>
      <c r="V30" t="s">
        <v>97</v>
      </c>
      <c r="W30" t="s">
        <v>97</v>
      </c>
      <c r="X30" t="s">
        <v>31</v>
      </c>
      <c r="Y30" t="s">
        <v>97</v>
      </c>
      <c r="Z30" t="s">
        <v>31</v>
      </c>
      <c r="AA30" t="s">
        <v>100</v>
      </c>
      <c r="AB30" t="s">
        <v>31</v>
      </c>
      <c r="AC30" t="s">
        <v>218</v>
      </c>
      <c r="AD30" t="s">
        <v>219</v>
      </c>
    </row>
    <row r="31" spans="1:30">
      <c r="A31" s="1">
        <v>52140694</v>
      </c>
      <c r="B31" s="1" t="s">
        <v>220</v>
      </c>
      <c r="C31" s="1" t="s">
        <v>130</v>
      </c>
      <c r="D31" s="1" t="s">
        <v>97</v>
      </c>
      <c r="E31" s="1" t="s">
        <v>31</v>
      </c>
      <c r="F31" s="1">
        <v>6613</v>
      </c>
      <c r="G31" s="1" t="s">
        <v>39</v>
      </c>
      <c r="H31" s="1" t="s">
        <v>40</v>
      </c>
      <c r="I31" s="1" t="s">
        <v>98</v>
      </c>
      <c r="J31" s="1" t="s">
        <v>43</v>
      </c>
      <c r="K31" s="1" t="s">
        <v>44</v>
      </c>
      <c r="L31" s="1" t="s">
        <v>221</v>
      </c>
      <c r="M31" s="1" t="s">
        <v>49</v>
      </c>
      <c r="N31" s="1" t="s">
        <v>48</v>
      </c>
      <c r="O31" s="1" t="s">
        <v>133</v>
      </c>
      <c r="P31" s="1">
        <v>20260818</v>
      </c>
      <c r="Q31" s="1">
        <v>100</v>
      </c>
      <c r="R31" s="1">
        <v>100</v>
      </c>
      <c r="S31" s="1" t="s">
        <v>134</v>
      </c>
      <c r="T31" s="1" t="s">
        <v>99</v>
      </c>
      <c r="U31" s="1" t="s">
        <v>97</v>
      </c>
      <c r="V31" s="1" t="s">
        <v>97</v>
      </c>
      <c r="W31" s="1" t="s">
        <v>97</v>
      </c>
      <c r="X31" s="1" t="s">
        <v>50</v>
      </c>
      <c r="Y31" s="1" t="s">
        <v>97</v>
      </c>
      <c r="Z31" s="1" t="s">
        <v>31</v>
      </c>
      <c r="AA31" s="1" t="s">
        <v>100</v>
      </c>
      <c r="AB31" s="1" t="s">
        <v>31</v>
      </c>
      <c r="AC31" s="1" t="s">
        <v>221</v>
      </c>
      <c r="AD31" s="1" t="s">
        <v>222</v>
      </c>
    </row>
    <row r="32" spans="1:30">
      <c r="A32">
        <v>52140921</v>
      </c>
      <c r="B32" t="s">
        <v>223</v>
      </c>
      <c r="C32" t="s">
        <v>130</v>
      </c>
      <c r="D32" t="s">
        <v>97</v>
      </c>
      <c r="E32" t="s">
        <v>31</v>
      </c>
      <c r="F32">
        <v>3436</v>
      </c>
      <c r="G32" t="s">
        <v>140</v>
      </c>
      <c r="H32" t="s">
        <v>40</v>
      </c>
      <c r="I32" t="s">
        <v>98</v>
      </c>
      <c r="J32" t="s">
        <v>43</v>
      </c>
      <c r="K32" t="s">
        <v>44</v>
      </c>
      <c r="L32" t="s">
        <v>224</v>
      </c>
      <c r="M32" t="s">
        <v>49</v>
      </c>
      <c r="N32" t="s">
        <v>48</v>
      </c>
      <c r="O32" t="s">
        <v>133</v>
      </c>
      <c r="P32">
        <v>20260818</v>
      </c>
      <c r="Q32">
        <v>100</v>
      </c>
      <c r="R32">
        <v>100</v>
      </c>
      <c r="S32" t="s">
        <v>134</v>
      </c>
      <c r="T32" t="s">
        <v>99</v>
      </c>
      <c r="U32" t="s">
        <v>97</v>
      </c>
      <c r="V32" t="s">
        <v>97</v>
      </c>
      <c r="W32" t="s">
        <v>97</v>
      </c>
      <c r="X32" t="s">
        <v>50</v>
      </c>
      <c r="Y32" t="s">
        <v>97</v>
      </c>
      <c r="Z32" t="s">
        <v>31</v>
      </c>
      <c r="AA32" t="s">
        <v>100</v>
      </c>
      <c r="AB32" t="s">
        <v>31</v>
      </c>
      <c r="AC32" t="s">
        <v>224</v>
      </c>
      <c r="AD32" t="s">
        <v>225</v>
      </c>
    </row>
    <row r="33" spans="1:30">
      <c r="A33" s="1">
        <v>52141545</v>
      </c>
      <c r="B33" s="1" t="s">
        <v>226</v>
      </c>
      <c r="C33" s="1" t="s">
        <v>130</v>
      </c>
      <c r="D33" s="1" t="s">
        <v>97</v>
      </c>
      <c r="E33" s="1" t="s">
        <v>31</v>
      </c>
      <c r="F33" s="1">
        <v>3436</v>
      </c>
      <c r="G33" s="1" t="s">
        <v>140</v>
      </c>
      <c r="H33" s="1" t="s">
        <v>40</v>
      </c>
      <c r="I33" s="1" t="s">
        <v>98</v>
      </c>
      <c r="J33" s="1" t="s">
        <v>43</v>
      </c>
      <c r="K33" s="1" t="s">
        <v>44</v>
      </c>
      <c r="L33" s="1" t="s">
        <v>227</v>
      </c>
      <c r="M33" s="1" t="s">
        <v>46</v>
      </c>
      <c r="N33" s="1" t="s">
        <v>45</v>
      </c>
      <c r="O33" s="1" t="s">
        <v>133</v>
      </c>
      <c r="P33" s="1">
        <v>20260818</v>
      </c>
      <c r="Q33" s="1">
        <v>100</v>
      </c>
      <c r="R33" s="1">
        <v>100</v>
      </c>
      <c r="S33" s="1" t="s">
        <v>134</v>
      </c>
      <c r="T33" s="1" t="s">
        <v>99</v>
      </c>
      <c r="U33" s="1" t="s">
        <v>97</v>
      </c>
      <c r="V33" s="1" t="s">
        <v>97</v>
      </c>
      <c r="W33" s="1" t="s">
        <v>97</v>
      </c>
      <c r="X33" s="1" t="s">
        <v>31</v>
      </c>
      <c r="Y33" s="1" t="s">
        <v>97</v>
      </c>
      <c r="Z33" s="1" t="s">
        <v>31</v>
      </c>
      <c r="AA33" s="1" t="s">
        <v>100</v>
      </c>
      <c r="AB33" s="1" t="s">
        <v>31</v>
      </c>
      <c r="AC33" s="1" t="s">
        <v>227</v>
      </c>
      <c r="AD33" s="1" t="s">
        <v>228</v>
      </c>
    </row>
    <row r="34" spans="1:30">
      <c r="A34">
        <v>52141957</v>
      </c>
      <c r="B34" t="s">
        <v>229</v>
      </c>
      <c r="C34" t="s">
        <v>130</v>
      </c>
      <c r="D34" t="s">
        <v>97</v>
      </c>
      <c r="E34" t="s">
        <v>31</v>
      </c>
      <c r="F34">
        <v>6613</v>
      </c>
      <c r="G34" t="s">
        <v>39</v>
      </c>
      <c r="H34" t="s">
        <v>40</v>
      </c>
      <c r="I34" t="s">
        <v>98</v>
      </c>
      <c r="J34" t="s">
        <v>43</v>
      </c>
      <c r="K34" t="s">
        <v>44</v>
      </c>
      <c r="L34" t="s">
        <v>230</v>
      </c>
      <c r="M34" t="s">
        <v>46</v>
      </c>
      <c r="N34" t="s">
        <v>45</v>
      </c>
      <c r="O34" t="s">
        <v>133</v>
      </c>
      <c r="P34">
        <v>20260818</v>
      </c>
      <c r="Q34">
        <v>100</v>
      </c>
      <c r="R34">
        <v>100</v>
      </c>
      <c r="S34" t="s">
        <v>134</v>
      </c>
      <c r="T34" t="s">
        <v>99</v>
      </c>
      <c r="U34" t="s">
        <v>97</v>
      </c>
      <c r="V34" t="s">
        <v>97</v>
      </c>
      <c r="W34" t="s">
        <v>97</v>
      </c>
      <c r="X34" t="s">
        <v>31</v>
      </c>
      <c r="Y34" t="s">
        <v>97</v>
      </c>
      <c r="Z34" t="s">
        <v>31</v>
      </c>
      <c r="AA34" t="s">
        <v>100</v>
      </c>
      <c r="AB34" t="s">
        <v>31</v>
      </c>
      <c r="AC34" t="s">
        <v>230</v>
      </c>
      <c r="AD34" t="s">
        <v>231</v>
      </c>
    </row>
    <row r="35" spans="1:30">
      <c r="A35">
        <v>52144969</v>
      </c>
      <c r="B35" t="s">
        <v>232</v>
      </c>
      <c r="C35" t="s">
        <v>130</v>
      </c>
      <c r="D35" t="s">
        <v>97</v>
      </c>
      <c r="E35" t="s">
        <v>31</v>
      </c>
      <c r="F35">
        <v>6613</v>
      </c>
      <c r="G35" t="s">
        <v>39</v>
      </c>
      <c r="H35" t="s">
        <v>40</v>
      </c>
      <c r="I35" t="s">
        <v>98</v>
      </c>
      <c r="J35" t="s">
        <v>43</v>
      </c>
      <c r="K35" t="s">
        <v>44</v>
      </c>
      <c r="L35" t="s">
        <v>233</v>
      </c>
      <c r="M35" t="s">
        <v>49</v>
      </c>
      <c r="N35" t="s">
        <v>48</v>
      </c>
      <c r="O35" t="s">
        <v>133</v>
      </c>
      <c r="P35">
        <v>20260818</v>
      </c>
      <c r="Q35">
        <v>100</v>
      </c>
      <c r="R35">
        <v>100</v>
      </c>
      <c r="S35" t="s">
        <v>134</v>
      </c>
      <c r="T35" t="s">
        <v>99</v>
      </c>
      <c r="U35" t="s">
        <v>97</v>
      </c>
      <c r="V35" t="s">
        <v>97</v>
      </c>
      <c r="W35" t="s">
        <v>97</v>
      </c>
      <c r="X35" t="s">
        <v>50</v>
      </c>
      <c r="Y35" t="s">
        <v>97</v>
      </c>
      <c r="Z35" t="s">
        <v>31</v>
      </c>
      <c r="AA35" t="s">
        <v>100</v>
      </c>
      <c r="AB35" t="s">
        <v>31</v>
      </c>
      <c r="AC35" t="s">
        <v>233</v>
      </c>
      <c r="AD35" t="s">
        <v>234</v>
      </c>
    </row>
    <row r="36" spans="1:30">
      <c r="A36">
        <v>52147121</v>
      </c>
      <c r="B36" t="s">
        <v>235</v>
      </c>
      <c r="C36" t="s">
        <v>130</v>
      </c>
      <c r="D36" t="s">
        <v>97</v>
      </c>
      <c r="E36" t="s">
        <v>31</v>
      </c>
      <c r="F36">
        <v>4063</v>
      </c>
      <c r="G36" t="s">
        <v>236</v>
      </c>
      <c r="H36" t="s">
        <v>40</v>
      </c>
      <c r="I36" t="s">
        <v>98</v>
      </c>
      <c r="J36" t="s">
        <v>43</v>
      </c>
      <c r="K36" t="s">
        <v>44</v>
      </c>
      <c r="L36" t="s">
        <v>237</v>
      </c>
      <c r="M36" t="s">
        <v>46</v>
      </c>
      <c r="N36" t="s">
        <v>45</v>
      </c>
      <c r="O36" t="s">
        <v>133</v>
      </c>
      <c r="P36">
        <v>20260818</v>
      </c>
      <c r="Q36">
        <v>100</v>
      </c>
      <c r="R36">
        <v>100</v>
      </c>
      <c r="S36" t="s">
        <v>134</v>
      </c>
      <c r="T36" t="s">
        <v>99</v>
      </c>
      <c r="U36" t="s">
        <v>97</v>
      </c>
      <c r="V36" t="s">
        <v>97</v>
      </c>
      <c r="W36" t="s">
        <v>97</v>
      </c>
      <c r="X36" t="s">
        <v>31</v>
      </c>
      <c r="Y36" t="s">
        <v>97</v>
      </c>
      <c r="Z36" t="s">
        <v>31</v>
      </c>
      <c r="AA36" t="s">
        <v>100</v>
      </c>
      <c r="AB36" t="s">
        <v>31</v>
      </c>
      <c r="AC36" t="s">
        <v>237</v>
      </c>
      <c r="AD36" t="s">
        <v>238</v>
      </c>
    </row>
    <row r="37" spans="1:30">
      <c r="A37">
        <v>52148725</v>
      </c>
      <c r="B37" t="s">
        <v>239</v>
      </c>
      <c r="C37" t="s">
        <v>130</v>
      </c>
      <c r="D37" t="s">
        <v>97</v>
      </c>
      <c r="E37" t="s">
        <v>31</v>
      </c>
      <c r="F37">
        <v>9984</v>
      </c>
      <c r="G37" t="s">
        <v>131</v>
      </c>
      <c r="H37" t="s">
        <v>40</v>
      </c>
      <c r="I37" t="s">
        <v>98</v>
      </c>
      <c r="J37" t="s">
        <v>43</v>
      </c>
      <c r="K37" t="s">
        <v>44</v>
      </c>
      <c r="L37" t="s">
        <v>240</v>
      </c>
      <c r="M37" t="s">
        <v>46</v>
      </c>
      <c r="N37" t="s">
        <v>45</v>
      </c>
      <c r="O37" t="s">
        <v>133</v>
      </c>
      <c r="P37">
        <v>20260818</v>
      </c>
      <c r="Q37">
        <v>100</v>
      </c>
      <c r="R37">
        <v>100</v>
      </c>
      <c r="S37" t="s">
        <v>134</v>
      </c>
      <c r="T37" t="s">
        <v>99</v>
      </c>
      <c r="U37" t="s">
        <v>97</v>
      </c>
      <c r="V37" t="s">
        <v>97</v>
      </c>
      <c r="W37" t="s">
        <v>97</v>
      </c>
      <c r="X37" t="s">
        <v>31</v>
      </c>
      <c r="Y37" t="s">
        <v>97</v>
      </c>
      <c r="Z37" t="s">
        <v>31</v>
      </c>
      <c r="AA37" t="s">
        <v>100</v>
      </c>
      <c r="AB37" t="s">
        <v>31</v>
      </c>
      <c r="AC37" t="s">
        <v>240</v>
      </c>
      <c r="AD37" t="s">
        <v>241</v>
      </c>
    </row>
    <row r="38" spans="1:30">
      <c r="A38">
        <v>52150993</v>
      </c>
      <c r="B38" t="s">
        <v>242</v>
      </c>
      <c r="C38" t="s">
        <v>130</v>
      </c>
      <c r="D38" t="s">
        <v>97</v>
      </c>
      <c r="E38" t="s">
        <v>31</v>
      </c>
      <c r="F38">
        <v>9984</v>
      </c>
      <c r="G38" t="s">
        <v>131</v>
      </c>
      <c r="H38" t="s">
        <v>40</v>
      </c>
      <c r="I38" t="s">
        <v>98</v>
      </c>
      <c r="J38" t="s">
        <v>43</v>
      </c>
      <c r="K38" t="s">
        <v>44</v>
      </c>
      <c r="L38" t="s">
        <v>243</v>
      </c>
      <c r="M38" t="s">
        <v>49</v>
      </c>
      <c r="N38" t="s">
        <v>48</v>
      </c>
      <c r="O38" t="s">
        <v>133</v>
      </c>
      <c r="P38">
        <v>20260818</v>
      </c>
      <c r="Q38">
        <v>100</v>
      </c>
      <c r="R38">
        <v>100</v>
      </c>
      <c r="S38" t="s">
        <v>134</v>
      </c>
      <c r="T38" t="s">
        <v>99</v>
      </c>
      <c r="U38" t="s">
        <v>97</v>
      </c>
      <c r="V38" t="s">
        <v>97</v>
      </c>
      <c r="W38" t="s">
        <v>97</v>
      </c>
      <c r="X38" t="s">
        <v>50</v>
      </c>
      <c r="Y38" t="s">
        <v>97</v>
      </c>
      <c r="Z38" t="s">
        <v>31</v>
      </c>
      <c r="AA38" t="s">
        <v>100</v>
      </c>
      <c r="AB38" t="s">
        <v>31</v>
      </c>
      <c r="AC38" t="s">
        <v>243</v>
      </c>
      <c r="AD38" t="s">
        <v>244</v>
      </c>
    </row>
    <row r="39" spans="1:30">
      <c r="A39">
        <v>52152781</v>
      </c>
      <c r="B39" t="s">
        <v>245</v>
      </c>
      <c r="C39" t="s">
        <v>130</v>
      </c>
      <c r="D39" t="s">
        <v>97</v>
      </c>
      <c r="E39" t="s">
        <v>31</v>
      </c>
      <c r="F39">
        <v>9984</v>
      </c>
      <c r="G39" t="s">
        <v>131</v>
      </c>
      <c r="H39" t="s">
        <v>40</v>
      </c>
      <c r="I39" t="s">
        <v>98</v>
      </c>
      <c r="J39" t="s">
        <v>43</v>
      </c>
      <c r="K39" t="s">
        <v>44</v>
      </c>
      <c r="L39" t="s">
        <v>246</v>
      </c>
      <c r="M39" t="s">
        <v>46</v>
      </c>
      <c r="N39" t="s">
        <v>45</v>
      </c>
      <c r="O39" t="s">
        <v>133</v>
      </c>
      <c r="P39">
        <v>20260818</v>
      </c>
      <c r="Q39">
        <v>100</v>
      </c>
      <c r="R39">
        <v>100</v>
      </c>
      <c r="S39" t="s">
        <v>134</v>
      </c>
      <c r="T39" t="s">
        <v>99</v>
      </c>
      <c r="U39" t="s">
        <v>97</v>
      </c>
      <c r="V39" t="s">
        <v>97</v>
      </c>
      <c r="W39" t="s">
        <v>97</v>
      </c>
      <c r="X39" t="s">
        <v>31</v>
      </c>
      <c r="Y39" t="s">
        <v>97</v>
      </c>
      <c r="Z39" t="s">
        <v>31</v>
      </c>
      <c r="AA39" t="s">
        <v>100</v>
      </c>
      <c r="AB39" t="s">
        <v>31</v>
      </c>
      <c r="AC39" t="s">
        <v>246</v>
      </c>
      <c r="AD39" t="s">
        <v>247</v>
      </c>
    </row>
    <row r="40" spans="1:30">
      <c r="A40">
        <v>52156743</v>
      </c>
      <c r="B40" t="s">
        <v>248</v>
      </c>
      <c r="C40" t="s">
        <v>130</v>
      </c>
      <c r="D40" t="s">
        <v>97</v>
      </c>
      <c r="E40" t="s">
        <v>31</v>
      </c>
      <c r="F40">
        <v>9984</v>
      </c>
      <c r="G40" t="s">
        <v>131</v>
      </c>
      <c r="H40" t="s">
        <v>40</v>
      </c>
      <c r="I40" t="s">
        <v>98</v>
      </c>
      <c r="J40" t="s">
        <v>43</v>
      </c>
      <c r="K40" t="s">
        <v>44</v>
      </c>
      <c r="L40" t="s">
        <v>249</v>
      </c>
      <c r="M40" t="s">
        <v>49</v>
      </c>
      <c r="N40" t="s">
        <v>48</v>
      </c>
      <c r="O40" t="s">
        <v>133</v>
      </c>
      <c r="P40">
        <v>20260818</v>
      </c>
      <c r="Q40">
        <v>100</v>
      </c>
      <c r="R40">
        <v>100</v>
      </c>
      <c r="S40" t="s">
        <v>134</v>
      </c>
      <c r="T40" t="s">
        <v>99</v>
      </c>
      <c r="U40" t="s">
        <v>97</v>
      </c>
      <c r="V40" t="s">
        <v>97</v>
      </c>
      <c r="W40" t="s">
        <v>97</v>
      </c>
      <c r="X40" t="s">
        <v>50</v>
      </c>
      <c r="Y40" t="s">
        <v>97</v>
      </c>
      <c r="Z40" t="s">
        <v>31</v>
      </c>
      <c r="AA40" t="s">
        <v>100</v>
      </c>
      <c r="AB40" t="s">
        <v>31</v>
      </c>
      <c r="AC40" t="s">
        <v>249</v>
      </c>
      <c r="AD40" t="s">
        <v>250</v>
      </c>
    </row>
    <row r="41" spans="1:30">
      <c r="A41">
        <v>52159048</v>
      </c>
      <c r="B41" t="s">
        <v>251</v>
      </c>
      <c r="C41" t="s">
        <v>130</v>
      </c>
      <c r="D41" t="s">
        <v>97</v>
      </c>
      <c r="E41" t="s">
        <v>31</v>
      </c>
      <c r="F41">
        <v>6613</v>
      </c>
      <c r="G41" t="s">
        <v>39</v>
      </c>
      <c r="H41" t="s">
        <v>40</v>
      </c>
      <c r="I41" t="s">
        <v>98</v>
      </c>
      <c r="J41" t="s">
        <v>43</v>
      </c>
      <c r="K41" t="s">
        <v>44</v>
      </c>
      <c r="L41" t="s">
        <v>252</v>
      </c>
      <c r="M41" t="s">
        <v>46</v>
      </c>
      <c r="N41" t="s">
        <v>45</v>
      </c>
      <c r="O41" t="s">
        <v>133</v>
      </c>
      <c r="P41">
        <v>20260818</v>
      </c>
      <c r="Q41">
        <v>100</v>
      </c>
      <c r="R41">
        <v>100</v>
      </c>
      <c r="S41" t="s">
        <v>134</v>
      </c>
      <c r="T41" t="s">
        <v>99</v>
      </c>
      <c r="U41" t="s">
        <v>97</v>
      </c>
      <c r="V41" t="s">
        <v>97</v>
      </c>
      <c r="W41" t="s">
        <v>97</v>
      </c>
      <c r="X41" t="s">
        <v>31</v>
      </c>
      <c r="Y41" t="s">
        <v>97</v>
      </c>
      <c r="Z41" t="s">
        <v>31</v>
      </c>
      <c r="AA41" t="s">
        <v>100</v>
      </c>
      <c r="AB41" t="s">
        <v>31</v>
      </c>
      <c r="AC41" t="s">
        <v>252</v>
      </c>
      <c r="AD41" t="s">
        <v>253</v>
      </c>
    </row>
    <row r="42" spans="1:30">
      <c r="A42">
        <v>52162259</v>
      </c>
      <c r="B42" t="s">
        <v>254</v>
      </c>
      <c r="C42" t="s">
        <v>130</v>
      </c>
      <c r="D42" t="s">
        <v>97</v>
      </c>
      <c r="E42" t="s">
        <v>31</v>
      </c>
      <c r="F42">
        <v>6613</v>
      </c>
      <c r="G42" t="s">
        <v>39</v>
      </c>
      <c r="H42" t="s">
        <v>40</v>
      </c>
      <c r="I42" t="s">
        <v>98</v>
      </c>
      <c r="J42" t="s">
        <v>43</v>
      </c>
      <c r="K42" t="s">
        <v>44</v>
      </c>
      <c r="L42" t="s">
        <v>255</v>
      </c>
      <c r="M42" t="s">
        <v>49</v>
      </c>
      <c r="N42" t="s">
        <v>48</v>
      </c>
      <c r="O42" t="s">
        <v>133</v>
      </c>
      <c r="P42">
        <v>20260818</v>
      </c>
      <c r="Q42">
        <v>100</v>
      </c>
      <c r="R42">
        <v>100</v>
      </c>
      <c r="S42" t="s">
        <v>134</v>
      </c>
      <c r="T42" t="s">
        <v>99</v>
      </c>
      <c r="U42" t="s">
        <v>97</v>
      </c>
      <c r="V42" t="s">
        <v>97</v>
      </c>
      <c r="W42" t="s">
        <v>97</v>
      </c>
      <c r="X42" t="s">
        <v>50</v>
      </c>
      <c r="Y42" t="s">
        <v>97</v>
      </c>
      <c r="Z42" t="s">
        <v>31</v>
      </c>
      <c r="AA42" t="s">
        <v>100</v>
      </c>
      <c r="AB42" t="s">
        <v>31</v>
      </c>
      <c r="AC42" t="s">
        <v>255</v>
      </c>
      <c r="AD42" t="s">
        <v>256</v>
      </c>
    </row>
    <row r="43" spans="1:30">
      <c r="A43">
        <v>52162697</v>
      </c>
      <c r="B43" t="s">
        <v>257</v>
      </c>
      <c r="C43" t="s">
        <v>130</v>
      </c>
      <c r="D43" t="s">
        <v>97</v>
      </c>
      <c r="E43" t="s">
        <v>31</v>
      </c>
      <c r="F43">
        <v>6613</v>
      </c>
      <c r="G43" t="s">
        <v>39</v>
      </c>
      <c r="H43" t="s">
        <v>40</v>
      </c>
      <c r="I43" t="s">
        <v>98</v>
      </c>
      <c r="J43" t="s">
        <v>43</v>
      </c>
      <c r="K43" t="s">
        <v>44</v>
      </c>
      <c r="L43" t="s">
        <v>258</v>
      </c>
      <c r="M43" t="s">
        <v>46</v>
      </c>
      <c r="N43" t="s">
        <v>45</v>
      </c>
      <c r="O43" t="s">
        <v>133</v>
      </c>
      <c r="P43">
        <v>20260818</v>
      </c>
      <c r="Q43">
        <v>100</v>
      </c>
      <c r="R43">
        <v>100</v>
      </c>
      <c r="S43" t="s">
        <v>134</v>
      </c>
      <c r="T43" t="s">
        <v>99</v>
      </c>
      <c r="U43" t="s">
        <v>97</v>
      </c>
      <c r="V43" t="s">
        <v>97</v>
      </c>
      <c r="W43" t="s">
        <v>97</v>
      </c>
      <c r="X43" t="s">
        <v>31</v>
      </c>
      <c r="Y43" t="s">
        <v>97</v>
      </c>
      <c r="Z43" t="s">
        <v>31</v>
      </c>
      <c r="AA43" t="s">
        <v>100</v>
      </c>
      <c r="AB43" t="s">
        <v>31</v>
      </c>
      <c r="AC43" t="s">
        <v>258</v>
      </c>
      <c r="AD43" t="s">
        <v>259</v>
      </c>
    </row>
    <row r="44" spans="1:30">
      <c r="A44">
        <v>52164043</v>
      </c>
      <c r="B44" t="s">
        <v>260</v>
      </c>
      <c r="C44" t="s">
        <v>130</v>
      </c>
      <c r="D44" t="s">
        <v>97</v>
      </c>
      <c r="E44" t="s">
        <v>31</v>
      </c>
      <c r="F44">
        <v>6613</v>
      </c>
      <c r="G44" t="s">
        <v>39</v>
      </c>
      <c r="H44" t="s">
        <v>40</v>
      </c>
      <c r="I44" t="s">
        <v>98</v>
      </c>
      <c r="J44" t="s">
        <v>43</v>
      </c>
      <c r="K44" t="s">
        <v>44</v>
      </c>
      <c r="L44" t="s">
        <v>261</v>
      </c>
      <c r="M44" t="s">
        <v>49</v>
      </c>
      <c r="N44" t="s">
        <v>48</v>
      </c>
      <c r="O44" t="s">
        <v>133</v>
      </c>
      <c r="P44">
        <v>20260818</v>
      </c>
      <c r="Q44">
        <v>100</v>
      </c>
      <c r="R44">
        <v>100</v>
      </c>
      <c r="S44" t="s">
        <v>134</v>
      </c>
      <c r="T44" t="s">
        <v>99</v>
      </c>
      <c r="U44" t="s">
        <v>97</v>
      </c>
      <c r="V44" t="s">
        <v>97</v>
      </c>
      <c r="W44" t="s">
        <v>97</v>
      </c>
      <c r="X44" t="s">
        <v>50</v>
      </c>
      <c r="Y44" t="s">
        <v>97</v>
      </c>
      <c r="Z44" t="s">
        <v>31</v>
      </c>
      <c r="AA44" t="s">
        <v>100</v>
      </c>
      <c r="AB44" t="s">
        <v>31</v>
      </c>
      <c r="AC44" t="s">
        <v>261</v>
      </c>
      <c r="AD44" t="s">
        <v>262</v>
      </c>
    </row>
    <row r="45" spans="1:30">
      <c r="A45">
        <v>52166169</v>
      </c>
      <c r="B45" t="s">
        <v>263</v>
      </c>
      <c r="C45" t="s">
        <v>130</v>
      </c>
      <c r="D45" t="s">
        <v>97</v>
      </c>
      <c r="E45" t="s">
        <v>31</v>
      </c>
      <c r="F45">
        <v>6613</v>
      </c>
      <c r="G45" t="s">
        <v>39</v>
      </c>
      <c r="H45" t="s">
        <v>40</v>
      </c>
      <c r="I45" t="s">
        <v>98</v>
      </c>
      <c r="J45" t="s">
        <v>43</v>
      </c>
      <c r="K45" t="s">
        <v>44</v>
      </c>
      <c r="L45" t="s">
        <v>264</v>
      </c>
      <c r="M45" t="s">
        <v>46</v>
      </c>
      <c r="N45" t="s">
        <v>45</v>
      </c>
      <c r="O45" t="s">
        <v>133</v>
      </c>
      <c r="P45">
        <v>20260818</v>
      </c>
      <c r="Q45">
        <v>100</v>
      </c>
      <c r="R45">
        <v>100</v>
      </c>
      <c r="S45" t="s">
        <v>134</v>
      </c>
      <c r="T45" t="s">
        <v>99</v>
      </c>
      <c r="U45" t="s">
        <v>97</v>
      </c>
      <c r="V45" t="s">
        <v>97</v>
      </c>
      <c r="W45" t="s">
        <v>97</v>
      </c>
      <c r="X45" t="s">
        <v>31</v>
      </c>
      <c r="Y45" t="s">
        <v>97</v>
      </c>
      <c r="Z45" t="s">
        <v>31</v>
      </c>
      <c r="AA45" t="s">
        <v>100</v>
      </c>
      <c r="AB45" t="s">
        <v>31</v>
      </c>
      <c r="AC45" t="s">
        <v>264</v>
      </c>
      <c r="AD45" t="s">
        <v>265</v>
      </c>
    </row>
    <row r="46" spans="1:30">
      <c r="A46">
        <v>52168229</v>
      </c>
      <c r="B46" t="s">
        <v>266</v>
      </c>
      <c r="C46" t="s">
        <v>130</v>
      </c>
      <c r="D46" t="s">
        <v>97</v>
      </c>
      <c r="E46" t="s">
        <v>31</v>
      </c>
      <c r="F46">
        <v>6613</v>
      </c>
      <c r="G46" t="s">
        <v>39</v>
      </c>
      <c r="H46" t="s">
        <v>40</v>
      </c>
      <c r="I46" t="s">
        <v>98</v>
      </c>
      <c r="J46" t="s">
        <v>43</v>
      </c>
      <c r="K46" t="s">
        <v>44</v>
      </c>
      <c r="L46" t="s">
        <v>267</v>
      </c>
      <c r="M46" t="s">
        <v>49</v>
      </c>
      <c r="N46" t="s">
        <v>48</v>
      </c>
      <c r="O46" t="s">
        <v>133</v>
      </c>
      <c r="P46">
        <v>20260818</v>
      </c>
      <c r="Q46">
        <v>100</v>
      </c>
      <c r="R46">
        <v>100</v>
      </c>
      <c r="S46" t="s">
        <v>134</v>
      </c>
      <c r="T46" t="s">
        <v>99</v>
      </c>
      <c r="U46" t="s">
        <v>97</v>
      </c>
      <c r="V46" t="s">
        <v>97</v>
      </c>
      <c r="W46" t="s">
        <v>97</v>
      </c>
      <c r="X46" t="s">
        <v>50</v>
      </c>
      <c r="Y46" t="s">
        <v>97</v>
      </c>
      <c r="Z46" t="s">
        <v>31</v>
      </c>
      <c r="AA46" t="s">
        <v>100</v>
      </c>
      <c r="AB46" t="s">
        <v>31</v>
      </c>
      <c r="AC46" t="s">
        <v>267</v>
      </c>
      <c r="AD46" t="s">
        <v>268</v>
      </c>
    </row>
    <row r="47" spans="1:30">
      <c r="A47">
        <v>52169663</v>
      </c>
      <c r="B47" t="s">
        <v>269</v>
      </c>
      <c r="C47" t="s">
        <v>130</v>
      </c>
      <c r="D47" t="s">
        <v>97</v>
      </c>
      <c r="E47" t="s">
        <v>31</v>
      </c>
      <c r="F47">
        <v>4063</v>
      </c>
      <c r="G47" t="s">
        <v>236</v>
      </c>
      <c r="H47" t="s">
        <v>40</v>
      </c>
      <c r="I47" t="s">
        <v>98</v>
      </c>
      <c r="J47" t="s">
        <v>43</v>
      </c>
      <c r="K47" t="s">
        <v>44</v>
      </c>
      <c r="L47" t="s">
        <v>270</v>
      </c>
      <c r="M47" t="s">
        <v>49</v>
      </c>
      <c r="N47" t="s">
        <v>48</v>
      </c>
      <c r="O47" t="s">
        <v>133</v>
      </c>
      <c r="P47">
        <v>20260818</v>
      </c>
      <c r="Q47">
        <v>100</v>
      </c>
      <c r="R47">
        <v>100</v>
      </c>
      <c r="S47" t="s">
        <v>134</v>
      </c>
      <c r="T47" t="s">
        <v>99</v>
      </c>
      <c r="U47" t="s">
        <v>97</v>
      </c>
      <c r="V47" t="s">
        <v>97</v>
      </c>
      <c r="W47" t="s">
        <v>97</v>
      </c>
      <c r="X47" t="s">
        <v>50</v>
      </c>
      <c r="Y47" t="s">
        <v>97</v>
      </c>
      <c r="Z47" t="s">
        <v>31</v>
      </c>
      <c r="AA47" t="s">
        <v>100</v>
      </c>
      <c r="AB47" t="s">
        <v>31</v>
      </c>
      <c r="AC47" t="s">
        <v>270</v>
      </c>
      <c r="AD47" t="s">
        <v>271</v>
      </c>
    </row>
    <row r="48" spans="1:30">
      <c r="A48">
        <v>52170363</v>
      </c>
      <c r="B48" t="s">
        <v>272</v>
      </c>
      <c r="C48" t="s">
        <v>130</v>
      </c>
      <c r="D48" t="s">
        <v>97</v>
      </c>
      <c r="E48" t="s">
        <v>31</v>
      </c>
      <c r="F48">
        <v>3436</v>
      </c>
      <c r="G48" t="s">
        <v>140</v>
      </c>
      <c r="H48" t="s">
        <v>40</v>
      </c>
      <c r="I48" t="s">
        <v>98</v>
      </c>
      <c r="J48" t="s">
        <v>43</v>
      </c>
      <c r="K48" t="s">
        <v>44</v>
      </c>
      <c r="L48" t="s">
        <v>273</v>
      </c>
      <c r="M48" t="s">
        <v>49</v>
      </c>
      <c r="N48" t="s">
        <v>48</v>
      </c>
      <c r="O48" t="s">
        <v>133</v>
      </c>
      <c r="P48">
        <v>20260818</v>
      </c>
      <c r="Q48">
        <v>100</v>
      </c>
      <c r="R48">
        <v>100</v>
      </c>
      <c r="S48" t="s">
        <v>134</v>
      </c>
      <c r="T48" t="s">
        <v>99</v>
      </c>
      <c r="U48" t="s">
        <v>97</v>
      </c>
      <c r="V48" t="s">
        <v>97</v>
      </c>
      <c r="W48" t="s">
        <v>97</v>
      </c>
      <c r="X48" t="s">
        <v>50</v>
      </c>
      <c r="Y48" t="s">
        <v>97</v>
      </c>
      <c r="Z48" t="s">
        <v>31</v>
      </c>
      <c r="AA48" t="s">
        <v>100</v>
      </c>
      <c r="AB48" t="s">
        <v>31</v>
      </c>
      <c r="AC48" t="s">
        <v>273</v>
      </c>
      <c r="AD48" t="s">
        <v>274</v>
      </c>
    </row>
    <row r="49" spans="1:30">
      <c r="A49">
        <v>52171528</v>
      </c>
      <c r="B49" t="s">
        <v>275</v>
      </c>
      <c r="C49" t="s">
        <v>130</v>
      </c>
      <c r="D49" t="s">
        <v>97</v>
      </c>
      <c r="E49" t="s">
        <v>31</v>
      </c>
      <c r="F49">
        <v>6613</v>
      </c>
      <c r="G49" t="s">
        <v>39</v>
      </c>
      <c r="H49" t="s">
        <v>40</v>
      </c>
      <c r="I49" t="s">
        <v>98</v>
      </c>
      <c r="J49" t="s">
        <v>43</v>
      </c>
      <c r="K49" t="s">
        <v>44</v>
      </c>
      <c r="L49" t="s">
        <v>276</v>
      </c>
      <c r="M49" t="s">
        <v>46</v>
      </c>
      <c r="N49" t="s">
        <v>45</v>
      </c>
      <c r="O49" t="s">
        <v>133</v>
      </c>
      <c r="P49">
        <v>20260818</v>
      </c>
      <c r="Q49">
        <v>100</v>
      </c>
      <c r="R49">
        <v>100</v>
      </c>
      <c r="S49" t="s">
        <v>134</v>
      </c>
      <c r="T49" t="s">
        <v>99</v>
      </c>
      <c r="U49" t="s">
        <v>97</v>
      </c>
      <c r="V49" t="s">
        <v>97</v>
      </c>
      <c r="W49" t="s">
        <v>97</v>
      </c>
      <c r="X49" t="s">
        <v>31</v>
      </c>
      <c r="Y49" t="s">
        <v>97</v>
      </c>
      <c r="Z49" t="s">
        <v>31</v>
      </c>
      <c r="AA49" t="s">
        <v>100</v>
      </c>
      <c r="AB49" t="s">
        <v>31</v>
      </c>
      <c r="AC49" t="s">
        <v>276</v>
      </c>
      <c r="AD49" t="s">
        <v>277</v>
      </c>
    </row>
    <row r="50" spans="1:30">
      <c r="A50">
        <v>52171850</v>
      </c>
      <c r="B50" t="s">
        <v>278</v>
      </c>
      <c r="C50" t="s">
        <v>130</v>
      </c>
      <c r="D50" t="s">
        <v>97</v>
      </c>
      <c r="E50" t="s">
        <v>31</v>
      </c>
      <c r="F50">
        <v>4063</v>
      </c>
      <c r="G50" t="s">
        <v>236</v>
      </c>
      <c r="H50" t="s">
        <v>40</v>
      </c>
      <c r="I50" t="s">
        <v>98</v>
      </c>
      <c r="J50" t="s">
        <v>43</v>
      </c>
      <c r="K50" t="s">
        <v>44</v>
      </c>
      <c r="L50" t="s">
        <v>279</v>
      </c>
      <c r="M50" t="s">
        <v>46</v>
      </c>
      <c r="N50" t="s">
        <v>45</v>
      </c>
      <c r="O50" t="s">
        <v>133</v>
      </c>
      <c r="P50">
        <v>20260818</v>
      </c>
      <c r="Q50">
        <v>100</v>
      </c>
      <c r="R50">
        <v>100</v>
      </c>
      <c r="S50" t="s">
        <v>134</v>
      </c>
      <c r="T50" t="s">
        <v>99</v>
      </c>
      <c r="U50" t="s">
        <v>97</v>
      </c>
      <c r="V50" t="s">
        <v>97</v>
      </c>
      <c r="W50" t="s">
        <v>97</v>
      </c>
      <c r="X50" t="s">
        <v>31</v>
      </c>
      <c r="Y50" t="s">
        <v>97</v>
      </c>
      <c r="Z50" t="s">
        <v>31</v>
      </c>
      <c r="AA50" t="s">
        <v>100</v>
      </c>
      <c r="AB50" t="s">
        <v>31</v>
      </c>
      <c r="AC50" t="s">
        <v>279</v>
      </c>
      <c r="AD50" t="s">
        <v>280</v>
      </c>
    </row>
    <row r="51" spans="1:30">
      <c r="A51">
        <v>52172382</v>
      </c>
      <c r="B51" t="s">
        <v>281</v>
      </c>
      <c r="C51" t="s">
        <v>130</v>
      </c>
      <c r="D51" t="s">
        <v>97</v>
      </c>
      <c r="E51" t="s">
        <v>31</v>
      </c>
      <c r="F51">
        <v>9984</v>
      </c>
      <c r="G51" t="s">
        <v>131</v>
      </c>
      <c r="H51" t="s">
        <v>40</v>
      </c>
      <c r="I51" t="s">
        <v>98</v>
      </c>
      <c r="J51" t="s">
        <v>43</v>
      </c>
      <c r="K51" t="s">
        <v>44</v>
      </c>
      <c r="L51" t="s">
        <v>282</v>
      </c>
      <c r="M51" t="s">
        <v>46</v>
      </c>
      <c r="N51" t="s">
        <v>45</v>
      </c>
      <c r="O51" t="s">
        <v>133</v>
      </c>
      <c r="P51">
        <v>20260818</v>
      </c>
      <c r="Q51">
        <v>100</v>
      </c>
      <c r="R51">
        <v>100</v>
      </c>
      <c r="S51" t="s">
        <v>134</v>
      </c>
      <c r="T51" t="s">
        <v>99</v>
      </c>
      <c r="U51" t="s">
        <v>97</v>
      </c>
      <c r="V51" t="s">
        <v>97</v>
      </c>
      <c r="W51" t="s">
        <v>97</v>
      </c>
      <c r="X51" t="s">
        <v>31</v>
      </c>
      <c r="Y51" t="s">
        <v>97</v>
      </c>
      <c r="Z51" t="s">
        <v>31</v>
      </c>
      <c r="AA51" t="s">
        <v>100</v>
      </c>
      <c r="AB51" t="s">
        <v>31</v>
      </c>
      <c r="AC51" t="s">
        <v>282</v>
      </c>
      <c r="AD51" t="s">
        <v>283</v>
      </c>
    </row>
    <row r="52" spans="1:30">
      <c r="A52">
        <v>52174510</v>
      </c>
      <c r="B52" t="s">
        <v>284</v>
      </c>
      <c r="C52" t="s">
        <v>130</v>
      </c>
      <c r="D52" t="s">
        <v>97</v>
      </c>
      <c r="E52" t="s">
        <v>31</v>
      </c>
      <c r="F52">
        <v>6613</v>
      </c>
      <c r="G52" t="s">
        <v>39</v>
      </c>
      <c r="H52" t="s">
        <v>40</v>
      </c>
      <c r="I52" t="s">
        <v>98</v>
      </c>
      <c r="J52" t="s">
        <v>43</v>
      </c>
      <c r="K52" t="s">
        <v>44</v>
      </c>
      <c r="L52" t="s">
        <v>285</v>
      </c>
      <c r="M52" t="s">
        <v>49</v>
      </c>
      <c r="N52" t="s">
        <v>48</v>
      </c>
      <c r="O52" t="s">
        <v>133</v>
      </c>
      <c r="P52">
        <v>20260818</v>
      </c>
      <c r="Q52">
        <v>100</v>
      </c>
      <c r="R52">
        <v>100</v>
      </c>
      <c r="S52" t="s">
        <v>134</v>
      </c>
      <c r="T52" t="s">
        <v>99</v>
      </c>
      <c r="U52" t="s">
        <v>97</v>
      </c>
      <c r="V52" t="s">
        <v>97</v>
      </c>
      <c r="W52" t="s">
        <v>97</v>
      </c>
      <c r="X52" t="s">
        <v>50</v>
      </c>
      <c r="Y52" t="s">
        <v>97</v>
      </c>
      <c r="Z52" t="s">
        <v>31</v>
      </c>
      <c r="AA52" t="s">
        <v>100</v>
      </c>
      <c r="AB52" t="s">
        <v>31</v>
      </c>
      <c r="AC52" t="s">
        <v>285</v>
      </c>
      <c r="AD52" t="s">
        <v>286</v>
      </c>
    </row>
    <row r="53" spans="1:30">
      <c r="A53">
        <v>52175728</v>
      </c>
      <c r="B53" t="s">
        <v>287</v>
      </c>
      <c r="C53" t="s">
        <v>130</v>
      </c>
      <c r="D53" t="s">
        <v>97</v>
      </c>
      <c r="E53" t="s">
        <v>31</v>
      </c>
      <c r="F53">
        <v>6613</v>
      </c>
      <c r="G53" t="s">
        <v>39</v>
      </c>
      <c r="H53" t="s">
        <v>40</v>
      </c>
      <c r="I53" t="s">
        <v>98</v>
      </c>
      <c r="J53" t="s">
        <v>43</v>
      </c>
      <c r="K53" t="s">
        <v>44</v>
      </c>
      <c r="L53" t="s">
        <v>288</v>
      </c>
      <c r="M53" t="s">
        <v>46</v>
      </c>
      <c r="N53" t="s">
        <v>45</v>
      </c>
      <c r="O53" t="s">
        <v>133</v>
      </c>
      <c r="P53">
        <v>20260818</v>
      </c>
      <c r="Q53">
        <v>100</v>
      </c>
      <c r="R53">
        <v>100</v>
      </c>
      <c r="S53" t="s">
        <v>134</v>
      </c>
      <c r="T53" t="s">
        <v>99</v>
      </c>
      <c r="U53" t="s">
        <v>97</v>
      </c>
      <c r="V53" t="s">
        <v>97</v>
      </c>
      <c r="W53" t="s">
        <v>97</v>
      </c>
      <c r="X53" t="s">
        <v>31</v>
      </c>
      <c r="Y53" t="s">
        <v>97</v>
      </c>
      <c r="Z53" t="s">
        <v>31</v>
      </c>
      <c r="AA53" t="s">
        <v>100</v>
      </c>
      <c r="AB53" t="s">
        <v>31</v>
      </c>
      <c r="AC53" t="s">
        <v>288</v>
      </c>
      <c r="AD53" t="s">
        <v>289</v>
      </c>
    </row>
    <row r="54" spans="1:30">
      <c r="A54">
        <v>52176202</v>
      </c>
      <c r="B54" t="s">
        <v>290</v>
      </c>
      <c r="C54" t="s">
        <v>130</v>
      </c>
      <c r="D54" t="s">
        <v>97</v>
      </c>
      <c r="E54" t="s">
        <v>31</v>
      </c>
      <c r="F54">
        <v>9984</v>
      </c>
      <c r="G54" t="s">
        <v>131</v>
      </c>
      <c r="H54" t="s">
        <v>40</v>
      </c>
      <c r="I54" t="s">
        <v>98</v>
      </c>
      <c r="J54" t="s">
        <v>43</v>
      </c>
      <c r="K54" t="s">
        <v>44</v>
      </c>
      <c r="L54" t="s">
        <v>291</v>
      </c>
      <c r="M54" t="s">
        <v>49</v>
      </c>
      <c r="N54" t="s">
        <v>48</v>
      </c>
      <c r="O54" t="s">
        <v>133</v>
      </c>
      <c r="P54">
        <v>20260818</v>
      </c>
      <c r="Q54">
        <v>100</v>
      </c>
      <c r="R54">
        <v>100</v>
      </c>
      <c r="S54" t="s">
        <v>134</v>
      </c>
      <c r="T54" t="s">
        <v>99</v>
      </c>
      <c r="U54" t="s">
        <v>97</v>
      </c>
      <c r="V54" t="s">
        <v>97</v>
      </c>
      <c r="W54" t="s">
        <v>97</v>
      </c>
      <c r="X54" t="s">
        <v>50</v>
      </c>
      <c r="Y54" t="s">
        <v>97</v>
      </c>
      <c r="Z54" t="s">
        <v>31</v>
      </c>
      <c r="AA54" t="s">
        <v>100</v>
      </c>
      <c r="AB54" t="s">
        <v>31</v>
      </c>
      <c r="AC54" t="s">
        <v>291</v>
      </c>
      <c r="AD54" t="s">
        <v>292</v>
      </c>
    </row>
    <row r="55" spans="1:30">
      <c r="A55">
        <v>52176434</v>
      </c>
      <c r="B55" t="s">
        <v>293</v>
      </c>
      <c r="C55" t="s">
        <v>130</v>
      </c>
      <c r="D55" t="s">
        <v>97</v>
      </c>
      <c r="E55" t="s">
        <v>31</v>
      </c>
      <c r="F55">
        <v>6613</v>
      </c>
      <c r="G55" t="s">
        <v>39</v>
      </c>
      <c r="H55" t="s">
        <v>40</v>
      </c>
      <c r="I55" t="s">
        <v>98</v>
      </c>
      <c r="J55" t="s">
        <v>43</v>
      </c>
      <c r="K55" t="s">
        <v>44</v>
      </c>
      <c r="L55" t="s">
        <v>294</v>
      </c>
      <c r="M55" t="s">
        <v>49</v>
      </c>
      <c r="N55" t="s">
        <v>48</v>
      </c>
      <c r="O55" t="s">
        <v>133</v>
      </c>
      <c r="P55">
        <v>20260818</v>
      </c>
      <c r="Q55">
        <v>100</v>
      </c>
      <c r="R55">
        <v>100</v>
      </c>
      <c r="S55" t="s">
        <v>134</v>
      </c>
      <c r="T55" t="s">
        <v>99</v>
      </c>
      <c r="U55" t="s">
        <v>97</v>
      </c>
      <c r="V55" t="s">
        <v>97</v>
      </c>
      <c r="W55" t="s">
        <v>97</v>
      </c>
      <c r="X55" t="s">
        <v>50</v>
      </c>
      <c r="Y55" t="s">
        <v>97</v>
      </c>
      <c r="Z55" t="s">
        <v>31</v>
      </c>
      <c r="AA55" t="s">
        <v>100</v>
      </c>
      <c r="AB55" t="s">
        <v>31</v>
      </c>
      <c r="AC55" t="s">
        <v>294</v>
      </c>
      <c r="AD55" t="s">
        <v>295</v>
      </c>
    </row>
    <row r="56" spans="1:30">
      <c r="A56">
        <v>52177280</v>
      </c>
      <c r="B56" t="s">
        <v>296</v>
      </c>
      <c r="C56" t="s">
        <v>130</v>
      </c>
      <c r="D56" t="s">
        <v>97</v>
      </c>
      <c r="E56" t="s">
        <v>31</v>
      </c>
      <c r="F56">
        <v>5803</v>
      </c>
      <c r="G56" t="s">
        <v>297</v>
      </c>
      <c r="H56" t="s">
        <v>40</v>
      </c>
      <c r="I56" t="s">
        <v>98</v>
      </c>
      <c r="J56" t="s">
        <v>43</v>
      </c>
      <c r="K56" t="s">
        <v>44</v>
      </c>
      <c r="L56" t="s">
        <v>298</v>
      </c>
      <c r="M56" t="s">
        <v>46</v>
      </c>
      <c r="N56" t="s">
        <v>45</v>
      </c>
      <c r="O56" t="s">
        <v>133</v>
      </c>
      <c r="P56">
        <v>20260818</v>
      </c>
      <c r="Q56">
        <v>100</v>
      </c>
      <c r="R56">
        <v>100</v>
      </c>
      <c r="S56" t="s">
        <v>134</v>
      </c>
      <c r="T56" t="s">
        <v>99</v>
      </c>
      <c r="U56" t="s">
        <v>97</v>
      </c>
      <c r="V56" t="s">
        <v>97</v>
      </c>
      <c r="W56" t="s">
        <v>97</v>
      </c>
      <c r="X56" t="s">
        <v>31</v>
      </c>
      <c r="Y56" t="s">
        <v>97</v>
      </c>
      <c r="Z56" t="s">
        <v>31</v>
      </c>
      <c r="AA56" t="s">
        <v>100</v>
      </c>
      <c r="AB56" t="s">
        <v>31</v>
      </c>
      <c r="AC56" t="s">
        <v>298</v>
      </c>
      <c r="AD56" t="s">
        <v>299</v>
      </c>
    </row>
    <row r="57" spans="1:30">
      <c r="A57">
        <v>52178237</v>
      </c>
      <c r="B57" t="s">
        <v>300</v>
      </c>
      <c r="C57" t="s">
        <v>130</v>
      </c>
      <c r="D57" t="s">
        <v>97</v>
      </c>
      <c r="E57" t="s">
        <v>31</v>
      </c>
      <c r="F57">
        <v>4063</v>
      </c>
      <c r="G57" t="s">
        <v>236</v>
      </c>
      <c r="H57" t="s">
        <v>40</v>
      </c>
      <c r="I57" t="s">
        <v>98</v>
      </c>
      <c r="J57" t="s">
        <v>43</v>
      </c>
      <c r="K57" t="s">
        <v>44</v>
      </c>
      <c r="L57" t="s">
        <v>301</v>
      </c>
      <c r="M57" t="s">
        <v>49</v>
      </c>
      <c r="N57" t="s">
        <v>48</v>
      </c>
      <c r="O57" t="s">
        <v>133</v>
      </c>
      <c r="P57">
        <v>20260818</v>
      </c>
      <c r="Q57">
        <v>100</v>
      </c>
      <c r="R57">
        <v>100</v>
      </c>
      <c r="S57" t="s">
        <v>134</v>
      </c>
      <c r="T57" t="s">
        <v>99</v>
      </c>
      <c r="U57" t="s">
        <v>97</v>
      </c>
      <c r="V57" t="s">
        <v>97</v>
      </c>
      <c r="W57" t="s">
        <v>97</v>
      </c>
      <c r="X57" t="s">
        <v>50</v>
      </c>
      <c r="Y57" t="s">
        <v>97</v>
      </c>
      <c r="Z57" t="s">
        <v>31</v>
      </c>
      <c r="AA57" t="s">
        <v>100</v>
      </c>
      <c r="AB57" t="s">
        <v>31</v>
      </c>
      <c r="AC57" t="s">
        <v>301</v>
      </c>
      <c r="AD57" t="s">
        <v>302</v>
      </c>
    </row>
    <row r="58" spans="1:30">
      <c r="A58">
        <v>52179401</v>
      </c>
      <c r="B58" t="s">
        <v>303</v>
      </c>
      <c r="C58" t="s">
        <v>130</v>
      </c>
      <c r="D58" t="s">
        <v>97</v>
      </c>
      <c r="E58" t="s">
        <v>31</v>
      </c>
      <c r="F58" t="s">
        <v>304</v>
      </c>
      <c r="G58" t="s">
        <v>305</v>
      </c>
      <c r="H58" t="s">
        <v>40</v>
      </c>
      <c r="I58" t="s">
        <v>98</v>
      </c>
      <c r="J58" t="s">
        <v>43</v>
      </c>
      <c r="K58" t="s">
        <v>44</v>
      </c>
      <c r="L58" t="s">
        <v>306</v>
      </c>
      <c r="M58" t="s">
        <v>46</v>
      </c>
      <c r="N58" t="s">
        <v>45</v>
      </c>
      <c r="O58" t="s">
        <v>133</v>
      </c>
      <c r="P58">
        <v>20260818</v>
      </c>
      <c r="Q58">
        <v>100</v>
      </c>
      <c r="R58">
        <v>100</v>
      </c>
      <c r="S58" t="s">
        <v>134</v>
      </c>
      <c r="T58" t="s">
        <v>99</v>
      </c>
      <c r="U58" t="s">
        <v>97</v>
      </c>
      <c r="V58" t="s">
        <v>97</v>
      </c>
      <c r="W58" t="s">
        <v>97</v>
      </c>
      <c r="X58" t="s">
        <v>31</v>
      </c>
      <c r="Y58" t="s">
        <v>97</v>
      </c>
      <c r="Z58" t="s">
        <v>31</v>
      </c>
      <c r="AA58" t="s">
        <v>100</v>
      </c>
      <c r="AB58" t="s">
        <v>31</v>
      </c>
      <c r="AC58" t="s">
        <v>306</v>
      </c>
      <c r="AD58" t="s">
        <v>307</v>
      </c>
    </row>
    <row r="59" spans="1:30">
      <c r="A59">
        <v>52182153</v>
      </c>
      <c r="B59" t="s">
        <v>308</v>
      </c>
      <c r="C59" t="s">
        <v>130</v>
      </c>
      <c r="D59" t="s">
        <v>97</v>
      </c>
      <c r="E59" t="s">
        <v>31</v>
      </c>
      <c r="F59">
        <v>6613</v>
      </c>
      <c r="G59" t="s">
        <v>39</v>
      </c>
      <c r="H59" t="s">
        <v>40</v>
      </c>
      <c r="I59" t="s">
        <v>98</v>
      </c>
      <c r="J59" t="s">
        <v>43</v>
      </c>
      <c r="K59" t="s">
        <v>44</v>
      </c>
      <c r="L59" t="s">
        <v>309</v>
      </c>
      <c r="M59" t="s">
        <v>46</v>
      </c>
      <c r="N59" t="s">
        <v>45</v>
      </c>
      <c r="O59" t="s">
        <v>133</v>
      </c>
      <c r="P59">
        <v>20260818</v>
      </c>
      <c r="Q59">
        <v>100</v>
      </c>
      <c r="R59">
        <v>100</v>
      </c>
      <c r="S59" t="s">
        <v>134</v>
      </c>
      <c r="T59" t="s">
        <v>99</v>
      </c>
      <c r="U59" t="s">
        <v>97</v>
      </c>
      <c r="V59" t="s">
        <v>97</v>
      </c>
      <c r="W59" t="s">
        <v>97</v>
      </c>
      <c r="X59" t="s">
        <v>31</v>
      </c>
      <c r="Y59" t="s">
        <v>97</v>
      </c>
      <c r="Z59" t="s">
        <v>31</v>
      </c>
      <c r="AA59" t="s">
        <v>100</v>
      </c>
      <c r="AB59" t="s">
        <v>31</v>
      </c>
      <c r="AC59" t="s">
        <v>309</v>
      </c>
      <c r="AD59" t="s">
        <v>310</v>
      </c>
    </row>
    <row r="60" spans="1:30">
      <c r="A60">
        <v>52182871</v>
      </c>
      <c r="B60" t="s">
        <v>311</v>
      </c>
      <c r="C60" t="s">
        <v>130</v>
      </c>
      <c r="D60" t="s">
        <v>97</v>
      </c>
      <c r="E60" t="s">
        <v>31</v>
      </c>
      <c r="F60">
        <v>5803</v>
      </c>
      <c r="G60" t="s">
        <v>297</v>
      </c>
      <c r="H60" t="s">
        <v>40</v>
      </c>
      <c r="I60" t="s">
        <v>98</v>
      </c>
      <c r="J60" t="s">
        <v>43</v>
      </c>
      <c r="K60" t="s">
        <v>44</v>
      </c>
      <c r="L60" t="s">
        <v>312</v>
      </c>
      <c r="M60" t="s">
        <v>49</v>
      </c>
      <c r="N60" t="s">
        <v>48</v>
      </c>
      <c r="O60" t="s">
        <v>133</v>
      </c>
      <c r="P60">
        <v>20260818</v>
      </c>
      <c r="Q60">
        <v>100</v>
      </c>
      <c r="R60">
        <v>100</v>
      </c>
      <c r="S60" t="s">
        <v>134</v>
      </c>
      <c r="T60" t="s">
        <v>99</v>
      </c>
      <c r="U60" t="s">
        <v>97</v>
      </c>
      <c r="V60" t="s">
        <v>97</v>
      </c>
      <c r="W60" t="s">
        <v>97</v>
      </c>
      <c r="X60" t="s">
        <v>50</v>
      </c>
      <c r="Y60" t="s">
        <v>97</v>
      </c>
      <c r="Z60" t="s">
        <v>31</v>
      </c>
      <c r="AA60" t="s">
        <v>100</v>
      </c>
      <c r="AB60" t="s">
        <v>31</v>
      </c>
      <c r="AC60" t="s">
        <v>312</v>
      </c>
      <c r="AD60" t="s">
        <v>313</v>
      </c>
    </row>
    <row r="61" spans="1:30">
      <c r="A61">
        <v>52186239</v>
      </c>
      <c r="B61" t="s">
        <v>314</v>
      </c>
      <c r="C61" t="s">
        <v>130</v>
      </c>
      <c r="D61" t="s">
        <v>97</v>
      </c>
      <c r="E61" t="s">
        <v>31</v>
      </c>
      <c r="F61">
        <v>6613</v>
      </c>
      <c r="G61" t="s">
        <v>39</v>
      </c>
      <c r="H61" t="s">
        <v>40</v>
      </c>
      <c r="I61" t="s">
        <v>98</v>
      </c>
      <c r="J61" t="s">
        <v>43</v>
      </c>
      <c r="K61" t="s">
        <v>44</v>
      </c>
      <c r="L61" t="s">
        <v>315</v>
      </c>
      <c r="M61" t="s">
        <v>46</v>
      </c>
      <c r="N61" t="s">
        <v>45</v>
      </c>
      <c r="O61" t="s">
        <v>133</v>
      </c>
      <c r="P61">
        <v>20260818</v>
      </c>
      <c r="Q61">
        <v>100</v>
      </c>
      <c r="R61">
        <v>100</v>
      </c>
      <c r="S61" t="s">
        <v>134</v>
      </c>
      <c r="T61" t="s">
        <v>99</v>
      </c>
      <c r="U61" t="s">
        <v>97</v>
      </c>
      <c r="V61" t="s">
        <v>97</v>
      </c>
      <c r="W61" t="s">
        <v>97</v>
      </c>
      <c r="X61" t="s">
        <v>31</v>
      </c>
      <c r="Y61" t="s">
        <v>97</v>
      </c>
      <c r="Z61" t="s">
        <v>31</v>
      </c>
      <c r="AA61" t="s">
        <v>100</v>
      </c>
      <c r="AB61" t="s">
        <v>31</v>
      </c>
      <c r="AC61" t="s">
        <v>315</v>
      </c>
      <c r="AD61" t="s">
        <v>316</v>
      </c>
    </row>
    <row r="62" spans="1:30">
      <c r="A62">
        <v>52181321</v>
      </c>
      <c r="B62" t="s">
        <v>317</v>
      </c>
      <c r="C62" t="s">
        <v>130</v>
      </c>
      <c r="D62" t="s">
        <v>318</v>
      </c>
      <c r="E62" t="s">
        <v>31</v>
      </c>
      <c r="F62" t="s">
        <v>304</v>
      </c>
      <c r="G62" t="s">
        <v>305</v>
      </c>
      <c r="H62" t="s">
        <v>40</v>
      </c>
      <c r="I62" t="s">
        <v>98</v>
      </c>
      <c r="J62" t="s">
        <v>43</v>
      </c>
      <c r="K62" t="s">
        <v>44</v>
      </c>
      <c r="L62" t="s">
        <v>319</v>
      </c>
      <c r="M62" t="s">
        <v>49</v>
      </c>
      <c r="N62" t="s">
        <v>48</v>
      </c>
      <c r="O62" t="s">
        <v>133</v>
      </c>
      <c r="P62">
        <v>20260818</v>
      </c>
      <c r="Q62">
        <v>100</v>
      </c>
      <c r="R62">
        <v>100</v>
      </c>
      <c r="S62" t="s">
        <v>134</v>
      </c>
      <c r="T62" t="s">
        <v>99</v>
      </c>
      <c r="U62" t="s">
        <v>97</v>
      </c>
      <c r="V62" t="s">
        <v>97</v>
      </c>
      <c r="W62" t="s">
        <v>97</v>
      </c>
      <c r="X62" t="s">
        <v>50</v>
      </c>
      <c r="Y62" t="s">
        <v>97</v>
      </c>
      <c r="Z62" t="s">
        <v>31</v>
      </c>
      <c r="AA62" t="s">
        <v>100</v>
      </c>
      <c r="AB62" t="s">
        <v>31</v>
      </c>
      <c r="AC62" t="s">
        <v>319</v>
      </c>
      <c r="AD62" t="s">
        <v>320</v>
      </c>
    </row>
    <row r="63" spans="1:30">
      <c r="A63">
        <v>52187645</v>
      </c>
      <c r="B63" t="s">
        <v>321</v>
      </c>
      <c r="C63" t="s">
        <v>130</v>
      </c>
      <c r="D63" t="s">
        <v>97</v>
      </c>
      <c r="E63" t="s">
        <v>31</v>
      </c>
      <c r="F63" t="s">
        <v>304</v>
      </c>
      <c r="G63" t="s">
        <v>305</v>
      </c>
      <c r="H63" t="s">
        <v>40</v>
      </c>
      <c r="I63" t="s">
        <v>98</v>
      </c>
      <c r="J63" t="s">
        <v>43</v>
      </c>
      <c r="K63" t="s">
        <v>44</v>
      </c>
      <c r="L63" t="s">
        <v>322</v>
      </c>
      <c r="M63" t="s">
        <v>46</v>
      </c>
      <c r="N63" t="s">
        <v>45</v>
      </c>
      <c r="O63" t="s">
        <v>133</v>
      </c>
      <c r="P63">
        <v>20260818</v>
      </c>
      <c r="Q63">
        <v>100</v>
      </c>
      <c r="R63">
        <v>100</v>
      </c>
      <c r="S63" t="s">
        <v>134</v>
      </c>
      <c r="T63" t="s">
        <v>99</v>
      </c>
      <c r="U63" t="s">
        <v>97</v>
      </c>
      <c r="V63" t="s">
        <v>97</v>
      </c>
      <c r="W63" t="s">
        <v>97</v>
      </c>
      <c r="X63" t="s">
        <v>31</v>
      </c>
      <c r="Y63" t="s">
        <v>97</v>
      </c>
      <c r="Z63" t="s">
        <v>31</v>
      </c>
      <c r="AA63" t="s">
        <v>100</v>
      </c>
      <c r="AB63" t="s">
        <v>31</v>
      </c>
      <c r="AC63" t="s">
        <v>322</v>
      </c>
      <c r="AD63" t="s">
        <v>323</v>
      </c>
    </row>
    <row r="64" spans="1:30">
      <c r="A64">
        <v>52190870</v>
      </c>
      <c r="B64" t="s">
        <v>324</v>
      </c>
      <c r="C64" t="s">
        <v>130</v>
      </c>
      <c r="D64" t="s">
        <v>97</v>
      </c>
      <c r="E64" t="s">
        <v>31</v>
      </c>
      <c r="F64">
        <v>3436</v>
      </c>
      <c r="G64" t="s">
        <v>140</v>
      </c>
      <c r="H64" t="s">
        <v>40</v>
      </c>
      <c r="I64" t="s">
        <v>98</v>
      </c>
      <c r="J64" t="s">
        <v>43</v>
      </c>
      <c r="K64" t="s">
        <v>44</v>
      </c>
      <c r="L64" t="s">
        <v>325</v>
      </c>
      <c r="M64" t="s">
        <v>46</v>
      </c>
      <c r="N64" t="s">
        <v>45</v>
      </c>
      <c r="O64" t="s">
        <v>133</v>
      </c>
      <c r="P64">
        <v>20260818</v>
      </c>
      <c r="Q64">
        <v>100</v>
      </c>
      <c r="R64">
        <v>100</v>
      </c>
      <c r="S64" t="s">
        <v>134</v>
      </c>
      <c r="T64" t="s">
        <v>99</v>
      </c>
      <c r="U64" t="s">
        <v>97</v>
      </c>
      <c r="V64" t="s">
        <v>97</v>
      </c>
      <c r="W64" t="s">
        <v>97</v>
      </c>
      <c r="X64" t="s">
        <v>31</v>
      </c>
      <c r="Y64" t="s">
        <v>97</v>
      </c>
      <c r="Z64" t="s">
        <v>31</v>
      </c>
      <c r="AA64" t="s">
        <v>100</v>
      </c>
      <c r="AB64" t="s">
        <v>31</v>
      </c>
      <c r="AC64" t="s">
        <v>325</v>
      </c>
      <c r="AD64" t="s">
        <v>326</v>
      </c>
    </row>
    <row r="65" spans="1:30">
      <c r="A65">
        <v>52191420</v>
      </c>
      <c r="B65" t="s">
        <v>327</v>
      </c>
      <c r="C65" t="s">
        <v>130</v>
      </c>
      <c r="D65" t="s">
        <v>97</v>
      </c>
      <c r="E65" t="s">
        <v>31</v>
      </c>
      <c r="F65">
        <v>6613</v>
      </c>
      <c r="G65" t="s">
        <v>39</v>
      </c>
      <c r="H65" t="s">
        <v>40</v>
      </c>
      <c r="I65" t="s">
        <v>98</v>
      </c>
      <c r="J65" t="s">
        <v>43</v>
      </c>
      <c r="K65" t="s">
        <v>44</v>
      </c>
      <c r="L65" t="s">
        <v>328</v>
      </c>
      <c r="M65" t="s">
        <v>49</v>
      </c>
      <c r="N65" t="s">
        <v>48</v>
      </c>
      <c r="O65" t="s">
        <v>133</v>
      </c>
      <c r="P65">
        <v>20260818</v>
      </c>
      <c r="Q65">
        <v>100</v>
      </c>
      <c r="R65">
        <v>100</v>
      </c>
      <c r="S65" t="s">
        <v>134</v>
      </c>
      <c r="T65" t="s">
        <v>99</v>
      </c>
      <c r="U65" t="s">
        <v>97</v>
      </c>
      <c r="V65" t="s">
        <v>97</v>
      </c>
      <c r="W65" t="s">
        <v>97</v>
      </c>
      <c r="X65" t="s">
        <v>50</v>
      </c>
      <c r="Y65" t="s">
        <v>97</v>
      </c>
      <c r="Z65" t="s">
        <v>31</v>
      </c>
      <c r="AA65" t="s">
        <v>100</v>
      </c>
      <c r="AB65" t="s">
        <v>31</v>
      </c>
      <c r="AC65" t="s">
        <v>328</v>
      </c>
      <c r="AD65" t="s">
        <v>329</v>
      </c>
    </row>
    <row r="66" spans="1:30">
      <c r="A66">
        <v>52191813</v>
      </c>
      <c r="B66" t="s">
        <v>330</v>
      </c>
      <c r="C66" t="s">
        <v>130</v>
      </c>
      <c r="D66" t="s">
        <v>97</v>
      </c>
      <c r="E66" t="s">
        <v>31</v>
      </c>
      <c r="F66">
        <v>6613</v>
      </c>
      <c r="G66" t="s">
        <v>39</v>
      </c>
      <c r="H66" t="s">
        <v>40</v>
      </c>
      <c r="I66" t="s">
        <v>98</v>
      </c>
      <c r="J66" t="s">
        <v>43</v>
      </c>
      <c r="K66" t="s">
        <v>44</v>
      </c>
      <c r="L66" t="s">
        <v>331</v>
      </c>
      <c r="M66" t="s">
        <v>49</v>
      </c>
      <c r="N66" t="s">
        <v>48</v>
      </c>
      <c r="O66" t="s">
        <v>133</v>
      </c>
      <c r="P66">
        <v>20260818</v>
      </c>
      <c r="Q66">
        <v>100</v>
      </c>
      <c r="R66">
        <v>100</v>
      </c>
      <c r="S66" t="s">
        <v>134</v>
      </c>
      <c r="T66" t="s">
        <v>99</v>
      </c>
      <c r="U66" t="s">
        <v>97</v>
      </c>
      <c r="V66" t="s">
        <v>97</v>
      </c>
      <c r="W66" t="s">
        <v>97</v>
      </c>
      <c r="X66" t="s">
        <v>50</v>
      </c>
      <c r="Y66" t="s">
        <v>97</v>
      </c>
      <c r="Z66" t="s">
        <v>31</v>
      </c>
      <c r="AA66" t="s">
        <v>100</v>
      </c>
      <c r="AB66" t="s">
        <v>31</v>
      </c>
      <c r="AC66" t="s">
        <v>331</v>
      </c>
      <c r="AD66" t="s">
        <v>332</v>
      </c>
    </row>
    <row r="67" spans="1:30">
      <c r="A67">
        <v>52192514</v>
      </c>
      <c r="B67" t="s">
        <v>333</v>
      </c>
      <c r="C67" t="s">
        <v>130</v>
      </c>
      <c r="D67" t="s">
        <v>97</v>
      </c>
      <c r="E67" t="s">
        <v>31</v>
      </c>
      <c r="F67">
        <v>3436</v>
      </c>
      <c r="G67" t="s">
        <v>140</v>
      </c>
      <c r="H67" t="s">
        <v>40</v>
      </c>
      <c r="I67" t="s">
        <v>98</v>
      </c>
      <c r="J67" t="s">
        <v>43</v>
      </c>
      <c r="K67" t="s">
        <v>44</v>
      </c>
      <c r="L67" t="s">
        <v>334</v>
      </c>
      <c r="M67" t="s">
        <v>46</v>
      </c>
      <c r="N67" t="s">
        <v>45</v>
      </c>
      <c r="O67" t="s">
        <v>133</v>
      </c>
      <c r="P67">
        <v>20260818</v>
      </c>
      <c r="Q67">
        <v>100</v>
      </c>
      <c r="R67">
        <v>100</v>
      </c>
      <c r="S67" t="s">
        <v>134</v>
      </c>
      <c r="T67" t="s">
        <v>99</v>
      </c>
      <c r="U67" t="s">
        <v>97</v>
      </c>
      <c r="V67" t="s">
        <v>97</v>
      </c>
      <c r="W67" t="s">
        <v>97</v>
      </c>
      <c r="X67" t="s">
        <v>31</v>
      </c>
      <c r="Y67" t="s">
        <v>97</v>
      </c>
      <c r="Z67" t="s">
        <v>31</v>
      </c>
      <c r="AA67" t="s">
        <v>100</v>
      </c>
      <c r="AB67" t="s">
        <v>31</v>
      </c>
      <c r="AC67" t="s">
        <v>334</v>
      </c>
      <c r="AD67" t="s">
        <v>335</v>
      </c>
    </row>
    <row r="68" spans="1:30">
      <c r="A68">
        <v>52193062</v>
      </c>
      <c r="B68" t="s">
        <v>336</v>
      </c>
      <c r="C68" t="s">
        <v>130</v>
      </c>
      <c r="D68" t="s">
        <v>97</v>
      </c>
      <c r="E68" t="s">
        <v>31</v>
      </c>
      <c r="F68" t="s">
        <v>304</v>
      </c>
      <c r="G68" t="s">
        <v>305</v>
      </c>
      <c r="H68" t="s">
        <v>40</v>
      </c>
      <c r="I68" t="s">
        <v>98</v>
      </c>
      <c r="J68" t="s">
        <v>43</v>
      </c>
      <c r="K68" t="s">
        <v>44</v>
      </c>
      <c r="L68" t="s">
        <v>337</v>
      </c>
      <c r="M68" t="s">
        <v>49</v>
      </c>
      <c r="N68" t="s">
        <v>48</v>
      </c>
      <c r="O68" t="s">
        <v>133</v>
      </c>
      <c r="P68">
        <v>20260818</v>
      </c>
      <c r="Q68">
        <v>100</v>
      </c>
      <c r="R68">
        <v>100</v>
      </c>
      <c r="S68" t="s">
        <v>134</v>
      </c>
      <c r="T68" t="s">
        <v>99</v>
      </c>
      <c r="U68" t="s">
        <v>97</v>
      </c>
      <c r="V68" t="s">
        <v>97</v>
      </c>
      <c r="W68" t="s">
        <v>97</v>
      </c>
      <c r="X68" t="s">
        <v>50</v>
      </c>
      <c r="Y68" t="s">
        <v>97</v>
      </c>
      <c r="Z68" t="s">
        <v>31</v>
      </c>
      <c r="AA68" t="s">
        <v>100</v>
      </c>
      <c r="AB68" t="s">
        <v>31</v>
      </c>
      <c r="AC68" t="s">
        <v>337</v>
      </c>
      <c r="AD68" t="s">
        <v>338</v>
      </c>
    </row>
    <row r="69" spans="1:30">
      <c r="A69">
        <v>52193385</v>
      </c>
      <c r="B69" t="s">
        <v>339</v>
      </c>
      <c r="C69" t="s">
        <v>130</v>
      </c>
      <c r="D69" t="s">
        <v>97</v>
      </c>
      <c r="E69" t="s">
        <v>31</v>
      </c>
      <c r="F69">
        <v>6613</v>
      </c>
      <c r="G69" t="s">
        <v>39</v>
      </c>
      <c r="H69" t="s">
        <v>40</v>
      </c>
      <c r="I69" t="s">
        <v>98</v>
      </c>
      <c r="J69" t="s">
        <v>43</v>
      </c>
      <c r="K69" t="s">
        <v>44</v>
      </c>
      <c r="L69" t="s">
        <v>340</v>
      </c>
      <c r="M69" t="s">
        <v>46</v>
      </c>
      <c r="N69" t="s">
        <v>45</v>
      </c>
      <c r="O69" t="s">
        <v>133</v>
      </c>
      <c r="P69">
        <v>20260818</v>
      </c>
      <c r="Q69">
        <v>100</v>
      </c>
      <c r="R69">
        <v>100</v>
      </c>
      <c r="S69" t="s">
        <v>134</v>
      </c>
      <c r="T69" t="s">
        <v>99</v>
      </c>
      <c r="U69" t="s">
        <v>97</v>
      </c>
      <c r="V69" t="s">
        <v>97</v>
      </c>
      <c r="W69" t="s">
        <v>97</v>
      </c>
      <c r="X69" t="s">
        <v>31</v>
      </c>
      <c r="Y69" t="s">
        <v>97</v>
      </c>
      <c r="Z69" t="s">
        <v>31</v>
      </c>
      <c r="AA69" t="s">
        <v>100</v>
      </c>
      <c r="AB69" t="s">
        <v>31</v>
      </c>
      <c r="AC69" t="s">
        <v>340</v>
      </c>
      <c r="AD69" t="s">
        <v>341</v>
      </c>
    </row>
    <row r="70" spans="1:30">
      <c r="A70">
        <v>52194259</v>
      </c>
      <c r="B70" t="s">
        <v>342</v>
      </c>
      <c r="C70" t="s">
        <v>130</v>
      </c>
      <c r="D70" t="s">
        <v>97</v>
      </c>
      <c r="E70" t="s">
        <v>31</v>
      </c>
      <c r="F70">
        <v>6613</v>
      </c>
      <c r="G70" t="s">
        <v>39</v>
      </c>
      <c r="H70" t="s">
        <v>40</v>
      </c>
      <c r="I70" t="s">
        <v>98</v>
      </c>
      <c r="J70" t="s">
        <v>43</v>
      </c>
      <c r="K70" t="s">
        <v>44</v>
      </c>
      <c r="L70" t="s">
        <v>343</v>
      </c>
      <c r="M70" t="s">
        <v>46</v>
      </c>
      <c r="N70" t="s">
        <v>45</v>
      </c>
      <c r="O70" t="s">
        <v>133</v>
      </c>
      <c r="P70">
        <v>20260818</v>
      </c>
      <c r="Q70">
        <v>100</v>
      </c>
      <c r="R70">
        <v>100</v>
      </c>
      <c r="S70" t="s">
        <v>134</v>
      </c>
      <c r="T70" t="s">
        <v>99</v>
      </c>
      <c r="U70" t="s">
        <v>97</v>
      </c>
      <c r="V70" t="s">
        <v>97</v>
      </c>
      <c r="W70" t="s">
        <v>97</v>
      </c>
      <c r="X70" t="s">
        <v>31</v>
      </c>
      <c r="Y70" t="s">
        <v>97</v>
      </c>
      <c r="Z70" t="s">
        <v>31</v>
      </c>
      <c r="AA70" t="s">
        <v>100</v>
      </c>
      <c r="AB70" t="s">
        <v>31</v>
      </c>
      <c r="AC70" t="s">
        <v>344</v>
      </c>
      <c r="AD70" t="s">
        <v>345</v>
      </c>
    </row>
    <row r="71" spans="1:30">
      <c r="A71">
        <v>52205035</v>
      </c>
      <c r="B71" t="s">
        <v>346</v>
      </c>
      <c r="C71" t="s">
        <v>130</v>
      </c>
      <c r="D71" t="s">
        <v>97</v>
      </c>
      <c r="E71" t="s">
        <v>31</v>
      </c>
      <c r="F71">
        <v>6613</v>
      </c>
      <c r="G71" t="s">
        <v>39</v>
      </c>
      <c r="H71" t="s">
        <v>40</v>
      </c>
      <c r="I71" t="s">
        <v>98</v>
      </c>
      <c r="J71" t="s">
        <v>43</v>
      </c>
      <c r="K71" t="s">
        <v>44</v>
      </c>
      <c r="L71" t="s">
        <v>347</v>
      </c>
      <c r="M71" t="s">
        <v>46</v>
      </c>
      <c r="N71" t="s">
        <v>45</v>
      </c>
      <c r="O71" t="s">
        <v>133</v>
      </c>
      <c r="P71">
        <v>20260818</v>
      </c>
      <c r="Q71">
        <v>100</v>
      </c>
      <c r="R71">
        <v>100</v>
      </c>
      <c r="S71" t="s">
        <v>134</v>
      </c>
      <c r="T71" t="s">
        <v>99</v>
      </c>
      <c r="U71" t="s">
        <v>97</v>
      </c>
      <c r="V71" t="s">
        <v>97</v>
      </c>
      <c r="W71" t="s">
        <v>97</v>
      </c>
      <c r="X71" t="s">
        <v>31</v>
      </c>
      <c r="Y71" t="s">
        <v>97</v>
      </c>
      <c r="Z71" t="s">
        <v>31</v>
      </c>
      <c r="AA71" t="s">
        <v>100</v>
      </c>
      <c r="AB71" t="s">
        <v>31</v>
      </c>
      <c r="AC71" t="s">
        <v>347</v>
      </c>
      <c r="AD71" t="s">
        <v>348</v>
      </c>
    </row>
    <row r="72" spans="1:30">
      <c r="A72">
        <v>52206347</v>
      </c>
      <c r="B72" t="s">
        <v>349</v>
      </c>
      <c r="C72" t="s">
        <v>130</v>
      </c>
      <c r="D72" t="s">
        <v>97</v>
      </c>
      <c r="E72" t="s">
        <v>31</v>
      </c>
      <c r="F72">
        <v>6613</v>
      </c>
      <c r="G72" t="s">
        <v>39</v>
      </c>
      <c r="H72" t="s">
        <v>40</v>
      </c>
      <c r="I72" t="s">
        <v>98</v>
      </c>
      <c r="J72" t="s">
        <v>43</v>
      </c>
      <c r="K72" t="s">
        <v>44</v>
      </c>
      <c r="L72" t="s">
        <v>350</v>
      </c>
      <c r="M72" t="s">
        <v>49</v>
      </c>
      <c r="N72" t="s">
        <v>48</v>
      </c>
      <c r="O72" t="s">
        <v>133</v>
      </c>
      <c r="P72">
        <v>20260818</v>
      </c>
      <c r="Q72">
        <v>300</v>
      </c>
      <c r="R72">
        <v>300</v>
      </c>
      <c r="S72" t="s">
        <v>134</v>
      </c>
      <c r="T72" t="s">
        <v>99</v>
      </c>
      <c r="U72" t="s">
        <v>97</v>
      </c>
      <c r="V72" t="s">
        <v>97</v>
      </c>
      <c r="W72" t="s">
        <v>97</v>
      </c>
      <c r="X72" t="s">
        <v>50</v>
      </c>
      <c r="Y72" t="s">
        <v>97</v>
      </c>
      <c r="Z72" t="s">
        <v>31</v>
      </c>
      <c r="AA72" t="s">
        <v>100</v>
      </c>
      <c r="AB72" t="s">
        <v>31</v>
      </c>
      <c r="AC72" t="s">
        <v>350</v>
      </c>
      <c r="AD72" t="s">
        <v>351</v>
      </c>
    </row>
    <row r="73" spans="1:30">
      <c r="A73">
        <v>52208098</v>
      </c>
      <c r="B73" t="s">
        <v>352</v>
      </c>
      <c r="C73" t="s">
        <v>130</v>
      </c>
      <c r="D73" t="s">
        <v>97</v>
      </c>
      <c r="E73" t="s">
        <v>31</v>
      </c>
      <c r="F73">
        <v>6613</v>
      </c>
      <c r="G73" t="s">
        <v>39</v>
      </c>
      <c r="H73" t="s">
        <v>40</v>
      </c>
      <c r="I73" t="s">
        <v>98</v>
      </c>
      <c r="J73" t="s">
        <v>43</v>
      </c>
      <c r="K73" t="s">
        <v>44</v>
      </c>
      <c r="L73" t="s">
        <v>353</v>
      </c>
      <c r="M73" t="s">
        <v>46</v>
      </c>
      <c r="N73" t="s">
        <v>45</v>
      </c>
      <c r="O73" t="s">
        <v>133</v>
      </c>
      <c r="P73">
        <v>20260818</v>
      </c>
      <c r="Q73">
        <v>100</v>
      </c>
      <c r="R73">
        <v>100</v>
      </c>
      <c r="S73" t="s">
        <v>134</v>
      </c>
      <c r="T73" t="s">
        <v>99</v>
      </c>
      <c r="U73" t="s">
        <v>97</v>
      </c>
      <c r="V73" t="s">
        <v>97</v>
      </c>
      <c r="W73" t="s">
        <v>97</v>
      </c>
      <c r="X73" t="s">
        <v>31</v>
      </c>
      <c r="Y73" t="s">
        <v>97</v>
      </c>
      <c r="Z73" t="s">
        <v>31</v>
      </c>
      <c r="AA73" t="s">
        <v>100</v>
      </c>
      <c r="AB73" t="s">
        <v>31</v>
      </c>
      <c r="AC73" t="s">
        <v>354</v>
      </c>
      <c r="AD73" t="s">
        <v>355</v>
      </c>
    </row>
    <row r="74" spans="1:30">
      <c r="A74">
        <v>52208824</v>
      </c>
      <c r="B74" t="s">
        <v>356</v>
      </c>
      <c r="C74" t="s">
        <v>130</v>
      </c>
      <c r="D74" t="s">
        <v>97</v>
      </c>
      <c r="E74" t="s">
        <v>31</v>
      </c>
      <c r="F74">
        <v>6613</v>
      </c>
      <c r="G74" t="s">
        <v>39</v>
      </c>
      <c r="H74" t="s">
        <v>40</v>
      </c>
      <c r="I74" t="s">
        <v>98</v>
      </c>
      <c r="J74" t="s">
        <v>43</v>
      </c>
      <c r="K74" t="s">
        <v>44</v>
      </c>
      <c r="L74" t="s">
        <v>357</v>
      </c>
      <c r="M74" t="s">
        <v>46</v>
      </c>
      <c r="N74" t="s">
        <v>45</v>
      </c>
      <c r="O74" t="s">
        <v>133</v>
      </c>
      <c r="P74">
        <v>20260818</v>
      </c>
      <c r="Q74">
        <v>100</v>
      </c>
      <c r="R74">
        <v>100</v>
      </c>
      <c r="S74" t="s">
        <v>134</v>
      </c>
      <c r="T74" t="s">
        <v>99</v>
      </c>
      <c r="U74" t="s">
        <v>97</v>
      </c>
      <c r="V74" t="s">
        <v>97</v>
      </c>
      <c r="W74" t="s">
        <v>97</v>
      </c>
      <c r="X74" t="s">
        <v>31</v>
      </c>
      <c r="Y74" t="s">
        <v>97</v>
      </c>
      <c r="Z74" t="s">
        <v>31</v>
      </c>
      <c r="AA74" t="s">
        <v>100</v>
      </c>
      <c r="AB74" t="s">
        <v>31</v>
      </c>
      <c r="AC74" t="s">
        <v>358</v>
      </c>
      <c r="AD74" t="s">
        <v>359</v>
      </c>
    </row>
    <row r="75" spans="1:30">
      <c r="A75">
        <v>52210451</v>
      </c>
      <c r="B75" t="s">
        <v>360</v>
      </c>
      <c r="C75" t="s">
        <v>130</v>
      </c>
      <c r="D75" t="s">
        <v>97</v>
      </c>
      <c r="E75" t="s">
        <v>31</v>
      </c>
      <c r="F75">
        <v>9984</v>
      </c>
      <c r="G75" t="s">
        <v>131</v>
      </c>
      <c r="H75" t="s">
        <v>40</v>
      </c>
      <c r="I75" t="s">
        <v>98</v>
      </c>
      <c r="J75" t="s">
        <v>43</v>
      </c>
      <c r="K75" t="s">
        <v>44</v>
      </c>
      <c r="L75" t="s">
        <v>361</v>
      </c>
      <c r="M75" t="s">
        <v>46</v>
      </c>
      <c r="N75" t="s">
        <v>45</v>
      </c>
      <c r="O75" t="s">
        <v>133</v>
      </c>
      <c r="P75">
        <v>20260818</v>
      </c>
      <c r="Q75">
        <v>100</v>
      </c>
      <c r="R75">
        <v>100</v>
      </c>
      <c r="S75" t="s">
        <v>134</v>
      </c>
      <c r="T75" t="s">
        <v>99</v>
      </c>
      <c r="U75" t="s">
        <v>97</v>
      </c>
      <c r="V75" t="s">
        <v>97</v>
      </c>
      <c r="W75" t="s">
        <v>97</v>
      </c>
      <c r="X75" t="s">
        <v>31</v>
      </c>
      <c r="Y75" t="s">
        <v>97</v>
      </c>
      <c r="Z75" t="s">
        <v>31</v>
      </c>
      <c r="AA75" t="s">
        <v>100</v>
      </c>
      <c r="AB75" t="s">
        <v>31</v>
      </c>
      <c r="AC75" t="s">
        <v>361</v>
      </c>
      <c r="AD75" t="s">
        <v>362</v>
      </c>
    </row>
    <row r="76" spans="1:30">
      <c r="A76">
        <v>52218014</v>
      </c>
      <c r="B76" t="s">
        <v>363</v>
      </c>
      <c r="C76" t="s">
        <v>130</v>
      </c>
      <c r="D76" t="s">
        <v>97</v>
      </c>
      <c r="E76" t="s">
        <v>31</v>
      </c>
      <c r="F76">
        <v>6613</v>
      </c>
      <c r="G76" t="s">
        <v>39</v>
      </c>
      <c r="H76" t="s">
        <v>40</v>
      </c>
      <c r="I76" t="s">
        <v>98</v>
      </c>
      <c r="J76" t="s">
        <v>43</v>
      </c>
      <c r="K76" t="s">
        <v>44</v>
      </c>
      <c r="L76" t="s">
        <v>364</v>
      </c>
      <c r="M76" t="s">
        <v>46</v>
      </c>
      <c r="N76" t="s">
        <v>45</v>
      </c>
      <c r="O76" t="s">
        <v>133</v>
      </c>
      <c r="P76">
        <v>20260818</v>
      </c>
      <c r="Q76">
        <v>100</v>
      </c>
      <c r="R76">
        <v>100</v>
      </c>
      <c r="S76">
        <v>2139</v>
      </c>
      <c r="T76" t="s">
        <v>99</v>
      </c>
      <c r="U76" t="s">
        <v>97</v>
      </c>
      <c r="V76" t="s">
        <v>97</v>
      </c>
      <c r="W76" t="s">
        <v>97</v>
      </c>
      <c r="X76" t="s">
        <v>31</v>
      </c>
      <c r="Y76" t="s">
        <v>97</v>
      </c>
      <c r="Z76" t="s">
        <v>31</v>
      </c>
      <c r="AA76" t="s">
        <v>100</v>
      </c>
      <c r="AB76" t="s">
        <v>31</v>
      </c>
      <c r="AC76" t="s">
        <v>364</v>
      </c>
      <c r="AD76" t="s">
        <v>365</v>
      </c>
    </row>
    <row r="77" spans="1:30">
      <c r="A77">
        <v>52241901</v>
      </c>
      <c r="B77" t="s">
        <v>366</v>
      </c>
      <c r="C77" t="s">
        <v>130</v>
      </c>
      <c r="D77" t="s">
        <v>97</v>
      </c>
      <c r="E77" t="s">
        <v>31</v>
      </c>
      <c r="F77">
        <v>9984</v>
      </c>
      <c r="G77" t="s">
        <v>131</v>
      </c>
      <c r="H77" t="s">
        <v>40</v>
      </c>
      <c r="I77" t="s">
        <v>98</v>
      </c>
      <c r="J77" t="s">
        <v>43</v>
      </c>
      <c r="K77" t="s">
        <v>44</v>
      </c>
      <c r="L77" t="s">
        <v>367</v>
      </c>
      <c r="M77" t="s">
        <v>49</v>
      </c>
      <c r="N77" t="s">
        <v>48</v>
      </c>
      <c r="O77" t="s">
        <v>133</v>
      </c>
      <c r="P77">
        <v>20260818</v>
      </c>
      <c r="Q77">
        <v>100</v>
      </c>
      <c r="R77">
        <v>100</v>
      </c>
      <c r="S77" t="s">
        <v>134</v>
      </c>
      <c r="T77" t="s">
        <v>99</v>
      </c>
      <c r="U77" t="s">
        <v>97</v>
      </c>
      <c r="V77" t="s">
        <v>97</v>
      </c>
      <c r="W77" t="s">
        <v>97</v>
      </c>
      <c r="X77" t="s">
        <v>50</v>
      </c>
      <c r="Y77" t="s">
        <v>97</v>
      </c>
      <c r="Z77" t="s">
        <v>31</v>
      </c>
      <c r="AA77" t="s">
        <v>100</v>
      </c>
      <c r="AB77" t="s">
        <v>31</v>
      </c>
      <c r="AC77" t="s">
        <v>367</v>
      </c>
      <c r="AD77" t="s">
        <v>368</v>
      </c>
    </row>
    <row r="78" spans="1:30">
      <c r="A78">
        <v>52244398</v>
      </c>
      <c r="B78" t="s">
        <v>369</v>
      </c>
      <c r="C78" t="s">
        <v>130</v>
      </c>
      <c r="D78" t="s">
        <v>97</v>
      </c>
      <c r="E78" t="s">
        <v>31</v>
      </c>
      <c r="F78">
        <v>3436</v>
      </c>
      <c r="G78" t="s">
        <v>140</v>
      </c>
      <c r="H78" t="s">
        <v>40</v>
      </c>
      <c r="I78" t="s">
        <v>98</v>
      </c>
      <c r="J78" t="s">
        <v>43</v>
      </c>
      <c r="K78" t="s">
        <v>44</v>
      </c>
      <c r="L78" t="s">
        <v>370</v>
      </c>
      <c r="M78" t="s">
        <v>49</v>
      </c>
      <c r="N78" t="s">
        <v>48</v>
      </c>
      <c r="O78" t="s">
        <v>133</v>
      </c>
      <c r="P78">
        <v>20260818</v>
      </c>
      <c r="Q78">
        <v>200</v>
      </c>
      <c r="R78">
        <v>200</v>
      </c>
      <c r="S78" t="s">
        <v>134</v>
      </c>
      <c r="T78" t="s">
        <v>99</v>
      </c>
      <c r="U78" t="s">
        <v>97</v>
      </c>
      <c r="V78" t="s">
        <v>97</v>
      </c>
      <c r="W78" t="s">
        <v>97</v>
      </c>
      <c r="X78" t="s">
        <v>50</v>
      </c>
      <c r="Y78" t="s">
        <v>97</v>
      </c>
      <c r="Z78" t="s">
        <v>31</v>
      </c>
      <c r="AA78" t="s">
        <v>100</v>
      </c>
      <c r="AB78" t="s">
        <v>31</v>
      </c>
      <c r="AC78" t="s">
        <v>370</v>
      </c>
      <c r="AD78" t="s">
        <v>371</v>
      </c>
    </row>
    <row r="79" spans="1:30">
      <c r="A79">
        <v>52244963</v>
      </c>
      <c r="B79" t="s">
        <v>372</v>
      </c>
      <c r="C79" t="s">
        <v>130</v>
      </c>
      <c r="D79" t="s">
        <v>97</v>
      </c>
      <c r="E79" t="s">
        <v>31</v>
      </c>
      <c r="F79">
        <v>9984</v>
      </c>
      <c r="G79" t="s">
        <v>131</v>
      </c>
      <c r="H79" t="s">
        <v>40</v>
      </c>
      <c r="I79" t="s">
        <v>98</v>
      </c>
      <c r="J79" t="s">
        <v>43</v>
      </c>
      <c r="K79" t="s">
        <v>44</v>
      </c>
      <c r="L79" t="s">
        <v>373</v>
      </c>
      <c r="M79" t="s">
        <v>46</v>
      </c>
      <c r="N79" t="s">
        <v>45</v>
      </c>
      <c r="O79" t="s">
        <v>133</v>
      </c>
      <c r="P79">
        <v>20260818</v>
      </c>
      <c r="Q79">
        <v>100</v>
      </c>
      <c r="R79">
        <v>100</v>
      </c>
      <c r="S79" t="s">
        <v>134</v>
      </c>
      <c r="T79" t="s">
        <v>99</v>
      </c>
      <c r="U79" t="s">
        <v>97</v>
      </c>
      <c r="V79" t="s">
        <v>97</v>
      </c>
      <c r="W79" t="s">
        <v>97</v>
      </c>
      <c r="X79" t="s">
        <v>31</v>
      </c>
      <c r="Y79" t="s">
        <v>97</v>
      </c>
      <c r="Z79" t="s">
        <v>31</v>
      </c>
      <c r="AA79" t="s">
        <v>100</v>
      </c>
      <c r="AB79" t="s">
        <v>31</v>
      </c>
      <c r="AC79" t="s">
        <v>373</v>
      </c>
      <c r="AD79" t="s">
        <v>374</v>
      </c>
    </row>
    <row r="80" spans="1:30">
      <c r="A80">
        <v>52246828</v>
      </c>
      <c r="B80" t="s">
        <v>375</v>
      </c>
      <c r="C80" t="s">
        <v>130</v>
      </c>
      <c r="D80" t="s">
        <v>97</v>
      </c>
      <c r="E80" t="s">
        <v>31</v>
      </c>
      <c r="F80">
        <v>9984</v>
      </c>
      <c r="G80" t="s">
        <v>131</v>
      </c>
      <c r="H80" t="s">
        <v>40</v>
      </c>
      <c r="I80" t="s">
        <v>98</v>
      </c>
      <c r="J80" t="s">
        <v>43</v>
      </c>
      <c r="K80" t="s">
        <v>44</v>
      </c>
      <c r="L80" t="s">
        <v>376</v>
      </c>
      <c r="M80" t="s">
        <v>49</v>
      </c>
      <c r="N80" t="s">
        <v>48</v>
      </c>
      <c r="O80" t="s">
        <v>133</v>
      </c>
      <c r="P80">
        <v>20260818</v>
      </c>
      <c r="Q80">
        <v>100</v>
      </c>
      <c r="R80">
        <v>100</v>
      </c>
      <c r="S80" t="s">
        <v>134</v>
      </c>
      <c r="T80" t="s">
        <v>99</v>
      </c>
      <c r="U80" t="s">
        <v>97</v>
      </c>
      <c r="V80" t="s">
        <v>97</v>
      </c>
      <c r="W80" t="s">
        <v>97</v>
      </c>
      <c r="X80" t="s">
        <v>50</v>
      </c>
      <c r="Y80" t="s">
        <v>97</v>
      </c>
      <c r="Z80" t="s">
        <v>31</v>
      </c>
      <c r="AA80" t="s">
        <v>100</v>
      </c>
      <c r="AB80" t="s">
        <v>31</v>
      </c>
      <c r="AC80" t="s">
        <v>376</v>
      </c>
      <c r="AD80" t="s">
        <v>377</v>
      </c>
    </row>
    <row r="81" spans="1:30">
      <c r="A81">
        <v>52247573</v>
      </c>
      <c r="B81" t="s">
        <v>378</v>
      </c>
      <c r="C81" t="s">
        <v>130</v>
      </c>
      <c r="D81" t="s">
        <v>97</v>
      </c>
      <c r="E81" t="s">
        <v>31</v>
      </c>
      <c r="F81" t="s">
        <v>304</v>
      </c>
      <c r="G81" t="s">
        <v>305</v>
      </c>
      <c r="H81" t="s">
        <v>40</v>
      </c>
      <c r="I81" t="s">
        <v>98</v>
      </c>
      <c r="J81" t="s">
        <v>43</v>
      </c>
      <c r="K81" t="s">
        <v>44</v>
      </c>
      <c r="L81" t="s">
        <v>379</v>
      </c>
      <c r="M81" t="s">
        <v>46</v>
      </c>
      <c r="N81" t="s">
        <v>45</v>
      </c>
      <c r="O81" t="s">
        <v>133</v>
      </c>
      <c r="P81">
        <v>20260818</v>
      </c>
      <c r="Q81">
        <v>100</v>
      </c>
      <c r="R81">
        <v>100</v>
      </c>
      <c r="S81" t="s">
        <v>134</v>
      </c>
      <c r="T81" t="s">
        <v>99</v>
      </c>
      <c r="U81" t="s">
        <v>97</v>
      </c>
      <c r="V81" t="s">
        <v>97</v>
      </c>
      <c r="W81" t="s">
        <v>97</v>
      </c>
      <c r="X81" t="s">
        <v>31</v>
      </c>
      <c r="Y81" t="s">
        <v>97</v>
      </c>
      <c r="Z81" t="s">
        <v>31</v>
      </c>
      <c r="AA81" t="s">
        <v>100</v>
      </c>
      <c r="AB81" t="s">
        <v>31</v>
      </c>
      <c r="AC81" t="s">
        <v>379</v>
      </c>
      <c r="AD81" t="s">
        <v>380</v>
      </c>
    </row>
    <row r="82" spans="1:30">
      <c r="A82">
        <v>52249030</v>
      </c>
      <c r="B82" t="s">
        <v>381</v>
      </c>
      <c r="C82" t="s">
        <v>130</v>
      </c>
      <c r="D82" t="s">
        <v>97</v>
      </c>
      <c r="E82" t="s">
        <v>31</v>
      </c>
      <c r="F82" t="s">
        <v>304</v>
      </c>
      <c r="G82" t="s">
        <v>305</v>
      </c>
      <c r="H82" t="s">
        <v>40</v>
      </c>
      <c r="I82" t="s">
        <v>98</v>
      </c>
      <c r="J82" t="s">
        <v>43</v>
      </c>
      <c r="K82" t="s">
        <v>44</v>
      </c>
      <c r="L82" t="s">
        <v>382</v>
      </c>
      <c r="M82" t="s">
        <v>49</v>
      </c>
      <c r="N82" t="s">
        <v>48</v>
      </c>
      <c r="O82" t="s">
        <v>133</v>
      </c>
      <c r="P82">
        <v>20260818</v>
      </c>
      <c r="Q82">
        <v>100</v>
      </c>
      <c r="R82">
        <v>100</v>
      </c>
      <c r="S82" t="s">
        <v>134</v>
      </c>
      <c r="T82" t="s">
        <v>99</v>
      </c>
      <c r="U82" t="s">
        <v>97</v>
      </c>
      <c r="V82" t="s">
        <v>97</v>
      </c>
      <c r="W82" t="s">
        <v>97</v>
      </c>
      <c r="X82" t="s">
        <v>50</v>
      </c>
      <c r="Y82" t="s">
        <v>97</v>
      </c>
      <c r="Z82" t="s">
        <v>31</v>
      </c>
      <c r="AA82" t="s">
        <v>100</v>
      </c>
      <c r="AB82" t="s">
        <v>31</v>
      </c>
      <c r="AC82" t="s">
        <v>382</v>
      </c>
      <c r="AD82" t="s">
        <v>383</v>
      </c>
    </row>
    <row r="83" spans="1:30">
      <c r="A83">
        <v>52249312</v>
      </c>
      <c r="B83" t="s">
        <v>384</v>
      </c>
      <c r="C83" t="s">
        <v>130</v>
      </c>
      <c r="D83" t="s">
        <v>97</v>
      </c>
      <c r="E83" t="s">
        <v>31</v>
      </c>
      <c r="F83">
        <v>9984</v>
      </c>
      <c r="G83" t="s">
        <v>131</v>
      </c>
      <c r="H83" t="s">
        <v>40</v>
      </c>
      <c r="I83" t="s">
        <v>98</v>
      </c>
      <c r="J83" t="s">
        <v>43</v>
      </c>
      <c r="K83" t="s">
        <v>44</v>
      </c>
      <c r="L83" t="s">
        <v>385</v>
      </c>
      <c r="M83" t="s">
        <v>46</v>
      </c>
      <c r="N83" t="s">
        <v>45</v>
      </c>
      <c r="O83" t="s">
        <v>133</v>
      </c>
      <c r="P83">
        <v>20260818</v>
      </c>
      <c r="Q83">
        <v>100</v>
      </c>
      <c r="R83">
        <v>100</v>
      </c>
      <c r="S83" t="s">
        <v>134</v>
      </c>
      <c r="T83" t="s">
        <v>99</v>
      </c>
      <c r="U83" t="s">
        <v>97</v>
      </c>
      <c r="V83" t="s">
        <v>97</v>
      </c>
      <c r="W83" t="s">
        <v>97</v>
      </c>
      <c r="X83" t="s">
        <v>31</v>
      </c>
      <c r="Y83" t="s">
        <v>97</v>
      </c>
      <c r="Z83" t="s">
        <v>31</v>
      </c>
      <c r="AA83" t="s">
        <v>100</v>
      </c>
      <c r="AB83" t="s">
        <v>31</v>
      </c>
      <c r="AC83" t="s">
        <v>385</v>
      </c>
      <c r="AD83" t="s">
        <v>386</v>
      </c>
    </row>
    <row r="84" spans="1:30">
      <c r="A84">
        <v>52250075</v>
      </c>
      <c r="B84" t="s">
        <v>387</v>
      </c>
      <c r="C84" t="s">
        <v>130</v>
      </c>
      <c r="D84" t="s">
        <v>97</v>
      </c>
      <c r="E84" t="s">
        <v>31</v>
      </c>
      <c r="F84">
        <v>6613</v>
      </c>
      <c r="G84" t="s">
        <v>39</v>
      </c>
      <c r="H84" t="s">
        <v>40</v>
      </c>
      <c r="I84" t="s">
        <v>98</v>
      </c>
      <c r="J84" t="s">
        <v>43</v>
      </c>
      <c r="K84" t="s">
        <v>44</v>
      </c>
      <c r="L84" t="s">
        <v>388</v>
      </c>
      <c r="M84" t="s">
        <v>49</v>
      </c>
      <c r="N84" t="s">
        <v>48</v>
      </c>
      <c r="O84" t="s">
        <v>133</v>
      </c>
      <c r="P84">
        <v>20260818</v>
      </c>
      <c r="Q84">
        <v>100</v>
      </c>
      <c r="R84">
        <v>100</v>
      </c>
      <c r="S84" t="s">
        <v>134</v>
      </c>
      <c r="T84" t="s">
        <v>99</v>
      </c>
      <c r="U84" t="s">
        <v>97</v>
      </c>
      <c r="V84" t="s">
        <v>97</v>
      </c>
      <c r="W84" t="s">
        <v>97</v>
      </c>
      <c r="X84" t="s">
        <v>50</v>
      </c>
      <c r="Y84" t="s">
        <v>97</v>
      </c>
      <c r="Z84" t="s">
        <v>31</v>
      </c>
      <c r="AA84" t="s">
        <v>100</v>
      </c>
      <c r="AB84" t="s">
        <v>31</v>
      </c>
      <c r="AC84" t="s">
        <v>388</v>
      </c>
      <c r="AD84" t="s">
        <v>389</v>
      </c>
    </row>
    <row r="85" spans="1:30">
      <c r="A85">
        <v>52250304</v>
      </c>
      <c r="B85" t="s">
        <v>390</v>
      </c>
      <c r="C85" t="s">
        <v>130</v>
      </c>
      <c r="D85" t="s">
        <v>97</v>
      </c>
      <c r="E85" t="s">
        <v>31</v>
      </c>
      <c r="F85">
        <v>3436</v>
      </c>
      <c r="G85" t="s">
        <v>140</v>
      </c>
      <c r="H85" t="s">
        <v>40</v>
      </c>
      <c r="I85" t="s">
        <v>98</v>
      </c>
      <c r="J85" t="s">
        <v>43</v>
      </c>
      <c r="K85" t="s">
        <v>44</v>
      </c>
      <c r="L85" t="s">
        <v>391</v>
      </c>
      <c r="M85" t="s">
        <v>46</v>
      </c>
      <c r="N85" t="s">
        <v>45</v>
      </c>
      <c r="O85" t="s">
        <v>133</v>
      </c>
      <c r="P85">
        <v>20260818</v>
      </c>
      <c r="Q85">
        <v>100</v>
      </c>
      <c r="R85">
        <v>100</v>
      </c>
      <c r="S85" t="s">
        <v>134</v>
      </c>
      <c r="T85" t="s">
        <v>99</v>
      </c>
      <c r="U85" t="s">
        <v>97</v>
      </c>
      <c r="V85" t="s">
        <v>97</v>
      </c>
      <c r="W85" t="s">
        <v>97</v>
      </c>
      <c r="X85" t="s">
        <v>31</v>
      </c>
      <c r="Y85" t="s">
        <v>97</v>
      </c>
      <c r="Z85" t="s">
        <v>31</v>
      </c>
      <c r="AA85" t="s">
        <v>100</v>
      </c>
      <c r="AB85" t="s">
        <v>31</v>
      </c>
      <c r="AC85" t="s">
        <v>391</v>
      </c>
      <c r="AD85" t="s">
        <v>392</v>
      </c>
    </row>
    <row r="86" spans="1:30">
      <c r="A86">
        <v>52251506</v>
      </c>
      <c r="B86" t="s">
        <v>393</v>
      </c>
      <c r="C86" t="s">
        <v>130</v>
      </c>
      <c r="D86" t="s">
        <v>97</v>
      </c>
      <c r="E86" t="s">
        <v>31</v>
      </c>
      <c r="F86">
        <v>6613</v>
      </c>
      <c r="G86" t="s">
        <v>39</v>
      </c>
      <c r="H86" t="s">
        <v>40</v>
      </c>
      <c r="I86" t="s">
        <v>98</v>
      </c>
      <c r="J86" t="s">
        <v>43</v>
      </c>
      <c r="K86" t="s">
        <v>44</v>
      </c>
      <c r="L86" t="s">
        <v>394</v>
      </c>
      <c r="M86" t="s">
        <v>49</v>
      </c>
      <c r="N86" t="s">
        <v>48</v>
      </c>
      <c r="O86" t="s">
        <v>133</v>
      </c>
      <c r="P86">
        <v>20260818</v>
      </c>
      <c r="Q86">
        <v>100</v>
      </c>
      <c r="R86">
        <v>100</v>
      </c>
      <c r="S86" t="s">
        <v>134</v>
      </c>
      <c r="T86" t="s">
        <v>99</v>
      </c>
      <c r="U86" t="s">
        <v>97</v>
      </c>
      <c r="V86" t="s">
        <v>97</v>
      </c>
      <c r="W86" t="s">
        <v>97</v>
      </c>
      <c r="X86" t="s">
        <v>50</v>
      </c>
      <c r="Y86" t="s">
        <v>97</v>
      </c>
      <c r="Z86" t="s">
        <v>31</v>
      </c>
      <c r="AA86" t="s">
        <v>100</v>
      </c>
      <c r="AB86" t="s">
        <v>31</v>
      </c>
      <c r="AC86" t="s">
        <v>394</v>
      </c>
      <c r="AD86" t="s">
        <v>395</v>
      </c>
    </row>
    <row r="87" spans="1:30">
      <c r="A87">
        <v>52252032</v>
      </c>
      <c r="B87" t="s">
        <v>396</v>
      </c>
      <c r="C87" t="s">
        <v>130</v>
      </c>
      <c r="D87" t="s">
        <v>97</v>
      </c>
      <c r="E87" t="s">
        <v>31</v>
      </c>
      <c r="F87">
        <v>3436</v>
      </c>
      <c r="G87" t="s">
        <v>140</v>
      </c>
      <c r="H87" t="s">
        <v>40</v>
      </c>
      <c r="I87" t="s">
        <v>98</v>
      </c>
      <c r="J87" t="s">
        <v>43</v>
      </c>
      <c r="K87" t="s">
        <v>44</v>
      </c>
      <c r="L87" t="s">
        <v>397</v>
      </c>
      <c r="M87" t="s">
        <v>46</v>
      </c>
      <c r="N87" t="s">
        <v>45</v>
      </c>
      <c r="O87" t="s">
        <v>133</v>
      </c>
      <c r="P87">
        <v>20260818</v>
      </c>
      <c r="Q87">
        <v>100</v>
      </c>
      <c r="R87">
        <v>100</v>
      </c>
      <c r="S87">
        <v>3840</v>
      </c>
      <c r="T87" t="s">
        <v>99</v>
      </c>
      <c r="U87" t="s">
        <v>97</v>
      </c>
      <c r="V87" t="s">
        <v>97</v>
      </c>
      <c r="W87" t="s">
        <v>97</v>
      </c>
      <c r="X87" t="s">
        <v>31</v>
      </c>
      <c r="Y87" t="s">
        <v>97</v>
      </c>
      <c r="Z87" t="s">
        <v>31</v>
      </c>
      <c r="AA87" t="s">
        <v>100</v>
      </c>
      <c r="AB87" t="s">
        <v>31</v>
      </c>
      <c r="AC87" t="s">
        <v>398</v>
      </c>
      <c r="AD87" t="s">
        <v>399</v>
      </c>
    </row>
    <row r="88" spans="1:30">
      <c r="A88">
        <v>52283397</v>
      </c>
      <c r="B88" t="s">
        <v>400</v>
      </c>
      <c r="C88" t="s">
        <v>130</v>
      </c>
      <c r="D88" t="s">
        <v>97</v>
      </c>
      <c r="E88" t="s">
        <v>31</v>
      </c>
      <c r="F88">
        <v>3436</v>
      </c>
      <c r="G88" t="s">
        <v>140</v>
      </c>
      <c r="H88" t="s">
        <v>40</v>
      </c>
      <c r="I88" t="s">
        <v>98</v>
      </c>
      <c r="J88" t="s">
        <v>43</v>
      </c>
      <c r="K88" t="s">
        <v>44</v>
      </c>
      <c r="L88" t="s">
        <v>401</v>
      </c>
      <c r="M88" t="s">
        <v>49</v>
      </c>
      <c r="N88" t="s">
        <v>48</v>
      </c>
      <c r="O88" t="s">
        <v>133</v>
      </c>
      <c r="P88">
        <v>20260818</v>
      </c>
      <c r="Q88">
        <v>200</v>
      </c>
      <c r="R88">
        <v>200</v>
      </c>
      <c r="S88" t="s">
        <v>134</v>
      </c>
      <c r="T88" t="s">
        <v>99</v>
      </c>
      <c r="U88" t="s">
        <v>97</v>
      </c>
      <c r="V88" t="s">
        <v>97</v>
      </c>
      <c r="W88" t="s">
        <v>97</v>
      </c>
      <c r="X88" t="s">
        <v>50</v>
      </c>
      <c r="Y88" t="s">
        <v>97</v>
      </c>
      <c r="Z88" t="s">
        <v>31</v>
      </c>
      <c r="AA88" t="s">
        <v>100</v>
      </c>
      <c r="AB88" t="s">
        <v>31</v>
      </c>
      <c r="AC88" t="s">
        <v>401</v>
      </c>
      <c r="AD88" t="s">
        <v>402</v>
      </c>
    </row>
    <row r="89" spans="1:30">
      <c r="A89">
        <v>52283878</v>
      </c>
      <c r="B89" t="s">
        <v>403</v>
      </c>
      <c r="C89" t="s">
        <v>130</v>
      </c>
      <c r="D89" t="s">
        <v>97</v>
      </c>
      <c r="E89" t="s">
        <v>31</v>
      </c>
      <c r="F89">
        <v>3436</v>
      </c>
      <c r="G89" t="s">
        <v>140</v>
      </c>
      <c r="H89" t="s">
        <v>40</v>
      </c>
      <c r="I89" t="s">
        <v>98</v>
      </c>
      <c r="J89" t="s">
        <v>43</v>
      </c>
      <c r="K89" t="s">
        <v>44</v>
      </c>
      <c r="L89" t="s">
        <v>404</v>
      </c>
      <c r="M89" t="s">
        <v>46</v>
      </c>
      <c r="N89" t="s">
        <v>45</v>
      </c>
      <c r="O89" t="s">
        <v>133</v>
      </c>
      <c r="P89">
        <v>20260818</v>
      </c>
      <c r="Q89">
        <v>100</v>
      </c>
      <c r="R89">
        <v>100</v>
      </c>
      <c r="S89" t="s">
        <v>134</v>
      </c>
      <c r="T89" t="s">
        <v>99</v>
      </c>
      <c r="U89" t="s">
        <v>97</v>
      </c>
      <c r="V89" t="s">
        <v>97</v>
      </c>
      <c r="W89" t="s">
        <v>97</v>
      </c>
      <c r="X89" t="s">
        <v>31</v>
      </c>
      <c r="Y89" t="s">
        <v>97</v>
      </c>
      <c r="Z89" t="s">
        <v>31</v>
      </c>
      <c r="AA89" t="s">
        <v>100</v>
      </c>
      <c r="AB89" t="s">
        <v>31</v>
      </c>
      <c r="AC89" t="s">
        <v>404</v>
      </c>
      <c r="AD89" t="s">
        <v>405</v>
      </c>
    </row>
    <row r="90" spans="1:30">
      <c r="A90">
        <v>52284503</v>
      </c>
      <c r="B90" t="s">
        <v>406</v>
      </c>
      <c r="C90" t="s">
        <v>130</v>
      </c>
      <c r="D90" t="s">
        <v>97</v>
      </c>
      <c r="E90" t="s">
        <v>31</v>
      </c>
      <c r="F90">
        <v>3436</v>
      </c>
      <c r="G90" t="s">
        <v>140</v>
      </c>
      <c r="H90" t="s">
        <v>40</v>
      </c>
      <c r="I90" t="s">
        <v>98</v>
      </c>
      <c r="J90" t="s">
        <v>43</v>
      </c>
      <c r="K90" t="s">
        <v>44</v>
      </c>
      <c r="L90" t="s">
        <v>407</v>
      </c>
      <c r="M90" t="s">
        <v>49</v>
      </c>
      <c r="N90" t="s">
        <v>48</v>
      </c>
      <c r="O90" t="s">
        <v>133</v>
      </c>
      <c r="P90">
        <v>20260818</v>
      </c>
      <c r="Q90">
        <v>100</v>
      </c>
      <c r="R90">
        <v>100</v>
      </c>
      <c r="S90" t="s">
        <v>134</v>
      </c>
      <c r="T90" t="s">
        <v>99</v>
      </c>
      <c r="U90" t="s">
        <v>97</v>
      </c>
      <c r="V90" t="s">
        <v>97</v>
      </c>
      <c r="W90" t="s">
        <v>97</v>
      </c>
      <c r="X90" t="s">
        <v>50</v>
      </c>
      <c r="Y90" t="s">
        <v>97</v>
      </c>
      <c r="Z90" t="s">
        <v>31</v>
      </c>
      <c r="AA90" t="s">
        <v>100</v>
      </c>
      <c r="AB90" t="s">
        <v>31</v>
      </c>
      <c r="AC90" t="s">
        <v>407</v>
      </c>
      <c r="AD90" t="s">
        <v>408</v>
      </c>
    </row>
    <row r="91" spans="1:30">
      <c r="A91">
        <v>52284719</v>
      </c>
      <c r="B91" t="s">
        <v>409</v>
      </c>
      <c r="C91" t="s">
        <v>130</v>
      </c>
      <c r="D91" t="s">
        <v>97</v>
      </c>
      <c r="E91" t="s">
        <v>31</v>
      </c>
      <c r="F91">
        <v>6613</v>
      </c>
      <c r="G91" t="s">
        <v>39</v>
      </c>
      <c r="H91" t="s">
        <v>40</v>
      </c>
      <c r="I91" t="s">
        <v>98</v>
      </c>
      <c r="J91" t="s">
        <v>43</v>
      </c>
      <c r="K91" t="s">
        <v>44</v>
      </c>
      <c r="L91" t="s">
        <v>410</v>
      </c>
      <c r="M91" t="s">
        <v>49</v>
      </c>
      <c r="N91" t="s">
        <v>48</v>
      </c>
      <c r="O91" t="s">
        <v>133</v>
      </c>
      <c r="P91">
        <v>20260818</v>
      </c>
      <c r="Q91">
        <v>100</v>
      </c>
      <c r="R91">
        <v>100</v>
      </c>
      <c r="S91" t="s">
        <v>134</v>
      </c>
      <c r="T91" t="s">
        <v>99</v>
      </c>
      <c r="U91" t="s">
        <v>97</v>
      </c>
      <c r="V91" t="s">
        <v>97</v>
      </c>
      <c r="W91" t="s">
        <v>97</v>
      </c>
      <c r="X91" t="s">
        <v>50</v>
      </c>
      <c r="Y91" t="s">
        <v>97</v>
      </c>
      <c r="Z91" t="s">
        <v>31</v>
      </c>
      <c r="AA91" t="s">
        <v>100</v>
      </c>
      <c r="AB91" t="s">
        <v>31</v>
      </c>
      <c r="AC91" t="s">
        <v>410</v>
      </c>
      <c r="AD91" t="s">
        <v>411</v>
      </c>
    </row>
    <row r="92" spans="1:30">
      <c r="A92">
        <v>52285524</v>
      </c>
      <c r="B92" t="s">
        <v>412</v>
      </c>
      <c r="C92" t="s">
        <v>130</v>
      </c>
      <c r="D92" t="s">
        <v>97</v>
      </c>
      <c r="E92" t="s">
        <v>31</v>
      </c>
      <c r="F92">
        <v>9984</v>
      </c>
      <c r="G92" t="s">
        <v>131</v>
      </c>
      <c r="H92" t="s">
        <v>40</v>
      </c>
      <c r="I92" t="s">
        <v>98</v>
      </c>
      <c r="J92" t="s">
        <v>43</v>
      </c>
      <c r="K92" t="s">
        <v>44</v>
      </c>
      <c r="L92" t="s">
        <v>413</v>
      </c>
      <c r="M92" t="s">
        <v>49</v>
      </c>
      <c r="N92" t="s">
        <v>48</v>
      </c>
      <c r="O92" t="s">
        <v>133</v>
      </c>
      <c r="P92">
        <v>20260818</v>
      </c>
      <c r="Q92">
        <v>100</v>
      </c>
      <c r="R92">
        <v>100</v>
      </c>
      <c r="S92" t="s">
        <v>134</v>
      </c>
      <c r="T92" t="s">
        <v>99</v>
      </c>
      <c r="U92" t="s">
        <v>97</v>
      </c>
      <c r="V92" t="s">
        <v>97</v>
      </c>
      <c r="W92" t="s">
        <v>97</v>
      </c>
      <c r="X92" t="s">
        <v>50</v>
      </c>
      <c r="Y92" t="s">
        <v>97</v>
      </c>
      <c r="Z92" t="s">
        <v>31</v>
      </c>
      <c r="AA92" t="s">
        <v>100</v>
      </c>
      <c r="AB92" t="s">
        <v>31</v>
      </c>
      <c r="AC92" t="s">
        <v>413</v>
      </c>
      <c r="AD92" t="s">
        <v>414</v>
      </c>
    </row>
    <row r="93" spans="1:30">
      <c r="A93">
        <v>52287112</v>
      </c>
      <c r="B93" t="s">
        <v>415</v>
      </c>
      <c r="C93" t="s">
        <v>130</v>
      </c>
      <c r="D93" t="s">
        <v>97</v>
      </c>
      <c r="E93" t="s">
        <v>31</v>
      </c>
      <c r="F93">
        <v>3436</v>
      </c>
      <c r="G93" t="s">
        <v>140</v>
      </c>
      <c r="H93" t="s">
        <v>40</v>
      </c>
      <c r="I93" t="s">
        <v>98</v>
      </c>
      <c r="J93" t="s">
        <v>43</v>
      </c>
      <c r="K93" t="s">
        <v>44</v>
      </c>
      <c r="L93" t="s">
        <v>416</v>
      </c>
      <c r="M93" t="s">
        <v>46</v>
      </c>
      <c r="N93" t="s">
        <v>45</v>
      </c>
      <c r="O93" t="s">
        <v>133</v>
      </c>
      <c r="P93">
        <v>20260818</v>
      </c>
      <c r="Q93">
        <v>100</v>
      </c>
      <c r="R93">
        <v>100</v>
      </c>
      <c r="S93" t="s">
        <v>134</v>
      </c>
      <c r="T93" t="s">
        <v>99</v>
      </c>
      <c r="U93" t="s">
        <v>97</v>
      </c>
      <c r="V93" t="s">
        <v>97</v>
      </c>
      <c r="W93" t="s">
        <v>97</v>
      </c>
      <c r="X93" t="s">
        <v>31</v>
      </c>
      <c r="Y93" t="s">
        <v>97</v>
      </c>
      <c r="Z93" t="s">
        <v>31</v>
      </c>
      <c r="AA93" t="s">
        <v>100</v>
      </c>
      <c r="AB93" t="s">
        <v>31</v>
      </c>
      <c r="AC93" t="s">
        <v>416</v>
      </c>
      <c r="AD93" t="s">
        <v>417</v>
      </c>
    </row>
    <row r="94" spans="1:30">
      <c r="A94">
        <v>52287272</v>
      </c>
      <c r="B94" t="s">
        <v>418</v>
      </c>
      <c r="C94" t="s">
        <v>130</v>
      </c>
      <c r="D94" t="s">
        <v>97</v>
      </c>
      <c r="E94" t="s">
        <v>31</v>
      </c>
      <c r="F94">
        <v>9984</v>
      </c>
      <c r="G94" t="s">
        <v>131</v>
      </c>
      <c r="H94" t="s">
        <v>40</v>
      </c>
      <c r="I94" t="s">
        <v>98</v>
      </c>
      <c r="J94" t="s">
        <v>43</v>
      </c>
      <c r="K94" t="s">
        <v>44</v>
      </c>
      <c r="L94" t="s">
        <v>419</v>
      </c>
      <c r="M94" t="s">
        <v>46</v>
      </c>
      <c r="N94" t="s">
        <v>45</v>
      </c>
      <c r="O94" t="s">
        <v>133</v>
      </c>
      <c r="P94">
        <v>20260818</v>
      </c>
      <c r="Q94">
        <v>100</v>
      </c>
      <c r="R94">
        <v>100</v>
      </c>
      <c r="S94" t="s">
        <v>134</v>
      </c>
      <c r="T94" t="s">
        <v>99</v>
      </c>
      <c r="U94" t="s">
        <v>97</v>
      </c>
      <c r="V94" t="s">
        <v>97</v>
      </c>
      <c r="W94" t="s">
        <v>97</v>
      </c>
      <c r="X94" t="s">
        <v>31</v>
      </c>
      <c r="Y94" t="s">
        <v>97</v>
      </c>
      <c r="Z94" t="s">
        <v>31</v>
      </c>
      <c r="AA94" t="s">
        <v>100</v>
      </c>
      <c r="AB94" t="s">
        <v>31</v>
      </c>
      <c r="AC94" t="s">
        <v>419</v>
      </c>
      <c r="AD94" t="s">
        <v>420</v>
      </c>
    </row>
    <row r="95" spans="1:30">
      <c r="A95">
        <v>52287431</v>
      </c>
      <c r="B95" t="s">
        <v>421</v>
      </c>
      <c r="C95" t="s">
        <v>130</v>
      </c>
      <c r="D95" t="s">
        <v>97</v>
      </c>
      <c r="E95" t="s">
        <v>31</v>
      </c>
      <c r="F95">
        <v>6613</v>
      </c>
      <c r="G95" t="s">
        <v>39</v>
      </c>
      <c r="H95" t="s">
        <v>40</v>
      </c>
      <c r="I95" t="s">
        <v>98</v>
      </c>
      <c r="J95" t="s">
        <v>43</v>
      </c>
      <c r="K95" t="s">
        <v>44</v>
      </c>
      <c r="L95" t="s">
        <v>422</v>
      </c>
      <c r="M95" t="s">
        <v>46</v>
      </c>
      <c r="N95" t="s">
        <v>45</v>
      </c>
      <c r="O95" t="s">
        <v>133</v>
      </c>
      <c r="P95">
        <v>20260818</v>
      </c>
      <c r="Q95">
        <v>100</v>
      </c>
      <c r="R95">
        <v>100</v>
      </c>
      <c r="S95" t="s">
        <v>134</v>
      </c>
      <c r="T95" t="s">
        <v>99</v>
      </c>
      <c r="U95" t="s">
        <v>97</v>
      </c>
      <c r="V95" t="s">
        <v>97</v>
      </c>
      <c r="W95" t="s">
        <v>97</v>
      </c>
      <c r="X95" t="s">
        <v>31</v>
      </c>
      <c r="Y95" t="s">
        <v>97</v>
      </c>
      <c r="Z95" t="s">
        <v>31</v>
      </c>
      <c r="AA95" t="s">
        <v>100</v>
      </c>
      <c r="AB95" t="s">
        <v>31</v>
      </c>
      <c r="AC95" t="s">
        <v>423</v>
      </c>
      <c r="AD95" t="s">
        <v>424</v>
      </c>
    </row>
    <row r="96" spans="1:30">
      <c r="A96">
        <v>52288471</v>
      </c>
      <c r="B96" t="s">
        <v>425</v>
      </c>
      <c r="C96" t="s">
        <v>130</v>
      </c>
      <c r="D96" t="s">
        <v>97</v>
      </c>
      <c r="E96" t="s">
        <v>31</v>
      </c>
      <c r="F96">
        <v>3436</v>
      </c>
      <c r="G96" t="s">
        <v>140</v>
      </c>
      <c r="H96" t="s">
        <v>40</v>
      </c>
      <c r="I96" t="s">
        <v>98</v>
      </c>
      <c r="J96" t="s">
        <v>43</v>
      </c>
      <c r="K96" t="s">
        <v>44</v>
      </c>
      <c r="L96" t="s">
        <v>426</v>
      </c>
      <c r="M96" t="s">
        <v>46</v>
      </c>
      <c r="N96" t="s">
        <v>45</v>
      </c>
      <c r="O96" t="s">
        <v>133</v>
      </c>
      <c r="P96">
        <v>20260818</v>
      </c>
      <c r="Q96">
        <v>100</v>
      </c>
      <c r="R96">
        <v>100</v>
      </c>
      <c r="S96">
        <v>3992</v>
      </c>
      <c r="T96" t="s">
        <v>99</v>
      </c>
      <c r="U96" t="s">
        <v>97</v>
      </c>
      <c r="V96" t="s">
        <v>97</v>
      </c>
      <c r="W96" t="s">
        <v>97</v>
      </c>
      <c r="X96" t="s">
        <v>31</v>
      </c>
      <c r="Y96" t="s">
        <v>97</v>
      </c>
      <c r="Z96" t="s">
        <v>31</v>
      </c>
      <c r="AA96" t="s">
        <v>100</v>
      </c>
      <c r="AB96" t="s">
        <v>31</v>
      </c>
      <c r="AC96" t="s">
        <v>426</v>
      </c>
      <c r="AD96" t="s">
        <v>427</v>
      </c>
    </row>
    <row r="97" spans="1:30">
      <c r="A97">
        <v>52299902</v>
      </c>
      <c r="B97" t="s">
        <v>428</v>
      </c>
      <c r="C97" t="s">
        <v>130</v>
      </c>
      <c r="D97" t="s">
        <v>97</v>
      </c>
      <c r="E97" t="s">
        <v>31</v>
      </c>
      <c r="F97">
        <v>6613</v>
      </c>
      <c r="G97" t="s">
        <v>39</v>
      </c>
      <c r="H97" t="s">
        <v>40</v>
      </c>
      <c r="I97" t="s">
        <v>98</v>
      </c>
      <c r="J97" t="s">
        <v>43</v>
      </c>
      <c r="K97" t="s">
        <v>44</v>
      </c>
      <c r="L97" t="s">
        <v>429</v>
      </c>
      <c r="M97" t="s">
        <v>49</v>
      </c>
      <c r="N97" t="s">
        <v>48</v>
      </c>
      <c r="O97" t="s">
        <v>133</v>
      </c>
      <c r="P97">
        <v>20260818</v>
      </c>
      <c r="Q97">
        <v>100</v>
      </c>
      <c r="R97">
        <v>100</v>
      </c>
      <c r="S97" t="s">
        <v>134</v>
      </c>
      <c r="T97" t="s">
        <v>99</v>
      </c>
      <c r="U97" t="s">
        <v>97</v>
      </c>
      <c r="V97" t="s">
        <v>97</v>
      </c>
      <c r="W97" t="s">
        <v>97</v>
      </c>
      <c r="X97" t="s">
        <v>50</v>
      </c>
      <c r="Y97" t="s">
        <v>97</v>
      </c>
      <c r="Z97" t="s">
        <v>31</v>
      </c>
      <c r="AA97" t="s">
        <v>100</v>
      </c>
      <c r="AB97" t="s">
        <v>31</v>
      </c>
      <c r="AC97" t="s">
        <v>429</v>
      </c>
      <c r="AD97" t="s">
        <v>430</v>
      </c>
    </row>
    <row r="98" spans="1:30">
      <c r="A98">
        <v>52300083</v>
      </c>
      <c r="B98" t="s">
        <v>431</v>
      </c>
      <c r="C98" t="s">
        <v>130</v>
      </c>
      <c r="D98" t="s">
        <v>97</v>
      </c>
      <c r="E98" t="s">
        <v>31</v>
      </c>
      <c r="F98">
        <v>6613</v>
      </c>
      <c r="G98" t="s">
        <v>39</v>
      </c>
      <c r="H98" t="s">
        <v>40</v>
      </c>
      <c r="I98" t="s">
        <v>98</v>
      </c>
      <c r="J98" t="s">
        <v>43</v>
      </c>
      <c r="K98" t="s">
        <v>44</v>
      </c>
      <c r="L98" t="s">
        <v>432</v>
      </c>
      <c r="M98" t="s">
        <v>46</v>
      </c>
      <c r="N98" t="s">
        <v>45</v>
      </c>
      <c r="O98" t="s">
        <v>133</v>
      </c>
      <c r="P98">
        <v>20260818</v>
      </c>
      <c r="Q98">
        <v>100</v>
      </c>
      <c r="R98">
        <v>100</v>
      </c>
      <c r="S98">
        <v>2102</v>
      </c>
      <c r="T98" t="s">
        <v>99</v>
      </c>
      <c r="U98" t="s">
        <v>97</v>
      </c>
      <c r="V98" t="s">
        <v>97</v>
      </c>
      <c r="W98" t="s">
        <v>97</v>
      </c>
      <c r="X98" t="s">
        <v>31</v>
      </c>
      <c r="Y98" t="s">
        <v>97</v>
      </c>
      <c r="Z98" t="s">
        <v>31</v>
      </c>
      <c r="AA98" t="s">
        <v>100</v>
      </c>
      <c r="AB98" t="s">
        <v>31</v>
      </c>
      <c r="AC98" t="s">
        <v>432</v>
      </c>
      <c r="AD98" t="s">
        <v>433</v>
      </c>
    </row>
    <row r="99" spans="1:30">
      <c r="A99">
        <v>52301766</v>
      </c>
      <c r="B99" t="s">
        <v>434</v>
      </c>
      <c r="C99" t="s">
        <v>130</v>
      </c>
      <c r="D99" t="s">
        <v>97</v>
      </c>
      <c r="E99" t="s">
        <v>31</v>
      </c>
      <c r="F99">
        <v>3436</v>
      </c>
      <c r="G99" t="s">
        <v>140</v>
      </c>
      <c r="H99" t="s">
        <v>40</v>
      </c>
      <c r="I99" t="s">
        <v>98</v>
      </c>
      <c r="J99" t="s">
        <v>43</v>
      </c>
      <c r="K99" t="s">
        <v>44</v>
      </c>
      <c r="L99" t="s">
        <v>435</v>
      </c>
      <c r="M99" t="s">
        <v>49</v>
      </c>
      <c r="N99" t="s">
        <v>48</v>
      </c>
      <c r="O99" t="s">
        <v>133</v>
      </c>
      <c r="P99">
        <v>20260818</v>
      </c>
      <c r="Q99">
        <v>200</v>
      </c>
      <c r="R99">
        <v>200</v>
      </c>
      <c r="S99" t="s">
        <v>134</v>
      </c>
      <c r="T99" t="s">
        <v>99</v>
      </c>
      <c r="U99" t="s">
        <v>97</v>
      </c>
      <c r="V99" t="s">
        <v>97</v>
      </c>
      <c r="W99" t="s">
        <v>97</v>
      </c>
      <c r="X99" t="s">
        <v>50</v>
      </c>
      <c r="Y99" t="s">
        <v>97</v>
      </c>
      <c r="Z99" t="s">
        <v>31</v>
      </c>
      <c r="AA99" t="s">
        <v>100</v>
      </c>
      <c r="AB99" t="s">
        <v>31</v>
      </c>
      <c r="AC99" t="s">
        <v>435</v>
      </c>
      <c r="AD99" t="s">
        <v>436</v>
      </c>
    </row>
    <row r="100" spans="1:30">
      <c r="A100">
        <v>52303882</v>
      </c>
      <c r="B100" t="s">
        <v>437</v>
      </c>
      <c r="C100" t="s">
        <v>130</v>
      </c>
      <c r="D100" t="s">
        <v>97</v>
      </c>
      <c r="E100" t="s">
        <v>31</v>
      </c>
      <c r="F100">
        <v>3436</v>
      </c>
      <c r="G100" t="s">
        <v>140</v>
      </c>
      <c r="H100" t="s">
        <v>40</v>
      </c>
      <c r="I100" t="s">
        <v>98</v>
      </c>
      <c r="J100" t="s">
        <v>43</v>
      </c>
      <c r="K100" t="s">
        <v>44</v>
      </c>
      <c r="L100" t="s">
        <v>438</v>
      </c>
      <c r="M100" t="s">
        <v>46</v>
      </c>
      <c r="N100" t="s">
        <v>45</v>
      </c>
      <c r="O100" t="s">
        <v>133</v>
      </c>
      <c r="P100">
        <v>20260818</v>
      </c>
      <c r="Q100">
        <v>100</v>
      </c>
      <c r="R100">
        <v>100</v>
      </c>
      <c r="S100" t="s">
        <v>134</v>
      </c>
      <c r="T100" t="s">
        <v>99</v>
      </c>
      <c r="U100" t="s">
        <v>97</v>
      </c>
      <c r="V100" t="s">
        <v>97</v>
      </c>
      <c r="W100" t="s">
        <v>97</v>
      </c>
      <c r="X100" t="s">
        <v>31</v>
      </c>
      <c r="Y100" t="s">
        <v>97</v>
      </c>
      <c r="Z100" t="s">
        <v>31</v>
      </c>
      <c r="AA100" t="s">
        <v>100</v>
      </c>
      <c r="AB100" t="s">
        <v>31</v>
      </c>
      <c r="AC100" t="s">
        <v>438</v>
      </c>
      <c r="AD100" t="s">
        <v>439</v>
      </c>
    </row>
    <row r="101" spans="1:30">
      <c r="A101">
        <v>52304100</v>
      </c>
      <c r="B101" t="s">
        <v>440</v>
      </c>
      <c r="C101" t="s">
        <v>130</v>
      </c>
      <c r="D101" t="s">
        <v>97</v>
      </c>
      <c r="E101" t="s">
        <v>31</v>
      </c>
      <c r="F101">
        <v>6613</v>
      </c>
      <c r="G101" t="s">
        <v>39</v>
      </c>
      <c r="H101" t="s">
        <v>40</v>
      </c>
      <c r="I101" t="s">
        <v>98</v>
      </c>
      <c r="J101" t="s">
        <v>43</v>
      </c>
      <c r="K101" t="s">
        <v>44</v>
      </c>
      <c r="L101" t="s">
        <v>441</v>
      </c>
      <c r="M101" t="s">
        <v>49</v>
      </c>
      <c r="N101" t="s">
        <v>48</v>
      </c>
      <c r="O101" t="s">
        <v>133</v>
      </c>
      <c r="P101">
        <v>20260818</v>
      </c>
      <c r="Q101">
        <v>100</v>
      </c>
      <c r="R101">
        <v>100</v>
      </c>
      <c r="S101" t="s">
        <v>134</v>
      </c>
      <c r="T101" t="s">
        <v>99</v>
      </c>
      <c r="U101" t="s">
        <v>97</v>
      </c>
      <c r="V101" t="s">
        <v>97</v>
      </c>
      <c r="W101" t="s">
        <v>97</v>
      </c>
      <c r="X101" t="s">
        <v>50</v>
      </c>
      <c r="Y101" t="s">
        <v>97</v>
      </c>
      <c r="Z101" t="s">
        <v>31</v>
      </c>
      <c r="AA101" t="s">
        <v>100</v>
      </c>
      <c r="AB101" t="s">
        <v>31</v>
      </c>
      <c r="AC101" t="s">
        <v>441</v>
      </c>
      <c r="AD101" t="s">
        <v>442</v>
      </c>
    </row>
    <row r="102" spans="1:30">
      <c r="A102">
        <v>52304398</v>
      </c>
      <c r="B102" t="s">
        <v>443</v>
      </c>
      <c r="C102" t="s">
        <v>130</v>
      </c>
      <c r="D102" t="s">
        <v>97</v>
      </c>
      <c r="E102" t="s">
        <v>31</v>
      </c>
      <c r="F102">
        <v>3436</v>
      </c>
      <c r="G102" t="s">
        <v>140</v>
      </c>
      <c r="H102" t="s">
        <v>40</v>
      </c>
      <c r="I102" t="s">
        <v>98</v>
      </c>
      <c r="J102" t="s">
        <v>43</v>
      </c>
      <c r="K102" t="s">
        <v>44</v>
      </c>
      <c r="L102" t="s">
        <v>444</v>
      </c>
      <c r="M102" t="s">
        <v>49</v>
      </c>
      <c r="N102" t="s">
        <v>48</v>
      </c>
      <c r="O102" t="s">
        <v>133</v>
      </c>
      <c r="P102">
        <v>20260818</v>
      </c>
      <c r="Q102">
        <v>100</v>
      </c>
      <c r="R102">
        <v>100</v>
      </c>
      <c r="S102" t="s">
        <v>134</v>
      </c>
      <c r="T102" t="s">
        <v>99</v>
      </c>
      <c r="U102" t="s">
        <v>97</v>
      </c>
      <c r="V102" t="s">
        <v>97</v>
      </c>
      <c r="W102" t="s">
        <v>97</v>
      </c>
      <c r="X102" t="s">
        <v>50</v>
      </c>
      <c r="Y102" t="s">
        <v>97</v>
      </c>
      <c r="Z102" t="s">
        <v>31</v>
      </c>
      <c r="AA102" t="s">
        <v>100</v>
      </c>
      <c r="AB102" t="s">
        <v>31</v>
      </c>
      <c r="AC102" t="s">
        <v>444</v>
      </c>
      <c r="AD102" t="s">
        <v>445</v>
      </c>
    </row>
    <row r="103" spans="1:30">
      <c r="A103">
        <v>52304829</v>
      </c>
      <c r="B103" t="s">
        <v>446</v>
      </c>
      <c r="C103" t="s">
        <v>130</v>
      </c>
      <c r="D103" t="s">
        <v>97</v>
      </c>
      <c r="E103" t="s">
        <v>31</v>
      </c>
      <c r="F103">
        <v>6613</v>
      </c>
      <c r="G103" t="s">
        <v>39</v>
      </c>
      <c r="H103" t="s">
        <v>40</v>
      </c>
      <c r="I103" t="s">
        <v>98</v>
      </c>
      <c r="J103" t="s">
        <v>43</v>
      </c>
      <c r="K103" t="s">
        <v>44</v>
      </c>
      <c r="L103" t="s">
        <v>447</v>
      </c>
      <c r="M103" t="s">
        <v>46</v>
      </c>
      <c r="N103" t="s">
        <v>45</v>
      </c>
      <c r="O103" t="s">
        <v>133</v>
      </c>
      <c r="P103">
        <v>20260818</v>
      </c>
      <c r="Q103">
        <v>100</v>
      </c>
      <c r="R103">
        <v>100</v>
      </c>
      <c r="S103" t="s">
        <v>134</v>
      </c>
      <c r="T103" t="s">
        <v>99</v>
      </c>
      <c r="U103" t="s">
        <v>97</v>
      </c>
      <c r="V103" t="s">
        <v>97</v>
      </c>
      <c r="W103" t="s">
        <v>97</v>
      </c>
      <c r="X103" t="s">
        <v>31</v>
      </c>
      <c r="Y103" t="s">
        <v>97</v>
      </c>
      <c r="Z103" t="s">
        <v>31</v>
      </c>
      <c r="AA103" t="s">
        <v>100</v>
      </c>
      <c r="AB103" t="s">
        <v>31</v>
      </c>
      <c r="AC103" t="s">
        <v>447</v>
      </c>
      <c r="AD103" t="s">
        <v>448</v>
      </c>
    </row>
    <row r="104" spans="1:30">
      <c r="A104">
        <v>52305003</v>
      </c>
      <c r="B104" t="s">
        <v>449</v>
      </c>
      <c r="C104" t="s">
        <v>130</v>
      </c>
      <c r="D104" t="s">
        <v>97</v>
      </c>
      <c r="E104" t="s">
        <v>31</v>
      </c>
      <c r="F104">
        <v>3436</v>
      </c>
      <c r="G104" t="s">
        <v>140</v>
      </c>
      <c r="H104" t="s">
        <v>40</v>
      </c>
      <c r="I104" t="s">
        <v>98</v>
      </c>
      <c r="J104" t="s">
        <v>43</v>
      </c>
      <c r="K104" t="s">
        <v>44</v>
      </c>
      <c r="L104" t="s">
        <v>450</v>
      </c>
      <c r="M104" t="s">
        <v>46</v>
      </c>
      <c r="N104" t="s">
        <v>45</v>
      </c>
      <c r="O104" t="s">
        <v>133</v>
      </c>
      <c r="P104">
        <v>20260818</v>
      </c>
      <c r="Q104">
        <v>100</v>
      </c>
      <c r="R104">
        <v>100</v>
      </c>
      <c r="S104" t="s">
        <v>134</v>
      </c>
      <c r="T104" t="s">
        <v>99</v>
      </c>
      <c r="U104" t="s">
        <v>97</v>
      </c>
      <c r="V104" t="s">
        <v>97</v>
      </c>
      <c r="W104" t="s">
        <v>97</v>
      </c>
      <c r="X104" t="s">
        <v>31</v>
      </c>
      <c r="Y104" t="s">
        <v>97</v>
      </c>
      <c r="Z104" t="s">
        <v>31</v>
      </c>
      <c r="AA104" t="s">
        <v>100</v>
      </c>
      <c r="AB104" t="s">
        <v>31</v>
      </c>
      <c r="AC104" t="s">
        <v>451</v>
      </c>
      <c r="AD104" t="s">
        <v>452</v>
      </c>
    </row>
    <row r="105" spans="1:30">
      <c r="A105">
        <v>52305305</v>
      </c>
      <c r="B105" t="s">
        <v>453</v>
      </c>
      <c r="C105" t="s">
        <v>130</v>
      </c>
      <c r="D105" t="s">
        <v>97</v>
      </c>
      <c r="E105" t="s">
        <v>31</v>
      </c>
      <c r="F105">
        <v>3436</v>
      </c>
      <c r="G105" t="s">
        <v>140</v>
      </c>
      <c r="H105" t="s">
        <v>40</v>
      </c>
      <c r="I105" t="s">
        <v>98</v>
      </c>
      <c r="J105" t="s">
        <v>43</v>
      </c>
      <c r="K105" t="s">
        <v>44</v>
      </c>
      <c r="L105" t="s">
        <v>454</v>
      </c>
      <c r="M105" t="s">
        <v>46</v>
      </c>
      <c r="N105" t="s">
        <v>45</v>
      </c>
      <c r="O105" t="s">
        <v>133</v>
      </c>
      <c r="P105">
        <v>20260818</v>
      </c>
      <c r="Q105">
        <v>100</v>
      </c>
      <c r="R105">
        <v>100</v>
      </c>
      <c r="S105">
        <v>3840</v>
      </c>
      <c r="T105" t="s">
        <v>99</v>
      </c>
      <c r="U105" t="s">
        <v>97</v>
      </c>
      <c r="V105" t="s">
        <v>97</v>
      </c>
      <c r="W105" t="s">
        <v>97</v>
      </c>
      <c r="X105" t="s">
        <v>31</v>
      </c>
      <c r="Y105" t="s">
        <v>97</v>
      </c>
      <c r="Z105" t="s">
        <v>31</v>
      </c>
      <c r="AA105" t="s">
        <v>100</v>
      </c>
      <c r="AB105" t="s">
        <v>31</v>
      </c>
      <c r="AC105" t="s">
        <v>455</v>
      </c>
      <c r="AD105" t="s">
        <v>399</v>
      </c>
    </row>
    <row r="106" spans="1:30">
      <c r="A106">
        <v>52306065</v>
      </c>
      <c r="B106" t="s">
        <v>456</v>
      </c>
      <c r="C106" t="s">
        <v>130</v>
      </c>
      <c r="D106" t="s">
        <v>97</v>
      </c>
      <c r="E106" t="s">
        <v>31</v>
      </c>
      <c r="F106">
        <v>6613</v>
      </c>
      <c r="G106" t="s">
        <v>39</v>
      </c>
      <c r="H106" t="s">
        <v>40</v>
      </c>
      <c r="I106" t="s">
        <v>98</v>
      </c>
      <c r="J106" t="s">
        <v>43</v>
      </c>
      <c r="K106" t="s">
        <v>44</v>
      </c>
      <c r="L106" t="s">
        <v>457</v>
      </c>
      <c r="M106" t="s">
        <v>49</v>
      </c>
      <c r="N106" t="s">
        <v>48</v>
      </c>
      <c r="O106" t="s">
        <v>133</v>
      </c>
      <c r="P106">
        <v>20260818</v>
      </c>
      <c r="Q106">
        <v>100</v>
      </c>
      <c r="R106">
        <v>100</v>
      </c>
      <c r="S106" t="s">
        <v>134</v>
      </c>
      <c r="T106" t="s">
        <v>99</v>
      </c>
      <c r="U106" t="s">
        <v>97</v>
      </c>
      <c r="V106" t="s">
        <v>97</v>
      </c>
      <c r="W106" t="s">
        <v>97</v>
      </c>
      <c r="X106" t="s">
        <v>50</v>
      </c>
      <c r="Y106" t="s">
        <v>97</v>
      </c>
      <c r="Z106" t="s">
        <v>31</v>
      </c>
      <c r="AA106" t="s">
        <v>100</v>
      </c>
      <c r="AB106" t="s">
        <v>31</v>
      </c>
      <c r="AC106" t="s">
        <v>457</v>
      </c>
      <c r="AD106" t="s">
        <v>458</v>
      </c>
    </row>
    <row r="107" spans="1:30">
      <c r="A107">
        <v>52306704</v>
      </c>
      <c r="B107" t="s">
        <v>459</v>
      </c>
      <c r="C107" t="s">
        <v>130</v>
      </c>
      <c r="D107" t="s">
        <v>97</v>
      </c>
      <c r="E107" t="s">
        <v>31</v>
      </c>
      <c r="F107">
        <v>3436</v>
      </c>
      <c r="G107" t="s">
        <v>140</v>
      </c>
      <c r="H107" t="s">
        <v>40</v>
      </c>
      <c r="I107" t="s">
        <v>98</v>
      </c>
      <c r="J107" t="s">
        <v>43</v>
      </c>
      <c r="K107" t="s">
        <v>44</v>
      </c>
      <c r="L107" t="s">
        <v>460</v>
      </c>
      <c r="M107" t="s">
        <v>49</v>
      </c>
      <c r="N107" t="s">
        <v>48</v>
      </c>
      <c r="O107" t="s">
        <v>133</v>
      </c>
      <c r="P107">
        <v>20260818</v>
      </c>
      <c r="Q107">
        <v>200</v>
      </c>
      <c r="R107">
        <v>200</v>
      </c>
      <c r="S107" t="s">
        <v>134</v>
      </c>
      <c r="T107" t="s">
        <v>99</v>
      </c>
      <c r="U107" t="s">
        <v>97</v>
      </c>
      <c r="V107" t="s">
        <v>97</v>
      </c>
      <c r="W107" t="s">
        <v>97</v>
      </c>
      <c r="X107" t="s">
        <v>50</v>
      </c>
      <c r="Y107" t="s">
        <v>97</v>
      </c>
      <c r="Z107" t="s">
        <v>31</v>
      </c>
      <c r="AA107" t="s">
        <v>100</v>
      </c>
      <c r="AB107" t="s">
        <v>31</v>
      </c>
      <c r="AC107" t="s">
        <v>460</v>
      </c>
      <c r="AD107" t="s">
        <v>461</v>
      </c>
    </row>
    <row r="108" spans="1:30">
      <c r="A108">
        <v>52306932</v>
      </c>
      <c r="B108" t="s">
        <v>462</v>
      </c>
      <c r="C108" t="s">
        <v>130</v>
      </c>
      <c r="D108" t="s">
        <v>97</v>
      </c>
      <c r="E108" t="s">
        <v>31</v>
      </c>
      <c r="F108">
        <v>9984</v>
      </c>
      <c r="G108" t="s">
        <v>131</v>
      </c>
      <c r="H108" t="s">
        <v>40</v>
      </c>
      <c r="I108" t="s">
        <v>98</v>
      </c>
      <c r="J108" t="s">
        <v>43</v>
      </c>
      <c r="K108" t="s">
        <v>44</v>
      </c>
      <c r="L108" t="s">
        <v>463</v>
      </c>
      <c r="M108" t="s">
        <v>49</v>
      </c>
      <c r="N108" t="s">
        <v>48</v>
      </c>
      <c r="O108" t="s">
        <v>133</v>
      </c>
      <c r="P108">
        <v>20260818</v>
      </c>
      <c r="Q108">
        <v>100</v>
      </c>
      <c r="R108">
        <v>100</v>
      </c>
      <c r="S108" t="s">
        <v>134</v>
      </c>
      <c r="T108" t="s">
        <v>99</v>
      </c>
      <c r="U108" t="s">
        <v>97</v>
      </c>
      <c r="V108" t="s">
        <v>97</v>
      </c>
      <c r="W108" t="s">
        <v>97</v>
      </c>
      <c r="X108" t="s">
        <v>50</v>
      </c>
      <c r="Y108" t="s">
        <v>97</v>
      </c>
      <c r="Z108" t="s">
        <v>31</v>
      </c>
      <c r="AA108" t="s">
        <v>100</v>
      </c>
      <c r="AB108" t="s">
        <v>31</v>
      </c>
      <c r="AC108" t="s">
        <v>463</v>
      </c>
      <c r="AD108" t="s">
        <v>464</v>
      </c>
    </row>
    <row r="109" spans="1:30">
      <c r="A109">
        <v>52307862</v>
      </c>
      <c r="B109" t="s">
        <v>465</v>
      </c>
      <c r="C109" t="s">
        <v>130</v>
      </c>
      <c r="D109" t="s">
        <v>97</v>
      </c>
      <c r="E109" t="s">
        <v>31</v>
      </c>
      <c r="F109">
        <v>6613</v>
      </c>
      <c r="G109" t="s">
        <v>39</v>
      </c>
      <c r="H109" t="s">
        <v>40</v>
      </c>
      <c r="I109" t="s">
        <v>98</v>
      </c>
      <c r="J109" t="s">
        <v>43</v>
      </c>
      <c r="K109" t="s">
        <v>44</v>
      </c>
      <c r="L109" t="s">
        <v>466</v>
      </c>
      <c r="M109" t="s">
        <v>46</v>
      </c>
      <c r="N109" t="s">
        <v>45</v>
      </c>
      <c r="O109" t="s">
        <v>133</v>
      </c>
      <c r="P109">
        <v>20260818</v>
      </c>
      <c r="Q109">
        <v>100</v>
      </c>
      <c r="R109">
        <v>100</v>
      </c>
      <c r="S109" t="s">
        <v>134</v>
      </c>
      <c r="T109" t="s">
        <v>99</v>
      </c>
      <c r="U109" t="s">
        <v>97</v>
      </c>
      <c r="V109" t="s">
        <v>97</v>
      </c>
      <c r="W109" t="s">
        <v>97</v>
      </c>
      <c r="X109" t="s">
        <v>31</v>
      </c>
      <c r="Y109" t="s">
        <v>97</v>
      </c>
      <c r="Z109" t="s">
        <v>31</v>
      </c>
      <c r="AA109" t="s">
        <v>100</v>
      </c>
      <c r="AB109" t="s">
        <v>31</v>
      </c>
      <c r="AC109" t="s">
        <v>466</v>
      </c>
      <c r="AD109" t="s">
        <v>467</v>
      </c>
    </row>
    <row r="110" spans="1:30">
      <c r="A110">
        <v>52307985</v>
      </c>
      <c r="B110" t="s">
        <v>468</v>
      </c>
      <c r="C110" t="s">
        <v>130</v>
      </c>
      <c r="D110" t="s">
        <v>97</v>
      </c>
      <c r="E110" t="s">
        <v>31</v>
      </c>
      <c r="F110">
        <v>9984</v>
      </c>
      <c r="G110" t="s">
        <v>131</v>
      </c>
      <c r="H110" t="s">
        <v>40</v>
      </c>
      <c r="I110" t="s">
        <v>98</v>
      </c>
      <c r="J110" t="s">
        <v>43</v>
      </c>
      <c r="K110" t="s">
        <v>44</v>
      </c>
      <c r="L110" t="s">
        <v>469</v>
      </c>
      <c r="M110" t="s">
        <v>46</v>
      </c>
      <c r="N110" t="s">
        <v>45</v>
      </c>
      <c r="O110" t="s">
        <v>133</v>
      </c>
      <c r="P110">
        <v>20260818</v>
      </c>
      <c r="Q110">
        <v>100</v>
      </c>
      <c r="R110">
        <v>100</v>
      </c>
      <c r="S110" t="s">
        <v>134</v>
      </c>
      <c r="T110" t="s">
        <v>99</v>
      </c>
      <c r="U110" t="s">
        <v>97</v>
      </c>
      <c r="V110" t="s">
        <v>97</v>
      </c>
      <c r="W110" t="s">
        <v>97</v>
      </c>
      <c r="X110" t="s">
        <v>31</v>
      </c>
      <c r="Y110" t="s">
        <v>97</v>
      </c>
      <c r="Z110" t="s">
        <v>31</v>
      </c>
      <c r="AA110" t="s">
        <v>100</v>
      </c>
      <c r="AB110" t="s">
        <v>31</v>
      </c>
      <c r="AC110" t="s">
        <v>469</v>
      </c>
      <c r="AD110" t="s">
        <v>470</v>
      </c>
    </row>
    <row r="111" spans="1:30">
      <c r="A111">
        <v>52308146</v>
      </c>
      <c r="B111" t="s">
        <v>471</v>
      </c>
      <c r="C111" t="s">
        <v>130</v>
      </c>
      <c r="D111" t="s">
        <v>97</v>
      </c>
      <c r="E111" t="s">
        <v>31</v>
      </c>
      <c r="F111">
        <v>3436</v>
      </c>
      <c r="G111" t="s">
        <v>140</v>
      </c>
      <c r="H111" t="s">
        <v>40</v>
      </c>
      <c r="I111" t="s">
        <v>98</v>
      </c>
      <c r="J111" t="s">
        <v>43</v>
      </c>
      <c r="K111" t="s">
        <v>44</v>
      </c>
      <c r="L111" t="s">
        <v>472</v>
      </c>
      <c r="M111" t="s">
        <v>46</v>
      </c>
      <c r="N111" t="s">
        <v>45</v>
      </c>
      <c r="O111" t="s">
        <v>133</v>
      </c>
      <c r="P111">
        <v>20260818</v>
      </c>
      <c r="Q111">
        <v>100</v>
      </c>
      <c r="R111">
        <v>100</v>
      </c>
      <c r="S111" t="s">
        <v>134</v>
      </c>
      <c r="T111" t="s">
        <v>99</v>
      </c>
      <c r="U111" t="s">
        <v>97</v>
      </c>
      <c r="V111" t="s">
        <v>97</v>
      </c>
      <c r="W111" t="s">
        <v>97</v>
      </c>
      <c r="X111" t="s">
        <v>31</v>
      </c>
      <c r="Y111" t="s">
        <v>97</v>
      </c>
      <c r="Z111" t="s">
        <v>31</v>
      </c>
      <c r="AA111" t="s">
        <v>100</v>
      </c>
      <c r="AB111" t="s">
        <v>31</v>
      </c>
      <c r="AC111" t="s">
        <v>472</v>
      </c>
      <c r="AD111" t="s">
        <v>473</v>
      </c>
    </row>
    <row r="112" spans="1:30">
      <c r="A112">
        <v>52308755</v>
      </c>
      <c r="B112" t="s">
        <v>474</v>
      </c>
      <c r="C112" t="s">
        <v>130</v>
      </c>
      <c r="D112" t="s">
        <v>97</v>
      </c>
      <c r="E112" t="s">
        <v>31</v>
      </c>
      <c r="F112">
        <v>6613</v>
      </c>
      <c r="G112" t="s">
        <v>39</v>
      </c>
      <c r="H112" t="s">
        <v>40</v>
      </c>
      <c r="I112" t="s">
        <v>98</v>
      </c>
      <c r="J112" t="s">
        <v>43</v>
      </c>
      <c r="K112" t="s">
        <v>44</v>
      </c>
      <c r="L112" t="s">
        <v>475</v>
      </c>
      <c r="M112" t="s">
        <v>46</v>
      </c>
      <c r="N112" t="s">
        <v>45</v>
      </c>
      <c r="O112" t="s">
        <v>133</v>
      </c>
      <c r="P112">
        <v>20260818</v>
      </c>
      <c r="Q112">
        <v>100</v>
      </c>
      <c r="R112">
        <v>100</v>
      </c>
      <c r="S112" t="s">
        <v>134</v>
      </c>
      <c r="T112" t="s">
        <v>99</v>
      </c>
      <c r="U112" t="s">
        <v>97</v>
      </c>
      <c r="V112" t="s">
        <v>97</v>
      </c>
      <c r="W112" t="s">
        <v>97</v>
      </c>
      <c r="X112" t="s">
        <v>31</v>
      </c>
      <c r="Y112" t="s">
        <v>97</v>
      </c>
      <c r="Z112" t="s">
        <v>31</v>
      </c>
      <c r="AA112" t="s">
        <v>100</v>
      </c>
      <c r="AB112" t="s">
        <v>31</v>
      </c>
      <c r="AC112" t="s">
        <v>475</v>
      </c>
      <c r="AD112" t="s">
        <v>476</v>
      </c>
    </row>
    <row r="113" spans="1:30">
      <c r="A113">
        <v>52310696</v>
      </c>
      <c r="B113" t="s">
        <v>477</v>
      </c>
      <c r="C113" t="s">
        <v>130</v>
      </c>
      <c r="D113" t="s">
        <v>97</v>
      </c>
      <c r="E113" t="s">
        <v>31</v>
      </c>
      <c r="F113">
        <v>9984</v>
      </c>
      <c r="G113" t="s">
        <v>131</v>
      </c>
      <c r="H113" t="s">
        <v>40</v>
      </c>
      <c r="I113" t="s">
        <v>98</v>
      </c>
      <c r="J113" t="s">
        <v>43</v>
      </c>
      <c r="K113" t="s">
        <v>44</v>
      </c>
      <c r="L113" t="s">
        <v>478</v>
      </c>
      <c r="M113" t="s">
        <v>49</v>
      </c>
      <c r="N113" t="s">
        <v>48</v>
      </c>
      <c r="O113" t="s">
        <v>133</v>
      </c>
      <c r="P113">
        <v>20260818</v>
      </c>
      <c r="Q113">
        <v>100</v>
      </c>
      <c r="R113">
        <v>100</v>
      </c>
      <c r="S113" t="s">
        <v>134</v>
      </c>
      <c r="T113" t="s">
        <v>99</v>
      </c>
      <c r="U113" t="s">
        <v>97</v>
      </c>
      <c r="V113" t="s">
        <v>97</v>
      </c>
      <c r="W113" t="s">
        <v>97</v>
      </c>
      <c r="X113" t="s">
        <v>50</v>
      </c>
      <c r="Y113" t="s">
        <v>97</v>
      </c>
      <c r="Z113" t="s">
        <v>31</v>
      </c>
      <c r="AA113" t="s">
        <v>100</v>
      </c>
      <c r="AB113" t="s">
        <v>31</v>
      </c>
      <c r="AC113" t="s">
        <v>478</v>
      </c>
      <c r="AD113" t="s">
        <v>479</v>
      </c>
    </row>
    <row r="114" spans="1:30">
      <c r="A114">
        <v>52311239</v>
      </c>
      <c r="B114" t="s">
        <v>480</v>
      </c>
      <c r="C114" t="s">
        <v>130</v>
      </c>
      <c r="D114" t="s">
        <v>97</v>
      </c>
      <c r="E114" t="s">
        <v>31</v>
      </c>
      <c r="F114">
        <v>3436</v>
      </c>
      <c r="G114" t="s">
        <v>140</v>
      </c>
      <c r="H114" t="s">
        <v>40</v>
      </c>
      <c r="I114" t="s">
        <v>98</v>
      </c>
      <c r="J114" t="s">
        <v>43</v>
      </c>
      <c r="K114" t="s">
        <v>44</v>
      </c>
      <c r="L114" t="s">
        <v>481</v>
      </c>
      <c r="M114" t="s">
        <v>49</v>
      </c>
      <c r="N114" t="s">
        <v>48</v>
      </c>
      <c r="O114" t="s">
        <v>133</v>
      </c>
      <c r="P114">
        <v>20260818</v>
      </c>
      <c r="Q114">
        <v>100</v>
      </c>
      <c r="R114">
        <v>100</v>
      </c>
      <c r="S114" t="s">
        <v>134</v>
      </c>
      <c r="T114" t="s">
        <v>99</v>
      </c>
      <c r="U114" t="s">
        <v>97</v>
      </c>
      <c r="V114" t="s">
        <v>97</v>
      </c>
      <c r="W114" t="s">
        <v>97</v>
      </c>
      <c r="X114" t="s">
        <v>50</v>
      </c>
      <c r="Y114" t="s">
        <v>97</v>
      </c>
      <c r="Z114" t="s">
        <v>31</v>
      </c>
      <c r="AA114" t="s">
        <v>100</v>
      </c>
      <c r="AB114" t="s">
        <v>31</v>
      </c>
      <c r="AC114" t="s">
        <v>481</v>
      </c>
      <c r="AD114" t="s">
        <v>482</v>
      </c>
    </row>
    <row r="115" spans="1:30">
      <c r="A115">
        <v>52311365</v>
      </c>
      <c r="B115" t="s">
        <v>483</v>
      </c>
      <c r="C115" t="s">
        <v>130</v>
      </c>
      <c r="D115" t="s">
        <v>97</v>
      </c>
      <c r="E115" t="s">
        <v>31</v>
      </c>
      <c r="F115">
        <v>6613</v>
      </c>
      <c r="G115" t="s">
        <v>39</v>
      </c>
      <c r="H115" t="s">
        <v>40</v>
      </c>
      <c r="I115" t="s">
        <v>98</v>
      </c>
      <c r="J115" t="s">
        <v>43</v>
      </c>
      <c r="K115" t="s">
        <v>44</v>
      </c>
      <c r="L115" t="s">
        <v>484</v>
      </c>
      <c r="M115" t="s">
        <v>49</v>
      </c>
      <c r="N115" t="s">
        <v>48</v>
      </c>
      <c r="O115" t="s">
        <v>133</v>
      </c>
      <c r="P115">
        <v>20260818</v>
      </c>
      <c r="Q115">
        <v>200</v>
      </c>
      <c r="R115">
        <v>200</v>
      </c>
      <c r="S115" t="s">
        <v>134</v>
      </c>
      <c r="T115" t="s">
        <v>99</v>
      </c>
      <c r="U115" t="s">
        <v>97</v>
      </c>
      <c r="V115" t="s">
        <v>97</v>
      </c>
      <c r="W115" t="s">
        <v>97</v>
      </c>
      <c r="X115" t="s">
        <v>50</v>
      </c>
      <c r="Y115" t="s">
        <v>97</v>
      </c>
      <c r="Z115" t="s">
        <v>31</v>
      </c>
      <c r="AA115" t="s">
        <v>100</v>
      </c>
      <c r="AB115" t="s">
        <v>31</v>
      </c>
      <c r="AC115" t="s">
        <v>484</v>
      </c>
      <c r="AD115" t="s">
        <v>485</v>
      </c>
    </row>
    <row r="116" spans="1:30">
      <c r="A116">
        <v>52312251</v>
      </c>
      <c r="B116" t="s">
        <v>486</v>
      </c>
      <c r="C116" t="s">
        <v>130</v>
      </c>
      <c r="D116" t="s">
        <v>97</v>
      </c>
      <c r="E116" t="s">
        <v>31</v>
      </c>
      <c r="F116">
        <v>6613</v>
      </c>
      <c r="G116" t="s">
        <v>39</v>
      </c>
      <c r="H116" t="s">
        <v>40</v>
      </c>
      <c r="I116" t="s">
        <v>98</v>
      </c>
      <c r="J116" t="s">
        <v>43</v>
      </c>
      <c r="K116" t="s">
        <v>44</v>
      </c>
      <c r="L116" t="s">
        <v>487</v>
      </c>
      <c r="M116" t="s">
        <v>46</v>
      </c>
      <c r="N116" t="s">
        <v>45</v>
      </c>
      <c r="O116" t="s">
        <v>133</v>
      </c>
      <c r="P116">
        <v>20260818</v>
      </c>
      <c r="Q116">
        <v>200</v>
      </c>
      <c r="R116">
        <v>200</v>
      </c>
      <c r="S116" t="s">
        <v>134</v>
      </c>
      <c r="T116" t="s">
        <v>99</v>
      </c>
      <c r="U116" t="s">
        <v>97</v>
      </c>
      <c r="V116" t="s">
        <v>97</v>
      </c>
      <c r="W116" t="s">
        <v>97</v>
      </c>
      <c r="X116" t="s">
        <v>31</v>
      </c>
      <c r="Y116" t="s">
        <v>97</v>
      </c>
      <c r="Z116" t="s">
        <v>31</v>
      </c>
      <c r="AA116" t="s">
        <v>100</v>
      </c>
      <c r="AB116" t="s">
        <v>31</v>
      </c>
      <c r="AC116" t="s">
        <v>487</v>
      </c>
      <c r="AD116" t="s">
        <v>488</v>
      </c>
    </row>
    <row r="117" spans="1:30">
      <c r="A117">
        <v>52315055</v>
      </c>
      <c r="B117" t="s">
        <v>489</v>
      </c>
      <c r="C117" t="s">
        <v>130</v>
      </c>
      <c r="D117" t="s">
        <v>97</v>
      </c>
      <c r="E117" t="s">
        <v>31</v>
      </c>
      <c r="F117">
        <v>3436</v>
      </c>
      <c r="G117" t="s">
        <v>140</v>
      </c>
      <c r="H117" t="s">
        <v>40</v>
      </c>
      <c r="I117" t="s">
        <v>98</v>
      </c>
      <c r="J117" t="s">
        <v>43</v>
      </c>
      <c r="K117" t="s">
        <v>44</v>
      </c>
      <c r="L117" t="s">
        <v>490</v>
      </c>
      <c r="M117" t="s">
        <v>46</v>
      </c>
      <c r="N117" t="s">
        <v>45</v>
      </c>
      <c r="O117" t="s">
        <v>133</v>
      </c>
      <c r="P117">
        <v>20260818</v>
      </c>
      <c r="Q117">
        <v>100</v>
      </c>
      <c r="R117">
        <v>100</v>
      </c>
      <c r="S117" t="s">
        <v>134</v>
      </c>
      <c r="T117" t="s">
        <v>99</v>
      </c>
      <c r="U117" t="s">
        <v>97</v>
      </c>
      <c r="V117" t="s">
        <v>97</v>
      </c>
      <c r="W117" t="s">
        <v>97</v>
      </c>
      <c r="X117" t="s">
        <v>31</v>
      </c>
      <c r="Y117" t="s">
        <v>97</v>
      </c>
      <c r="Z117" t="s">
        <v>31</v>
      </c>
      <c r="AA117" t="s">
        <v>100</v>
      </c>
      <c r="AB117" t="s">
        <v>31</v>
      </c>
      <c r="AC117" t="s">
        <v>491</v>
      </c>
      <c r="AD117" t="s">
        <v>492</v>
      </c>
    </row>
    <row r="118" spans="1:30">
      <c r="A118">
        <v>52315163</v>
      </c>
      <c r="B118" t="s">
        <v>493</v>
      </c>
      <c r="C118" t="s">
        <v>130</v>
      </c>
      <c r="D118" t="s">
        <v>97</v>
      </c>
      <c r="E118" t="s">
        <v>31</v>
      </c>
      <c r="F118">
        <v>9984</v>
      </c>
      <c r="G118" t="s">
        <v>131</v>
      </c>
      <c r="H118" t="s">
        <v>40</v>
      </c>
      <c r="I118" t="s">
        <v>98</v>
      </c>
      <c r="J118" t="s">
        <v>43</v>
      </c>
      <c r="K118" t="s">
        <v>44</v>
      </c>
      <c r="L118" t="s">
        <v>494</v>
      </c>
      <c r="M118" t="s">
        <v>46</v>
      </c>
      <c r="N118" t="s">
        <v>45</v>
      </c>
      <c r="O118" t="s">
        <v>133</v>
      </c>
      <c r="P118">
        <v>20260818</v>
      </c>
      <c r="Q118">
        <v>100</v>
      </c>
      <c r="R118">
        <v>100</v>
      </c>
      <c r="S118" t="s">
        <v>134</v>
      </c>
      <c r="T118" t="s">
        <v>99</v>
      </c>
      <c r="U118" t="s">
        <v>97</v>
      </c>
      <c r="V118" t="s">
        <v>97</v>
      </c>
      <c r="W118" t="s">
        <v>97</v>
      </c>
      <c r="X118" t="s">
        <v>31</v>
      </c>
      <c r="Y118" t="s">
        <v>97</v>
      </c>
      <c r="Z118" t="s">
        <v>31</v>
      </c>
      <c r="AA118" t="s">
        <v>100</v>
      </c>
      <c r="AB118" t="s">
        <v>31</v>
      </c>
      <c r="AC118" t="s">
        <v>494</v>
      </c>
      <c r="AD118" t="s">
        <v>495</v>
      </c>
    </row>
    <row r="119" spans="1:30">
      <c r="A119">
        <v>52315895</v>
      </c>
      <c r="B119" t="s">
        <v>496</v>
      </c>
      <c r="C119" t="s">
        <v>130</v>
      </c>
      <c r="D119" t="s">
        <v>97</v>
      </c>
      <c r="E119" t="s">
        <v>31</v>
      </c>
      <c r="F119">
        <v>3436</v>
      </c>
      <c r="G119" t="s">
        <v>140</v>
      </c>
      <c r="H119" t="s">
        <v>40</v>
      </c>
      <c r="I119" t="s">
        <v>98</v>
      </c>
      <c r="J119" t="s">
        <v>43</v>
      </c>
      <c r="K119" t="s">
        <v>44</v>
      </c>
      <c r="L119" t="s">
        <v>497</v>
      </c>
      <c r="M119" t="s">
        <v>49</v>
      </c>
      <c r="N119" t="s">
        <v>48</v>
      </c>
      <c r="O119" t="s">
        <v>133</v>
      </c>
      <c r="P119">
        <v>20260818</v>
      </c>
      <c r="Q119">
        <v>100</v>
      </c>
      <c r="R119">
        <v>100</v>
      </c>
      <c r="S119" t="s">
        <v>134</v>
      </c>
      <c r="T119" t="s">
        <v>99</v>
      </c>
      <c r="U119" t="s">
        <v>97</v>
      </c>
      <c r="V119" t="s">
        <v>97</v>
      </c>
      <c r="W119" t="s">
        <v>97</v>
      </c>
      <c r="X119" t="s">
        <v>50</v>
      </c>
      <c r="Y119" t="s">
        <v>97</v>
      </c>
      <c r="Z119" t="s">
        <v>31</v>
      </c>
      <c r="AA119" t="s">
        <v>100</v>
      </c>
      <c r="AB119" t="s">
        <v>31</v>
      </c>
      <c r="AC119" t="s">
        <v>497</v>
      </c>
      <c r="AD119" t="s">
        <v>498</v>
      </c>
    </row>
    <row r="120" spans="1:30">
      <c r="A120">
        <v>52316160</v>
      </c>
      <c r="B120" t="s">
        <v>499</v>
      </c>
      <c r="C120" t="s">
        <v>130</v>
      </c>
      <c r="D120" t="s">
        <v>97</v>
      </c>
      <c r="E120" t="s">
        <v>31</v>
      </c>
      <c r="F120">
        <v>3436</v>
      </c>
      <c r="G120" t="s">
        <v>140</v>
      </c>
      <c r="H120" t="s">
        <v>40</v>
      </c>
      <c r="I120" t="s">
        <v>98</v>
      </c>
      <c r="J120" t="s">
        <v>500</v>
      </c>
      <c r="K120" t="s">
        <v>501</v>
      </c>
      <c r="L120" t="s">
        <v>502</v>
      </c>
      <c r="M120" t="s">
        <v>46</v>
      </c>
      <c r="N120" t="s">
        <v>45</v>
      </c>
      <c r="O120" t="s">
        <v>133</v>
      </c>
      <c r="P120">
        <v>20260818</v>
      </c>
      <c r="Q120">
        <v>100</v>
      </c>
      <c r="R120">
        <v>100</v>
      </c>
      <c r="S120">
        <v>3805</v>
      </c>
      <c r="T120" t="s">
        <v>99</v>
      </c>
      <c r="U120" t="s">
        <v>97</v>
      </c>
      <c r="V120" t="s">
        <v>97</v>
      </c>
      <c r="W120" t="s">
        <v>97</v>
      </c>
      <c r="X120" t="s">
        <v>31</v>
      </c>
      <c r="Y120" t="s">
        <v>97</v>
      </c>
      <c r="Z120" t="s">
        <v>31</v>
      </c>
      <c r="AA120" t="s">
        <v>100</v>
      </c>
      <c r="AB120" t="s">
        <v>31</v>
      </c>
      <c r="AC120" t="s">
        <v>502</v>
      </c>
      <c r="AD120" t="s">
        <v>503</v>
      </c>
    </row>
    <row r="121" spans="1:30">
      <c r="A121">
        <v>52316464</v>
      </c>
      <c r="B121" t="s">
        <v>504</v>
      </c>
      <c r="C121" t="s">
        <v>130</v>
      </c>
      <c r="D121" t="s">
        <v>97</v>
      </c>
      <c r="E121" t="s">
        <v>31</v>
      </c>
      <c r="F121">
        <v>9984</v>
      </c>
      <c r="G121" t="s">
        <v>131</v>
      </c>
      <c r="H121" t="s">
        <v>40</v>
      </c>
      <c r="I121" t="s">
        <v>98</v>
      </c>
      <c r="J121" t="s">
        <v>43</v>
      </c>
      <c r="K121" t="s">
        <v>44</v>
      </c>
      <c r="L121" t="s">
        <v>505</v>
      </c>
      <c r="M121" t="s">
        <v>49</v>
      </c>
      <c r="N121" t="s">
        <v>48</v>
      </c>
      <c r="O121" t="s">
        <v>133</v>
      </c>
      <c r="P121">
        <v>20260818</v>
      </c>
      <c r="Q121">
        <v>100</v>
      </c>
      <c r="R121">
        <v>100</v>
      </c>
      <c r="S121" t="s">
        <v>134</v>
      </c>
      <c r="T121" t="s">
        <v>99</v>
      </c>
      <c r="U121" t="s">
        <v>97</v>
      </c>
      <c r="V121" t="s">
        <v>97</v>
      </c>
      <c r="W121" t="s">
        <v>97</v>
      </c>
      <c r="X121" t="s">
        <v>50</v>
      </c>
      <c r="Y121" t="s">
        <v>97</v>
      </c>
      <c r="Z121" t="s">
        <v>31</v>
      </c>
      <c r="AA121" t="s">
        <v>100</v>
      </c>
      <c r="AB121" t="s">
        <v>31</v>
      </c>
      <c r="AC121" t="s">
        <v>505</v>
      </c>
      <c r="AD121" t="s">
        <v>506</v>
      </c>
    </row>
    <row r="122" spans="1:30">
      <c r="A122">
        <v>52316898</v>
      </c>
      <c r="B122" t="s">
        <v>507</v>
      </c>
      <c r="C122" t="s">
        <v>130</v>
      </c>
      <c r="D122" t="s">
        <v>97</v>
      </c>
      <c r="E122" t="s">
        <v>31</v>
      </c>
      <c r="F122">
        <v>3436</v>
      </c>
      <c r="G122" t="s">
        <v>140</v>
      </c>
      <c r="H122" t="s">
        <v>40</v>
      </c>
      <c r="I122" t="s">
        <v>98</v>
      </c>
      <c r="J122" t="s">
        <v>500</v>
      </c>
      <c r="K122" t="s">
        <v>501</v>
      </c>
      <c r="L122" t="s">
        <v>508</v>
      </c>
      <c r="M122" t="s">
        <v>49</v>
      </c>
      <c r="N122" t="s">
        <v>48</v>
      </c>
      <c r="O122" t="s">
        <v>133</v>
      </c>
      <c r="P122">
        <v>20260818</v>
      </c>
      <c r="Q122">
        <v>100</v>
      </c>
      <c r="R122">
        <v>100</v>
      </c>
      <c r="S122" t="s">
        <v>134</v>
      </c>
      <c r="T122" t="s">
        <v>99</v>
      </c>
      <c r="U122" t="s">
        <v>97</v>
      </c>
      <c r="V122" t="s">
        <v>97</v>
      </c>
      <c r="W122" t="s">
        <v>97</v>
      </c>
      <c r="X122" t="s">
        <v>50</v>
      </c>
      <c r="Y122" t="s">
        <v>97</v>
      </c>
      <c r="Z122" t="s">
        <v>31</v>
      </c>
      <c r="AA122" t="s">
        <v>100</v>
      </c>
      <c r="AB122" t="s">
        <v>31</v>
      </c>
      <c r="AC122" t="s">
        <v>508</v>
      </c>
      <c r="AD122" t="s">
        <v>509</v>
      </c>
    </row>
    <row r="123" spans="1:30">
      <c r="A123">
        <v>52317648</v>
      </c>
      <c r="B123" t="s">
        <v>510</v>
      </c>
      <c r="C123" t="s">
        <v>130</v>
      </c>
      <c r="D123" t="s">
        <v>97</v>
      </c>
      <c r="E123" t="s">
        <v>31</v>
      </c>
      <c r="F123">
        <v>3436</v>
      </c>
      <c r="G123" t="s">
        <v>140</v>
      </c>
      <c r="H123" t="s">
        <v>40</v>
      </c>
      <c r="I123" t="s">
        <v>98</v>
      </c>
      <c r="J123" t="s">
        <v>500</v>
      </c>
      <c r="K123" t="s">
        <v>501</v>
      </c>
      <c r="L123" t="s">
        <v>511</v>
      </c>
      <c r="M123" t="s">
        <v>46</v>
      </c>
      <c r="N123" t="s">
        <v>45</v>
      </c>
      <c r="O123" t="s">
        <v>133</v>
      </c>
      <c r="P123">
        <v>20260818</v>
      </c>
      <c r="Q123">
        <v>100</v>
      </c>
      <c r="R123">
        <v>100</v>
      </c>
      <c r="S123" t="s">
        <v>134</v>
      </c>
      <c r="T123" t="s">
        <v>99</v>
      </c>
      <c r="U123" t="s">
        <v>97</v>
      </c>
      <c r="V123" t="s">
        <v>97</v>
      </c>
      <c r="W123" t="s">
        <v>97</v>
      </c>
      <c r="X123" t="s">
        <v>31</v>
      </c>
      <c r="Y123" t="s">
        <v>97</v>
      </c>
      <c r="Z123" t="s">
        <v>31</v>
      </c>
      <c r="AA123" t="s">
        <v>100</v>
      </c>
      <c r="AB123" t="s">
        <v>31</v>
      </c>
      <c r="AC123" t="s">
        <v>511</v>
      </c>
      <c r="AD123" t="s">
        <v>512</v>
      </c>
    </row>
    <row r="124" spans="1:30">
      <c r="A124">
        <v>52318603</v>
      </c>
      <c r="B124" t="s">
        <v>513</v>
      </c>
      <c r="C124" t="s">
        <v>130</v>
      </c>
      <c r="D124" t="s">
        <v>97</v>
      </c>
      <c r="E124" t="s">
        <v>31</v>
      </c>
      <c r="F124">
        <v>9984</v>
      </c>
      <c r="G124" t="s">
        <v>131</v>
      </c>
      <c r="H124" t="s">
        <v>40</v>
      </c>
      <c r="I124" t="s">
        <v>98</v>
      </c>
      <c r="J124" t="s">
        <v>500</v>
      </c>
      <c r="K124" t="s">
        <v>501</v>
      </c>
      <c r="L124" t="s">
        <v>514</v>
      </c>
      <c r="M124" t="s">
        <v>46</v>
      </c>
      <c r="N124" t="s">
        <v>45</v>
      </c>
      <c r="O124" t="s">
        <v>133</v>
      </c>
      <c r="P124">
        <v>20260818</v>
      </c>
      <c r="Q124">
        <v>100</v>
      </c>
      <c r="R124">
        <v>100</v>
      </c>
      <c r="S124" t="s">
        <v>134</v>
      </c>
      <c r="T124" t="s">
        <v>99</v>
      </c>
      <c r="U124" t="s">
        <v>97</v>
      </c>
      <c r="V124" t="s">
        <v>97</v>
      </c>
      <c r="W124" t="s">
        <v>97</v>
      </c>
      <c r="X124" t="s">
        <v>31</v>
      </c>
      <c r="Y124" t="s">
        <v>97</v>
      </c>
      <c r="Z124" t="s">
        <v>31</v>
      </c>
      <c r="AA124" t="s">
        <v>100</v>
      </c>
      <c r="AB124" t="s">
        <v>31</v>
      </c>
      <c r="AC124" t="s">
        <v>514</v>
      </c>
      <c r="AD124" t="s">
        <v>515</v>
      </c>
    </row>
    <row r="125" spans="1:30">
      <c r="A125">
        <v>52338358</v>
      </c>
      <c r="B125" t="s">
        <v>516</v>
      </c>
      <c r="C125" t="s">
        <v>130</v>
      </c>
      <c r="D125" t="s">
        <v>97</v>
      </c>
      <c r="E125" t="s">
        <v>31</v>
      </c>
      <c r="F125">
        <v>6613</v>
      </c>
      <c r="G125" t="s">
        <v>39</v>
      </c>
      <c r="H125" t="s">
        <v>40</v>
      </c>
      <c r="I125" t="s">
        <v>98</v>
      </c>
      <c r="J125" t="s">
        <v>43</v>
      </c>
      <c r="K125" t="s">
        <v>44</v>
      </c>
      <c r="L125" t="s">
        <v>517</v>
      </c>
      <c r="M125" t="s">
        <v>49</v>
      </c>
      <c r="N125" t="s">
        <v>48</v>
      </c>
      <c r="O125" t="s">
        <v>133</v>
      </c>
      <c r="P125">
        <v>20260818</v>
      </c>
      <c r="Q125">
        <v>200</v>
      </c>
      <c r="R125">
        <v>200</v>
      </c>
      <c r="S125" t="s">
        <v>134</v>
      </c>
      <c r="T125" t="s">
        <v>99</v>
      </c>
      <c r="U125" t="s">
        <v>97</v>
      </c>
      <c r="V125" t="s">
        <v>97</v>
      </c>
      <c r="W125" t="s">
        <v>97</v>
      </c>
      <c r="X125" t="s">
        <v>50</v>
      </c>
      <c r="Y125" t="s">
        <v>97</v>
      </c>
      <c r="Z125" t="s">
        <v>31</v>
      </c>
      <c r="AA125" t="s">
        <v>100</v>
      </c>
      <c r="AB125" t="s">
        <v>31</v>
      </c>
      <c r="AC125" t="s">
        <v>517</v>
      </c>
      <c r="AD125" t="s">
        <v>518</v>
      </c>
    </row>
    <row r="126" spans="1:30">
      <c r="A126" s="1" t="s">
        <v>129</v>
      </c>
      <c r="B126" s="1" t="s">
        <v>129</v>
      </c>
      <c r="C126" s="1" t="s">
        <v>129</v>
      </c>
      <c r="D126" s="1" t="s">
        <v>129</v>
      </c>
      <c r="E126" s="1" t="s">
        <v>129</v>
      </c>
      <c r="F126" s="1" t="s">
        <v>129</v>
      </c>
      <c r="G126" s="1" t="s">
        <v>129</v>
      </c>
      <c r="H126" s="1" t="s">
        <v>129</v>
      </c>
      <c r="I126" s="1" t="s">
        <v>129</v>
      </c>
      <c r="J126" s="1" t="s">
        <v>129</v>
      </c>
      <c r="K126" s="1" t="s">
        <v>129</v>
      </c>
      <c r="L126" s="1" t="s">
        <v>129</v>
      </c>
      <c r="M126" s="1" t="s">
        <v>129</v>
      </c>
      <c r="N126" s="1" t="s">
        <v>129</v>
      </c>
      <c r="O126" s="1" t="s">
        <v>129</v>
      </c>
      <c r="P126" s="1" t="s">
        <v>129</v>
      </c>
      <c r="Q126" s="1" t="s">
        <v>129</v>
      </c>
      <c r="R126" s="1" t="s">
        <v>129</v>
      </c>
      <c r="S126" s="1" t="s">
        <v>129</v>
      </c>
      <c r="T126" s="1" t="s">
        <v>129</v>
      </c>
      <c r="U126" s="1" t="s">
        <v>129</v>
      </c>
      <c r="V126" s="1" t="s">
        <v>129</v>
      </c>
      <c r="W126" s="1" t="s">
        <v>129</v>
      </c>
      <c r="X126" s="1" t="s">
        <v>129</v>
      </c>
      <c r="Y126" s="1" t="s">
        <v>129</v>
      </c>
      <c r="Z126" s="1" t="s">
        <v>129</v>
      </c>
      <c r="AA126" s="1" t="s">
        <v>129</v>
      </c>
      <c r="AB126" s="1" t="s">
        <v>129</v>
      </c>
      <c r="AC126" s="1" t="s">
        <v>129</v>
      </c>
      <c r="AD126" s="1" t="s">
        <v>129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E1C9-064A-4C71-8B7F-6D67E78A2B37}">
  <sheetPr codeName="Sheet4"/>
  <dimension ref="A1:O130"/>
  <sheetViews>
    <sheetView topLeftCell="A52" workbookViewId="0"/>
  </sheetViews>
  <sheetFormatPr defaultRowHeight="18.75"/>
  <sheetData>
    <row r="1" spans="1:15">
      <c r="A1" t="str" cm="1">
        <f t="array" ref="A1">_xll.RssExecutionList($A$2:$O$2, 0, "", "A", 0, 0)</f>
        <v>=RssExecutionList($A$2:$O$2, 0, "", "A", 0, 0) =&gt; 配信中</v>
      </c>
    </row>
    <row r="2" spans="1:15">
      <c r="A2" t="s">
        <v>34</v>
      </c>
      <c r="B2" t="s">
        <v>35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13</v>
      </c>
      <c r="J2" t="s">
        <v>12</v>
      </c>
      <c r="K2" t="s">
        <v>17</v>
      </c>
      <c r="L2" t="s">
        <v>36</v>
      </c>
      <c r="M2" t="s">
        <v>37</v>
      </c>
      <c r="N2" t="s">
        <v>23</v>
      </c>
      <c r="O2" t="s">
        <v>38</v>
      </c>
    </row>
    <row r="3" spans="1:15">
      <c r="A3" s="1" t="s">
        <v>122</v>
      </c>
      <c r="B3" s="1" t="s">
        <v>122</v>
      </c>
      <c r="C3" s="1" t="s">
        <v>122</v>
      </c>
      <c r="D3" s="1" t="s">
        <v>122</v>
      </c>
      <c r="E3" s="1" t="s">
        <v>122</v>
      </c>
      <c r="F3" s="1" t="s">
        <v>122</v>
      </c>
      <c r="G3" s="1" t="s">
        <v>122</v>
      </c>
      <c r="H3" s="1" t="s">
        <v>122</v>
      </c>
      <c r="I3" s="1" t="s">
        <v>122</v>
      </c>
      <c r="J3" s="1" t="s">
        <v>122</v>
      </c>
      <c r="K3" s="1" t="s">
        <v>122</v>
      </c>
      <c r="L3" s="1" t="s">
        <v>122</v>
      </c>
      <c r="M3" s="1" t="s">
        <v>122</v>
      </c>
      <c r="N3" s="1" t="s">
        <v>122</v>
      </c>
      <c r="O3" s="1" t="s">
        <v>122</v>
      </c>
    </row>
    <row r="4" spans="1:15">
      <c r="A4" t="s">
        <v>136</v>
      </c>
      <c r="B4">
        <v>20260820</v>
      </c>
      <c r="C4">
        <v>9984</v>
      </c>
      <c r="D4" t="s">
        <v>131</v>
      </c>
      <c r="E4" t="s">
        <v>40</v>
      </c>
      <c r="F4" t="s">
        <v>42</v>
      </c>
      <c r="G4" t="s">
        <v>43</v>
      </c>
      <c r="H4" t="s">
        <v>44</v>
      </c>
      <c r="I4" t="s">
        <v>48</v>
      </c>
      <c r="J4" t="s">
        <v>49</v>
      </c>
      <c r="K4">
        <v>100</v>
      </c>
      <c r="L4">
        <v>5978.1</v>
      </c>
      <c r="M4">
        <v>597810</v>
      </c>
      <c r="N4" t="s">
        <v>50</v>
      </c>
      <c r="O4">
        <v>0</v>
      </c>
    </row>
    <row r="5" spans="1:15">
      <c r="A5" s="1" t="s">
        <v>141</v>
      </c>
      <c r="B5" s="1">
        <v>20260820</v>
      </c>
      <c r="C5" s="1">
        <v>3436</v>
      </c>
      <c r="D5" s="1" t="s">
        <v>140</v>
      </c>
      <c r="E5" s="1" t="s">
        <v>40</v>
      </c>
      <c r="F5" s="1" t="s">
        <v>42</v>
      </c>
      <c r="G5" s="1" t="s">
        <v>43</v>
      </c>
      <c r="H5" s="1" t="s">
        <v>44</v>
      </c>
      <c r="I5" s="1" t="s">
        <v>45</v>
      </c>
      <c r="J5" s="1" t="s">
        <v>46</v>
      </c>
      <c r="K5" s="1">
        <v>100</v>
      </c>
      <c r="L5" s="1">
        <v>4118</v>
      </c>
      <c r="M5" s="1">
        <v>411800</v>
      </c>
      <c r="N5" s="1" t="s">
        <v>31</v>
      </c>
      <c r="O5" s="1">
        <v>0</v>
      </c>
    </row>
    <row r="6" spans="1:15">
      <c r="A6" t="s">
        <v>144</v>
      </c>
      <c r="B6">
        <v>20260820</v>
      </c>
      <c r="C6">
        <v>9984</v>
      </c>
      <c r="D6" t="s">
        <v>131</v>
      </c>
      <c r="E6" t="s">
        <v>40</v>
      </c>
      <c r="F6" t="s">
        <v>42</v>
      </c>
      <c r="G6" t="s">
        <v>43</v>
      </c>
      <c r="H6" t="s">
        <v>44</v>
      </c>
      <c r="I6" t="s">
        <v>45</v>
      </c>
      <c r="J6" t="s">
        <v>46</v>
      </c>
      <c r="K6">
        <v>100</v>
      </c>
      <c r="L6">
        <v>6008</v>
      </c>
      <c r="M6">
        <v>600800</v>
      </c>
      <c r="N6" t="s">
        <v>31</v>
      </c>
      <c r="O6">
        <v>0</v>
      </c>
    </row>
    <row r="7" spans="1:15">
      <c r="A7" t="s">
        <v>147</v>
      </c>
      <c r="B7">
        <v>20260820</v>
      </c>
      <c r="C7">
        <v>9984</v>
      </c>
      <c r="D7" t="s">
        <v>131</v>
      </c>
      <c r="E7" t="s">
        <v>40</v>
      </c>
      <c r="F7" t="s">
        <v>47</v>
      </c>
      <c r="G7" t="s">
        <v>43</v>
      </c>
      <c r="H7" t="s">
        <v>44</v>
      </c>
      <c r="I7" t="s">
        <v>48</v>
      </c>
      <c r="J7" t="s">
        <v>49</v>
      </c>
      <c r="K7">
        <v>100</v>
      </c>
      <c r="L7">
        <v>6064</v>
      </c>
      <c r="M7">
        <v>606400</v>
      </c>
      <c r="N7" t="s">
        <v>50</v>
      </c>
      <c r="O7">
        <v>0</v>
      </c>
    </row>
    <row r="8" spans="1:15">
      <c r="A8" t="s">
        <v>150</v>
      </c>
      <c r="B8">
        <v>20260820</v>
      </c>
      <c r="C8">
        <v>3436</v>
      </c>
      <c r="D8" t="s">
        <v>140</v>
      </c>
      <c r="E8" t="s">
        <v>40</v>
      </c>
      <c r="F8" t="s">
        <v>42</v>
      </c>
      <c r="G8" t="s">
        <v>43</v>
      </c>
      <c r="H8" t="s">
        <v>44</v>
      </c>
      <c r="I8" t="s">
        <v>48</v>
      </c>
      <c r="J8" t="s">
        <v>49</v>
      </c>
      <c r="K8">
        <v>100</v>
      </c>
      <c r="L8">
        <v>4105.2</v>
      </c>
      <c r="M8">
        <v>410520</v>
      </c>
      <c r="N8" t="s">
        <v>50</v>
      </c>
      <c r="O8">
        <v>0</v>
      </c>
    </row>
    <row r="9" spans="1:15">
      <c r="A9" t="s">
        <v>153</v>
      </c>
      <c r="B9">
        <v>20260820</v>
      </c>
      <c r="C9">
        <v>3436</v>
      </c>
      <c r="D9" t="s">
        <v>140</v>
      </c>
      <c r="E9" t="s">
        <v>40</v>
      </c>
      <c r="F9" t="s">
        <v>42</v>
      </c>
      <c r="G9" t="s">
        <v>43</v>
      </c>
      <c r="H9" t="s">
        <v>44</v>
      </c>
      <c r="I9" t="s">
        <v>45</v>
      </c>
      <c r="J9" t="s">
        <v>46</v>
      </c>
      <c r="K9">
        <v>100</v>
      </c>
      <c r="L9">
        <v>4158.8999999999996</v>
      </c>
      <c r="M9">
        <v>415890</v>
      </c>
      <c r="N9" t="s">
        <v>31</v>
      </c>
      <c r="O9">
        <v>0</v>
      </c>
    </row>
    <row r="10" spans="1:15">
      <c r="A10" s="1" t="s">
        <v>156</v>
      </c>
      <c r="B10" s="1">
        <v>20260820</v>
      </c>
      <c r="C10" s="1">
        <v>9984</v>
      </c>
      <c r="D10" s="1" t="s">
        <v>131</v>
      </c>
      <c r="E10" s="1" t="s">
        <v>40</v>
      </c>
      <c r="F10" s="1" t="s">
        <v>42</v>
      </c>
      <c r="G10" s="1" t="s">
        <v>43</v>
      </c>
      <c r="H10" s="1" t="s">
        <v>44</v>
      </c>
      <c r="I10" s="1" t="s">
        <v>45</v>
      </c>
      <c r="J10" s="1" t="s">
        <v>46</v>
      </c>
      <c r="K10" s="1">
        <v>100</v>
      </c>
      <c r="L10" s="1">
        <v>6057</v>
      </c>
      <c r="M10" s="1">
        <v>605700</v>
      </c>
      <c r="N10" s="1" t="s">
        <v>31</v>
      </c>
      <c r="O10" s="1">
        <v>0</v>
      </c>
    </row>
    <row r="11" spans="1:15">
      <c r="A11" s="1" t="s">
        <v>160</v>
      </c>
      <c r="B11" s="1">
        <v>20260820</v>
      </c>
      <c r="C11" s="1">
        <v>9984</v>
      </c>
      <c r="D11" s="1" t="s">
        <v>131</v>
      </c>
      <c r="E11" s="1" t="s">
        <v>40</v>
      </c>
      <c r="F11" s="1" t="s">
        <v>42</v>
      </c>
      <c r="G11" s="1" t="s">
        <v>43</v>
      </c>
      <c r="H11" s="1" t="s">
        <v>44</v>
      </c>
      <c r="I11" s="1" t="s">
        <v>48</v>
      </c>
      <c r="J11" s="1" t="s">
        <v>49</v>
      </c>
      <c r="K11" s="1">
        <v>100</v>
      </c>
      <c r="L11" s="1">
        <v>6076.1</v>
      </c>
      <c r="M11" s="1">
        <v>607610</v>
      </c>
      <c r="N11" s="1" t="s">
        <v>50</v>
      </c>
      <c r="O11" s="1">
        <v>0</v>
      </c>
    </row>
    <row r="12" spans="1:15">
      <c r="A12" s="1" t="s">
        <v>163</v>
      </c>
      <c r="B12" s="1">
        <v>20260820</v>
      </c>
      <c r="C12" s="1">
        <v>3436</v>
      </c>
      <c r="D12" s="1" t="s">
        <v>140</v>
      </c>
      <c r="E12" s="1" t="s">
        <v>40</v>
      </c>
      <c r="F12" s="1" t="s">
        <v>42</v>
      </c>
      <c r="G12" s="1" t="s">
        <v>43</v>
      </c>
      <c r="H12" s="1" t="s">
        <v>44</v>
      </c>
      <c r="I12" s="1" t="s">
        <v>48</v>
      </c>
      <c r="J12" s="1" t="s">
        <v>49</v>
      </c>
      <c r="K12" s="1">
        <v>100</v>
      </c>
      <c r="L12" s="1">
        <v>4169.2</v>
      </c>
      <c r="M12" s="1">
        <v>416920</v>
      </c>
      <c r="N12" s="1" t="s">
        <v>50</v>
      </c>
      <c r="O12" s="1">
        <v>0</v>
      </c>
    </row>
    <row r="13" spans="1:15">
      <c r="A13" s="1" t="s">
        <v>166</v>
      </c>
      <c r="B13" s="1">
        <v>20260820</v>
      </c>
      <c r="C13" s="1">
        <v>9984</v>
      </c>
      <c r="D13" s="1" t="s">
        <v>131</v>
      </c>
      <c r="E13" s="1" t="s">
        <v>40</v>
      </c>
      <c r="F13" s="1" t="s">
        <v>42</v>
      </c>
      <c r="G13" s="1" t="s">
        <v>43</v>
      </c>
      <c r="H13" s="1" t="s">
        <v>44</v>
      </c>
      <c r="I13" s="1" t="s">
        <v>45</v>
      </c>
      <c r="J13" s="1" t="s">
        <v>46</v>
      </c>
      <c r="K13" s="1">
        <v>100</v>
      </c>
      <c r="L13" s="1">
        <v>6073.9</v>
      </c>
      <c r="M13" s="1">
        <v>607390</v>
      </c>
      <c r="N13" s="1" t="s">
        <v>31</v>
      </c>
      <c r="O13" s="1">
        <v>0</v>
      </c>
    </row>
    <row r="14" spans="1:15">
      <c r="A14" s="1" t="s">
        <v>169</v>
      </c>
      <c r="B14" s="1">
        <v>20260820</v>
      </c>
      <c r="C14" s="1">
        <v>9984</v>
      </c>
      <c r="D14" s="1" t="s">
        <v>131</v>
      </c>
      <c r="E14" s="1" t="s">
        <v>40</v>
      </c>
      <c r="F14" s="1" t="s">
        <v>47</v>
      </c>
      <c r="G14" s="1" t="s">
        <v>43</v>
      </c>
      <c r="H14" s="1" t="s">
        <v>44</v>
      </c>
      <c r="I14" s="1" t="s">
        <v>48</v>
      </c>
      <c r="J14" s="1" t="s">
        <v>49</v>
      </c>
      <c r="K14" s="1">
        <v>100</v>
      </c>
      <c r="L14" s="1">
        <v>6080</v>
      </c>
      <c r="M14" s="1">
        <v>608000</v>
      </c>
      <c r="N14" s="1" t="s">
        <v>50</v>
      </c>
      <c r="O14" s="1">
        <v>0</v>
      </c>
    </row>
    <row r="15" spans="1:15">
      <c r="A15" s="1" t="s">
        <v>172</v>
      </c>
      <c r="B15" s="1">
        <v>20260820</v>
      </c>
      <c r="C15" s="1">
        <v>3436</v>
      </c>
      <c r="D15" s="1" t="s">
        <v>140</v>
      </c>
      <c r="E15" s="1" t="s">
        <v>40</v>
      </c>
      <c r="F15" s="1" t="s">
        <v>42</v>
      </c>
      <c r="G15" s="1" t="s">
        <v>43</v>
      </c>
      <c r="H15" s="1" t="s">
        <v>44</v>
      </c>
      <c r="I15" s="1" t="s">
        <v>45</v>
      </c>
      <c r="J15" s="1" t="s">
        <v>46</v>
      </c>
      <c r="K15" s="1">
        <v>100</v>
      </c>
      <c r="L15" s="1">
        <v>4115.8</v>
      </c>
      <c r="M15" s="1">
        <v>411580</v>
      </c>
      <c r="N15" s="1" t="s">
        <v>31</v>
      </c>
      <c r="O15" s="1">
        <v>0</v>
      </c>
    </row>
    <row r="16" spans="1:15">
      <c r="A16" t="s">
        <v>175</v>
      </c>
      <c r="B16">
        <v>20260820</v>
      </c>
      <c r="C16">
        <v>3436</v>
      </c>
      <c r="D16" t="s">
        <v>140</v>
      </c>
      <c r="E16" t="s">
        <v>40</v>
      </c>
      <c r="F16" t="s">
        <v>42</v>
      </c>
      <c r="G16" t="s">
        <v>43</v>
      </c>
      <c r="H16" t="s">
        <v>44</v>
      </c>
      <c r="I16" t="s">
        <v>48</v>
      </c>
      <c r="J16" t="s">
        <v>49</v>
      </c>
      <c r="K16">
        <v>100</v>
      </c>
      <c r="L16">
        <v>4123.7</v>
      </c>
      <c r="M16">
        <v>412370</v>
      </c>
      <c r="N16" t="s">
        <v>50</v>
      </c>
      <c r="O16">
        <v>0</v>
      </c>
    </row>
    <row r="17" spans="1:15">
      <c r="A17" s="1" t="s">
        <v>178</v>
      </c>
      <c r="B17" s="1">
        <v>20260820</v>
      </c>
      <c r="C17" s="1">
        <v>9984</v>
      </c>
      <c r="D17" s="1" t="s">
        <v>131</v>
      </c>
      <c r="E17" s="1" t="s">
        <v>40</v>
      </c>
      <c r="F17" s="1" t="s">
        <v>42</v>
      </c>
      <c r="G17" s="1" t="s">
        <v>43</v>
      </c>
      <c r="H17" s="1" t="s">
        <v>44</v>
      </c>
      <c r="I17" s="1" t="s">
        <v>45</v>
      </c>
      <c r="J17" s="1" t="s">
        <v>46</v>
      </c>
      <c r="K17" s="1">
        <v>100</v>
      </c>
      <c r="L17" s="1">
        <v>6082.6</v>
      </c>
      <c r="M17" s="1">
        <v>608260</v>
      </c>
      <c r="N17" s="1" t="s">
        <v>31</v>
      </c>
      <c r="O17" s="1">
        <v>0</v>
      </c>
    </row>
    <row r="18" spans="1:15">
      <c r="A18" t="s">
        <v>181</v>
      </c>
      <c r="B18">
        <v>20260820</v>
      </c>
      <c r="C18">
        <v>9984</v>
      </c>
      <c r="D18" t="s">
        <v>131</v>
      </c>
      <c r="E18" t="s">
        <v>40</v>
      </c>
      <c r="F18" t="s">
        <v>47</v>
      </c>
      <c r="G18" t="s">
        <v>43</v>
      </c>
      <c r="H18" t="s">
        <v>44</v>
      </c>
      <c r="I18" t="s">
        <v>48</v>
      </c>
      <c r="J18" t="s">
        <v>49</v>
      </c>
      <c r="K18">
        <v>100</v>
      </c>
      <c r="L18">
        <v>6141</v>
      </c>
      <c r="M18">
        <v>614100</v>
      </c>
      <c r="N18" t="s">
        <v>50</v>
      </c>
      <c r="O18">
        <v>0</v>
      </c>
    </row>
    <row r="19" spans="1:15">
      <c r="A19" t="s">
        <v>184</v>
      </c>
      <c r="B19">
        <v>20260820</v>
      </c>
      <c r="C19">
        <v>9984</v>
      </c>
      <c r="D19" t="s">
        <v>131</v>
      </c>
      <c r="E19" t="s">
        <v>40</v>
      </c>
      <c r="F19" t="s">
        <v>42</v>
      </c>
      <c r="G19" t="s">
        <v>43</v>
      </c>
      <c r="H19" t="s">
        <v>44</v>
      </c>
      <c r="I19" t="s">
        <v>45</v>
      </c>
      <c r="J19" t="s">
        <v>46</v>
      </c>
      <c r="K19">
        <v>100</v>
      </c>
      <c r="L19">
        <v>6178.4</v>
      </c>
      <c r="M19">
        <v>617840</v>
      </c>
      <c r="N19" t="s">
        <v>31</v>
      </c>
      <c r="O19">
        <v>0</v>
      </c>
    </row>
    <row r="20" spans="1:15">
      <c r="A20" t="s">
        <v>187</v>
      </c>
      <c r="B20">
        <v>20260820</v>
      </c>
      <c r="C20">
        <v>3436</v>
      </c>
      <c r="D20" t="s">
        <v>140</v>
      </c>
      <c r="E20" t="s">
        <v>40</v>
      </c>
      <c r="F20" t="s">
        <v>42</v>
      </c>
      <c r="G20" t="s">
        <v>43</v>
      </c>
      <c r="H20" t="s">
        <v>44</v>
      </c>
      <c r="I20" t="s">
        <v>45</v>
      </c>
      <c r="J20" t="s">
        <v>46</v>
      </c>
      <c r="K20">
        <v>100</v>
      </c>
      <c r="L20">
        <v>4120.8999999999996</v>
      </c>
      <c r="M20">
        <v>412090</v>
      </c>
      <c r="N20" t="s">
        <v>31</v>
      </c>
      <c r="O20">
        <v>0</v>
      </c>
    </row>
    <row r="21" spans="1:15">
      <c r="A21" t="s">
        <v>190</v>
      </c>
      <c r="B21">
        <v>20260820</v>
      </c>
      <c r="C21">
        <v>9984</v>
      </c>
      <c r="D21" t="s">
        <v>131</v>
      </c>
      <c r="E21" t="s">
        <v>40</v>
      </c>
      <c r="F21" t="s">
        <v>42</v>
      </c>
      <c r="G21" t="s">
        <v>43</v>
      </c>
      <c r="H21" t="s">
        <v>44</v>
      </c>
      <c r="I21" t="s">
        <v>48</v>
      </c>
      <c r="J21" t="s">
        <v>49</v>
      </c>
      <c r="K21">
        <v>100</v>
      </c>
      <c r="L21">
        <v>6202.1</v>
      </c>
      <c r="M21">
        <v>620210</v>
      </c>
      <c r="N21" t="s">
        <v>50</v>
      </c>
      <c r="O21">
        <v>0</v>
      </c>
    </row>
    <row r="22" spans="1:15">
      <c r="A22" t="s">
        <v>193</v>
      </c>
      <c r="B22">
        <v>20260820</v>
      </c>
      <c r="C22">
        <v>3436</v>
      </c>
      <c r="D22" t="s">
        <v>140</v>
      </c>
      <c r="E22" t="s">
        <v>40</v>
      </c>
      <c r="F22" t="s">
        <v>42</v>
      </c>
      <c r="G22" t="s">
        <v>43</v>
      </c>
      <c r="H22" t="s">
        <v>44</v>
      </c>
      <c r="I22" t="s">
        <v>48</v>
      </c>
      <c r="J22" t="s">
        <v>49</v>
      </c>
      <c r="K22">
        <v>100</v>
      </c>
      <c r="L22">
        <v>4062.1</v>
      </c>
      <c r="M22">
        <v>406210</v>
      </c>
      <c r="N22" t="s">
        <v>50</v>
      </c>
      <c r="O22">
        <v>0</v>
      </c>
    </row>
    <row r="23" spans="1:15">
      <c r="A23" t="s">
        <v>196</v>
      </c>
      <c r="B23">
        <v>20260820</v>
      </c>
      <c r="C23">
        <v>3436</v>
      </c>
      <c r="D23" t="s">
        <v>140</v>
      </c>
      <c r="E23" t="s">
        <v>40</v>
      </c>
      <c r="F23" t="s">
        <v>42</v>
      </c>
      <c r="G23" t="s">
        <v>43</v>
      </c>
      <c r="H23" t="s">
        <v>44</v>
      </c>
      <c r="I23" t="s">
        <v>45</v>
      </c>
      <c r="J23" t="s">
        <v>46</v>
      </c>
      <c r="K23">
        <v>100</v>
      </c>
      <c r="L23">
        <v>4058.9</v>
      </c>
      <c r="M23">
        <v>405890</v>
      </c>
      <c r="N23" t="s">
        <v>31</v>
      </c>
      <c r="O23">
        <v>0</v>
      </c>
    </row>
    <row r="24" spans="1:15">
      <c r="A24" t="s">
        <v>199</v>
      </c>
      <c r="B24">
        <v>20260820</v>
      </c>
      <c r="C24">
        <v>9984</v>
      </c>
      <c r="D24" t="s">
        <v>131</v>
      </c>
      <c r="E24" t="s">
        <v>40</v>
      </c>
      <c r="F24" t="s">
        <v>42</v>
      </c>
      <c r="G24" t="s">
        <v>43</v>
      </c>
      <c r="H24" t="s">
        <v>44</v>
      </c>
      <c r="I24" t="s">
        <v>45</v>
      </c>
      <c r="J24" t="s">
        <v>46</v>
      </c>
      <c r="K24">
        <v>100</v>
      </c>
      <c r="L24">
        <v>6171.9</v>
      </c>
      <c r="M24">
        <v>617190</v>
      </c>
      <c r="N24" t="s">
        <v>31</v>
      </c>
      <c r="O24">
        <v>0</v>
      </c>
    </row>
    <row r="25" spans="1:15">
      <c r="A25" t="s">
        <v>202</v>
      </c>
      <c r="B25">
        <v>20260820</v>
      </c>
      <c r="C25">
        <v>9984</v>
      </c>
      <c r="D25" t="s">
        <v>131</v>
      </c>
      <c r="E25" t="s">
        <v>40</v>
      </c>
      <c r="F25" t="s">
        <v>42</v>
      </c>
      <c r="G25" t="s">
        <v>43</v>
      </c>
      <c r="H25" t="s">
        <v>44</v>
      </c>
      <c r="I25" t="s">
        <v>48</v>
      </c>
      <c r="J25" t="s">
        <v>49</v>
      </c>
      <c r="K25">
        <v>100</v>
      </c>
      <c r="L25">
        <v>6170.1</v>
      </c>
      <c r="M25">
        <v>617010</v>
      </c>
      <c r="N25" t="s">
        <v>50</v>
      </c>
      <c r="O25">
        <v>0</v>
      </c>
    </row>
    <row r="26" spans="1:15">
      <c r="A26" t="s">
        <v>205</v>
      </c>
      <c r="B26">
        <v>20260820</v>
      </c>
      <c r="C26">
        <v>3436</v>
      </c>
      <c r="D26" t="s">
        <v>140</v>
      </c>
      <c r="E26" t="s">
        <v>40</v>
      </c>
      <c r="F26" t="s">
        <v>47</v>
      </c>
      <c r="G26" t="s">
        <v>43</v>
      </c>
      <c r="H26" t="s">
        <v>44</v>
      </c>
      <c r="I26" t="s">
        <v>48</v>
      </c>
      <c r="J26" t="s">
        <v>49</v>
      </c>
      <c r="K26">
        <v>100</v>
      </c>
      <c r="L26">
        <v>4018</v>
      </c>
      <c r="M26">
        <v>401800</v>
      </c>
      <c r="N26" t="s">
        <v>50</v>
      </c>
      <c r="O26">
        <v>0</v>
      </c>
    </row>
    <row r="27" spans="1:15">
      <c r="A27" t="s">
        <v>209</v>
      </c>
      <c r="B27">
        <v>20260820</v>
      </c>
      <c r="C27">
        <v>9984</v>
      </c>
      <c r="D27" t="s">
        <v>131</v>
      </c>
      <c r="E27" t="s">
        <v>40</v>
      </c>
      <c r="F27" t="s">
        <v>42</v>
      </c>
      <c r="G27" t="s">
        <v>43</v>
      </c>
      <c r="H27" t="s">
        <v>44</v>
      </c>
      <c r="I27" t="s">
        <v>45</v>
      </c>
      <c r="J27" t="s">
        <v>46</v>
      </c>
      <c r="K27">
        <v>100</v>
      </c>
      <c r="L27">
        <v>6152.9</v>
      </c>
      <c r="M27">
        <v>615290</v>
      </c>
      <c r="N27" t="s">
        <v>31</v>
      </c>
      <c r="O27">
        <v>0</v>
      </c>
    </row>
    <row r="28" spans="1:15">
      <c r="A28" t="s">
        <v>212</v>
      </c>
      <c r="B28">
        <v>20260820</v>
      </c>
      <c r="C28">
        <v>3436</v>
      </c>
      <c r="D28" t="s">
        <v>140</v>
      </c>
      <c r="E28" t="s">
        <v>40</v>
      </c>
      <c r="F28" t="s">
        <v>42</v>
      </c>
      <c r="G28" t="s">
        <v>43</v>
      </c>
      <c r="H28" t="s">
        <v>44</v>
      </c>
      <c r="I28" t="s">
        <v>45</v>
      </c>
      <c r="J28" t="s">
        <v>46</v>
      </c>
      <c r="K28">
        <v>100</v>
      </c>
      <c r="L28">
        <v>4048.9</v>
      </c>
      <c r="M28">
        <v>404890</v>
      </c>
      <c r="N28" t="s">
        <v>31</v>
      </c>
      <c r="O28">
        <v>0</v>
      </c>
    </row>
    <row r="29" spans="1:15">
      <c r="A29" t="s">
        <v>215</v>
      </c>
      <c r="B29">
        <v>20260820</v>
      </c>
      <c r="C29">
        <v>9984</v>
      </c>
      <c r="D29" t="s">
        <v>131</v>
      </c>
      <c r="E29" t="s">
        <v>40</v>
      </c>
      <c r="F29" t="s">
        <v>42</v>
      </c>
      <c r="G29" t="s">
        <v>43</v>
      </c>
      <c r="H29" t="s">
        <v>44</v>
      </c>
      <c r="I29" t="s">
        <v>48</v>
      </c>
      <c r="J29" t="s">
        <v>49</v>
      </c>
      <c r="K29">
        <v>100</v>
      </c>
      <c r="L29">
        <v>6157.1</v>
      </c>
      <c r="M29">
        <v>615710</v>
      </c>
      <c r="N29" t="s">
        <v>50</v>
      </c>
      <c r="O29">
        <v>0</v>
      </c>
    </row>
    <row r="30" spans="1:15">
      <c r="A30" t="s">
        <v>218</v>
      </c>
      <c r="B30">
        <v>20260820</v>
      </c>
      <c r="C30">
        <v>6613</v>
      </c>
      <c r="D30" t="s">
        <v>39</v>
      </c>
      <c r="E30" t="s">
        <v>40</v>
      </c>
      <c r="F30" t="s">
        <v>42</v>
      </c>
      <c r="G30" t="s">
        <v>43</v>
      </c>
      <c r="H30" t="s">
        <v>44</v>
      </c>
      <c r="I30" t="s">
        <v>45</v>
      </c>
      <c r="J30" t="s">
        <v>46</v>
      </c>
      <c r="K30">
        <v>100</v>
      </c>
      <c r="L30">
        <v>2144.1999999999998</v>
      </c>
      <c r="M30">
        <v>214420</v>
      </c>
      <c r="N30" t="s">
        <v>31</v>
      </c>
      <c r="O30">
        <v>0</v>
      </c>
    </row>
    <row r="31" spans="1:15">
      <c r="A31" t="s">
        <v>221</v>
      </c>
      <c r="B31">
        <v>20260820</v>
      </c>
      <c r="C31">
        <v>6613</v>
      </c>
      <c r="D31" t="s">
        <v>39</v>
      </c>
      <c r="E31" t="s">
        <v>40</v>
      </c>
      <c r="F31" t="s">
        <v>42</v>
      </c>
      <c r="G31" t="s">
        <v>43</v>
      </c>
      <c r="H31" t="s">
        <v>44</v>
      </c>
      <c r="I31" t="s">
        <v>48</v>
      </c>
      <c r="J31" t="s">
        <v>49</v>
      </c>
      <c r="K31">
        <v>100</v>
      </c>
      <c r="L31">
        <v>2184.6</v>
      </c>
      <c r="M31">
        <v>218460</v>
      </c>
      <c r="N31" t="s">
        <v>50</v>
      </c>
      <c r="O31">
        <v>0</v>
      </c>
    </row>
    <row r="32" spans="1:15">
      <c r="A32" t="s">
        <v>224</v>
      </c>
      <c r="B32">
        <v>20260820</v>
      </c>
      <c r="C32">
        <v>3436</v>
      </c>
      <c r="D32" t="s">
        <v>140</v>
      </c>
      <c r="E32" t="s">
        <v>40</v>
      </c>
      <c r="F32" t="s">
        <v>42</v>
      </c>
      <c r="G32" t="s">
        <v>43</v>
      </c>
      <c r="H32" t="s">
        <v>44</v>
      </c>
      <c r="I32" t="s">
        <v>48</v>
      </c>
      <c r="J32" t="s">
        <v>49</v>
      </c>
      <c r="K32">
        <v>100</v>
      </c>
      <c r="L32">
        <v>4034.2</v>
      </c>
      <c r="M32">
        <v>403420</v>
      </c>
      <c r="N32" t="s">
        <v>50</v>
      </c>
      <c r="O32">
        <v>0</v>
      </c>
    </row>
    <row r="33" spans="1:15">
      <c r="A33" t="s">
        <v>227</v>
      </c>
      <c r="B33">
        <v>20260820</v>
      </c>
      <c r="C33">
        <v>3436</v>
      </c>
      <c r="D33" t="s">
        <v>140</v>
      </c>
      <c r="E33" t="s">
        <v>40</v>
      </c>
      <c r="F33" t="s">
        <v>42</v>
      </c>
      <c r="G33" t="s">
        <v>43</v>
      </c>
      <c r="H33" t="s">
        <v>44</v>
      </c>
      <c r="I33" t="s">
        <v>45</v>
      </c>
      <c r="J33" t="s">
        <v>46</v>
      </c>
      <c r="K33">
        <v>100</v>
      </c>
      <c r="L33">
        <v>4021.7</v>
      </c>
      <c r="M33">
        <v>402170</v>
      </c>
      <c r="N33" t="s">
        <v>31</v>
      </c>
      <c r="O33">
        <v>0</v>
      </c>
    </row>
    <row r="34" spans="1:15">
      <c r="A34" t="s">
        <v>230</v>
      </c>
      <c r="B34">
        <v>20260820</v>
      </c>
      <c r="C34">
        <v>6613</v>
      </c>
      <c r="D34" t="s">
        <v>39</v>
      </c>
      <c r="E34" t="s">
        <v>40</v>
      </c>
      <c r="F34" t="s">
        <v>42</v>
      </c>
      <c r="G34" t="s">
        <v>43</v>
      </c>
      <c r="H34" t="s">
        <v>44</v>
      </c>
      <c r="I34" t="s">
        <v>45</v>
      </c>
      <c r="J34" t="s">
        <v>46</v>
      </c>
      <c r="K34">
        <v>100</v>
      </c>
      <c r="L34">
        <v>2188.8000000000002</v>
      </c>
      <c r="M34">
        <v>218880</v>
      </c>
      <c r="N34" t="s">
        <v>31</v>
      </c>
      <c r="O34">
        <v>0</v>
      </c>
    </row>
    <row r="35" spans="1:15">
      <c r="A35" t="s">
        <v>233</v>
      </c>
      <c r="B35">
        <v>20260820</v>
      </c>
      <c r="C35">
        <v>6613</v>
      </c>
      <c r="D35" t="s">
        <v>39</v>
      </c>
      <c r="E35" t="s">
        <v>40</v>
      </c>
      <c r="F35" t="s">
        <v>42</v>
      </c>
      <c r="G35" t="s">
        <v>43</v>
      </c>
      <c r="H35" t="s">
        <v>44</v>
      </c>
      <c r="I35" t="s">
        <v>48</v>
      </c>
      <c r="J35" t="s">
        <v>49</v>
      </c>
      <c r="K35">
        <v>100</v>
      </c>
      <c r="L35">
        <v>2206.4</v>
      </c>
      <c r="M35">
        <v>220640</v>
      </c>
      <c r="N35" t="s">
        <v>50</v>
      </c>
      <c r="O35">
        <v>0</v>
      </c>
    </row>
    <row r="36" spans="1:15">
      <c r="A36" t="s">
        <v>237</v>
      </c>
      <c r="B36">
        <v>20260820</v>
      </c>
      <c r="C36">
        <v>4063</v>
      </c>
      <c r="D36" t="s">
        <v>236</v>
      </c>
      <c r="E36" t="s">
        <v>40</v>
      </c>
      <c r="F36" t="s">
        <v>42</v>
      </c>
      <c r="G36" t="s">
        <v>43</v>
      </c>
      <c r="H36" t="s">
        <v>44</v>
      </c>
      <c r="I36" t="s">
        <v>45</v>
      </c>
      <c r="J36" t="s">
        <v>46</v>
      </c>
      <c r="K36">
        <v>100</v>
      </c>
      <c r="L36">
        <v>6391</v>
      </c>
      <c r="M36">
        <v>639100</v>
      </c>
      <c r="N36" t="s">
        <v>31</v>
      </c>
      <c r="O36">
        <v>0</v>
      </c>
    </row>
    <row r="37" spans="1:15">
      <c r="A37" t="s">
        <v>240</v>
      </c>
      <c r="B37">
        <v>20260820</v>
      </c>
      <c r="C37">
        <v>9984</v>
      </c>
      <c r="D37" t="s">
        <v>131</v>
      </c>
      <c r="E37" t="s">
        <v>40</v>
      </c>
      <c r="F37" t="s">
        <v>42</v>
      </c>
      <c r="G37" t="s">
        <v>43</v>
      </c>
      <c r="H37" t="s">
        <v>44</v>
      </c>
      <c r="I37" t="s">
        <v>45</v>
      </c>
      <c r="J37" t="s">
        <v>46</v>
      </c>
      <c r="K37">
        <v>100</v>
      </c>
      <c r="L37">
        <v>6135.9</v>
      </c>
      <c r="M37">
        <v>613590</v>
      </c>
      <c r="N37" t="s">
        <v>31</v>
      </c>
      <c r="O37">
        <v>0</v>
      </c>
    </row>
    <row r="38" spans="1:15">
      <c r="A38" t="s">
        <v>243</v>
      </c>
      <c r="B38">
        <v>20260820</v>
      </c>
      <c r="C38">
        <v>9984</v>
      </c>
      <c r="D38" t="s">
        <v>131</v>
      </c>
      <c r="E38" t="s">
        <v>40</v>
      </c>
      <c r="F38" t="s">
        <v>42</v>
      </c>
      <c r="G38" t="s">
        <v>43</v>
      </c>
      <c r="H38" t="s">
        <v>44</v>
      </c>
      <c r="I38" t="s">
        <v>48</v>
      </c>
      <c r="J38" t="s">
        <v>49</v>
      </c>
      <c r="K38">
        <v>100</v>
      </c>
      <c r="L38">
        <v>6111.8</v>
      </c>
      <c r="M38">
        <v>611180</v>
      </c>
      <c r="N38" t="s">
        <v>50</v>
      </c>
      <c r="O38">
        <v>0</v>
      </c>
    </row>
    <row r="39" spans="1:15">
      <c r="A39" t="s">
        <v>246</v>
      </c>
      <c r="B39">
        <v>20260820</v>
      </c>
      <c r="C39">
        <v>9984</v>
      </c>
      <c r="D39" t="s">
        <v>131</v>
      </c>
      <c r="E39" t="s">
        <v>40</v>
      </c>
      <c r="F39" t="s">
        <v>42</v>
      </c>
      <c r="G39" t="s">
        <v>43</v>
      </c>
      <c r="H39" t="s">
        <v>44</v>
      </c>
      <c r="I39" t="s">
        <v>45</v>
      </c>
      <c r="J39" t="s">
        <v>46</v>
      </c>
      <c r="K39">
        <v>100</v>
      </c>
      <c r="L39">
        <v>6108.9</v>
      </c>
      <c r="M39">
        <v>610890</v>
      </c>
      <c r="N39" t="s">
        <v>31</v>
      </c>
      <c r="O39">
        <v>0</v>
      </c>
    </row>
    <row r="40" spans="1:15">
      <c r="A40" t="s">
        <v>249</v>
      </c>
      <c r="B40">
        <v>20260820</v>
      </c>
      <c r="C40">
        <v>9984</v>
      </c>
      <c r="D40" t="s">
        <v>131</v>
      </c>
      <c r="E40" t="s">
        <v>40</v>
      </c>
      <c r="F40" t="s">
        <v>42</v>
      </c>
      <c r="G40" t="s">
        <v>43</v>
      </c>
      <c r="H40" t="s">
        <v>44</v>
      </c>
      <c r="I40" t="s">
        <v>48</v>
      </c>
      <c r="J40" t="s">
        <v>49</v>
      </c>
      <c r="K40">
        <v>100</v>
      </c>
      <c r="L40">
        <v>6152</v>
      </c>
      <c r="M40">
        <v>615200</v>
      </c>
      <c r="N40" t="s">
        <v>50</v>
      </c>
      <c r="O40">
        <v>0</v>
      </c>
    </row>
    <row r="41" spans="1:15">
      <c r="A41" t="s">
        <v>252</v>
      </c>
      <c r="B41">
        <v>20260820</v>
      </c>
      <c r="C41">
        <v>6613</v>
      </c>
      <c r="D41" t="s">
        <v>39</v>
      </c>
      <c r="E41" t="s">
        <v>40</v>
      </c>
      <c r="F41" t="s">
        <v>42</v>
      </c>
      <c r="G41" t="s">
        <v>43</v>
      </c>
      <c r="H41" t="s">
        <v>44</v>
      </c>
      <c r="I41" t="s">
        <v>45</v>
      </c>
      <c r="J41" t="s">
        <v>46</v>
      </c>
      <c r="K41">
        <v>100</v>
      </c>
      <c r="L41">
        <v>2248.6</v>
      </c>
      <c r="M41">
        <v>224860</v>
      </c>
      <c r="N41" t="s">
        <v>31</v>
      </c>
      <c r="O41">
        <v>0</v>
      </c>
    </row>
    <row r="42" spans="1:15">
      <c r="A42" t="s">
        <v>255</v>
      </c>
      <c r="B42">
        <v>20260820</v>
      </c>
      <c r="C42">
        <v>6613</v>
      </c>
      <c r="D42" t="s">
        <v>39</v>
      </c>
      <c r="E42" t="s">
        <v>40</v>
      </c>
      <c r="F42" t="s">
        <v>42</v>
      </c>
      <c r="G42" t="s">
        <v>43</v>
      </c>
      <c r="H42" t="s">
        <v>44</v>
      </c>
      <c r="I42" t="s">
        <v>48</v>
      </c>
      <c r="J42" t="s">
        <v>49</v>
      </c>
      <c r="K42">
        <v>100</v>
      </c>
      <c r="L42">
        <v>2284.1999999999998</v>
      </c>
      <c r="M42">
        <v>228420</v>
      </c>
      <c r="N42" t="s">
        <v>50</v>
      </c>
      <c r="O42">
        <v>0</v>
      </c>
    </row>
    <row r="43" spans="1:15">
      <c r="A43" t="s">
        <v>258</v>
      </c>
      <c r="B43">
        <v>20260820</v>
      </c>
      <c r="C43">
        <v>6613</v>
      </c>
      <c r="D43" t="s">
        <v>39</v>
      </c>
      <c r="E43" t="s">
        <v>40</v>
      </c>
      <c r="F43" t="s">
        <v>42</v>
      </c>
      <c r="G43" t="s">
        <v>43</v>
      </c>
      <c r="H43" t="s">
        <v>44</v>
      </c>
      <c r="I43" t="s">
        <v>45</v>
      </c>
      <c r="J43" t="s">
        <v>46</v>
      </c>
      <c r="K43">
        <v>100</v>
      </c>
      <c r="L43">
        <v>2287.1999999999998</v>
      </c>
      <c r="M43">
        <v>228720</v>
      </c>
      <c r="N43" t="s">
        <v>31</v>
      </c>
      <c r="O43">
        <v>0</v>
      </c>
    </row>
    <row r="44" spans="1:15">
      <c r="A44" t="s">
        <v>261</v>
      </c>
      <c r="B44">
        <v>20260820</v>
      </c>
      <c r="C44">
        <v>6613</v>
      </c>
      <c r="D44" t="s">
        <v>39</v>
      </c>
      <c r="E44" t="s">
        <v>40</v>
      </c>
      <c r="F44" t="s">
        <v>42</v>
      </c>
      <c r="G44" t="s">
        <v>43</v>
      </c>
      <c r="H44" t="s">
        <v>44</v>
      </c>
      <c r="I44" t="s">
        <v>48</v>
      </c>
      <c r="J44" t="s">
        <v>49</v>
      </c>
      <c r="K44">
        <v>100</v>
      </c>
      <c r="L44">
        <v>2272.8000000000002</v>
      </c>
      <c r="M44">
        <v>227280</v>
      </c>
      <c r="N44" t="s">
        <v>50</v>
      </c>
      <c r="O44">
        <v>0</v>
      </c>
    </row>
    <row r="45" spans="1:15">
      <c r="A45" t="s">
        <v>264</v>
      </c>
      <c r="B45">
        <v>20260820</v>
      </c>
      <c r="C45">
        <v>6613</v>
      </c>
      <c r="D45" t="s">
        <v>39</v>
      </c>
      <c r="E45" t="s">
        <v>40</v>
      </c>
      <c r="F45" t="s">
        <v>42</v>
      </c>
      <c r="G45" t="s">
        <v>43</v>
      </c>
      <c r="H45" t="s">
        <v>44</v>
      </c>
      <c r="I45" t="s">
        <v>45</v>
      </c>
      <c r="J45" t="s">
        <v>46</v>
      </c>
      <c r="K45">
        <v>100</v>
      </c>
      <c r="L45">
        <v>2270.8000000000002</v>
      </c>
      <c r="M45">
        <v>227080</v>
      </c>
      <c r="N45" t="s">
        <v>31</v>
      </c>
      <c r="O45">
        <v>0</v>
      </c>
    </row>
    <row r="46" spans="1:15">
      <c r="A46" t="s">
        <v>267</v>
      </c>
      <c r="B46">
        <v>20260820</v>
      </c>
      <c r="C46">
        <v>6613</v>
      </c>
      <c r="D46" t="s">
        <v>39</v>
      </c>
      <c r="E46" t="s">
        <v>40</v>
      </c>
      <c r="F46" t="s">
        <v>523</v>
      </c>
      <c r="G46" t="s">
        <v>43</v>
      </c>
      <c r="H46" t="s">
        <v>44</v>
      </c>
      <c r="I46" t="s">
        <v>48</v>
      </c>
      <c r="J46" t="s">
        <v>49</v>
      </c>
      <c r="K46">
        <v>100</v>
      </c>
      <c r="L46">
        <v>2235.1</v>
      </c>
      <c r="M46">
        <v>223510</v>
      </c>
      <c r="N46" t="s">
        <v>50</v>
      </c>
      <c r="O46">
        <v>0</v>
      </c>
    </row>
    <row r="47" spans="1:15">
      <c r="A47" t="s">
        <v>270</v>
      </c>
      <c r="B47">
        <v>20260820</v>
      </c>
      <c r="C47">
        <v>4063</v>
      </c>
      <c r="D47" t="s">
        <v>236</v>
      </c>
      <c r="E47" t="s">
        <v>40</v>
      </c>
      <c r="F47" t="s">
        <v>42</v>
      </c>
      <c r="G47" t="s">
        <v>43</v>
      </c>
      <c r="H47" t="s">
        <v>44</v>
      </c>
      <c r="I47" t="s">
        <v>48</v>
      </c>
      <c r="J47" t="s">
        <v>49</v>
      </c>
      <c r="K47">
        <v>100</v>
      </c>
      <c r="L47">
        <v>6375.6</v>
      </c>
      <c r="M47">
        <v>637560</v>
      </c>
      <c r="N47" t="s">
        <v>50</v>
      </c>
      <c r="O47">
        <v>0</v>
      </c>
    </row>
    <row r="48" spans="1:15">
      <c r="A48" t="s">
        <v>273</v>
      </c>
      <c r="B48">
        <v>20260820</v>
      </c>
      <c r="C48">
        <v>3436</v>
      </c>
      <c r="D48" t="s">
        <v>140</v>
      </c>
      <c r="E48" t="s">
        <v>40</v>
      </c>
      <c r="F48" t="s">
        <v>42</v>
      </c>
      <c r="G48" t="s">
        <v>43</v>
      </c>
      <c r="H48" t="s">
        <v>44</v>
      </c>
      <c r="I48" t="s">
        <v>48</v>
      </c>
      <c r="J48" t="s">
        <v>49</v>
      </c>
      <c r="K48">
        <v>100</v>
      </c>
      <c r="L48">
        <v>3968.5</v>
      </c>
      <c r="M48">
        <v>396850</v>
      </c>
      <c r="N48" t="s">
        <v>50</v>
      </c>
      <c r="O48">
        <v>0</v>
      </c>
    </row>
    <row r="49" spans="1:15">
      <c r="A49" t="s">
        <v>276</v>
      </c>
      <c r="B49">
        <v>20260820</v>
      </c>
      <c r="C49">
        <v>6613</v>
      </c>
      <c r="D49" t="s">
        <v>39</v>
      </c>
      <c r="E49" t="s">
        <v>40</v>
      </c>
      <c r="F49" t="s">
        <v>42</v>
      </c>
      <c r="G49" t="s">
        <v>43</v>
      </c>
      <c r="H49" t="s">
        <v>44</v>
      </c>
      <c r="I49" t="s">
        <v>45</v>
      </c>
      <c r="J49" t="s">
        <v>46</v>
      </c>
      <c r="K49">
        <v>100</v>
      </c>
      <c r="L49">
        <v>2239.9</v>
      </c>
      <c r="M49">
        <v>223990</v>
      </c>
      <c r="N49" t="s">
        <v>31</v>
      </c>
      <c r="O49">
        <v>0</v>
      </c>
    </row>
    <row r="50" spans="1:15">
      <c r="A50" t="s">
        <v>279</v>
      </c>
      <c r="B50">
        <v>20260820</v>
      </c>
      <c r="C50">
        <v>4063</v>
      </c>
      <c r="D50" t="s">
        <v>236</v>
      </c>
      <c r="E50" t="s">
        <v>40</v>
      </c>
      <c r="F50" t="s">
        <v>42</v>
      </c>
      <c r="G50" t="s">
        <v>43</v>
      </c>
      <c r="H50" t="s">
        <v>44</v>
      </c>
      <c r="I50" t="s">
        <v>45</v>
      </c>
      <c r="J50" t="s">
        <v>46</v>
      </c>
      <c r="K50">
        <v>100</v>
      </c>
      <c r="L50">
        <v>6382.9</v>
      </c>
      <c r="M50">
        <v>638290</v>
      </c>
      <c r="N50" t="s">
        <v>31</v>
      </c>
      <c r="O50">
        <v>0</v>
      </c>
    </row>
    <row r="51" spans="1:15">
      <c r="A51" t="s">
        <v>282</v>
      </c>
      <c r="B51">
        <v>20260820</v>
      </c>
      <c r="C51">
        <v>9984</v>
      </c>
      <c r="D51" t="s">
        <v>131</v>
      </c>
      <c r="E51" t="s">
        <v>40</v>
      </c>
      <c r="F51" t="s">
        <v>42</v>
      </c>
      <c r="G51" t="s">
        <v>43</v>
      </c>
      <c r="H51" t="s">
        <v>44</v>
      </c>
      <c r="I51" t="s">
        <v>45</v>
      </c>
      <c r="J51" t="s">
        <v>46</v>
      </c>
      <c r="K51">
        <v>100</v>
      </c>
      <c r="L51">
        <v>6185.4</v>
      </c>
      <c r="M51">
        <v>618540</v>
      </c>
      <c r="N51" t="s">
        <v>31</v>
      </c>
      <c r="O51">
        <v>0</v>
      </c>
    </row>
    <row r="52" spans="1:15">
      <c r="A52" t="s">
        <v>285</v>
      </c>
      <c r="B52">
        <v>20260820</v>
      </c>
      <c r="C52">
        <v>6613</v>
      </c>
      <c r="D52" t="s">
        <v>39</v>
      </c>
      <c r="E52" t="s">
        <v>40</v>
      </c>
      <c r="F52" t="s">
        <v>42</v>
      </c>
      <c r="G52" t="s">
        <v>43</v>
      </c>
      <c r="H52" t="s">
        <v>44</v>
      </c>
      <c r="I52" t="s">
        <v>48</v>
      </c>
      <c r="J52" t="s">
        <v>49</v>
      </c>
      <c r="K52">
        <v>100</v>
      </c>
      <c r="L52">
        <v>2249.6</v>
      </c>
      <c r="M52">
        <v>224960</v>
      </c>
      <c r="N52" t="s">
        <v>50</v>
      </c>
      <c r="O52">
        <v>0</v>
      </c>
    </row>
    <row r="53" spans="1:15">
      <c r="A53" t="s">
        <v>288</v>
      </c>
      <c r="B53">
        <v>20260820</v>
      </c>
      <c r="C53">
        <v>6613</v>
      </c>
      <c r="D53" t="s">
        <v>39</v>
      </c>
      <c r="E53" t="s">
        <v>40</v>
      </c>
      <c r="F53" t="s">
        <v>42</v>
      </c>
      <c r="G53" t="s">
        <v>43</v>
      </c>
      <c r="H53" t="s">
        <v>44</v>
      </c>
      <c r="I53" t="s">
        <v>45</v>
      </c>
      <c r="J53" t="s">
        <v>46</v>
      </c>
      <c r="K53">
        <v>100</v>
      </c>
      <c r="L53">
        <v>2252.1</v>
      </c>
      <c r="M53">
        <v>225210</v>
      </c>
      <c r="N53" t="s">
        <v>31</v>
      </c>
      <c r="O53">
        <v>0</v>
      </c>
    </row>
    <row r="54" spans="1:15">
      <c r="A54" t="s">
        <v>291</v>
      </c>
      <c r="B54">
        <v>20260820</v>
      </c>
      <c r="C54">
        <v>9984</v>
      </c>
      <c r="D54" t="s">
        <v>131</v>
      </c>
      <c r="E54" t="s">
        <v>40</v>
      </c>
      <c r="F54" t="s">
        <v>42</v>
      </c>
      <c r="G54" t="s">
        <v>43</v>
      </c>
      <c r="H54" t="s">
        <v>44</v>
      </c>
      <c r="I54" t="s">
        <v>48</v>
      </c>
      <c r="J54" t="s">
        <v>49</v>
      </c>
      <c r="K54">
        <v>100</v>
      </c>
      <c r="L54">
        <v>6208</v>
      </c>
      <c r="M54">
        <v>620800</v>
      </c>
      <c r="N54" t="s">
        <v>50</v>
      </c>
      <c r="O54">
        <v>0</v>
      </c>
    </row>
    <row r="55" spans="1:15">
      <c r="A55" t="s">
        <v>294</v>
      </c>
      <c r="B55">
        <v>20260820</v>
      </c>
      <c r="C55">
        <v>6613</v>
      </c>
      <c r="D55" t="s">
        <v>39</v>
      </c>
      <c r="E55" t="s">
        <v>40</v>
      </c>
      <c r="F55" t="s">
        <v>47</v>
      </c>
      <c r="G55" t="s">
        <v>43</v>
      </c>
      <c r="H55" t="s">
        <v>44</v>
      </c>
      <c r="I55" t="s">
        <v>48</v>
      </c>
      <c r="J55" t="s">
        <v>49</v>
      </c>
      <c r="K55">
        <v>100</v>
      </c>
      <c r="L55">
        <v>2243</v>
      </c>
      <c r="M55">
        <v>224300</v>
      </c>
      <c r="N55" t="s">
        <v>50</v>
      </c>
      <c r="O55">
        <v>0</v>
      </c>
    </row>
    <row r="56" spans="1:15">
      <c r="A56" t="s">
        <v>298</v>
      </c>
      <c r="B56">
        <v>20260820</v>
      </c>
      <c r="C56">
        <v>5803</v>
      </c>
      <c r="D56" t="s">
        <v>297</v>
      </c>
      <c r="E56" t="s">
        <v>40</v>
      </c>
      <c r="F56" t="s">
        <v>42</v>
      </c>
      <c r="G56" t="s">
        <v>43</v>
      </c>
      <c r="H56" t="s">
        <v>44</v>
      </c>
      <c r="I56" t="s">
        <v>45</v>
      </c>
      <c r="J56" t="s">
        <v>46</v>
      </c>
      <c r="K56">
        <v>100</v>
      </c>
      <c r="L56">
        <v>6334.8</v>
      </c>
      <c r="M56">
        <v>633480</v>
      </c>
      <c r="N56" t="s">
        <v>31</v>
      </c>
      <c r="O56">
        <v>0</v>
      </c>
    </row>
    <row r="57" spans="1:15">
      <c r="A57" t="s">
        <v>301</v>
      </c>
      <c r="B57">
        <v>20260820</v>
      </c>
      <c r="C57">
        <v>4063</v>
      </c>
      <c r="D57" t="s">
        <v>236</v>
      </c>
      <c r="E57" t="s">
        <v>40</v>
      </c>
      <c r="F57" t="s">
        <v>42</v>
      </c>
      <c r="G57" t="s">
        <v>43</v>
      </c>
      <c r="H57" t="s">
        <v>44</v>
      </c>
      <c r="I57" t="s">
        <v>48</v>
      </c>
      <c r="J57" t="s">
        <v>49</v>
      </c>
      <c r="K57">
        <v>100</v>
      </c>
      <c r="L57">
        <v>6364</v>
      </c>
      <c r="M57">
        <v>636400</v>
      </c>
      <c r="N57" t="s">
        <v>50</v>
      </c>
      <c r="O57">
        <v>0</v>
      </c>
    </row>
    <row r="58" spans="1:15">
      <c r="A58" t="s">
        <v>306</v>
      </c>
      <c r="B58">
        <v>20260820</v>
      </c>
      <c r="C58" t="s">
        <v>304</v>
      </c>
      <c r="D58" t="s">
        <v>305</v>
      </c>
      <c r="E58" t="s">
        <v>40</v>
      </c>
      <c r="F58" t="s">
        <v>42</v>
      </c>
      <c r="G58" t="s">
        <v>43</v>
      </c>
      <c r="H58" t="s">
        <v>44</v>
      </c>
      <c r="I58" t="s">
        <v>45</v>
      </c>
      <c r="J58" t="s">
        <v>46</v>
      </c>
      <c r="K58">
        <v>100</v>
      </c>
      <c r="L58">
        <v>3755</v>
      </c>
      <c r="M58">
        <v>375500</v>
      </c>
      <c r="N58" t="s">
        <v>31</v>
      </c>
      <c r="O58">
        <v>0</v>
      </c>
    </row>
    <row r="59" spans="1:15">
      <c r="A59" t="s">
        <v>309</v>
      </c>
      <c r="B59">
        <v>20260820</v>
      </c>
      <c r="C59">
        <v>6613</v>
      </c>
      <c r="D59" t="s">
        <v>39</v>
      </c>
      <c r="E59" t="s">
        <v>40</v>
      </c>
      <c r="F59" t="s">
        <v>42</v>
      </c>
      <c r="G59" t="s">
        <v>43</v>
      </c>
      <c r="H59" t="s">
        <v>44</v>
      </c>
      <c r="I59" t="s">
        <v>45</v>
      </c>
      <c r="J59" t="s">
        <v>46</v>
      </c>
      <c r="K59">
        <v>100</v>
      </c>
      <c r="L59">
        <v>2222.6</v>
      </c>
      <c r="M59">
        <v>222260</v>
      </c>
      <c r="N59" t="s">
        <v>31</v>
      </c>
      <c r="O59">
        <v>0</v>
      </c>
    </row>
    <row r="60" spans="1:15">
      <c r="A60" t="s">
        <v>312</v>
      </c>
      <c r="B60">
        <v>20260820</v>
      </c>
      <c r="C60">
        <v>5803</v>
      </c>
      <c r="D60" t="s">
        <v>297</v>
      </c>
      <c r="E60" t="s">
        <v>40</v>
      </c>
      <c r="F60" t="s">
        <v>42</v>
      </c>
      <c r="G60" t="s">
        <v>43</v>
      </c>
      <c r="H60" t="s">
        <v>44</v>
      </c>
      <c r="I60" t="s">
        <v>48</v>
      </c>
      <c r="J60" t="s">
        <v>49</v>
      </c>
      <c r="K60">
        <v>100</v>
      </c>
      <c r="L60">
        <v>6346.4</v>
      </c>
      <c r="M60">
        <v>634640</v>
      </c>
      <c r="N60" t="s">
        <v>50</v>
      </c>
      <c r="O60">
        <v>0</v>
      </c>
    </row>
    <row r="61" spans="1:15">
      <c r="A61" t="s">
        <v>315</v>
      </c>
      <c r="B61">
        <v>20260820</v>
      </c>
      <c r="C61">
        <v>6613</v>
      </c>
      <c r="D61" t="s">
        <v>39</v>
      </c>
      <c r="E61" t="s">
        <v>40</v>
      </c>
      <c r="F61" t="s">
        <v>42</v>
      </c>
      <c r="G61" t="s">
        <v>43</v>
      </c>
      <c r="H61" t="s">
        <v>44</v>
      </c>
      <c r="I61" t="s">
        <v>45</v>
      </c>
      <c r="J61" t="s">
        <v>46</v>
      </c>
      <c r="K61">
        <v>100</v>
      </c>
      <c r="L61">
        <v>2205.8000000000002</v>
      </c>
      <c r="M61">
        <v>220580</v>
      </c>
      <c r="N61" t="s">
        <v>31</v>
      </c>
      <c r="O61">
        <v>0</v>
      </c>
    </row>
    <row r="62" spans="1:15">
      <c r="A62" t="s">
        <v>319</v>
      </c>
      <c r="B62">
        <v>20260820</v>
      </c>
      <c r="C62" t="s">
        <v>304</v>
      </c>
      <c r="D62" t="s">
        <v>305</v>
      </c>
      <c r="E62" t="s">
        <v>40</v>
      </c>
      <c r="F62" t="s">
        <v>42</v>
      </c>
      <c r="G62" t="s">
        <v>43</v>
      </c>
      <c r="H62" t="s">
        <v>44</v>
      </c>
      <c r="I62" t="s">
        <v>48</v>
      </c>
      <c r="J62" t="s">
        <v>49</v>
      </c>
      <c r="K62">
        <v>100</v>
      </c>
      <c r="L62">
        <v>3771</v>
      </c>
      <c r="M62">
        <v>377100</v>
      </c>
      <c r="N62" t="s">
        <v>50</v>
      </c>
      <c r="O62">
        <v>0</v>
      </c>
    </row>
    <row r="63" spans="1:15">
      <c r="A63" t="s">
        <v>322</v>
      </c>
      <c r="B63">
        <v>20260820</v>
      </c>
      <c r="C63" t="s">
        <v>304</v>
      </c>
      <c r="D63" t="s">
        <v>305</v>
      </c>
      <c r="E63" t="s">
        <v>40</v>
      </c>
      <c r="F63" t="s">
        <v>42</v>
      </c>
      <c r="G63" t="s">
        <v>43</v>
      </c>
      <c r="H63" t="s">
        <v>44</v>
      </c>
      <c r="I63" t="s">
        <v>45</v>
      </c>
      <c r="J63" t="s">
        <v>46</v>
      </c>
      <c r="K63">
        <v>100</v>
      </c>
      <c r="L63">
        <v>3795.5</v>
      </c>
      <c r="M63">
        <v>379550</v>
      </c>
      <c r="N63" t="s">
        <v>31</v>
      </c>
      <c r="O63">
        <v>0</v>
      </c>
    </row>
    <row r="64" spans="1:15">
      <c r="A64" t="s">
        <v>325</v>
      </c>
      <c r="B64">
        <v>20260820</v>
      </c>
      <c r="C64">
        <v>3436</v>
      </c>
      <c r="D64" t="s">
        <v>140</v>
      </c>
      <c r="E64" t="s">
        <v>40</v>
      </c>
      <c r="F64" t="s">
        <v>42</v>
      </c>
      <c r="G64" t="s">
        <v>43</v>
      </c>
      <c r="H64" t="s">
        <v>44</v>
      </c>
      <c r="I64" t="s">
        <v>45</v>
      </c>
      <c r="J64" t="s">
        <v>46</v>
      </c>
      <c r="K64">
        <v>100</v>
      </c>
      <c r="L64">
        <v>4010.7</v>
      </c>
      <c r="M64">
        <v>401070</v>
      </c>
      <c r="N64" t="s">
        <v>31</v>
      </c>
      <c r="O64">
        <v>0</v>
      </c>
    </row>
    <row r="65" spans="1:15">
      <c r="A65" t="s">
        <v>328</v>
      </c>
      <c r="B65">
        <v>20260820</v>
      </c>
      <c r="C65">
        <v>6613</v>
      </c>
      <c r="D65" t="s">
        <v>39</v>
      </c>
      <c r="E65" t="s">
        <v>40</v>
      </c>
      <c r="F65" t="s">
        <v>42</v>
      </c>
      <c r="G65" t="s">
        <v>43</v>
      </c>
      <c r="H65" t="s">
        <v>44</v>
      </c>
      <c r="I65" t="s">
        <v>48</v>
      </c>
      <c r="J65" t="s">
        <v>49</v>
      </c>
      <c r="K65">
        <v>100</v>
      </c>
      <c r="L65">
        <v>2242</v>
      </c>
      <c r="M65">
        <v>224200</v>
      </c>
      <c r="N65" t="s">
        <v>50</v>
      </c>
      <c r="O65">
        <v>0</v>
      </c>
    </row>
    <row r="66" spans="1:15">
      <c r="A66" t="s">
        <v>331</v>
      </c>
      <c r="B66">
        <v>20260820</v>
      </c>
      <c r="C66">
        <v>6613</v>
      </c>
      <c r="D66" t="s">
        <v>39</v>
      </c>
      <c r="E66" t="s">
        <v>40</v>
      </c>
      <c r="F66" t="s">
        <v>42</v>
      </c>
      <c r="G66" t="s">
        <v>43</v>
      </c>
      <c r="H66" t="s">
        <v>44</v>
      </c>
      <c r="I66" t="s">
        <v>48</v>
      </c>
      <c r="J66" t="s">
        <v>49</v>
      </c>
      <c r="K66">
        <v>100</v>
      </c>
      <c r="L66">
        <v>2241.4</v>
      </c>
      <c r="M66">
        <v>224140</v>
      </c>
      <c r="N66" t="s">
        <v>50</v>
      </c>
      <c r="O66">
        <v>0</v>
      </c>
    </row>
    <row r="67" spans="1:15">
      <c r="A67" t="s">
        <v>334</v>
      </c>
      <c r="B67">
        <v>20260820</v>
      </c>
      <c r="C67">
        <v>3436</v>
      </c>
      <c r="D67" t="s">
        <v>140</v>
      </c>
      <c r="E67" t="s">
        <v>40</v>
      </c>
      <c r="F67" t="s">
        <v>42</v>
      </c>
      <c r="G67" t="s">
        <v>43</v>
      </c>
      <c r="H67" t="s">
        <v>44</v>
      </c>
      <c r="I67" t="s">
        <v>45</v>
      </c>
      <c r="J67" t="s">
        <v>46</v>
      </c>
      <c r="K67">
        <v>100</v>
      </c>
      <c r="L67">
        <v>4000</v>
      </c>
      <c r="M67">
        <v>400000</v>
      </c>
      <c r="N67" t="s">
        <v>31</v>
      </c>
      <c r="O67">
        <v>0</v>
      </c>
    </row>
    <row r="68" spans="1:15">
      <c r="A68" t="s">
        <v>337</v>
      </c>
      <c r="B68">
        <v>20260820</v>
      </c>
      <c r="C68" t="s">
        <v>304</v>
      </c>
      <c r="D68" t="s">
        <v>305</v>
      </c>
      <c r="E68" t="s">
        <v>40</v>
      </c>
      <c r="F68" t="s">
        <v>42</v>
      </c>
      <c r="G68" t="s">
        <v>43</v>
      </c>
      <c r="H68" t="s">
        <v>44</v>
      </c>
      <c r="I68" t="s">
        <v>48</v>
      </c>
      <c r="J68" t="s">
        <v>49</v>
      </c>
      <c r="K68">
        <v>100</v>
      </c>
      <c r="L68">
        <v>3814.5</v>
      </c>
      <c r="M68">
        <v>381450</v>
      </c>
      <c r="N68" t="s">
        <v>50</v>
      </c>
      <c r="O68">
        <v>0</v>
      </c>
    </row>
    <row r="69" spans="1:15">
      <c r="A69" t="s">
        <v>340</v>
      </c>
      <c r="B69">
        <v>20260820</v>
      </c>
      <c r="C69">
        <v>6613</v>
      </c>
      <c r="D69" t="s">
        <v>39</v>
      </c>
      <c r="E69" t="s">
        <v>40</v>
      </c>
      <c r="F69" t="s">
        <v>42</v>
      </c>
      <c r="G69" t="s">
        <v>43</v>
      </c>
      <c r="H69" t="s">
        <v>44</v>
      </c>
      <c r="I69" t="s">
        <v>45</v>
      </c>
      <c r="J69" t="s">
        <v>46</v>
      </c>
      <c r="K69">
        <v>100</v>
      </c>
      <c r="L69">
        <v>2240.6</v>
      </c>
      <c r="M69">
        <v>224060</v>
      </c>
      <c r="N69" t="s">
        <v>31</v>
      </c>
      <c r="O69">
        <v>0</v>
      </c>
    </row>
    <row r="70" spans="1:15">
      <c r="A70" t="s">
        <v>344</v>
      </c>
      <c r="B70">
        <v>20260820</v>
      </c>
      <c r="C70">
        <v>6613</v>
      </c>
      <c r="D70" t="s">
        <v>39</v>
      </c>
      <c r="E70" t="s">
        <v>40</v>
      </c>
      <c r="F70" t="s">
        <v>42</v>
      </c>
      <c r="G70" t="s">
        <v>43</v>
      </c>
      <c r="H70" t="s">
        <v>44</v>
      </c>
      <c r="I70" t="s">
        <v>45</v>
      </c>
      <c r="J70" t="s">
        <v>46</v>
      </c>
      <c r="K70">
        <v>100</v>
      </c>
      <c r="L70">
        <v>2219.6</v>
      </c>
      <c r="M70">
        <v>221960</v>
      </c>
      <c r="N70" t="s">
        <v>31</v>
      </c>
      <c r="O70">
        <v>0</v>
      </c>
    </row>
    <row r="71" spans="1:15">
      <c r="A71" t="s">
        <v>347</v>
      </c>
      <c r="B71">
        <v>20260820</v>
      </c>
      <c r="C71">
        <v>6613</v>
      </c>
      <c r="D71" t="s">
        <v>39</v>
      </c>
      <c r="E71" t="s">
        <v>40</v>
      </c>
      <c r="F71" t="s">
        <v>42</v>
      </c>
      <c r="G71" t="s">
        <v>43</v>
      </c>
      <c r="H71" t="s">
        <v>44</v>
      </c>
      <c r="I71" t="s">
        <v>45</v>
      </c>
      <c r="J71" t="s">
        <v>46</v>
      </c>
      <c r="K71">
        <v>100</v>
      </c>
      <c r="L71">
        <v>2151.6999999999998</v>
      </c>
      <c r="M71">
        <v>215170</v>
      </c>
      <c r="N71" t="s">
        <v>31</v>
      </c>
      <c r="O71">
        <v>0</v>
      </c>
    </row>
    <row r="72" spans="1:15">
      <c r="A72" t="s">
        <v>350</v>
      </c>
      <c r="B72">
        <v>20260820</v>
      </c>
      <c r="C72">
        <v>6613</v>
      </c>
      <c r="D72" t="s">
        <v>39</v>
      </c>
      <c r="E72" t="s">
        <v>40</v>
      </c>
      <c r="F72" t="s">
        <v>42</v>
      </c>
      <c r="G72" t="s">
        <v>43</v>
      </c>
      <c r="H72" t="s">
        <v>44</v>
      </c>
      <c r="I72" t="s">
        <v>48</v>
      </c>
      <c r="J72" t="s">
        <v>49</v>
      </c>
      <c r="K72">
        <v>200</v>
      </c>
      <c r="L72">
        <v>2137.4</v>
      </c>
      <c r="M72">
        <v>427480</v>
      </c>
      <c r="N72" t="s">
        <v>50</v>
      </c>
      <c r="O72">
        <v>0</v>
      </c>
    </row>
    <row r="73" spans="1:15">
      <c r="A73" t="s">
        <v>350</v>
      </c>
      <c r="B73">
        <v>20260820</v>
      </c>
      <c r="C73">
        <v>6613</v>
      </c>
      <c r="D73" t="s">
        <v>39</v>
      </c>
      <c r="E73" t="s">
        <v>40</v>
      </c>
      <c r="F73" t="s">
        <v>42</v>
      </c>
      <c r="G73" t="s">
        <v>43</v>
      </c>
      <c r="H73" t="s">
        <v>44</v>
      </c>
      <c r="I73" t="s">
        <v>48</v>
      </c>
      <c r="J73" t="s">
        <v>49</v>
      </c>
      <c r="K73">
        <v>100</v>
      </c>
      <c r="L73">
        <v>2137.1</v>
      </c>
      <c r="M73">
        <v>213710</v>
      </c>
      <c r="N73" t="s">
        <v>50</v>
      </c>
      <c r="O73">
        <v>0</v>
      </c>
    </row>
    <row r="74" spans="1:15">
      <c r="A74" t="s">
        <v>354</v>
      </c>
      <c r="B74">
        <v>20260820</v>
      </c>
      <c r="C74">
        <v>6613</v>
      </c>
      <c r="D74" t="s">
        <v>39</v>
      </c>
      <c r="E74" t="s">
        <v>40</v>
      </c>
      <c r="F74" t="s">
        <v>42</v>
      </c>
      <c r="G74" t="s">
        <v>43</v>
      </c>
      <c r="H74" t="s">
        <v>44</v>
      </c>
      <c r="I74" t="s">
        <v>45</v>
      </c>
      <c r="J74" t="s">
        <v>46</v>
      </c>
      <c r="K74">
        <v>100</v>
      </c>
      <c r="L74">
        <v>2129.6</v>
      </c>
      <c r="M74">
        <v>212960</v>
      </c>
      <c r="N74" t="s">
        <v>31</v>
      </c>
      <c r="O74">
        <v>0</v>
      </c>
    </row>
    <row r="75" spans="1:15">
      <c r="A75" t="s">
        <v>358</v>
      </c>
      <c r="B75">
        <v>20260820</v>
      </c>
      <c r="C75">
        <v>6613</v>
      </c>
      <c r="D75" t="s">
        <v>39</v>
      </c>
      <c r="E75" t="s">
        <v>40</v>
      </c>
      <c r="F75" t="s">
        <v>42</v>
      </c>
      <c r="G75" t="s">
        <v>43</v>
      </c>
      <c r="H75" t="s">
        <v>44</v>
      </c>
      <c r="I75" t="s">
        <v>45</v>
      </c>
      <c r="J75" t="s">
        <v>46</v>
      </c>
      <c r="K75">
        <v>100</v>
      </c>
      <c r="L75">
        <v>2132.1999999999998</v>
      </c>
      <c r="M75">
        <v>213220</v>
      </c>
      <c r="N75" t="s">
        <v>31</v>
      </c>
      <c r="O75">
        <v>0</v>
      </c>
    </row>
    <row r="76" spans="1:15">
      <c r="A76" t="s">
        <v>361</v>
      </c>
      <c r="B76">
        <v>20260820</v>
      </c>
      <c r="C76">
        <v>9984</v>
      </c>
      <c r="D76" t="s">
        <v>131</v>
      </c>
      <c r="E76" t="s">
        <v>40</v>
      </c>
      <c r="F76" t="s">
        <v>42</v>
      </c>
      <c r="G76" t="s">
        <v>43</v>
      </c>
      <c r="H76" t="s">
        <v>44</v>
      </c>
      <c r="I76" t="s">
        <v>45</v>
      </c>
      <c r="J76" t="s">
        <v>46</v>
      </c>
      <c r="K76">
        <v>100</v>
      </c>
      <c r="L76">
        <v>6056.9</v>
      </c>
      <c r="M76">
        <v>605690</v>
      </c>
      <c r="N76" t="s">
        <v>31</v>
      </c>
      <c r="O76">
        <v>0</v>
      </c>
    </row>
    <row r="77" spans="1:15">
      <c r="A77" t="s">
        <v>364</v>
      </c>
      <c r="B77">
        <v>20260820</v>
      </c>
      <c r="C77">
        <v>6613</v>
      </c>
      <c r="D77" t="s">
        <v>39</v>
      </c>
      <c r="E77" t="s">
        <v>40</v>
      </c>
      <c r="F77" t="s">
        <v>47</v>
      </c>
      <c r="G77" t="s">
        <v>43</v>
      </c>
      <c r="H77" t="s">
        <v>44</v>
      </c>
      <c r="I77" t="s">
        <v>45</v>
      </c>
      <c r="J77" t="s">
        <v>46</v>
      </c>
      <c r="K77">
        <v>100</v>
      </c>
      <c r="L77">
        <v>2139</v>
      </c>
      <c r="M77">
        <v>213900</v>
      </c>
      <c r="N77" t="s">
        <v>31</v>
      </c>
      <c r="O77">
        <v>0</v>
      </c>
    </row>
    <row r="78" spans="1:15">
      <c r="A78" t="s">
        <v>367</v>
      </c>
      <c r="B78">
        <v>20260820</v>
      </c>
      <c r="C78">
        <v>9984</v>
      </c>
      <c r="D78" t="s">
        <v>131</v>
      </c>
      <c r="E78" t="s">
        <v>40</v>
      </c>
      <c r="F78" t="s">
        <v>42</v>
      </c>
      <c r="G78" t="s">
        <v>43</v>
      </c>
      <c r="H78" t="s">
        <v>44</v>
      </c>
      <c r="I78" t="s">
        <v>48</v>
      </c>
      <c r="J78" t="s">
        <v>49</v>
      </c>
      <c r="K78">
        <v>100</v>
      </c>
      <c r="L78">
        <v>5917.9</v>
      </c>
      <c r="M78">
        <v>591790</v>
      </c>
      <c r="N78" t="s">
        <v>50</v>
      </c>
      <c r="O78">
        <v>0</v>
      </c>
    </row>
    <row r="79" spans="1:15">
      <c r="A79" t="s">
        <v>370</v>
      </c>
      <c r="B79">
        <v>20260820</v>
      </c>
      <c r="C79">
        <v>3436</v>
      </c>
      <c r="D79" t="s">
        <v>140</v>
      </c>
      <c r="E79" t="s">
        <v>40</v>
      </c>
      <c r="F79" t="s">
        <v>42</v>
      </c>
      <c r="G79" t="s">
        <v>43</v>
      </c>
      <c r="H79" t="s">
        <v>44</v>
      </c>
      <c r="I79" t="s">
        <v>48</v>
      </c>
      <c r="J79" t="s">
        <v>49</v>
      </c>
      <c r="K79">
        <v>200</v>
      </c>
      <c r="L79">
        <v>3814.4</v>
      </c>
      <c r="M79">
        <v>762880</v>
      </c>
      <c r="N79" t="s">
        <v>50</v>
      </c>
      <c r="O79">
        <v>0</v>
      </c>
    </row>
    <row r="80" spans="1:15">
      <c r="A80" t="s">
        <v>373</v>
      </c>
      <c r="B80">
        <v>20260820</v>
      </c>
      <c r="C80">
        <v>9984</v>
      </c>
      <c r="D80" t="s">
        <v>131</v>
      </c>
      <c r="E80" t="s">
        <v>40</v>
      </c>
      <c r="F80" t="s">
        <v>42</v>
      </c>
      <c r="G80" t="s">
        <v>43</v>
      </c>
      <c r="H80" t="s">
        <v>44</v>
      </c>
      <c r="I80" t="s">
        <v>45</v>
      </c>
      <c r="J80" t="s">
        <v>46</v>
      </c>
      <c r="K80">
        <v>100</v>
      </c>
      <c r="L80">
        <v>5930.9</v>
      </c>
      <c r="M80">
        <v>593090</v>
      </c>
      <c r="N80" t="s">
        <v>31</v>
      </c>
      <c r="O80">
        <v>0</v>
      </c>
    </row>
    <row r="81" spans="1:15">
      <c r="A81" t="s">
        <v>376</v>
      </c>
      <c r="B81">
        <v>20260820</v>
      </c>
      <c r="C81">
        <v>9984</v>
      </c>
      <c r="D81" t="s">
        <v>131</v>
      </c>
      <c r="E81" t="s">
        <v>40</v>
      </c>
      <c r="F81" t="s">
        <v>47</v>
      </c>
      <c r="G81" t="s">
        <v>43</v>
      </c>
      <c r="H81" t="s">
        <v>44</v>
      </c>
      <c r="I81" t="s">
        <v>48</v>
      </c>
      <c r="J81" t="s">
        <v>49</v>
      </c>
      <c r="K81">
        <v>100</v>
      </c>
      <c r="L81">
        <v>5902</v>
      </c>
      <c r="M81">
        <v>590200</v>
      </c>
      <c r="N81" t="s">
        <v>50</v>
      </c>
      <c r="O81">
        <v>0</v>
      </c>
    </row>
    <row r="82" spans="1:15">
      <c r="A82" t="s">
        <v>379</v>
      </c>
      <c r="B82">
        <v>20260820</v>
      </c>
      <c r="C82" t="s">
        <v>304</v>
      </c>
      <c r="D82" t="s">
        <v>305</v>
      </c>
      <c r="E82" t="s">
        <v>40</v>
      </c>
      <c r="F82" t="s">
        <v>42</v>
      </c>
      <c r="G82" t="s">
        <v>43</v>
      </c>
      <c r="H82" t="s">
        <v>44</v>
      </c>
      <c r="I82" t="s">
        <v>45</v>
      </c>
      <c r="J82" t="s">
        <v>46</v>
      </c>
      <c r="K82">
        <v>100</v>
      </c>
      <c r="L82">
        <v>3765</v>
      </c>
      <c r="M82">
        <v>376500</v>
      </c>
      <c r="N82" t="s">
        <v>31</v>
      </c>
      <c r="O82">
        <v>0</v>
      </c>
    </row>
    <row r="83" spans="1:15">
      <c r="A83" t="s">
        <v>382</v>
      </c>
      <c r="B83">
        <v>20260820</v>
      </c>
      <c r="C83" t="s">
        <v>304</v>
      </c>
      <c r="D83" t="s">
        <v>305</v>
      </c>
      <c r="E83" t="s">
        <v>40</v>
      </c>
      <c r="F83" t="s">
        <v>42</v>
      </c>
      <c r="G83" t="s">
        <v>43</v>
      </c>
      <c r="H83" t="s">
        <v>44</v>
      </c>
      <c r="I83" t="s">
        <v>48</v>
      </c>
      <c r="J83" t="s">
        <v>49</v>
      </c>
      <c r="K83">
        <v>100</v>
      </c>
      <c r="L83">
        <v>3767.5</v>
      </c>
      <c r="M83">
        <v>376750</v>
      </c>
      <c r="N83" t="s">
        <v>50</v>
      </c>
      <c r="O83">
        <v>0</v>
      </c>
    </row>
    <row r="84" spans="1:15">
      <c r="A84" t="s">
        <v>385</v>
      </c>
      <c r="B84">
        <v>20260820</v>
      </c>
      <c r="C84">
        <v>9984</v>
      </c>
      <c r="D84" t="s">
        <v>131</v>
      </c>
      <c r="E84" t="s">
        <v>40</v>
      </c>
      <c r="F84" t="s">
        <v>42</v>
      </c>
      <c r="G84" t="s">
        <v>43</v>
      </c>
      <c r="H84" t="s">
        <v>44</v>
      </c>
      <c r="I84" t="s">
        <v>45</v>
      </c>
      <c r="J84" t="s">
        <v>46</v>
      </c>
      <c r="K84">
        <v>100</v>
      </c>
      <c r="L84">
        <v>5927.8</v>
      </c>
      <c r="M84">
        <v>592780</v>
      </c>
      <c r="N84" t="s">
        <v>31</v>
      </c>
      <c r="O84">
        <v>0</v>
      </c>
    </row>
    <row r="85" spans="1:15">
      <c r="A85" t="s">
        <v>388</v>
      </c>
      <c r="B85">
        <v>20260820</v>
      </c>
      <c r="C85">
        <v>6613</v>
      </c>
      <c r="D85" t="s">
        <v>39</v>
      </c>
      <c r="E85" t="s">
        <v>40</v>
      </c>
      <c r="F85" t="s">
        <v>42</v>
      </c>
      <c r="G85" t="s">
        <v>43</v>
      </c>
      <c r="H85" t="s">
        <v>44</v>
      </c>
      <c r="I85" t="s">
        <v>48</v>
      </c>
      <c r="J85" t="s">
        <v>49</v>
      </c>
      <c r="K85">
        <v>100</v>
      </c>
      <c r="L85">
        <v>2046.8</v>
      </c>
      <c r="M85">
        <v>204680</v>
      </c>
      <c r="N85" t="s">
        <v>50</v>
      </c>
      <c r="O85">
        <v>0</v>
      </c>
    </row>
    <row r="86" spans="1:15">
      <c r="A86" t="s">
        <v>391</v>
      </c>
      <c r="B86">
        <v>20260820</v>
      </c>
      <c r="C86">
        <v>3436</v>
      </c>
      <c r="D86" t="s">
        <v>140</v>
      </c>
      <c r="E86" t="s">
        <v>40</v>
      </c>
      <c r="F86" t="s">
        <v>42</v>
      </c>
      <c r="G86" t="s">
        <v>43</v>
      </c>
      <c r="H86" t="s">
        <v>44</v>
      </c>
      <c r="I86" t="s">
        <v>45</v>
      </c>
      <c r="J86" t="s">
        <v>46</v>
      </c>
      <c r="K86">
        <v>100</v>
      </c>
      <c r="L86">
        <v>3826</v>
      </c>
      <c r="M86">
        <v>382600</v>
      </c>
      <c r="N86" t="s">
        <v>31</v>
      </c>
      <c r="O86">
        <v>0</v>
      </c>
    </row>
    <row r="87" spans="1:15">
      <c r="A87" t="s">
        <v>394</v>
      </c>
      <c r="B87">
        <v>20260820</v>
      </c>
      <c r="C87">
        <v>6613</v>
      </c>
      <c r="D87" t="s">
        <v>39</v>
      </c>
      <c r="E87" t="s">
        <v>40</v>
      </c>
      <c r="F87" t="s">
        <v>42</v>
      </c>
      <c r="G87" t="s">
        <v>43</v>
      </c>
      <c r="H87" t="s">
        <v>44</v>
      </c>
      <c r="I87" t="s">
        <v>48</v>
      </c>
      <c r="J87" t="s">
        <v>49</v>
      </c>
      <c r="K87">
        <v>100</v>
      </c>
      <c r="L87">
        <v>2040.4</v>
      </c>
      <c r="M87">
        <v>204040</v>
      </c>
      <c r="N87" t="s">
        <v>50</v>
      </c>
      <c r="O87">
        <v>0</v>
      </c>
    </row>
    <row r="88" spans="1:15">
      <c r="A88" t="s">
        <v>398</v>
      </c>
      <c r="B88">
        <v>20260820</v>
      </c>
      <c r="C88">
        <v>3436</v>
      </c>
      <c r="D88" t="s">
        <v>140</v>
      </c>
      <c r="E88" t="s">
        <v>40</v>
      </c>
      <c r="F88" t="s">
        <v>42</v>
      </c>
      <c r="G88" t="s">
        <v>43</v>
      </c>
      <c r="H88" t="s">
        <v>44</v>
      </c>
      <c r="I88" t="s">
        <v>45</v>
      </c>
      <c r="J88" t="s">
        <v>46</v>
      </c>
      <c r="K88">
        <v>100</v>
      </c>
      <c r="L88">
        <v>3836.9</v>
      </c>
      <c r="M88">
        <v>383690</v>
      </c>
      <c r="N88" t="s">
        <v>31</v>
      </c>
      <c r="O88">
        <v>0</v>
      </c>
    </row>
    <row r="89" spans="1:15">
      <c r="A89" t="s">
        <v>401</v>
      </c>
      <c r="B89">
        <v>20260820</v>
      </c>
      <c r="C89">
        <v>3436</v>
      </c>
      <c r="D89" t="s">
        <v>140</v>
      </c>
      <c r="E89" t="s">
        <v>40</v>
      </c>
      <c r="F89" t="s">
        <v>42</v>
      </c>
      <c r="G89" t="s">
        <v>43</v>
      </c>
      <c r="H89" t="s">
        <v>44</v>
      </c>
      <c r="I89" t="s">
        <v>48</v>
      </c>
      <c r="J89" t="s">
        <v>49</v>
      </c>
      <c r="K89">
        <v>100</v>
      </c>
      <c r="L89">
        <v>3881</v>
      </c>
      <c r="M89">
        <v>388100</v>
      </c>
      <c r="N89" t="s">
        <v>50</v>
      </c>
      <c r="O89">
        <v>0</v>
      </c>
    </row>
    <row r="90" spans="1:15">
      <c r="A90" t="s">
        <v>401</v>
      </c>
      <c r="B90">
        <v>20260820</v>
      </c>
      <c r="C90">
        <v>3436</v>
      </c>
      <c r="D90" t="s">
        <v>140</v>
      </c>
      <c r="E90" t="s">
        <v>40</v>
      </c>
      <c r="F90" t="s">
        <v>47</v>
      </c>
      <c r="G90" t="s">
        <v>43</v>
      </c>
      <c r="H90" t="s">
        <v>44</v>
      </c>
      <c r="I90" t="s">
        <v>48</v>
      </c>
      <c r="J90" t="s">
        <v>49</v>
      </c>
      <c r="K90">
        <v>100</v>
      </c>
      <c r="L90">
        <v>3881</v>
      </c>
      <c r="M90">
        <v>388100</v>
      </c>
      <c r="N90" t="s">
        <v>50</v>
      </c>
      <c r="O90">
        <v>0</v>
      </c>
    </row>
    <row r="91" spans="1:15">
      <c r="A91" t="s">
        <v>404</v>
      </c>
      <c r="B91">
        <v>20260820</v>
      </c>
      <c r="C91">
        <v>3436</v>
      </c>
      <c r="D91" t="s">
        <v>140</v>
      </c>
      <c r="E91" t="s">
        <v>40</v>
      </c>
      <c r="F91" t="s">
        <v>42</v>
      </c>
      <c r="G91" t="s">
        <v>43</v>
      </c>
      <c r="H91" t="s">
        <v>44</v>
      </c>
      <c r="I91" t="s">
        <v>45</v>
      </c>
      <c r="J91" t="s">
        <v>46</v>
      </c>
      <c r="K91">
        <v>100</v>
      </c>
      <c r="L91">
        <v>3884.9</v>
      </c>
      <c r="M91">
        <v>388490</v>
      </c>
      <c r="N91" t="s">
        <v>31</v>
      </c>
      <c r="O91">
        <v>0</v>
      </c>
    </row>
    <row r="92" spans="1:15">
      <c r="A92" t="s">
        <v>407</v>
      </c>
      <c r="B92">
        <v>20260820</v>
      </c>
      <c r="C92">
        <v>3436</v>
      </c>
      <c r="D92" t="s">
        <v>140</v>
      </c>
      <c r="E92" t="s">
        <v>40</v>
      </c>
      <c r="F92" t="s">
        <v>42</v>
      </c>
      <c r="G92" t="s">
        <v>43</v>
      </c>
      <c r="H92" t="s">
        <v>44</v>
      </c>
      <c r="I92" t="s">
        <v>48</v>
      </c>
      <c r="J92" t="s">
        <v>49</v>
      </c>
      <c r="K92">
        <v>100</v>
      </c>
      <c r="L92">
        <v>3866.7</v>
      </c>
      <c r="M92">
        <v>386670</v>
      </c>
      <c r="N92" t="s">
        <v>50</v>
      </c>
      <c r="O92">
        <v>0</v>
      </c>
    </row>
    <row r="93" spans="1:15">
      <c r="A93" t="s">
        <v>410</v>
      </c>
      <c r="B93">
        <v>20260820</v>
      </c>
      <c r="C93">
        <v>6613</v>
      </c>
      <c r="D93" t="s">
        <v>39</v>
      </c>
      <c r="E93" t="s">
        <v>40</v>
      </c>
      <c r="F93" t="s">
        <v>42</v>
      </c>
      <c r="G93" t="s">
        <v>43</v>
      </c>
      <c r="H93" t="s">
        <v>44</v>
      </c>
      <c r="I93" t="s">
        <v>48</v>
      </c>
      <c r="J93" t="s">
        <v>49</v>
      </c>
      <c r="K93">
        <v>100</v>
      </c>
      <c r="L93">
        <v>2076.1</v>
      </c>
      <c r="M93">
        <v>207610</v>
      </c>
      <c r="N93" t="s">
        <v>50</v>
      </c>
      <c r="O93">
        <v>0</v>
      </c>
    </row>
    <row r="94" spans="1:15">
      <c r="A94" t="s">
        <v>413</v>
      </c>
      <c r="B94">
        <v>20260820</v>
      </c>
      <c r="C94">
        <v>9984</v>
      </c>
      <c r="D94" t="s">
        <v>131</v>
      </c>
      <c r="E94" t="s">
        <v>40</v>
      </c>
      <c r="F94" t="s">
        <v>42</v>
      </c>
      <c r="G94" t="s">
        <v>43</v>
      </c>
      <c r="H94" t="s">
        <v>44</v>
      </c>
      <c r="I94" t="s">
        <v>48</v>
      </c>
      <c r="J94" t="s">
        <v>49</v>
      </c>
      <c r="K94">
        <v>100</v>
      </c>
      <c r="L94">
        <v>5973</v>
      </c>
      <c r="M94">
        <v>597300</v>
      </c>
      <c r="N94" t="s">
        <v>50</v>
      </c>
      <c r="O94">
        <v>0</v>
      </c>
    </row>
    <row r="95" spans="1:15">
      <c r="A95" t="s">
        <v>416</v>
      </c>
      <c r="B95">
        <v>20260820</v>
      </c>
      <c r="C95">
        <v>3436</v>
      </c>
      <c r="D95" t="s">
        <v>140</v>
      </c>
      <c r="E95" t="s">
        <v>40</v>
      </c>
      <c r="F95" t="s">
        <v>42</v>
      </c>
      <c r="G95" t="s">
        <v>43</v>
      </c>
      <c r="H95" t="s">
        <v>44</v>
      </c>
      <c r="I95" t="s">
        <v>45</v>
      </c>
      <c r="J95" t="s">
        <v>46</v>
      </c>
      <c r="K95">
        <v>100</v>
      </c>
      <c r="L95">
        <v>3850.8</v>
      </c>
      <c r="M95">
        <v>385080</v>
      </c>
      <c r="N95" t="s">
        <v>31</v>
      </c>
      <c r="O95">
        <v>0</v>
      </c>
    </row>
    <row r="96" spans="1:15">
      <c r="A96" t="s">
        <v>419</v>
      </c>
      <c r="B96">
        <v>20260820</v>
      </c>
      <c r="C96">
        <v>9984</v>
      </c>
      <c r="D96" t="s">
        <v>131</v>
      </c>
      <c r="E96" t="s">
        <v>40</v>
      </c>
      <c r="F96" t="s">
        <v>42</v>
      </c>
      <c r="G96" t="s">
        <v>43</v>
      </c>
      <c r="H96" t="s">
        <v>44</v>
      </c>
      <c r="I96" t="s">
        <v>45</v>
      </c>
      <c r="J96" t="s">
        <v>46</v>
      </c>
      <c r="K96">
        <v>100</v>
      </c>
      <c r="L96">
        <v>5970</v>
      </c>
      <c r="M96">
        <v>597000</v>
      </c>
      <c r="N96" t="s">
        <v>31</v>
      </c>
      <c r="O96">
        <v>0</v>
      </c>
    </row>
    <row r="97" spans="1:15">
      <c r="A97" t="s">
        <v>423</v>
      </c>
      <c r="B97">
        <v>20260820</v>
      </c>
      <c r="C97">
        <v>6613</v>
      </c>
      <c r="D97" t="s">
        <v>39</v>
      </c>
      <c r="E97" t="s">
        <v>40</v>
      </c>
      <c r="F97" t="s">
        <v>42</v>
      </c>
      <c r="G97" t="s">
        <v>43</v>
      </c>
      <c r="H97" t="s">
        <v>44</v>
      </c>
      <c r="I97" t="s">
        <v>45</v>
      </c>
      <c r="J97" t="s">
        <v>46</v>
      </c>
      <c r="K97">
        <v>100</v>
      </c>
      <c r="L97">
        <v>2074</v>
      </c>
      <c r="M97">
        <v>207400</v>
      </c>
      <c r="N97" t="s">
        <v>31</v>
      </c>
      <c r="O97">
        <v>0</v>
      </c>
    </row>
    <row r="98" spans="1:15">
      <c r="A98" t="s">
        <v>426</v>
      </c>
      <c r="B98">
        <v>20260820</v>
      </c>
      <c r="C98">
        <v>3436</v>
      </c>
      <c r="D98" t="s">
        <v>140</v>
      </c>
      <c r="E98" t="s">
        <v>40</v>
      </c>
      <c r="F98" t="s">
        <v>47</v>
      </c>
      <c r="G98" t="s">
        <v>43</v>
      </c>
      <c r="H98" t="s">
        <v>44</v>
      </c>
      <c r="I98" t="s">
        <v>45</v>
      </c>
      <c r="J98" t="s">
        <v>46</v>
      </c>
      <c r="K98">
        <v>100</v>
      </c>
      <c r="L98">
        <v>3864</v>
      </c>
      <c r="M98">
        <v>386400</v>
      </c>
      <c r="N98" t="s">
        <v>31</v>
      </c>
      <c r="O98">
        <v>0</v>
      </c>
    </row>
    <row r="99" spans="1:15">
      <c r="A99" t="s">
        <v>429</v>
      </c>
      <c r="B99">
        <v>20260820</v>
      </c>
      <c r="C99">
        <v>6613</v>
      </c>
      <c r="D99" t="s">
        <v>39</v>
      </c>
      <c r="E99" t="s">
        <v>40</v>
      </c>
      <c r="F99" t="s">
        <v>42</v>
      </c>
      <c r="G99" t="s">
        <v>43</v>
      </c>
      <c r="H99" t="s">
        <v>44</v>
      </c>
      <c r="I99" t="s">
        <v>48</v>
      </c>
      <c r="J99" t="s">
        <v>49</v>
      </c>
      <c r="K99">
        <v>100</v>
      </c>
      <c r="L99">
        <v>2097.8000000000002</v>
      </c>
      <c r="M99">
        <v>209780</v>
      </c>
      <c r="N99" t="s">
        <v>50</v>
      </c>
      <c r="O99">
        <v>0</v>
      </c>
    </row>
    <row r="100" spans="1:15">
      <c r="A100" t="s">
        <v>432</v>
      </c>
      <c r="B100">
        <v>20260820</v>
      </c>
      <c r="C100">
        <v>6613</v>
      </c>
      <c r="D100" t="s">
        <v>39</v>
      </c>
      <c r="E100" t="s">
        <v>40</v>
      </c>
      <c r="F100" t="s">
        <v>42</v>
      </c>
      <c r="G100" t="s">
        <v>43</v>
      </c>
      <c r="H100" t="s">
        <v>44</v>
      </c>
      <c r="I100" t="s">
        <v>45</v>
      </c>
      <c r="J100" t="s">
        <v>46</v>
      </c>
      <c r="K100">
        <v>100</v>
      </c>
      <c r="L100">
        <v>2101.8000000000002</v>
      </c>
      <c r="M100">
        <v>210180</v>
      </c>
      <c r="N100" t="s">
        <v>31</v>
      </c>
      <c r="O100">
        <v>0</v>
      </c>
    </row>
    <row r="101" spans="1:15">
      <c r="A101" t="s">
        <v>435</v>
      </c>
      <c r="B101">
        <v>20260820</v>
      </c>
      <c r="C101">
        <v>3436</v>
      </c>
      <c r="D101" t="s">
        <v>140</v>
      </c>
      <c r="E101" t="s">
        <v>40</v>
      </c>
      <c r="F101" t="s">
        <v>42</v>
      </c>
      <c r="G101" t="s">
        <v>43</v>
      </c>
      <c r="H101" t="s">
        <v>44</v>
      </c>
      <c r="I101" t="s">
        <v>48</v>
      </c>
      <c r="J101" t="s">
        <v>49</v>
      </c>
      <c r="K101">
        <v>200</v>
      </c>
      <c r="L101">
        <v>3846.3</v>
      </c>
      <c r="M101">
        <v>769260</v>
      </c>
      <c r="N101" t="s">
        <v>50</v>
      </c>
      <c r="O101">
        <v>0</v>
      </c>
    </row>
    <row r="102" spans="1:15">
      <c r="A102" t="s">
        <v>438</v>
      </c>
      <c r="B102">
        <v>20260820</v>
      </c>
      <c r="C102">
        <v>3436</v>
      </c>
      <c r="D102" t="s">
        <v>140</v>
      </c>
      <c r="E102" t="s">
        <v>40</v>
      </c>
      <c r="F102" t="s">
        <v>42</v>
      </c>
      <c r="G102" t="s">
        <v>43</v>
      </c>
      <c r="H102" t="s">
        <v>44</v>
      </c>
      <c r="I102" t="s">
        <v>45</v>
      </c>
      <c r="J102" t="s">
        <v>46</v>
      </c>
      <c r="K102">
        <v>100</v>
      </c>
      <c r="L102">
        <v>3827.6</v>
      </c>
      <c r="M102">
        <v>382760</v>
      </c>
      <c r="N102" t="s">
        <v>31</v>
      </c>
      <c r="O102">
        <v>0</v>
      </c>
    </row>
    <row r="103" spans="1:15">
      <c r="A103" t="s">
        <v>441</v>
      </c>
      <c r="B103">
        <v>20260820</v>
      </c>
      <c r="C103">
        <v>6613</v>
      </c>
      <c r="D103" t="s">
        <v>39</v>
      </c>
      <c r="E103" t="s">
        <v>40</v>
      </c>
      <c r="F103" t="s">
        <v>42</v>
      </c>
      <c r="G103" t="s">
        <v>43</v>
      </c>
      <c r="H103" t="s">
        <v>44</v>
      </c>
      <c r="I103" t="s">
        <v>48</v>
      </c>
      <c r="J103" t="s">
        <v>49</v>
      </c>
      <c r="K103">
        <v>100</v>
      </c>
      <c r="L103">
        <v>2103.8000000000002</v>
      </c>
      <c r="M103">
        <v>210380</v>
      </c>
      <c r="N103" t="s">
        <v>50</v>
      </c>
      <c r="O103">
        <v>0</v>
      </c>
    </row>
    <row r="104" spans="1:15">
      <c r="A104" t="s">
        <v>444</v>
      </c>
      <c r="B104">
        <v>20260820</v>
      </c>
      <c r="C104">
        <v>3436</v>
      </c>
      <c r="D104" t="s">
        <v>140</v>
      </c>
      <c r="E104" t="s">
        <v>40</v>
      </c>
      <c r="F104" t="s">
        <v>42</v>
      </c>
      <c r="G104" t="s">
        <v>43</v>
      </c>
      <c r="H104" t="s">
        <v>44</v>
      </c>
      <c r="I104" t="s">
        <v>48</v>
      </c>
      <c r="J104" t="s">
        <v>49</v>
      </c>
      <c r="K104">
        <v>100</v>
      </c>
      <c r="L104">
        <v>3828.3</v>
      </c>
      <c r="M104">
        <v>382830</v>
      </c>
      <c r="N104" t="s">
        <v>50</v>
      </c>
      <c r="O104">
        <v>0</v>
      </c>
    </row>
    <row r="105" spans="1:15">
      <c r="A105" t="s">
        <v>447</v>
      </c>
      <c r="B105">
        <v>20260820</v>
      </c>
      <c r="C105">
        <v>6613</v>
      </c>
      <c r="D105" t="s">
        <v>39</v>
      </c>
      <c r="E105" t="s">
        <v>40</v>
      </c>
      <c r="F105" t="s">
        <v>47</v>
      </c>
      <c r="G105" t="s">
        <v>43</v>
      </c>
      <c r="H105" t="s">
        <v>44</v>
      </c>
      <c r="I105" t="s">
        <v>45</v>
      </c>
      <c r="J105" t="s">
        <v>46</v>
      </c>
      <c r="K105">
        <v>100</v>
      </c>
      <c r="L105">
        <v>2108</v>
      </c>
      <c r="M105">
        <v>210800</v>
      </c>
      <c r="N105" t="s">
        <v>31</v>
      </c>
      <c r="O105">
        <v>0</v>
      </c>
    </row>
    <row r="106" spans="1:15">
      <c r="A106" t="s">
        <v>451</v>
      </c>
      <c r="B106">
        <v>20260820</v>
      </c>
      <c r="C106">
        <v>3436</v>
      </c>
      <c r="D106" t="s">
        <v>140</v>
      </c>
      <c r="E106" t="s">
        <v>40</v>
      </c>
      <c r="F106" t="s">
        <v>42</v>
      </c>
      <c r="G106" t="s">
        <v>43</v>
      </c>
      <c r="H106" t="s">
        <v>44</v>
      </c>
      <c r="I106" t="s">
        <v>45</v>
      </c>
      <c r="J106" t="s">
        <v>46</v>
      </c>
      <c r="K106">
        <v>100</v>
      </c>
      <c r="L106">
        <v>3831.9</v>
      </c>
      <c r="M106">
        <v>383190</v>
      </c>
      <c r="N106" t="s">
        <v>31</v>
      </c>
      <c r="O106">
        <v>0</v>
      </c>
    </row>
    <row r="107" spans="1:15">
      <c r="A107" t="s">
        <v>455</v>
      </c>
      <c r="B107">
        <v>20260820</v>
      </c>
      <c r="C107">
        <v>3436</v>
      </c>
      <c r="D107" t="s">
        <v>140</v>
      </c>
      <c r="E107" t="s">
        <v>40</v>
      </c>
      <c r="F107" t="s">
        <v>42</v>
      </c>
      <c r="G107" t="s">
        <v>43</v>
      </c>
      <c r="H107" t="s">
        <v>44</v>
      </c>
      <c r="I107" t="s">
        <v>45</v>
      </c>
      <c r="J107" t="s">
        <v>46</v>
      </c>
      <c r="K107">
        <v>100</v>
      </c>
      <c r="L107">
        <v>3836.9</v>
      </c>
      <c r="M107">
        <v>383690</v>
      </c>
      <c r="N107" t="s">
        <v>31</v>
      </c>
      <c r="O107">
        <v>0</v>
      </c>
    </row>
    <row r="108" spans="1:15">
      <c r="A108" t="s">
        <v>457</v>
      </c>
      <c r="B108">
        <v>20260820</v>
      </c>
      <c r="C108">
        <v>6613</v>
      </c>
      <c r="D108" t="s">
        <v>39</v>
      </c>
      <c r="E108" t="s">
        <v>40</v>
      </c>
      <c r="F108" t="s">
        <v>42</v>
      </c>
      <c r="G108" t="s">
        <v>43</v>
      </c>
      <c r="H108" t="s">
        <v>44</v>
      </c>
      <c r="I108" t="s">
        <v>48</v>
      </c>
      <c r="J108" t="s">
        <v>49</v>
      </c>
      <c r="K108">
        <v>100</v>
      </c>
      <c r="L108">
        <v>2119.8000000000002</v>
      </c>
      <c r="M108">
        <v>211980</v>
      </c>
      <c r="N108" t="s">
        <v>50</v>
      </c>
      <c r="O108">
        <v>0</v>
      </c>
    </row>
    <row r="109" spans="1:15">
      <c r="A109" t="s">
        <v>460</v>
      </c>
      <c r="B109">
        <v>20260820</v>
      </c>
      <c r="C109">
        <v>3436</v>
      </c>
      <c r="D109" t="s">
        <v>140</v>
      </c>
      <c r="E109" t="s">
        <v>40</v>
      </c>
      <c r="F109" t="s">
        <v>42</v>
      </c>
      <c r="G109" t="s">
        <v>43</v>
      </c>
      <c r="H109" t="s">
        <v>44</v>
      </c>
      <c r="I109" t="s">
        <v>48</v>
      </c>
      <c r="J109" t="s">
        <v>49</v>
      </c>
      <c r="K109">
        <v>200</v>
      </c>
      <c r="L109">
        <v>3822</v>
      </c>
      <c r="M109">
        <v>764400</v>
      </c>
      <c r="N109" t="s">
        <v>50</v>
      </c>
      <c r="O109">
        <v>0</v>
      </c>
    </row>
    <row r="110" spans="1:15">
      <c r="A110" t="s">
        <v>463</v>
      </c>
      <c r="B110">
        <v>20260820</v>
      </c>
      <c r="C110">
        <v>9984</v>
      </c>
      <c r="D110" t="s">
        <v>131</v>
      </c>
      <c r="E110" t="s">
        <v>40</v>
      </c>
      <c r="F110" t="s">
        <v>42</v>
      </c>
      <c r="G110" t="s">
        <v>43</v>
      </c>
      <c r="H110" t="s">
        <v>44</v>
      </c>
      <c r="I110" t="s">
        <v>48</v>
      </c>
      <c r="J110" t="s">
        <v>49</v>
      </c>
      <c r="K110">
        <v>100</v>
      </c>
      <c r="L110">
        <v>5942.5</v>
      </c>
      <c r="M110">
        <v>594250</v>
      </c>
      <c r="N110" t="s">
        <v>50</v>
      </c>
      <c r="O110">
        <v>0</v>
      </c>
    </row>
    <row r="111" spans="1:15">
      <c r="A111" t="s">
        <v>466</v>
      </c>
      <c r="B111">
        <v>20260820</v>
      </c>
      <c r="C111">
        <v>6613</v>
      </c>
      <c r="D111" t="s">
        <v>39</v>
      </c>
      <c r="E111" t="s">
        <v>40</v>
      </c>
      <c r="F111" t="s">
        <v>47</v>
      </c>
      <c r="G111" t="s">
        <v>43</v>
      </c>
      <c r="H111" t="s">
        <v>44</v>
      </c>
      <c r="I111" t="s">
        <v>45</v>
      </c>
      <c r="J111" t="s">
        <v>46</v>
      </c>
      <c r="K111">
        <v>100</v>
      </c>
      <c r="L111">
        <v>2127</v>
      </c>
      <c r="M111">
        <v>212700</v>
      </c>
      <c r="N111" t="s">
        <v>31</v>
      </c>
      <c r="O111">
        <v>0</v>
      </c>
    </row>
    <row r="112" spans="1:15">
      <c r="A112" t="s">
        <v>469</v>
      </c>
      <c r="B112">
        <v>20260820</v>
      </c>
      <c r="C112">
        <v>9984</v>
      </c>
      <c r="D112" t="s">
        <v>131</v>
      </c>
      <c r="E112" t="s">
        <v>40</v>
      </c>
      <c r="F112" t="s">
        <v>42</v>
      </c>
      <c r="G112" t="s">
        <v>43</v>
      </c>
      <c r="H112" t="s">
        <v>44</v>
      </c>
      <c r="I112" t="s">
        <v>45</v>
      </c>
      <c r="J112" t="s">
        <v>46</v>
      </c>
      <c r="K112">
        <v>100</v>
      </c>
      <c r="L112">
        <v>5958.9</v>
      </c>
      <c r="M112">
        <v>595890</v>
      </c>
      <c r="N112" t="s">
        <v>31</v>
      </c>
      <c r="O112">
        <v>0</v>
      </c>
    </row>
    <row r="113" spans="1:15">
      <c r="A113" t="s">
        <v>472</v>
      </c>
      <c r="B113">
        <v>20260820</v>
      </c>
      <c r="C113">
        <v>3436</v>
      </c>
      <c r="D113" t="s">
        <v>140</v>
      </c>
      <c r="E113" t="s">
        <v>40</v>
      </c>
      <c r="F113" t="s">
        <v>42</v>
      </c>
      <c r="G113" t="s">
        <v>43</v>
      </c>
      <c r="H113" t="s">
        <v>44</v>
      </c>
      <c r="I113" t="s">
        <v>45</v>
      </c>
      <c r="J113" t="s">
        <v>46</v>
      </c>
      <c r="K113">
        <v>100</v>
      </c>
      <c r="L113">
        <v>3825.9</v>
      </c>
      <c r="M113">
        <v>382590</v>
      </c>
      <c r="N113" t="s">
        <v>31</v>
      </c>
      <c r="O113">
        <v>0</v>
      </c>
    </row>
    <row r="114" spans="1:15">
      <c r="A114" t="s">
        <v>524</v>
      </c>
      <c r="B114">
        <v>20260820</v>
      </c>
      <c r="C114">
        <v>6613</v>
      </c>
      <c r="D114" t="s">
        <v>39</v>
      </c>
      <c r="E114" t="s">
        <v>40</v>
      </c>
      <c r="F114" t="s">
        <v>47</v>
      </c>
      <c r="G114" t="s">
        <v>43</v>
      </c>
      <c r="H114" t="s">
        <v>44</v>
      </c>
      <c r="I114" t="s">
        <v>45</v>
      </c>
      <c r="J114" t="s">
        <v>46</v>
      </c>
      <c r="K114">
        <v>100</v>
      </c>
      <c r="L114">
        <v>2147</v>
      </c>
      <c r="M114">
        <v>214700</v>
      </c>
      <c r="N114" t="s">
        <v>31</v>
      </c>
      <c r="O114">
        <v>0</v>
      </c>
    </row>
    <row r="115" spans="1:15">
      <c r="A115" t="s">
        <v>478</v>
      </c>
      <c r="B115">
        <v>20260820</v>
      </c>
      <c r="C115">
        <v>9984</v>
      </c>
      <c r="D115" t="s">
        <v>131</v>
      </c>
      <c r="E115" t="s">
        <v>40</v>
      </c>
      <c r="F115" t="s">
        <v>42</v>
      </c>
      <c r="G115" t="s">
        <v>43</v>
      </c>
      <c r="H115" t="s">
        <v>44</v>
      </c>
      <c r="I115" t="s">
        <v>48</v>
      </c>
      <c r="J115" t="s">
        <v>49</v>
      </c>
      <c r="K115">
        <v>100</v>
      </c>
      <c r="L115">
        <v>5946.1</v>
      </c>
      <c r="M115">
        <v>594610</v>
      </c>
      <c r="N115" t="s">
        <v>50</v>
      </c>
      <c r="O115">
        <v>0</v>
      </c>
    </row>
    <row r="116" spans="1:15">
      <c r="A116" t="s">
        <v>481</v>
      </c>
      <c r="B116">
        <v>20260820</v>
      </c>
      <c r="C116">
        <v>3436</v>
      </c>
      <c r="D116" t="s">
        <v>140</v>
      </c>
      <c r="E116" t="s">
        <v>40</v>
      </c>
      <c r="F116" t="s">
        <v>42</v>
      </c>
      <c r="G116" t="s">
        <v>43</v>
      </c>
      <c r="H116" t="s">
        <v>44</v>
      </c>
      <c r="I116" t="s">
        <v>48</v>
      </c>
      <c r="J116" t="s">
        <v>49</v>
      </c>
      <c r="K116">
        <v>100</v>
      </c>
      <c r="L116">
        <v>3820.6</v>
      </c>
      <c r="M116">
        <v>382060</v>
      </c>
      <c r="N116" t="s">
        <v>50</v>
      </c>
      <c r="O116">
        <v>0</v>
      </c>
    </row>
    <row r="117" spans="1:15">
      <c r="A117" t="s">
        <v>484</v>
      </c>
      <c r="B117">
        <v>20260820</v>
      </c>
      <c r="C117">
        <v>6613</v>
      </c>
      <c r="D117" t="s">
        <v>39</v>
      </c>
      <c r="E117" t="s">
        <v>40</v>
      </c>
      <c r="F117" t="s">
        <v>42</v>
      </c>
      <c r="G117" t="s">
        <v>43</v>
      </c>
      <c r="H117" t="s">
        <v>44</v>
      </c>
      <c r="I117" t="s">
        <v>48</v>
      </c>
      <c r="J117" t="s">
        <v>49</v>
      </c>
      <c r="K117">
        <v>100</v>
      </c>
      <c r="L117">
        <v>2129.6999999999998</v>
      </c>
      <c r="M117">
        <v>212970</v>
      </c>
      <c r="N117" t="s">
        <v>50</v>
      </c>
      <c r="O117">
        <v>0</v>
      </c>
    </row>
    <row r="118" spans="1:15">
      <c r="A118" t="s">
        <v>484</v>
      </c>
      <c r="B118">
        <v>20260820</v>
      </c>
      <c r="C118">
        <v>6613</v>
      </c>
      <c r="D118" t="s">
        <v>39</v>
      </c>
      <c r="E118" t="s">
        <v>40</v>
      </c>
      <c r="F118" t="s">
        <v>42</v>
      </c>
      <c r="G118" t="s">
        <v>43</v>
      </c>
      <c r="H118" t="s">
        <v>44</v>
      </c>
      <c r="I118" t="s">
        <v>48</v>
      </c>
      <c r="J118" t="s">
        <v>49</v>
      </c>
      <c r="K118">
        <v>100</v>
      </c>
      <c r="L118">
        <v>2129.6</v>
      </c>
      <c r="M118">
        <v>212960</v>
      </c>
      <c r="N118" t="s">
        <v>50</v>
      </c>
      <c r="O118">
        <v>0</v>
      </c>
    </row>
    <row r="119" spans="1:15">
      <c r="A119" t="s">
        <v>487</v>
      </c>
      <c r="B119">
        <v>20260820</v>
      </c>
      <c r="C119">
        <v>6613</v>
      </c>
      <c r="D119" t="s">
        <v>39</v>
      </c>
      <c r="E119" t="s">
        <v>40</v>
      </c>
      <c r="F119" t="s">
        <v>42</v>
      </c>
      <c r="G119" t="s">
        <v>43</v>
      </c>
      <c r="H119" t="s">
        <v>44</v>
      </c>
      <c r="I119" t="s">
        <v>45</v>
      </c>
      <c r="J119" t="s">
        <v>46</v>
      </c>
      <c r="K119">
        <v>100</v>
      </c>
      <c r="L119">
        <v>2130</v>
      </c>
      <c r="M119">
        <v>213000</v>
      </c>
      <c r="N119" t="s">
        <v>31</v>
      </c>
      <c r="O119">
        <v>0</v>
      </c>
    </row>
    <row r="120" spans="1:15">
      <c r="A120" t="s">
        <v>487</v>
      </c>
      <c r="B120">
        <v>20260820</v>
      </c>
      <c r="C120">
        <v>6613</v>
      </c>
      <c r="D120" t="s">
        <v>39</v>
      </c>
      <c r="E120" t="s">
        <v>40</v>
      </c>
      <c r="F120" t="s">
        <v>47</v>
      </c>
      <c r="G120" t="s">
        <v>43</v>
      </c>
      <c r="H120" t="s">
        <v>44</v>
      </c>
      <c r="I120" t="s">
        <v>45</v>
      </c>
      <c r="J120" t="s">
        <v>46</v>
      </c>
      <c r="K120">
        <v>100</v>
      </c>
      <c r="L120">
        <v>2130</v>
      </c>
      <c r="M120">
        <v>213000</v>
      </c>
      <c r="N120" t="s">
        <v>31</v>
      </c>
      <c r="O120">
        <v>0</v>
      </c>
    </row>
    <row r="121" spans="1:15">
      <c r="A121" t="s">
        <v>491</v>
      </c>
      <c r="B121">
        <v>20260820</v>
      </c>
      <c r="C121">
        <v>3436</v>
      </c>
      <c r="D121" t="s">
        <v>140</v>
      </c>
      <c r="E121" t="s">
        <v>40</v>
      </c>
      <c r="F121" t="s">
        <v>42</v>
      </c>
      <c r="G121" t="s">
        <v>43</v>
      </c>
      <c r="H121" t="s">
        <v>44</v>
      </c>
      <c r="I121" t="s">
        <v>45</v>
      </c>
      <c r="J121" t="s">
        <v>46</v>
      </c>
      <c r="K121">
        <v>100</v>
      </c>
      <c r="L121">
        <v>3813.3</v>
      </c>
      <c r="M121">
        <v>381330</v>
      </c>
      <c r="N121" t="s">
        <v>31</v>
      </c>
      <c r="O121">
        <v>0</v>
      </c>
    </row>
    <row r="122" spans="1:15">
      <c r="A122" t="s">
        <v>494</v>
      </c>
      <c r="B122">
        <v>20260820</v>
      </c>
      <c r="C122">
        <v>9984</v>
      </c>
      <c r="D122" t="s">
        <v>131</v>
      </c>
      <c r="E122" t="s">
        <v>40</v>
      </c>
      <c r="F122" t="s">
        <v>42</v>
      </c>
      <c r="G122" t="s">
        <v>43</v>
      </c>
      <c r="H122" t="s">
        <v>44</v>
      </c>
      <c r="I122" t="s">
        <v>45</v>
      </c>
      <c r="J122" t="s">
        <v>46</v>
      </c>
      <c r="K122">
        <v>100</v>
      </c>
      <c r="L122">
        <v>5897.8</v>
      </c>
      <c r="M122">
        <v>589780</v>
      </c>
      <c r="N122" t="s">
        <v>31</v>
      </c>
      <c r="O122">
        <v>0</v>
      </c>
    </row>
    <row r="123" spans="1:15">
      <c r="A123" t="s">
        <v>497</v>
      </c>
      <c r="B123">
        <v>20260820</v>
      </c>
      <c r="C123">
        <v>3436</v>
      </c>
      <c r="D123" t="s">
        <v>140</v>
      </c>
      <c r="E123" t="s">
        <v>40</v>
      </c>
      <c r="F123" t="s">
        <v>42</v>
      </c>
      <c r="G123" t="s">
        <v>43</v>
      </c>
      <c r="H123" t="s">
        <v>44</v>
      </c>
      <c r="I123" t="s">
        <v>48</v>
      </c>
      <c r="J123" t="s">
        <v>49</v>
      </c>
      <c r="K123">
        <v>100</v>
      </c>
      <c r="L123">
        <v>3809.2</v>
      </c>
      <c r="M123">
        <v>380920</v>
      </c>
      <c r="N123" t="s">
        <v>50</v>
      </c>
      <c r="O123">
        <v>0</v>
      </c>
    </row>
    <row r="124" spans="1:15">
      <c r="A124" t="s">
        <v>505</v>
      </c>
      <c r="B124">
        <v>20260820</v>
      </c>
      <c r="C124">
        <v>9984</v>
      </c>
      <c r="D124" t="s">
        <v>131</v>
      </c>
      <c r="E124" t="s">
        <v>40</v>
      </c>
      <c r="F124" t="s">
        <v>42</v>
      </c>
      <c r="G124" t="s">
        <v>43</v>
      </c>
      <c r="H124" t="s">
        <v>44</v>
      </c>
      <c r="I124" t="s">
        <v>48</v>
      </c>
      <c r="J124" t="s">
        <v>49</v>
      </c>
      <c r="K124">
        <v>100</v>
      </c>
      <c r="L124">
        <v>5865.3</v>
      </c>
      <c r="M124">
        <v>586530</v>
      </c>
      <c r="N124" t="s">
        <v>50</v>
      </c>
      <c r="O124">
        <v>0</v>
      </c>
    </row>
    <row r="125" spans="1:15">
      <c r="A125" t="s">
        <v>525</v>
      </c>
      <c r="B125">
        <v>20260820</v>
      </c>
      <c r="C125">
        <v>3436</v>
      </c>
      <c r="D125" t="s">
        <v>140</v>
      </c>
      <c r="E125" t="s">
        <v>40</v>
      </c>
      <c r="F125" t="s">
        <v>47</v>
      </c>
      <c r="G125" t="s">
        <v>500</v>
      </c>
      <c r="H125" t="s">
        <v>501</v>
      </c>
      <c r="I125" t="s">
        <v>45</v>
      </c>
      <c r="J125" t="s">
        <v>46</v>
      </c>
      <c r="K125">
        <v>100</v>
      </c>
      <c r="L125">
        <v>3805</v>
      </c>
      <c r="M125">
        <v>380500</v>
      </c>
      <c r="N125" t="s">
        <v>31</v>
      </c>
      <c r="O125">
        <v>0</v>
      </c>
    </row>
    <row r="126" spans="1:15">
      <c r="A126" t="s">
        <v>508</v>
      </c>
      <c r="B126">
        <v>20260820</v>
      </c>
      <c r="C126">
        <v>3436</v>
      </c>
      <c r="D126" t="s">
        <v>140</v>
      </c>
      <c r="E126" t="s">
        <v>40</v>
      </c>
      <c r="F126" t="s">
        <v>42</v>
      </c>
      <c r="G126" t="s">
        <v>500</v>
      </c>
      <c r="H126" t="s">
        <v>501</v>
      </c>
      <c r="I126" t="s">
        <v>48</v>
      </c>
      <c r="J126" t="s">
        <v>49</v>
      </c>
      <c r="K126">
        <v>100</v>
      </c>
      <c r="L126">
        <v>3796</v>
      </c>
      <c r="M126">
        <v>379600</v>
      </c>
      <c r="N126" t="s">
        <v>50</v>
      </c>
      <c r="O126">
        <v>0</v>
      </c>
    </row>
    <row r="127" spans="1:15">
      <c r="A127" t="s">
        <v>511</v>
      </c>
      <c r="B127">
        <v>20260820</v>
      </c>
      <c r="C127">
        <v>3436</v>
      </c>
      <c r="D127" t="s">
        <v>140</v>
      </c>
      <c r="E127" t="s">
        <v>40</v>
      </c>
      <c r="F127" t="s">
        <v>42</v>
      </c>
      <c r="G127" t="s">
        <v>500</v>
      </c>
      <c r="H127" t="s">
        <v>501</v>
      </c>
      <c r="I127" t="s">
        <v>45</v>
      </c>
      <c r="J127" t="s">
        <v>46</v>
      </c>
      <c r="K127">
        <v>100</v>
      </c>
      <c r="L127">
        <v>3793.8</v>
      </c>
      <c r="M127">
        <v>379380</v>
      </c>
      <c r="N127" t="s">
        <v>31</v>
      </c>
      <c r="O127">
        <v>0</v>
      </c>
    </row>
    <row r="128" spans="1:15">
      <c r="A128" t="s">
        <v>514</v>
      </c>
      <c r="B128">
        <v>20260820</v>
      </c>
      <c r="C128">
        <v>9984</v>
      </c>
      <c r="D128" t="s">
        <v>131</v>
      </c>
      <c r="E128" t="s">
        <v>40</v>
      </c>
      <c r="F128" t="s">
        <v>42</v>
      </c>
      <c r="G128" t="s">
        <v>500</v>
      </c>
      <c r="H128" t="s">
        <v>501</v>
      </c>
      <c r="I128" t="s">
        <v>45</v>
      </c>
      <c r="J128" t="s">
        <v>46</v>
      </c>
      <c r="K128">
        <v>100</v>
      </c>
      <c r="L128">
        <v>5863</v>
      </c>
      <c r="M128">
        <v>586300</v>
      </c>
      <c r="N128" t="s">
        <v>31</v>
      </c>
      <c r="O128">
        <v>0</v>
      </c>
    </row>
    <row r="129" spans="1:15">
      <c r="A129" t="s">
        <v>517</v>
      </c>
      <c r="B129">
        <v>20260820</v>
      </c>
      <c r="C129">
        <v>6613</v>
      </c>
      <c r="D129" t="s">
        <v>39</v>
      </c>
      <c r="E129" t="s">
        <v>40</v>
      </c>
      <c r="F129" t="s">
        <v>47</v>
      </c>
      <c r="G129" t="s">
        <v>43</v>
      </c>
      <c r="H129" t="s">
        <v>44</v>
      </c>
      <c r="I129" t="s">
        <v>48</v>
      </c>
      <c r="J129" t="s">
        <v>49</v>
      </c>
      <c r="K129">
        <v>200</v>
      </c>
      <c r="L129">
        <v>2093</v>
      </c>
      <c r="M129">
        <v>418600</v>
      </c>
      <c r="N129" t="s">
        <v>50</v>
      </c>
      <c r="O129">
        <v>0</v>
      </c>
    </row>
    <row r="130" spans="1:15">
      <c r="A130" s="1" t="s">
        <v>129</v>
      </c>
      <c r="B130" s="1" t="s">
        <v>129</v>
      </c>
      <c r="C130" s="1" t="s">
        <v>129</v>
      </c>
      <c r="D130" s="1" t="s">
        <v>129</v>
      </c>
      <c r="E130" s="1" t="s">
        <v>129</v>
      </c>
      <c r="F130" s="1" t="s">
        <v>129</v>
      </c>
      <c r="G130" s="1" t="s">
        <v>129</v>
      </c>
      <c r="H130" s="1" t="s">
        <v>129</v>
      </c>
      <c r="I130" s="1" t="s">
        <v>129</v>
      </c>
      <c r="J130" s="1" t="s">
        <v>129</v>
      </c>
      <c r="K130" s="1" t="s">
        <v>129</v>
      </c>
      <c r="L130" s="1" t="s">
        <v>129</v>
      </c>
      <c r="M130" s="1" t="s">
        <v>129</v>
      </c>
      <c r="N130" s="1" t="s">
        <v>129</v>
      </c>
      <c r="O130" s="1" t="s">
        <v>129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FBD1-7230-4827-A5D4-F09E76BE569D}">
  <dimension ref="A1:O130"/>
  <sheetViews>
    <sheetView workbookViewId="0">
      <selection activeCell="H22" sqref="H22"/>
    </sheetView>
  </sheetViews>
  <sheetFormatPr defaultRowHeight="18.75"/>
  <sheetData>
    <row r="1" spans="1:15">
      <c r="A1" t="s">
        <v>528</v>
      </c>
    </row>
    <row r="2" spans="1:15">
      <c r="A2" t="s">
        <v>34</v>
      </c>
      <c r="B2" t="s">
        <v>35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13</v>
      </c>
      <c r="J2" t="s">
        <v>12</v>
      </c>
      <c r="K2" t="s">
        <v>17</v>
      </c>
      <c r="L2" t="s">
        <v>36</v>
      </c>
      <c r="M2" t="s">
        <v>37</v>
      </c>
      <c r="N2" t="s">
        <v>23</v>
      </c>
      <c r="O2" t="s">
        <v>38</v>
      </c>
    </row>
    <row r="3" spans="1:15">
      <c r="A3" s="1" t="s">
        <v>132</v>
      </c>
      <c r="B3" s="1">
        <v>20260820</v>
      </c>
      <c r="C3" s="1">
        <v>9984</v>
      </c>
      <c r="D3" s="1" t="s">
        <v>131</v>
      </c>
      <c r="E3" s="1" t="s">
        <v>40</v>
      </c>
      <c r="F3" s="1" t="s">
        <v>42</v>
      </c>
      <c r="G3" s="1" t="s">
        <v>43</v>
      </c>
      <c r="H3" s="1" t="s">
        <v>44</v>
      </c>
      <c r="I3" s="1" t="s">
        <v>45</v>
      </c>
      <c r="J3" s="1" t="s">
        <v>46</v>
      </c>
      <c r="K3" s="1">
        <v>100</v>
      </c>
      <c r="L3" s="1">
        <v>5945.9</v>
      </c>
      <c r="M3" s="1">
        <v>594590</v>
      </c>
      <c r="N3" s="1" t="s">
        <v>31</v>
      </c>
      <c r="O3" s="1">
        <v>0</v>
      </c>
    </row>
    <row r="4" spans="1:15">
      <c r="A4" t="s">
        <v>136</v>
      </c>
      <c r="B4">
        <v>20260820</v>
      </c>
      <c r="C4">
        <v>9984</v>
      </c>
      <c r="D4" t="s">
        <v>131</v>
      </c>
      <c r="E4" t="s">
        <v>40</v>
      </c>
      <c r="F4" t="s">
        <v>42</v>
      </c>
      <c r="G4" t="s">
        <v>43</v>
      </c>
      <c r="H4" t="s">
        <v>44</v>
      </c>
      <c r="I4" t="s">
        <v>48</v>
      </c>
      <c r="J4" t="s">
        <v>49</v>
      </c>
      <c r="K4">
        <v>100</v>
      </c>
      <c r="L4">
        <v>5978.1</v>
      </c>
      <c r="M4">
        <v>597810</v>
      </c>
      <c r="N4" t="s">
        <v>50</v>
      </c>
      <c r="O4">
        <v>0</v>
      </c>
    </row>
    <row r="5" spans="1:15">
      <c r="A5" s="1" t="s">
        <v>141</v>
      </c>
      <c r="B5" s="1">
        <v>20260820</v>
      </c>
      <c r="C5" s="1">
        <v>3436</v>
      </c>
      <c r="D5" s="1" t="s">
        <v>140</v>
      </c>
      <c r="E5" s="1" t="s">
        <v>40</v>
      </c>
      <c r="F5" s="1" t="s">
        <v>42</v>
      </c>
      <c r="G5" s="1" t="s">
        <v>43</v>
      </c>
      <c r="H5" s="1" t="s">
        <v>44</v>
      </c>
      <c r="I5" s="1" t="s">
        <v>45</v>
      </c>
      <c r="J5" s="1" t="s">
        <v>46</v>
      </c>
      <c r="K5" s="1">
        <v>100</v>
      </c>
      <c r="L5" s="1">
        <v>4118</v>
      </c>
      <c r="M5" s="1">
        <v>411800</v>
      </c>
      <c r="N5" s="1" t="s">
        <v>31</v>
      </c>
      <c r="O5" s="1">
        <v>0</v>
      </c>
    </row>
    <row r="6" spans="1:15">
      <c r="A6" t="s">
        <v>144</v>
      </c>
      <c r="B6">
        <v>20260820</v>
      </c>
      <c r="C6">
        <v>9984</v>
      </c>
      <c r="D6" t="s">
        <v>131</v>
      </c>
      <c r="E6" t="s">
        <v>40</v>
      </c>
      <c r="F6" t="s">
        <v>42</v>
      </c>
      <c r="G6" t="s">
        <v>43</v>
      </c>
      <c r="H6" t="s">
        <v>44</v>
      </c>
      <c r="I6" t="s">
        <v>45</v>
      </c>
      <c r="J6" t="s">
        <v>46</v>
      </c>
      <c r="K6">
        <v>100</v>
      </c>
      <c r="L6">
        <v>6008</v>
      </c>
      <c r="M6">
        <v>600800</v>
      </c>
      <c r="N6" t="s">
        <v>31</v>
      </c>
      <c r="O6">
        <v>0</v>
      </c>
    </row>
    <row r="7" spans="1:15">
      <c r="A7" t="s">
        <v>147</v>
      </c>
      <c r="B7">
        <v>20260820</v>
      </c>
      <c r="C7">
        <v>9984</v>
      </c>
      <c r="D7" t="s">
        <v>131</v>
      </c>
      <c r="E7" t="s">
        <v>40</v>
      </c>
      <c r="F7" t="s">
        <v>47</v>
      </c>
      <c r="G7" t="s">
        <v>43</v>
      </c>
      <c r="H7" t="s">
        <v>44</v>
      </c>
      <c r="I7" t="s">
        <v>48</v>
      </c>
      <c r="J7" t="s">
        <v>49</v>
      </c>
      <c r="K7">
        <v>100</v>
      </c>
      <c r="L7">
        <v>6064</v>
      </c>
      <c r="M7">
        <v>606400</v>
      </c>
      <c r="N7" t="s">
        <v>50</v>
      </c>
      <c r="O7">
        <v>0</v>
      </c>
    </row>
    <row r="8" spans="1:15">
      <c r="A8" t="s">
        <v>150</v>
      </c>
      <c r="B8">
        <v>20260820</v>
      </c>
      <c r="C8">
        <v>3436</v>
      </c>
      <c r="D8" t="s">
        <v>140</v>
      </c>
      <c r="E8" t="s">
        <v>40</v>
      </c>
      <c r="F8" t="s">
        <v>42</v>
      </c>
      <c r="G8" t="s">
        <v>43</v>
      </c>
      <c r="H8" t="s">
        <v>44</v>
      </c>
      <c r="I8" t="s">
        <v>48</v>
      </c>
      <c r="J8" t="s">
        <v>49</v>
      </c>
      <c r="K8">
        <v>100</v>
      </c>
      <c r="L8">
        <v>4105.2</v>
      </c>
      <c r="M8">
        <v>410520</v>
      </c>
      <c r="N8" t="s">
        <v>50</v>
      </c>
      <c r="O8">
        <v>0</v>
      </c>
    </row>
    <row r="9" spans="1:15">
      <c r="A9" t="s">
        <v>153</v>
      </c>
      <c r="B9">
        <v>20260820</v>
      </c>
      <c r="C9">
        <v>3436</v>
      </c>
      <c r="D9" t="s">
        <v>140</v>
      </c>
      <c r="E9" t="s">
        <v>40</v>
      </c>
      <c r="F9" t="s">
        <v>42</v>
      </c>
      <c r="G9" t="s">
        <v>43</v>
      </c>
      <c r="H9" t="s">
        <v>44</v>
      </c>
      <c r="I9" t="s">
        <v>45</v>
      </c>
      <c r="J9" t="s">
        <v>46</v>
      </c>
      <c r="K9">
        <v>100</v>
      </c>
      <c r="L9">
        <v>4158.8999999999996</v>
      </c>
      <c r="M9">
        <v>415890</v>
      </c>
      <c r="N9" t="s">
        <v>31</v>
      </c>
      <c r="O9">
        <v>0</v>
      </c>
    </row>
    <row r="10" spans="1:15">
      <c r="A10" s="1" t="s">
        <v>156</v>
      </c>
      <c r="B10" s="1">
        <v>20260820</v>
      </c>
      <c r="C10" s="1">
        <v>9984</v>
      </c>
      <c r="D10" s="1" t="s">
        <v>131</v>
      </c>
      <c r="E10" s="1" t="s">
        <v>40</v>
      </c>
      <c r="F10" s="1" t="s">
        <v>42</v>
      </c>
      <c r="G10" s="1" t="s">
        <v>43</v>
      </c>
      <c r="H10" s="1" t="s">
        <v>44</v>
      </c>
      <c r="I10" s="1" t="s">
        <v>45</v>
      </c>
      <c r="J10" s="1" t="s">
        <v>46</v>
      </c>
      <c r="K10" s="1">
        <v>100</v>
      </c>
      <c r="L10" s="1">
        <v>6057</v>
      </c>
      <c r="M10" s="1">
        <v>605700</v>
      </c>
      <c r="N10" s="1" t="s">
        <v>31</v>
      </c>
      <c r="O10" s="1">
        <v>0</v>
      </c>
    </row>
    <row r="11" spans="1:15">
      <c r="A11" s="1" t="s">
        <v>160</v>
      </c>
      <c r="B11" s="1">
        <v>20260820</v>
      </c>
      <c r="C11" s="1">
        <v>9984</v>
      </c>
      <c r="D11" s="1" t="s">
        <v>131</v>
      </c>
      <c r="E11" s="1" t="s">
        <v>40</v>
      </c>
      <c r="F11" s="1" t="s">
        <v>42</v>
      </c>
      <c r="G11" s="1" t="s">
        <v>43</v>
      </c>
      <c r="H11" s="1" t="s">
        <v>44</v>
      </c>
      <c r="I11" s="1" t="s">
        <v>48</v>
      </c>
      <c r="J11" s="1" t="s">
        <v>49</v>
      </c>
      <c r="K11" s="1">
        <v>100</v>
      </c>
      <c r="L11" s="1">
        <v>6076.1</v>
      </c>
      <c r="M11" s="1">
        <v>607610</v>
      </c>
      <c r="N11" s="1" t="s">
        <v>50</v>
      </c>
      <c r="O11" s="1">
        <v>0</v>
      </c>
    </row>
    <row r="12" spans="1:15">
      <c r="A12" s="1" t="s">
        <v>163</v>
      </c>
      <c r="B12" s="1">
        <v>20260820</v>
      </c>
      <c r="C12" s="1">
        <v>3436</v>
      </c>
      <c r="D12" s="1" t="s">
        <v>140</v>
      </c>
      <c r="E12" s="1" t="s">
        <v>40</v>
      </c>
      <c r="F12" s="1" t="s">
        <v>42</v>
      </c>
      <c r="G12" s="1" t="s">
        <v>43</v>
      </c>
      <c r="H12" s="1" t="s">
        <v>44</v>
      </c>
      <c r="I12" s="1" t="s">
        <v>48</v>
      </c>
      <c r="J12" s="1" t="s">
        <v>49</v>
      </c>
      <c r="K12" s="1">
        <v>100</v>
      </c>
      <c r="L12" s="1">
        <v>4169.2</v>
      </c>
      <c r="M12" s="1">
        <v>416920</v>
      </c>
      <c r="N12" s="1" t="s">
        <v>50</v>
      </c>
      <c r="O12" s="1">
        <v>0</v>
      </c>
    </row>
    <row r="13" spans="1:15">
      <c r="A13" s="1" t="s">
        <v>166</v>
      </c>
      <c r="B13" s="1">
        <v>20260820</v>
      </c>
      <c r="C13" s="1">
        <v>9984</v>
      </c>
      <c r="D13" s="1" t="s">
        <v>131</v>
      </c>
      <c r="E13" s="1" t="s">
        <v>40</v>
      </c>
      <c r="F13" s="1" t="s">
        <v>42</v>
      </c>
      <c r="G13" s="1" t="s">
        <v>43</v>
      </c>
      <c r="H13" s="1" t="s">
        <v>44</v>
      </c>
      <c r="I13" s="1" t="s">
        <v>45</v>
      </c>
      <c r="J13" s="1" t="s">
        <v>46</v>
      </c>
      <c r="K13" s="1">
        <v>100</v>
      </c>
      <c r="L13" s="1">
        <v>6073.9</v>
      </c>
      <c r="M13" s="1">
        <v>607390</v>
      </c>
      <c r="N13" s="1" t="s">
        <v>31</v>
      </c>
      <c r="O13" s="1">
        <v>0</v>
      </c>
    </row>
    <row r="14" spans="1:15">
      <c r="A14" s="1" t="s">
        <v>169</v>
      </c>
      <c r="B14" s="1">
        <v>20260820</v>
      </c>
      <c r="C14" s="1">
        <v>9984</v>
      </c>
      <c r="D14" s="1" t="s">
        <v>131</v>
      </c>
      <c r="E14" s="1" t="s">
        <v>40</v>
      </c>
      <c r="F14" s="1" t="s">
        <v>47</v>
      </c>
      <c r="G14" s="1" t="s">
        <v>43</v>
      </c>
      <c r="H14" s="1" t="s">
        <v>44</v>
      </c>
      <c r="I14" s="1" t="s">
        <v>48</v>
      </c>
      <c r="J14" s="1" t="s">
        <v>49</v>
      </c>
      <c r="K14" s="1">
        <v>100</v>
      </c>
      <c r="L14" s="1">
        <v>6080</v>
      </c>
      <c r="M14" s="1">
        <v>608000</v>
      </c>
      <c r="N14" s="1" t="s">
        <v>50</v>
      </c>
      <c r="O14" s="1">
        <v>0</v>
      </c>
    </row>
    <row r="15" spans="1:15">
      <c r="A15" s="1" t="s">
        <v>172</v>
      </c>
      <c r="B15" s="1">
        <v>20260820</v>
      </c>
      <c r="C15" s="1">
        <v>3436</v>
      </c>
      <c r="D15" s="1" t="s">
        <v>140</v>
      </c>
      <c r="E15" s="1" t="s">
        <v>40</v>
      </c>
      <c r="F15" s="1" t="s">
        <v>42</v>
      </c>
      <c r="G15" s="1" t="s">
        <v>43</v>
      </c>
      <c r="H15" s="1" t="s">
        <v>44</v>
      </c>
      <c r="I15" s="1" t="s">
        <v>45</v>
      </c>
      <c r="J15" s="1" t="s">
        <v>46</v>
      </c>
      <c r="K15" s="1">
        <v>100</v>
      </c>
      <c r="L15" s="1">
        <v>4115.8</v>
      </c>
      <c r="M15" s="1">
        <v>411580</v>
      </c>
      <c r="N15" s="1" t="s">
        <v>31</v>
      </c>
      <c r="O15" s="1">
        <v>0</v>
      </c>
    </row>
    <row r="16" spans="1:15">
      <c r="A16" t="s">
        <v>175</v>
      </c>
      <c r="B16">
        <v>20260820</v>
      </c>
      <c r="C16">
        <v>3436</v>
      </c>
      <c r="D16" t="s">
        <v>140</v>
      </c>
      <c r="E16" t="s">
        <v>40</v>
      </c>
      <c r="F16" t="s">
        <v>42</v>
      </c>
      <c r="G16" t="s">
        <v>43</v>
      </c>
      <c r="H16" t="s">
        <v>44</v>
      </c>
      <c r="I16" t="s">
        <v>48</v>
      </c>
      <c r="J16" t="s">
        <v>49</v>
      </c>
      <c r="K16">
        <v>100</v>
      </c>
      <c r="L16">
        <v>4123.7</v>
      </c>
      <c r="M16">
        <v>412370</v>
      </c>
      <c r="N16" t="s">
        <v>50</v>
      </c>
      <c r="O16">
        <v>0</v>
      </c>
    </row>
    <row r="17" spans="1:15">
      <c r="A17" s="1" t="s">
        <v>178</v>
      </c>
      <c r="B17" s="1">
        <v>20260820</v>
      </c>
      <c r="C17" s="1">
        <v>9984</v>
      </c>
      <c r="D17" s="1" t="s">
        <v>131</v>
      </c>
      <c r="E17" s="1" t="s">
        <v>40</v>
      </c>
      <c r="F17" s="1" t="s">
        <v>42</v>
      </c>
      <c r="G17" s="1" t="s">
        <v>43</v>
      </c>
      <c r="H17" s="1" t="s">
        <v>44</v>
      </c>
      <c r="I17" s="1" t="s">
        <v>45</v>
      </c>
      <c r="J17" s="1" t="s">
        <v>46</v>
      </c>
      <c r="K17" s="1">
        <v>100</v>
      </c>
      <c r="L17" s="1">
        <v>6082.6</v>
      </c>
      <c r="M17" s="1">
        <v>608260</v>
      </c>
      <c r="N17" s="1" t="s">
        <v>31</v>
      </c>
      <c r="O17" s="1">
        <v>0</v>
      </c>
    </row>
    <row r="18" spans="1:15">
      <c r="A18" t="s">
        <v>181</v>
      </c>
      <c r="B18">
        <v>20260820</v>
      </c>
      <c r="C18">
        <v>9984</v>
      </c>
      <c r="D18" t="s">
        <v>131</v>
      </c>
      <c r="E18" t="s">
        <v>40</v>
      </c>
      <c r="F18" t="s">
        <v>47</v>
      </c>
      <c r="G18" t="s">
        <v>43</v>
      </c>
      <c r="H18" t="s">
        <v>44</v>
      </c>
      <c r="I18" t="s">
        <v>48</v>
      </c>
      <c r="J18" t="s">
        <v>49</v>
      </c>
      <c r="K18">
        <v>100</v>
      </c>
      <c r="L18">
        <v>6141</v>
      </c>
      <c r="M18">
        <v>614100</v>
      </c>
      <c r="N18" t="s">
        <v>50</v>
      </c>
      <c r="O18">
        <v>0</v>
      </c>
    </row>
    <row r="19" spans="1:15">
      <c r="A19" t="s">
        <v>184</v>
      </c>
      <c r="B19">
        <v>20260820</v>
      </c>
      <c r="C19">
        <v>9984</v>
      </c>
      <c r="D19" t="s">
        <v>131</v>
      </c>
      <c r="E19" t="s">
        <v>40</v>
      </c>
      <c r="F19" t="s">
        <v>42</v>
      </c>
      <c r="G19" t="s">
        <v>43</v>
      </c>
      <c r="H19" t="s">
        <v>44</v>
      </c>
      <c r="I19" t="s">
        <v>45</v>
      </c>
      <c r="J19" t="s">
        <v>46</v>
      </c>
      <c r="K19">
        <v>100</v>
      </c>
      <c r="L19">
        <v>6178.4</v>
      </c>
      <c r="M19">
        <v>617840</v>
      </c>
      <c r="N19" t="s">
        <v>31</v>
      </c>
      <c r="O19">
        <v>0</v>
      </c>
    </row>
    <row r="20" spans="1:15">
      <c r="A20" t="s">
        <v>187</v>
      </c>
      <c r="B20">
        <v>20260820</v>
      </c>
      <c r="C20">
        <v>3436</v>
      </c>
      <c r="D20" t="s">
        <v>140</v>
      </c>
      <c r="E20" t="s">
        <v>40</v>
      </c>
      <c r="F20" t="s">
        <v>42</v>
      </c>
      <c r="G20" t="s">
        <v>43</v>
      </c>
      <c r="H20" t="s">
        <v>44</v>
      </c>
      <c r="I20" t="s">
        <v>45</v>
      </c>
      <c r="J20" t="s">
        <v>46</v>
      </c>
      <c r="K20">
        <v>100</v>
      </c>
      <c r="L20">
        <v>4120.8999999999996</v>
      </c>
      <c r="M20">
        <v>412090</v>
      </c>
      <c r="N20" t="s">
        <v>31</v>
      </c>
      <c r="O20">
        <v>0</v>
      </c>
    </row>
    <row r="21" spans="1:15">
      <c r="A21" t="s">
        <v>190</v>
      </c>
      <c r="B21">
        <v>20260820</v>
      </c>
      <c r="C21">
        <v>9984</v>
      </c>
      <c r="D21" t="s">
        <v>131</v>
      </c>
      <c r="E21" t="s">
        <v>40</v>
      </c>
      <c r="F21" t="s">
        <v>42</v>
      </c>
      <c r="G21" t="s">
        <v>43</v>
      </c>
      <c r="H21" t="s">
        <v>44</v>
      </c>
      <c r="I21" t="s">
        <v>48</v>
      </c>
      <c r="J21" t="s">
        <v>49</v>
      </c>
      <c r="K21">
        <v>100</v>
      </c>
      <c r="L21">
        <v>6202.1</v>
      </c>
      <c r="M21">
        <v>620210</v>
      </c>
      <c r="N21" t="s">
        <v>50</v>
      </c>
      <c r="O21">
        <v>0</v>
      </c>
    </row>
    <row r="22" spans="1:15">
      <c r="A22" t="s">
        <v>193</v>
      </c>
      <c r="B22">
        <v>20260820</v>
      </c>
      <c r="C22">
        <v>3436</v>
      </c>
      <c r="D22" t="s">
        <v>140</v>
      </c>
      <c r="E22" t="s">
        <v>40</v>
      </c>
      <c r="F22" t="s">
        <v>42</v>
      </c>
      <c r="G22" t="s">
        <v>43</v>
      </c>
      <c r="H22" t="s">
        <v>44</v>
      </c>
      <c r="I22" t="s">
        <v>48</v>
      </c>
      <c r="J22" t="s">
        <v>49</v>
      </c>
      <c r="K22">
        <v>100</v>
      </c>
      <c r="L22">
        <v>4062.1</v>
      </c>
      <c r="M22">
        <v>406210</v>
      </c>
      <c r="N22" t="s">
        <v>50</v>
      </c>
      <c r="O22">
        <v>0</v>
      </c>
    </row>
    <row r="23" spans="1:15">
      <c r="A23" t="s">
        <v>196</v>
      </c>
      <c r="B23">
        <v>20260820</v>
      </c>
      <c r="C23">
        <v>3436</v>
      </c>
      <c r="D23" t="s">
        <v>140</v>
      </c>
      <c r="E23" t="s">
        <v>40</v>
      </c>
      <c r="F23" t="s">
        <v>42</v>
      </c>
      <c r="G23" t="s">
        <v>43</v>
      </c>
      <c r="H23" t="s">
        <v>44</v>
      </c>
      <c r="I23" t="s">
        <v>45</v>
      </c>
      <c r="J23" t="s">
        <v>46</v>
      </c>
      <c r="K23">
        <v>100</v>
      </c>
      <c r="L23">
        <v>4058.9</v>
      </c>
      <c r="M23">
        <v>405890</v>
      </c>
      <c r="N23" t="s">
        <v>31</v>
      </c>
      <c r="O23">
        <v>0</v>
      </c>
    </row>
    <row r="24" spans="1:15">
      <c r="A24" t="s">
        <v>199</v>
      </c>
      <c r="B24">
        <v>20260820</v>
      </c>
      <c r="C24">
        <v>9984</v>
      </c>
      <c r="D24" t="s">
        <v>131</v>
      </c>
      <c r="E24" t="s">
        <v>40</v>
      </c>
      <c r="F24" t="s">
        <v>42</v>
      </c>
      <c r="G24" t="s">
        <v>43</v>
      </c>
      <c r="H24" t="s">
        <v>44</v>
      </c>
      <c r="I24" t="s">
        <v>45</v>
      </c>
      <c r="J24" t="s">
        <v>46</v>
      </c>
      <c r="K24">
        <v>100</v>
      </c>
      <c r="L24">
        <v>6171.9</v>
      </c>
      <c r="M24">
        <v>617190</v>
      </c>
      <c r="N24" t="s">
        <v>31</v>
      </c>
      <c r="O24">
        <v>0</v>
      </c>
    </row>
    <row r="25" spans="1:15">
      <c r="A25" t="s">
        <v>202</v>
      </c>
      <c r="B25">
        <v>20260820</v>
      </c>
      <c r="C25">
        <v>9984</v>
      </c>
      <c r="D25" t="s">
        <v>131</v>
      </c>
      <c r="E25" t="s">
        <v>40</v>
      </c>
      <c r="F25" t="s">
        <v>42</v>
      </c>
      <c r="G25" t="s">
        <v>43</v>
      </c>
      <c r="H25" t="s">
        <v>44</v>
      </c>
      <c r="I25" t="s">
        <v>48</v>
      </c>
      <c r="J25" t="s">
        <v>49</v>
      </c>
      <c r="K25">
        <v>100</v>
      </c>
      <c r="L25">
        <v>6170.1</v>
      </c>
      <c r="M25">
        <v>617010</v>
      </c>
      <c r="N25" t="s">
        <v>50</v>
      </c>
      <c r="O25">
        <v>0</v>
      </c>
    </row>
    <row r="26" spans="1:15">
      <c r="A26" t="s">
        <v>205</v>
      </c>
      <c r="B26">
        <v>20260820</v>
      </c>
      <c r="C26">
        <v>3436</v>
      </c>
      <c r="D26" t="s">
        <v>140</v>
      </c>
      <c r="E26" t="s">
        <v>40</v>
      </c>
      <c r="F26" t="s">
        <v>47</v>
      </c>
      <c r="G26" t="s">
        <v>43</v>
      </c>
      <c r="H26" t="s">
        <v>44</v>
      </c>
      <c r="I26" t="s">
        <v>48</v>
      </c>
      <c r="J26" t="s">
        <v>49</v>
      </c>
      <c r="K26">
        <v>100</v>
      </c>
      <c r="L26">
        <v>4018</v>
      </c>
      <c r="M26">
        <v>401800</v>
      </c>
      <c r="N26" t="s">
        <v>50</v>
      </c>
      <c r="O26">
        <v>0</v>
      </c>
    </row>
    <row r="27" spans="1:15">
      <c r="A27" t="s">
        <v>209</v>
      </c>
      <c r="B27">
        <v>20260820</v>
      </c>
      <c r="C27">
        <v>9984</v>
      </c>
      <c r="D27" t="s">
        <v>131</v>
      </c>
      <c r="E27" t="s">
        <v>40</v>
      </c>
      <c r="F27" t="s">
        <v>42</v>
      </c>
      <c r="G27" t="s">
        <v>43</v>
      </c>
      <c r="H27" t="s">
        <v>44</v>
      </c>
      <c r="I27" t="s">
        <v>45</v>
      </c>
      <c r="J27" t="s">
        <v>46</v>
      </c>
      <c r="K27">
        <v>100</v>
      </c>
      <c r="L27">
        <v>6152.9</v>
      </c>
      <c r="M27">
        <v>615290</v>
      </c>
      <c r="N27" t="s">
        <v>31</v>
      </c>
      <c r="O27">
        <v>0</v>
      </c>
    </row>
    <row r="28" spans="1:15">
      <c r="A28" t="s">
        <v>212</v>
      </c>
      <c r="B28">
        <v>20260820</v>
      </c>
      <c r="C28">
        <v>3436</v>
      </c>
      <c r="D28" t="s">
        <v>140</v>
      </c>
      <c r="E28" t="s">
        <v>40</v>
      </c>
      <c r="F28" t="s">
        <v>42</v>
      </c>
      <c r="G28" t="s">
        <v>43</v>
      </c>
      <c r="H28" t="s">
        <v>44</v>
      </c>
      <c r="I28" t="s">
        <v>45</v>
      </c>
      <c r="J28" t="s">
        <v>46</v>
      </c>
      <c r="K28">
        <v>100</v>
      </c>
      <c r="L28">
        <v>4048.9</v>
      </c>
      <c r="M28">
        <v>404890</v>
      </c>
      <c r="N28" t="s">
        <v>31</v>
      </c>
      <c r="O28">
        <v>0</v>
      </c>
    </row>
    <row r="29" spans="1:15">
      <c r="A29" t="s">
        <v>215</v>
      </c>
      <c r="B29">
        <v>20260820</v>
      </c>
      <c r="C29">
        <v>9984</v>
      </c>
      <c r="D29" t="s">
        <v>131</v>
      </c>
      <c r="E29" t="s">
        <v>40</v>
      </c>
      <c r="F29" t="s">
        <v>42</v>
      </c>
      <c r="G29" t="s">
        <v>43</v>
      </c>
      <c r="H29" t="s">
        <v>44</v>
      </c>
      <c r="I29" t="s">
        <v>48</v>
      </c>
      <c r="J29" t="s">
        <v>49</v>
      </c>
      <c r="K29">
        <v>100</v>
      </c>
      <c r="L29">
        <v>6157.1</v>
      </c>
      <c r="M29">
        <v>615710</v>
      </c>
      <c r="N29" t="s">
        <v>50</v>
      </c>
      <c r="O29">
        <v>0</v>
      </c>
    </row>
    <row r="30" spans="1:15">
      <c r="A30" t="s">
        <v>218</v>
      </c>
      <c r="B30">
        <v>20260820</v>
      </c>
      <c r="C30">
        <v>6613</v>
      </c>
      <c r="D30" t="s">
        <v>39</v>
      </c>
      <c r="E30" t="s">
        <v>40</v>
      </c>
      <c r="F30" t="s">
        <v>42</v>
      </c>
      <c r="G30" t="s">
        <v>43</v>
      </c>
      <c r="H30" t="s">
        <v>44</v>
      </c>
      <c r="I30" t="s">
        <v>45</v>
      </c>
      <c r="J30" t="s">
        <v>46</v>
      </c>
      <c r="K30">
        <v>100</v>
      </c>
      <c r="L30">
        <v>2144.1999999999998</v>
      </c>
      <c r="M30">
        <v>214420</v>
      </c>
      <c r="N30" t="s">
        <v>31</v>
      </c>
      <c r="O30">
        <v>0</v>
      </c>
    </row>
    <row r="31" spans="1:15">
      <c r="A31" t="s">
        <v>221</v>
      </c>
      <c r="B31">
        <v>20260820</v>
      </c>
      <c r="C31">
        <v>6613</v>
      </c>
      <c r="D31" t="s">
        <v>39</v>
      </c>
      <c r="E31" t="s">
        <v>40</v>
      </c>
      <c r="F31" t="s">
        <v>42</v>
      </c>
      <c r="G31" t="s">
        <v>43</v>
      </c>
      <c r="H31" t="s">
        <v>44</v>
      </c>
      <c r="I31" t="s">
        <v>48</v>
      </c>
      <c r="J31" t="s">
        <v>49</v>
      </c>
      <c r="K31">
        <v>100</v>
      </c>
      <c r="L31">
        <v>2184.6</v>
      </c>
      <c r="M31">
        <v>218460</v>
      </c>
      <c r="N31" t="s">
        <v>50</v>
      </c>
      <c r="O31">
        <v>0</v>
      </c>
    </row>
    <row r="32" spans="1:15">
      <c r="A32" t="s">
        <v>224</v>
      </c>
      <c r="B32">
        <v>20260820</v>
      </c>
      <c r="C32">
        <v>3436</v>
      </c>
      <c r="D32" t="s">
        <v>140</v>
      </c>
      <c r="E32" t="s">
        <v>40</v>
      </c>
      <c r="F32" t="s">
        <v>42</v>
      </c>
      <c r="G32" t="s">
        <v>43</v>
      </c>
      <c r="H32" t="s">
        <v>44</v>
      </c>
      <c r="I32" t="s">
        <v>48</v>
      </c>
      <c r="J32" t="s">
        <v>49</v>
      </c>
      <c r="K32">
        <v>100</v>
      </c>
      <c r="L32">
        <v>4034.2</v>
      </c>
      <c r="M32">
        <v>403420</v>
      </c>
      <c r="N32" t="s">
        <v>50</v>
      </c>
      <c r="O32">
        <v>0</v>
      </c>
    </row>
    <row r="33" spans="1:15">
      <c r="A33" t="s">
        <v>227</v>
      </c>
      <c r="B33">
        <v>20260820</v>
      </c>
      <c r="C33">
        <v>3436</v>
      </c>
      <c r="D33" t="s">
        <v>140</v>
      </c>
      <c r="E33" t="s">
        <v>40</v>
      </c>
      <c r="F33" t="s">
        <v>42</v>
      </c>
      <c r="G33" t="s">
        <v>43</v>
      </c>
      <c r="H33" t="s">
        <v>44</v>
      </c>
      <c r="I33" t="s">
        <v>45</v>
      </c>
      <c r="J33" t="s">
        <v>46</v>
      </c>
      <c r="K33">
        <v>100</v>
      </c>
      <c r="L33">
        <v>4021.7</v>
      </c>
      <c r="M33">
        <v>402170</v>
      </c>
      <c r="N33" t="s">
        <v>31</v>
      </c>
      <c r="O33">
        <v>0</v>
      </c>
    </row>
    <row r="34" spans="1:15">
      <c r="A34" t="s">
        <v>230</v>
      </c>
      <c r="B34">
        <v>20260820</v>
      </c>
      <c r="C34">
        <v>6613</v>
      </c>
      <c r="D34" t="s">
        <v>39</v>
      </c>
      <c r="E34" t="s">
        <v>40</v>
      </c>
      <c r="F34" t="s">
        <v>42</v>
      </c>
      <c r="G34" t="s">
        <v>43</v>
      </c>
      <c r="H34" t="s">
        <v>44</v>
      </c>
      <c r="I34" t="s">
        <v>45</v>
      </c>
      <c r="J34" t="s">
        <v>46</v>
      </c>
      <c r="K34">
        <v>100</v>
      </c>
      <c r="L34">
        <v>2188.8000000000002</v>
      </c>
      <c r="M34">
        <v>218880</v>
      </c>
      <c r="N34" t="s">
        <v>31</v>
      </c>
      <c r="O34">
        <v>0</v>
      </c>
    </row>
    <row r="35" spans="1:15">
      <c r="A35" t="s">
        <v>233</v>
      </c>
      <c r="B35">
        <v>20260820</v>
      </c>
      <c r="C35">
        <v>6613</v>
      </c>
      <c r="D35" t="s">
        <v>39</v>
      </c>
      <c r="E35" t="s">
        <v>40</v>
      </c>
      <c r="F35" t="s">
        <v>42</v>
      </c>
      <c r="G35" t="s">
        <v>43</v>
      </c>
      <c r="H35" t="s">
        <v>44</v>
      </c>
      <c r="I35" t="s">
        <v>48</v>
      </c>
      <c r="J35" t="s">
        <v>49</v>
      </c>
      <c r="K35">
        <v>100</v>
      </c>
      <c r="L35">
        <v>2206.4</v>
      </c>
      <c r="M35">
        <v>220640</v>
      </c>
      <c r="N35" t="s">
        <v>50</v>
      </c>
      <c r="O35">
        <v>0</v>
      </c>
    </row>
    <row r="36" spans="1:15">
      <c r="A36" t="s">
        <v>237</v>
      </c>
      <c r="B36">
        <v>20260820</v>
      </c>
      <c r="C36">
        <v>4063</v>
      </c>
      <c r="D36" t="s">
        <v>236</v>
      </c>
      <c r="E36" t="s">
        <v>40</v>
      </c>
      <c r="F36" t="s">
        <v>42</v>
      </c>
      <c r="G36" t="s">
        <v>43</v>
      </c>
      <c r="H36" t="s">
        <v>44</v>
      </c>
      <c r="I36" t="s">
        <v>45</v>
      </c>
      <c r="J36" t="s">
        <v>46</v>
      </c>
      <c r="K36">
        <v>100</v>
      </c>
      <c r="L36">
        <v>6391</v>
      </c>
      <c r="M36">
        <v>639100</v>
      </c>
      <c r="N36" t="s">
        <v>31</v>
      </c>
      <c r="O36">
        <v>0</v>
      </c>
    </row>
    <row r="37" spans="1:15">
      <c r="A37" t="s">
        <v>240</v>
      </c>
      <c r="B37">
        <v>20260820</v>
      </c>
      <c r="C37">
        <v>9984</v>
      </c>
      <c r="D37" t="s">
        <v>131</v>
      </c>
      <c r="E37" t="s">
        <v>40</v>
      </c>
      <c r="F37" t="s">
        <v>42</v>
      </c>
      <c r="G37" t="s">
        <v>43</v>
      </c>
      <c r="H37" t="s">
        <v>44</v>
      </c>
      <c r="I37" t="s">
        <v>45</v>
      </c>
      <c r="J37" t="s">
        <v>46</v>
      </c>
      <c r="K37">
        <v>100</v>
      </c>
      <c r="L37">
        <v>6135.9</v>
      </c>
      <c r="M37">
        <v>613590</v>
      </c>
      <c r="N37" t="s">
        <v>31</v>
      </c>
      <c r="O37">
        <v>0</v>
      </c>
    </row>
    <row r="38" spans="1:15">
      <c r="A38" t="s">
        <v>243</v>
      </c>
      <c r="B38">
        <v>20260820</v>
      </c>
      <c r="C38">
        <v>9984</v>
      </c>
      <c r="D38" t="s">
        <v>131</v>
      </c>
      <c r="E38" t="s">
        <v>40</v>
      </c>
      <c r="F38" t="s">
        <v>42</v>
      </c>
      <c r="G38" t="s">
        <v>43</v>
      </c>
      <c r="H38" t="s">
        <v>44</v>
      </c>
      <c r="I38" t="s">
        <v>48</v>
      </c>
      <c r="J38" t="s">
        <v>49</v>
      </c>
      <c r="K38">
        <v>100</v>
      </c>
      <c r="L38">
        <v>6111.8</v>
      </c>
      <c r="M38">
        <v>611180</v>
      </c>
      <c r="N38" t="s">
        <v>50</v>
      </c>
      <c r="O38">
        <v>0</v>
      </c>
    </row>
    <row r="39" spans="1:15">
      <c r="A39" t="s">
        <v>246</v>
      </c>
      <c r="B39">
        <v>20260820</v>
      </c>
      <c r="C39">
        <v>9984</v>
      </c>
      <c r="D39" t="s">
        <v>131</v>
      </c>
      <c r="E39" t="s">
        <v>40</v>
      </c>
      <c r="F39" t="s">
        <v>42</v>
      </c>
      <c r="G39" t="s">
        <v>43</v>
      </c>
      <c r="H39" t="s">
        <v>44</v>
      </c>
      <c r="I39" t="s">
        <v>45</v>
      </c>
      <c r="J39" t="s">
        <v>46</v>
      </c>
      <c r="K39">
        <v>100</v>
      </c>
      <c r="L39">
        <v>6108.9</v>
      </c>
      <c r="M39">
        <v>610890</v>
      </c>
      <c r="N39" t="s">
        <v>31</v>
      </c>
      <c r="O39">
        <v>0</v>
      </c>
    </row>
    <row r="40" spans="1:15">
      <c r="A40" t="s">
        <v>249</v>
      </c>
      <c r="B40">
        <v>20260820</v>
      </c>
      <c r="C40">
        <v>9984</v>
      </c>
      <c r="D40" t="s">
        <v>131</v>
      </c>
      <c r="E40" t="s">
        <v>40</v>
      </c>
      <c r="F40" t="s">
        <v>42</v>
      </c>
      <c r="G40" t="s">
        <v>43</v>
      </c>
      <c r="H40" t="s">
        <v>44</v>
      </c>
      <c r="I40" t="s">
        <v>48</v>
      </c>
      <c r="J40" t="s">
        <v>49</v>
      </c>
      <c r="K40">
        <v>100</v>
      </c>
      <c r="L40">
        <v>6152</v>
      </c>
      <c r="M40">
        <v>615200</v>
      </c>
      <c r="N40" t="s">
        <v>50</v>
      </c>
      <c r="O40">
        <v>0</v>
      </c>
    </row>
    <row r="41" spans="1:15">
      <c r="A41" t="s">
        <v>252</v>
      </c>
      <c r="B41">
        <v>20260820</v>
      </c>
      <c r="C41">
        <v>6613</v>
      </c>
      <c r="D41" t="s">
        <v>39</v>
      </c>
      <c r="E41" t="s">
        <v>40</v>
      </c>
      <c r="F41" t="s">
        <v>42</v>
      </c>
      <c r="G41" t="s">
        <v>43</v>
      </c>
      <c r="H41" t="s">
        <v>44</v>
      </c>
      <c r="I41" t="s">
        <v>45</v>
      </c>
      <c r="J41" t="s">
        <v>46</v>
      </c>
      <c r="K41">
        <v>100</v>
      </c>
      <c r="L41">
        <v>2248.6</v>
      </c>
      <c r="M41">
        <v>224860</v>
      </c>
      <c r="N41" t="s">
        <v>31</v>
      </c>
      <c r="O41">
        <v>0</v>
      </c>
    </row>
    <row r="42" spans="1:15">
      <c r="A42" t="s">
        <v>255</v>
      </c>
      <c r="B42">
        <v>20260820</v>
      </c>
      <c r="C42">
        <v>6613</v>
      </c>
      <c r="D42" t="s">
        <v>39</v>
      </c>
      <c r="E42" t="s">
        <v>40</v>
      </c>
      <c r="F42" t="s">
        <v>42</v>
      </c>
      <c r="G42" t="s">
        <v>43</v>
      </c>
      <c r="H42" t="s">
        <v>44</v>
      </c>
      <c r="I42" t="s">
        <v>48</v>
      </c>
      <c r="J42" t="s">
        <v>49</v>
      </c>
      <c r="K42">
        <v>100</v>
      </c>
      <c r="L42">
        <v>2284.1999999999998</v>
      </c>
      <c r="M42">
        <v>228420</v>
      </c>
      <c r="N42" t="s">
        <v>50</v>
      </c>
      <c r="O42">
        <v>0</v>
      </c>
    </row>
    <row r="43" spans="1:15">
      <c r="A43" t="s">
        <v>258</v>
      </c>
      <c r="B43">
        <v>20260820</v>
      </c>
      <c r="C43">
        <v>6613</v>
      </c>
      <c r="D43" t="s">
        <v>39</v>
      </c>
      <c r="E43" t="s">
        <v>40</v>
      </c>
      <c r="F43" t="s">
        <v>42</v>
      </c>
      <c r="G43" t="s">
        <v>43</v>
      </c>
      <c r="H43" t="s">
        <v>44</v>
      </c>
      <c r="I43" t="s">
        <v>45</v>
      </c>
      <c r="J43" t="s">
        <v>46</v>
      </c>
      <c r="K43">
        <v>100</v>
      </c>
      <c r="L43">
        <v>2287.1999999999998</v>
      </c>
      <c r="M43">
        <v>228720</v>
      </c>
      <c r="N43" t="s">
        <v>31</v>
      </c>
      <c r="O43">
        <v>0</v>
      </c>
    </row>
    <row r="44" spans="1:15">
      <c r="A44" t="s">
        <v>261</v>
      </c>
      <c r="B44">
        <v>20260820</v>
      </c>
      <c r="C44">
        <v>6613</v>
      </c>
      <c r="D44" t="s">
        <v>39</v>
      </c>
      <c r="E44" t="s">
        <v>40</v>
      </c>
      <c r="F44" t="s">
        <v>42</v>
      </c>
      <c r="G44" t="s">
        <v>43</v>
      </c>
      <c r="H44" t="s">
        <v>44</v>
      </c>
      <c r="I44" t="s">
        <v>48</v>
      </c>
      <c r="J44" t="s">
        <v>49</v>
      </c>
      <c r="K44">
        <v>100</v>
      </c>
      <c r="L44">
        <v>2272.8000000000002</v>
      </c>
      <c r="M44">
        <v>227280</v>
      </c>
      <c r="N44" t="s">
        <v>50</v>
      </c>
      <c r="O44">
        <v>0</v>
      </c>
    </row>
    <row r="45" spans="1:15">
      <c r="A45" t="s">
        <v>264</v>
      </c>
      <c r="B45">
        <v>20260820</v>
      </c>
      <c r="C45">
        <v>6613</v>
      </c>
      <c r="D45" t="s">
        <v>39</v>
      </c>
      <c r="E45" t="s">
        <v>40</v>
      </c>
      <c r="F45" t="s">
        <v>42</v>
      </c>
      <c r="G45" t="s">
        <v>43</v>
      </c>
      <c r="H45" t="s">
        <v>44</v>
      </c>
      <c r="I45" t="s">
        <v>45</v>
      </c>
      <c r="J45" t="s">
        <v>46</v>
      </c>
      <c r="K45">
        <v>100</v>
      </c>
      <c r="L45">
        <v>2270.8000000000002</v>
      </c>
      <c r="M45">
        <v>227080</v>
      </c>
      <c r="N45" t="s">
        <v>31</v>
      </c>
      <c r="O45">
        <v>0</v>
      </c>
    </row>
    <row r="46" spans="1:15">
      <c r="A46" t="s">
        <v>267</v>
      </c>
      <c r="B46">
        <v>20260820</v>
      </c>
      <c r="C46">
        <v>6613</v>
      </c>
      <c r="D46" t="s">
        <v>39</v>
      </c>
      <c r="E46" t="s">
        <v>40</v>
      </c>
      <c r="F46" t="s">
        <v>523</v>
      </c>
      <c r="G46" t="s">
        <v>43</v>
      </c>
      <c r="H46" t="s">
        <v>44</v>
      </c>
      <c r="I46" t="s">
        <v>48</v>
      </c>
      <c r="J46" t="s">
        <v>49</v>
      </c>
      <c r="K46">
        <v>100</v>
      </c>
      <c r="L46">
        <v>2235.1</v>
      </c>
      <c r="M46">
        <v>223510</v>
      </c>
      <c r="N46" t="s">
        <v>50</v>
      </c>
      <c r="O46">
        <v>0</v>
      </c>
    </row>
    <row r="47" spans="1:15">
      <c r="A47" t="s">
        <v>270</v>
      </c>
      <c r="B47">
        <v>20260820</v>
      </c>
      <c r="C47">
        <v>4063</v>
      </c>
      <c r="D47" t="s">
        <v>236</v>
      </c>
      <c r="E47" t="s">
        <v>40</v>
      </c>
      <c r="F47" t="s">
        <v>42</v>
      </c>
      <c r="G47" t="s">
        <v>43</v>
      </c>
      <c r="H47" t="s">
        <v>44</v>
      </c>
      <c r="I47" t="s">
        <v>48</v>
      </c>
      <c r="J47" t="s">
        <v>49</v>
      </c>
      <c r="K47">
        <v>100</v>
      </c>
      <c r="L47">
        <v>6375.6</v>
      </c>
      <c r="M47">
        <v>637560</v>
      </c>
      <c r="N47" t="s">
        <v>50</v>
      </c>
      <c r="O47">
        <v>0</v>
      </c>
    </row>
    <row r="48" spans="1:15">
      <c r="A48" t="s">
        <v>273</v>
      </c>
      <c r="B48">
        <v>20260820</v>
      </c>
      <c r="C48">
        <v>3436</v>
      </c>
      <c r="D48" t="s">
        <v>140</v>
      </c>
      <c r="E48" t="s">
        <v>40</v>
      </c>
      <c r="F48" t="s">
        <v>42</v>
      </c>
      <c r="G48" t="s">
        <v>43</v>
      </c>
      <c r="H48" t="s">
        <v>44</v>
      </c>
      <c r="I48" t="s">
        <v>48</v>
      </c>
      <c r="J48" t="s">
        <v>49</v>
      </c>
      <c r="K48">
        <v>100</v>
      </c>
      <c r="L48">
        <v>3968.5</v>
      </c>
      <c r="M48">
        <v>396850</v>
      </c>
      <c r="N48" t="s">
        <v>50</v>
      </c>
      <c r="O48">
        <v>0</v>
      </c>
    </row>
    <row r="49" spans="1:15">
      <c r="A49" t="s">
        <v>276</v>
      </c>
      <c r="B49">
        <v>20260820</v>
      </c>
      <c r="C49">
        <v>6613</v>
      </c>
      <c r="D49" t="s">
        <v>39</v>
      </c>
      <c r="E49" t="s">
        <v>40</v>
      </c>
      <c r="F49" t="s">
        <v>42</v>
      </c>
      <c r="G49" t="s">
        <v>43</v>
      </c>
      <c r="H49" t="s">
        <v>44</v>
      </c>
      <c r="I49" t="s">
        <v>45</v>
      </c>
      <c r="J49" t="s">
        <v>46</v>
      </c>
      <c r="K49">
        <v>100</v>
      </c>
      <c r="L49">
        <v>2239.9</v>
      </c>
      <c r="M49">
        <v>223990</v>
      </c>
      <c r="N49" t="s">
        <v>31</v>
      </c>
      <c r="O49">
        <v>0</v>
      </c>
    </row>
    <row r="50" spans="1:15">
      <c r="A50" t="s">
        <v>279</v>
      </c>
      <c r="B50">
        <v>20260820</v>
      </c>
      <c r="C50">
        <v>4063</v>
      </c>
      <c r="D50" t="s">
        <v>236</v>
      </c>
      <c r="E50" t="s">
        <v>40</v>
      </c>
      <c r="F50" t="s">
        <v>42</v>
      </c>
      <c r="G50" t="s">
        <v>43</v>
      </c>
      <c r="H50" t="s">
        <v>44</v>
      </c>
      <c r="I50" t="s">
        <v>45</v>
      </c>
      <c r="J50" t="s">
        <v>46</v>
      </c>
      <c r="K50">
        <v>100</v>
      </c>
      <c r="L50">
        <v>6382.9</v>
      </c>
      <c r="M50">
        <v>638290</v>
      </c>
      <c r="N50" t="s">
        <v>31</v>
      </c>
      <c r="O50">
        <v>0</v>
      </c>
    </row>
    <row r="51" spans="1:15">
      <c r="A51" t="s">
        <v>282</v>
      </c>
      <c r="B51">
        <v>20260820</v>
      </c>
      <c r="C51">
        <v>9984</v>
      </c>
      <c r="D51" t="s">
        <v>131</v>
      </c>
      <c r="E51" t="s">
        <v>40</v>
      </c>
      <c r="F51" t="s">
        <v>42</v>
      </c>
      <c r="G51" t="s">
        <v>43</v>
      </c>
      <c r="H51" t="s">
        <v>44</v>
      </c>
      <c r="I51" t="s">
        <v>45</v>
      </c>
      <c r="J51" t="s">
        <v>46</v>
      </c>
      <c r="K51">
        <v>100</v>
      </c>
      <c r="L51">
        <v>6185.4</v>
      </c>
      <c r="M51">
        <v>618540</v>
      </c>
      <c r="N51" t="s">
        <v>31</v>
      </c>
      <c r="O51">
        <v>0</v>
      </c>
    </row>
    <row r="52" spans="1:15">
      <c r="A52" t="s">
        <v>285</v>
      </c>
      <c r="B52">
        <v>20260820</v>
      </c>
      <c r="C52">
        <v>6613</v>
      </c>
      <c r="D52" t="s">
        <v>39</v>
      </c>
      <c r="E52" t="s">
        <v>40</v>
      </c>
      <c r="F52" t="s">
        <v>42</v>
      </c>
      <c r="G52" t="s">
        <v>43</v>
      </c>
      <c r="H52" t="s">
        <v>44</v>
      </c>
      <c r="I52" t="s">
        <v>48</v>
      </c>
      <c r="J52" t="s">
        <v>49</v>
      </c>
      <c r="K52">
        <v>100</v>
      </c>
      <c r="L52">
        <v>2249.6</v>
      </c>
      <c r="M52">
        <v>224960</v>
      </c>
      <c r="N52" t="s">
        <v>50</v>
      </c>
      <c r="O52">
        <v>0</v>
      </c>
    </row>
    <row r="53" spans="1:15">
      <c r="A53" t="s">
        <v>288</v>
      </c>
      <c r="B53">
        <v>20260820</v>
      </c>
      <c r="C53">
        <v>6613</v>
      </c>
      <c r="D53" t="s">
        <v>39</v>
      </c>
      <c r="E53" t="s">
        <v>40</v>
      </c>
      <c r="F53" t="s">
        <v>42</v>
      </c>
      <c r="G53" t="s">
        <v>43</v>
      </c>
      <c r="H53" t="s">
        <v>44</v>
      </c>
      <c r="I53" t="s">
        <v>45</v>
      </c>
      <c r="J53" t="s">
        <v>46</v>
      </c>
      <c r="K53">
        <v>100</v>
      </c>
      <c r="L53">
        <v>2252.1</v>
      </c>
      <c r="M53">
        <v>225210</v>
      </c>
      <c r="N53" t="s">
        <v>31</v>
      </c>
      <c r="O53">
        <v>0</v>
      </c>
    </row>
    <row r="54" spans="1:15">
      <c r="A54" t="s">
        <v>291</v>
      </c>
      <c r="B54">
        <v>20260820</v>
      </c>
      <c r="C54">
        <v>9984</v>
      </c>
      <c r="D54" t="s">
        <v>131</v>
      </c>
      <c r="E54" t="s">
        <v>40</v>
      </c>
      <c r="F54" t="s">
        <v>42</v>
      </c>
      <c r="G54" t="s">
        <v>43</v>
      </c>
      <c r="H54" t="s">
        <v>44</v>
      </c>
      <c r="I54" t="s">
        <v>48</v>
      </c>
      <c r="J54" t="s">
        <v>49</v>
      </c>
      <c r="K54">
        <v>100</v>
      </c>
      <c r="L54">
        <v>6208</v>
      </c>
      <c r="M54">
        <v>620800</v>
      </c>
      <c r="N54" t="s">
        <v>50</v>
      </c>
      <c r="O54">
        <v>0</v>
      </c>
    </row>
    <row r="55" spans="1:15">
      <c r="A55" t="s">
        <v>294</v>
      </c>
      <c r="B55">
        <v>20260820</v>
      </c>
      <c r="C55">
        <v>6613</v>
      </c>
      <c r="D55" t="s">
        <v>39</v>
      </c>
      <c r="E55" t="s">
        <v>40</v>
      </c>
      <c r="F55" t="s">
        <v>47</v>
      </c>
      <c r="G55" t="s">
        <v>43</v>
      </c>
      <c r="H55" t="s">
        <v>44</v>
      </c>
      <c r="I55" t="s">
        <v>48</v>
      </c>
      <c r="J55" t="s">
        <v>49</v>
      </c>
      <c r="K55">
        <v>100</v>
      </c>
      <c r="L55">
        <v>2243</v>
      </c>
      <c r="M55">
        <v>224300</v>
      </c>
      <c r="N55" t="s">
        <v>50</v>
      </c>
      <c r="O55">
        <v>0</v>
      </c>
    </row>
    <row r="56" spans="1:15">
      <c r="A56" t="s">
        <v>298</v>
      </c>
      <c r="B56">
        <v>20260820</v>
      </c>
      <c r="C56">
        <v>5803</v>
      </c>
      <c r="D56" t="s">
        <v>297</v>
      </c>
      <c r="E56" t="s">
        <v>40</v>
      </c>
      <c r="F56" t="s">
        <v>42</v>
      </c>
      <c r="G56" t="s">
        <v>43</v>
      </c>
      <c r="H56" t="s">
        <v>44</v>
      </c>
      <c r="I56" t="s">
        <v>45</v>
      </c>
      <c r="J56" t="s">
        <v>46</v>
      </c>
      <c r="K56">
        <v>100</v>
      </c>
      <c r="L56">
        <v>6334.8</v>
      </c>
      <c r="M56">
        <v>633480</v>
      </c>
      <c r="N56" t="s">
        <v>31</v>
      </c>
      <c r="O56">
        <v>0</v>
      </c>
    </row>
    <row r="57" spans="1:15">
      <c r="A57" t="s">
        <v>301</v>
      </c>
      <c r="B57">
        <v>20260820</v>
      </c>
      <c r="C57">
        <v>4063</v>
      </c>
      <c r="D57" t="s">
        <v>236</v>
      </c>
      <c r="E57" t="s">
        <v>40</v>
      </c>
      <c r="F57" t="s">
        <v>42</v>
      </c>
      <c r="G57" t="s">
        <v>43</v>
      </c>
      <c r="H57" t="s">
        <v>44</v>
      </c>
      <c r="I57" t="s">
        <v>48</v>
      </c>
      <c r="J57" t="s">
        <v>49</v>
      </c>
      <c r="K57">
        <v>100</v>
      </c>
      <c r="L57">
        <v>6364</v>
      </c>
      <c r="M57">
        <v>636400</v>
      </c>
      <c r="N57" t="s">
        <v>50</v>
      </c>
      <c r="O57">
        <v>0</v>
      </c>
    </row>
    <row r="58" spans="1:15">
      <c r="A58" t="s">
        <v>306</v>
      </c>
      <c r="B58">
        <v>20260820</v>
      </c>
      <c r="C58" t="s">
        <v>304</v>
      </c>
      <c r="D58" t="s">
        <v>305</v>
      </c>
      <c r="E58" t="s">
        <v>40</v>
      </c>
      <c r="F58" t="s">
        <v>42</v>
      </c>
      <c r="G58" t="s">
        <v>43</v>
      </c>
      <c r="H58" t="s">
        <v>44</v>
      </c>
      <c r="I58" t="s">
        <v>45</v>
      </c>
      <c r="J58" t="s">
        <v>46</v>
      </c>
      <c r="K58">
        <v>100</v>
      </c>
      <c r="L58">
        <v>3755</v>
      </c>
      <c r="M58">
        <v>375500</v>
      </c>
      <c r="N58" t="s">
        <v>31</v>
      </c>
      <c r="O58">
        <v>0</v>
      </c>
    </row>
    <row r="59" spans="1:15">
      <c r="A59" t="s">
        <v>309</v>
      </c>
      <c r="B59">
        <v>20260820</v>
      </c>
      <c r="C59">
        <v>6613</v>
      </c>
      <c r="D59" t="s">
        <v>39</v>
      </c>
      <c r="E59" t="s">
        <v>40</v>
      </c>
      <c r="F59" t="s">
        <v>42</v>
      </c>
      <c r="G59" t="s">
        <v>43</v>
      </c>
      <c r="H59" t="s">
        <v>44</v>
      </c>
      <c r="I59" t="s">
        <v>45</v>
      </c>
      <c r="J59" t="s">
        <v>46</v>
      </c>
      <c r="K59">
        <v>100</v>
      </c>
      <c r="L59">
        <v>2222.6</v>
      </c>
      <c r="M59">
        <v>222260</v>
      </c>
      <c r="N59" t="s">
        <v>31</v>
      </c>
      <c r="O59">
        <v>0</v>
      </c>
    </row>
    <row r="60" spans="1:15">
      <c r="A60" t="s">
        <v>312</v>
      </c>
      <c r="B60">
        <v>20260820</v>
      </c>
      <c r="C60">
        <v>5803</v>
      </c>
      <c r="D60" t="s">
        <v>297</v>
      </c>
      <c r="E60" t="s">
        <v>40</v>
      </c>
      <c r="F60" t="s">
        <v>42</v>
      </c>
      <c r="G60" t="s">
        <v>43</v>
      </c>
      <c r="H60" t="s">
        <v>44</v>
      </c>
      <c r="I60" t="s">
        <v>48</v>
      </c>
      <c r="J60" t="s">
        <v>49</v>
      </c>
      <c r="K60">
        <v>100</v>
      </c>
      <c r="L60">
        <v>6346.4</v>
      </c>
      <c r="M60">
        <v>634640</v>
      </c>
      <c r="N60" t="s">
        <v>50</v>
      </c>
      <c r="O60">
        <v>0</v>
      </c>
    </row>
    <row r="61" spans="1:15">
      <c r="A61" t="s">
        <v>315</v>
      </c>
      <c r="B61">
        <v>20260820</v>
      </c>
      <c r="C61">
        <v>6613</v>
      </c>
      <c r="D61" t="s">
        <v>39</v>
      </c>
      <c r="E61" t="s">
        <v>40</v>
      </c>
      <c r="F61" t="s">
        <v>42</v>
      </c>
      <c r="G61" t="s">
        <v>43</v>
      </c>
      <c r="H61" t="s">
        <v>44</v>
      </c>
      <c r="I61" t="s">
        <v>45</v>
      </c>
      <c r="J61" t="s">
        <v>46</v>
      </c>
      <c r="K61">
        <v>100</v>
      </c>
      <c r="L61">
        <v>2205.8000000000002</v>
      </c>
      <c r="M61">
        <v>220580</v>
      </c>
      <c r="N61" t="s">
        <v>31</v>
      </c>
      <c r="O61">
        <v>0</v>
      </c>
    </row>
    <row r="62" spans="1:15">
      <c r="A62" t="s">
        <v>319</v>
      </c>
      <c r="B62">
        <v>20260820</v>
      </c>
      <c r="C62" t="s">
        <v>304</v>
      </c>
      <c r="D62" t="s">
        <v>305</v>
      </c>
      <c r="E62" t="s">
        <v>40</v>
      </c>
      <c r="F62" t="s">
        <v>42</v>
      </c>
      <c r="G62" t="s">
        <v>43</v>
      </c>
      <c r="H62" t="s">
        <v>44</v>
      </c>
      <c r="I62" t="s">
        <v>48</v>
      </c>
      <c r="J62" t="s">
        <v>49</v>
      </c>
      <c r="K62">
        <v>100</v>
      </c>
      <c r="L62">
        <v>3771</v>
      </c>
      <c r="M62">
        <v>377100</v>
      </c>
      <c r="N62" t="s">
        <v>50</v>
      </c>
      <c r="O62">
        <v>0</v>
      </c>
    </row>
    <row r="63" spans="1:15">
      <c r="A63" t="s">
        <v>322</v>
      </c>
      <c r="B63">
        <v>20260820</v>
      </c>
      <c r="C63" t="s">
        <v>304</v>
      </c>
      <c r="D63" t="s">
        <v>305</v>
      </c>
      <c r="E63" t="s">
        <v>40</v>
      </c>
      <c r="F63" t="s">
        <v>42</v>
      </c>
      <c r="G63" t="s">
        <v>43</v>
      </c>
      <c r="H63" t="s">
        <v>44</v>
      </c>
      <c r="I63" t="s">
        <v>45</v>
      </c>
      <c r="J63" t="s">
        <v>46</v>
      </c>
      <c r="K63">
        <v>100</v>
      </c>
      <c r="L63">
        <v>3795.5</v>
      </c>
      <c r="M63">
        <v>379550</v>
      </c>
      <c r="N63" t="s">
        <v>31</v>
      </c>
      <c r="O63">
        <v>0</v>
      </c>
    </row>
    <row r="64" spans="1:15">
      <c r="A64" t="s">
        <v>325</v>
      </c>
      <c r="B64">
        <v>20260820</v>
      </c>
      <c r="C64">
        <v>3436</v>
      </c>
      <c r="D64" t="s">
        <v>140</v>
      </c>
      <c r="E64" t="s">
        <v>40</v>
      </c>
      <c r="F64" t="s">
        <v>42</v>
      </c>
      <c r="G64" t="s">
        <v>43</v>
      </c>
      <c r="H64" t="s">
        <v>44</v>
      </c>
      <c r="I64" t="s">
        <v>45</v>
      </c>
      <c r="J64" t="s">
        <v>46</v>
      </c>
      <c r="K64">
        <v>100</v>
      </c>
      <c r="L64">
        <v>4010.7</v>
      </c>
      <c r="M64">
        <v>401070</v>
      </c>
      <c r="N64" t="s">
        <v>31</v>
      </c>
      <c r="O64">
        <v>0</v>
      </c>
    </row>
    <row r="65" spans="1:15">
      <c r="A65" t="s">
        <v>328</v>
      </c>
      <c r="B65">
        <v>20260820</v>
      </c>
      <c r="C65">
        <v>6613</v>
      </c>
      <c r="D65" t="s">
        <v>39</v>
      </c>
      <c r="E65" t="s">
        <v>40</v>
      </c>
      <c r="F65" t="s">
        <v>42</v>
      </c>
      <c r="G65" t="s">
        <v>43</v>
      </c>
      <c r="H65" t="s">
        <v>44</v>
      </c>
      <c r="I65" t="s">
        <v>48</v>
      </c>
      <c r="J65" t="s">
        <v>49</v>
      </c>
      <c r="K65">
        <v>100</v>
      </c>
      <c r="L65">
        <v>2242</v>
      </c>
      <c r="M65">
        <v>224200</v>
      </c>
      <c r="N65" t="s">
        <v>50</v>
      </c>
      <c r="O65">
        <v>0</v>
      </c>
    </row>
    <row r="66" spans="1:15">
      <c r="A66" t="s">
        <v>331</v>
      </c>
      <c r="B66">
        <v>20260820</v>
      </c>
      <c r="C66">
        <v>6613</v>
      </c>
      <c r="D66" t="s">
        <v>39</v>
      </c>
      <c r="E66" t="s">
        <v>40</v>
      </c>
      <c r="F66" t="s">
        <v>42</v>
      </c>
      <c r="G66" t="s">
        <v>43</v>
      </c>
      <c r="H66" t="s">
        <v>44</v>
      </c>
      <c r="I66" t="s">
        <v>48</v>
      </c>
      <c r="J66" t="s">
        <v>49</v>
      </c>
      <c r="K66">
        <v>100</v>
      </c>
      <c r="L66">
        <v>2241.4</v>
      </c>
      <c r="M66">
        <v>224140</v>
      </c>
      <c r="N66" t="s">
        <v>50</v>
      </c>
      <c r="O66">
        <v>0</v>
      </c>
    </row>
    <row r="67" spans="1:15">
      <c r="A67" t="s">
        <v>334</v>
      </c>
      <c r="B67">
        <v>20260820</v>
      </c>
      <c r="C67">
        <v>3436</v>
      </c>
      <c r="D67" t="s">
        <v>140</v>
      </c>
      <c r="E67" t="s">
        <v>40</v>
      </c>
      <c r="F67" t="s">
        <v>42</v>
      </c>
      <c r="G67" t="s">
        <v>43</v>
      </c>
      <c r="H67" t="s">
        <v>44</v>
      </c>
      <c r="I67" t="s">
        <v>45</v>
      </c>
      <c r="J67" t="s">
        <v>46</v>
      </c>
      <c r="K67">
        <v>100</v>
      </c>
      <c r="L67">
        <v>4000</v>
      </c>
      <c r="M67">
        <v>400000</v>
      </c>
      <c r="N67" t="s">
        <v>31</v>
      </c>
      <c r="O67">
        <v>0</v>
      </c>
    </row>
    <row r="68" spans="1:15">
      <c r="A68" t="s">
        <v>337</v>
      </c>
      <c r="B68">
        <v>20260820</v>
      </c>
      <c r="C68" t="s">
        <v>304</v>
      </c>
      <c r="D68" t="s">
        <v>305</v>
      </c>
      <c r="E68" t="s">
        <v>40</v>
      </c>
      <c r="F68" t="s">
        <v>42</v>
      </c>
      <c r="G68" t="s">
        <v>43</v>
      </c>
      <c r="H68" t="s">
        <v>44</v>
      </c>
      <c r="I68" t="s">
        <v>48</v>
      </c>
      <c r="J68" t="s">
        <v>49</v>
      </c>
      <c r="K68">
        <v>100</v>
      </c>
      <c r="L68">
        <v>3814.5</v>
      </c>
      <c r="M68">
        <v>381450</v>
      </c>
      <c r="N68" t="s">
        <v>50</v>
      </c>
      <c r="O68">
        <v>0</v>
      </c>
    </row>
    <row r="69" spans="1:15">
      <c r="A69" t="s">
        <v>340</v>
      </c>
      <c r="B69">
        <v>20260820</v>
      </c>
      <c r="C69">
        <v>6613</v>
      </c>
      <c r="D69" t="s">
        <v>39</v>
      </c>
      <c r="E69" t="s">
        <v>40</v>
      </c>
      <c r="F69" t="s">
        <v>42</v>
      </c>
      <c r="G69" t="s">
        <v>43</v>
      </c>
      <c r="H69" t="s">
        <v>44</v>
      </c>
      <c r="I69" t="s">
        <v>45</v>
      </c>
      <c r="J69" t="s">
        <v>46</v>
      </c>
      <c r="K69">
        <v>100</v>
      </c>
      <c r="L69">
        <v>2240.6</v>
      </c>
      <c r="M69">
        <v>224060</v>
      </c>
      <c r="N69" t="s">
        <v>31</v>
      </c>
      <c r="O69">
        <v>0</v>
      </c>
    </row>
    <row r="70" spans="1:15">
      <c r="A70" t="s">
        <v>344</v>
      </c>
      <c r="B70">
        <v>20260820</v>
      </c>
      <c r="C70">
        <v>6613</v>
      </c>
      <c r="D70" t="s">
        <v>39</v>
      </c>
      <c r="E70" t="s">
        <v>40</v>
      </c>
      <c r="F70" t="s">
        <v>42</v>
      </c>
      <c r="G70" t="s">
        <v>43</v>
      </c>
      <c r="H70" t="s">
        <v>44</v>
      </c>
      <c r="I70" t="s">
        <v>45</v>
      </c>
      <c r="J70" t="s">
        <v>46</v>
      </c>
      <c r="K70">
        <v>100</v>
      </c>
      <c r="L70">
        <v>2219.6</v>
      </c>
      <c r="M70">
        <v>221960</v>
      </c>
      <c r="N70" t="s">
        <v>31</v>
      </c>
      <c r="O70">
        <v>0</v>
      </c>
    </row>
    <row r="71" spans="1:15">
      <c r="A71" t="s">
        <v>347</v>
      </c>
      <c r="B71">
        <v>20260820</v>
      </c>
      <c r="C71">
        <v>6613</v>
      </c>
      <c r="D71" t="s">
        <v>39</v>
      </c>
      <c r="E71" t="s">
        <v>40</v>
      </c>
      <c r="F71" t="s">
        <v>42</v>
      </c>
      <c r="G71" t="s">
        <v>43</v>
      </c>
      <c r="H71" t="s">
        <v>44</v>
      </c>
      <c r="I71" t="s">
        <v>45</v>
      </c>
      <c r="J71" t="s">
        <v>46</v>
      </c>
      <c r="K71">
        <v>100</v>
      </c>
      <c r="L71">
        <v>2151.6999999999998</v>
      </c>
      <c r="M71">
        <v>215170</v>
      </c>
      <c r="N71" t="s">
        <v>31</v>
      </c>
      <c r="O71">
        <v>0</v>
      </c>
    </row>
    <row r="72" spans="1:15">
      <c r="A72" t="s">
        <v>350</v>
      </c>
      <c r="B72">
        <v>20260820</v>
      </c>
      <c r="C72">
        <v>6613</v>
      </c>
      <c r="D72" t="s">
        <v>39</v>
      </c>
      <c r="E72" t="s">
        <v>40</v>
      </c>
      <c r="F72" t="s">
        <v>42</v>
      </c>
      <c r="G72" t="s">
        <v>43</v>
      </c>
      <c r="H72" t="s">
        <v>44</v>
      </c>
      <c r="I72" t="s">
        <v>48</v>
      </c>
      <c r="J72" t="s">
        <v>49</v>
      </c>
      <c r="K72">
        <v>200</v>
      </c>
      <c r="L72">
        <v>2137.4</v>
      </c>
      <c r="M72">
        <v>427480</v>
      </c>
      <c r="N72" t="s">
        <v>50</v>
      </c>
      <c r="O72">
        <v>0</v>
      </c>
    </row>
    <row r="73" spans="1:15">
      <c r="A73" t="s">
        <v>350</v>
      </c>
      <c r="B73">
        <v>20260820</v>
      </c>
      <c r="C73">
        <v>6613</v>
      </c>
      <c r="D73" t="s">
        <v>39</v>
      </c>
      <c r="E73" t="s">
        <v>40</v>
      </c>
      <c r="F73" t="s">
        <v>42</v>
      </c>
      <c r="G73" t="s">
        <v>43</v>
      </c>
      <c r="H73" t="s">
        <v>44</v>
      </c>
      <c r="I73" t="s">
        <v>48</v>
      </c>
      <c r="J73" t="s">
        <v>49</v>
      </c>
      <c r="K73">
        <v>100</v>
      </c>
      <c r="L73">
        <v>2137.1</v>
      </c>
      <c r="M73">
        <v>213710</v>
      </c>
      <c r="N73" t="s">
        <v>50</v>
      </c>
      <c r="O73">
        <v>0</v>
      </c>
    </row>
    <row r="74" spans="1:15">
      <c r="A74" t="s">
        <v>354</v>
      </c>
      <c r="B74">
        <v>20260820</v>
      </c>
      <c r="C74">
        <v>6613</v>
      </c>
      <c r="D74" t="s">
        <v>39</v>
      </c>
      <c r="E74" t="s">
        <v>40</v>
      </c>
      <c r="F74" t="s">
        <v>42</v>
      </c>
      <c r="G74" t="s">
        <v>43</v>
      </c>
      <c r="H74" t="s">
        <v>44</v>
      </c>
      <c r="I74" t="s">
        <v>45</v>
      </c>
      <c r="J74" t="s">
        <v>46</v>
      </c>
      <c r="K74">
        <v>100</v>
      </c>
      <c r="L74">
        <v>2129.6</v>
      </c>
      <c r="M74">
        <v>212960</v>
      </c>
      <c r="N74" t="s">
        <v>31</v>
      </c>
      <c r="O74">
        <v>0</v>
      </c>
    </row>
    <row r="75" spans="1:15">
      <c r="A75" t="s">
        <v>358</v>
      </c>
      <c r="B75">
        <v>20260820</v>
      </c>
      <c r="C75">
        <v>6613</v>
      </c>
      <c r="D75" t="s">
        <v>39</v>
      </c>
      <c r="E75" t="s">
        <v>40</v>
      </c>
      <c r="F75" t="s">
        <v>42</v>
      </c>
      <c r="G75" t="s">
        <v>43</v>
      </c>
      <c r="H75" t="s">
        <v>44</v>
      </c>
      <c r="I75" t="s">
        <v>45</v>
      </c>
      <c r="J75" t="s">
        <v>46</v>
      </c>
      <c r="K75">
        <v>100</v>
      </c>
      <c r="L75">
        <v>2132.1999999999998</v>
      </c>
      <c r="M75">
        <v>213220</v>
      </c>
      <c r="N75" t="s">
        <v>31</v>
      </c>
      <c r="O75">
        <v>0</v>
      </c>
    </row>
    <row r="76" spans="1:15">
      <c r="A76" t="s">
        <v>361</v>
      </c>
      <c r="B76">
        <v>20260820</v>
      </c>
      <c r="C76">
        <v>9984</v>
      </c>
      <c r="D76" t="s">
        <v>131</v>
      </c>
      <c r="E76" t="s">
        <v>40</v>
      </c>
      <c r="F76" t="s">
        <v>42</v>
      </c>
      <c r="G76" t="s">
        <v>43</v>
      </c>
      <c r="H76" t="s">
        <v>44</v>
      </c>
      <c r="I76" t="s">
        <v>45</v>
      </c>
      <c r="J76" t="s">
        <v>46</v>
      </c>
      <c r="K76">
        <v>100</v>
      </c>
      <c r="L76">
        <v>6056.9</v>
      </c>
      <c r="M76">
        <v>605690</v>
      </c>
      <c r="N76" t="s">
        <v>31</v>
      </c>
      <c r="O76">
        <v>0</v>
      </c>
    </row>
    <row r="77" spans="1:15">
      <c r="A77" t="s">
        <v>364</v>
      </c>
      <c r="B77">
        <v>20260820</v>
      </c>
      <c r="C77">
        <v>6613</v>
      </c>
      <c r="D77" t="s">
        <v>39</v>
      </c>
      <c r="E77" t="s">
        <v>40</v>
      </c>
      <c r="F77" t="s">
        <v>47</v>
      </c>
      <c r="G77" t="s">
        <v>43</v>
      </c>
      <c r="H77" t="s">
        <v>44</v>
      </c>
      <c r="I77" t="s">
        <v>45</v>
      </c>
      <c r="J77" t="s">
        <v>46</v>
      </c>
      <c r="K77">
        <v>100</v>
      </c>
      <c r="L77">
        <v>2139</v>
      </c>
      <c r="M77">
        <v>213900</v>
      </c>
      <c r="N77" t="s">
        <v>31</v>
      </c>
      <c r="O77">
        <v>0</v>
      </c>
    </row>
    <row r="78" spans="1:15">
      <c r="A78" t="s">
        <v>367</v>
      </c>
      <c r="B78">
        <v>20260820</v>
      </c>
      <c r="C78">
        <v>9984</v>
      </c>
      <c r="D78" t="s">
        <v>131</v>
      </c>
      <c r="E78" t="s">
        <v>40</v>
      </c>
      <c r="F78" t="s">
        <v>42</v>
      </c>
      <c r="G78" t="s">
        <v>43</v>
      </c>
      <c r="H78" t="s">
        <v>44</v>
      </c>
      <c r="I78" t="s">
        <v>48</v>
      </c>
      <c r="J78" t="s">
        <v>49</v>
      </c>
      <c r="K78">
        <v>100</v>
      </c>
      <c r="L78">
        <v>5917.9</v>
      </c>
      <c r="M78">
        <v>591790</v>
      </c>
      <c r="N78" t="s">
        <v>50</v>
      </c>
      <c r="O78">
        <v>0</v>
      </c>
    </row>
    <row r="79" spans="1:15">
      <c r="A79" t="s">
        <v>370</v>
      </c>
      <c r="B79">
        <v>20260820</v>
      </c>
      <c r="C79">
        <v>3436</v>
      </c>
      <c r="D79" t="s">
        <v>140</v>
      </c>
      <c r="E79" t="s">
        <v>40</v>
      </c>
      <c r="F79" t="s">
        <v>42</v>
      </c>
      <c r="G79" t="s">
        <v>43</v>
      </c>
      <c r="H79" t="s">
        <v>44</v>
      </c>
      <c r="I79" t="s">
        <v>48</v>
      </c>
      <c r="J79" t="s">
        <v>49</v>
      </c>
      <c r="K79">
        <v>200</v>
      </c>
      <c r="L79">
        <v>3814.4</v>
      </c>
      <c r="M79">
        <v>762880</v>
      </c>
      <c r="N79" t="s">
        <v>50</v>
      </c>
      <c r="O79">
        <v>0</v>
      </c>
    </row>
    <row r="80" spans="1:15">
      <c r="A80" t="s">
        <v>373</v>
      </c>
      <c r="B80">
        <v>20260820</v>
      </c>
      <c r="C80">
        <v>9984</v>
      </c>
      <c r="D80" t="s">
        <v>131</v>
      </c>
      <c r="E80" t="s">
        <v>40</v>
      </c>
      <c r="F80" t="s">
        <v>42</v>
      </c>
      <c r="G80" t="s">
        <v>43</v>
      </c>
      <c r="H80" t="s">
        <v>44</v>
      </c>
      <c r="I80" t="s">
        <v>45</v>
      </c>
      <c r="J80" t="s">
        <v>46</v>
      </c>
      <c r="K80">
        <v>100</v>
      </c>
      <c r="L80">
        <v>5930.9</v>
      </c>
      <c r="M80">
        <v>593090</v>
      </c>
      <c r="N80" t="s">
        <v>31</v>
      </c>
      <c r="O80">
        <v>0</v>
      </c>
    </row>
    <row r="81" spans="1:15">
      <c r="A81" t="s">
        <v>376</v>
      </c>
      <c r="B81">
        <v>20260820</v>
      </c>
      <c r="C81">
        <v>9984</v>
      </c>
      <c r="D81" t="s">
        <v>131</v>
      </c>
      <c r="E81" t="s">
        <v>40</v>
      </c>
      <c r="F81" t="s">
        <v>47</v>
      </c>
      <c r="G81" t="s">
        <v>43</v>
      </c>
      <c r="H81" t="s">
        <v>44</v>
      </c>
      <c r="I81" t="s">
        <v>48</v>
      </c>
      <c r="J81" t="s">
        <v>49</v>
      </c>
      <c r="K81">
        <v>100</v>
      </c>
      <c r="L81">
        <v>5902</v>
      </c>
      <c r="M81">
        <v>590200</v>
      </c>
      <c r="N81" t="s">
        <v>50</v>
      </c>
      <c r="O81">
        <v>0</v>
      </c>
    </row>
    <row r="82" spans="1:15">
      <c r="A82" t="s">
        <v>379</v>
      </c>
      <c r="B82">
        <v>20260820</v>
      </c>
      <c r="C82" t="s">
        <v>304</v>
      </c>
      <c r="D82" t="s">
        <v>305</v>
      </c>
      <c r="E82" t="s">
        <v>40</v>
      </c>
      <c r="F82" t="s">
        <v>42</v>
      </c>
      <c r="G82" t="s">
        <v>43</v>
      </c>
      <c r="H82" t="s">
        <v>44</v>
      </c>
      <c r="I82" t="s">
        <v>45</v>
      </c>
      <c r="J82" t="s">
        <v>46</v>
      </c>
      <c r="K82">
        <v>100</v>
      </c>
      <c r="L82">
        <v>3765</v>
      </c>
      <c r="M82">
        <v>376500</v>
      </c>
      <c r="N82" t="s">
        <v>31</v>
      </c>
      <c r="O82">
        <v>0</v>
      </c>
    </row>
    <row r="83" spans="1:15">
      <c r="A83" t="s">
        <v>382</v>
      </c>
      <c r="B83">
        <v>20260820</v>
      </c>
      <c r="C83" t="s">
        <v>304</v>
      </c>
      <c r="D83" t="s">
        <v>305</v>
      </c>
      <c r="E83" t="s">
        <v>40</v>
      </c>
      <c r="F83" t="s">
        <v>42</v>
      </c>
      <c r="G83" t="s">
        <v>43</v>
      </c>
      <c r="H83" t="s">
        <v>44</v>
      </c>
      <c r="I83" t="s">
        <v>48</v>
      </c>
      <c r="J83" t="s">
        <v>49</v>
      </c>
      <c r="K83">
        <v>100</v>
      </c>
      <c r="L83">
        <v>3767.5</v>
      </c>
      <c r="M83">
        <v>376750</v>
      </c>
      <c r="N83" t="s">
        <v>50</v>
      </c>
      <c r="O83">
        <v>0</v>
      </c>
    </row>
    <row r="84" spans="1:15">
      <c r="A84" t="s">
        <v>385</v>
      </c>
      <c r="B84">
        <v>20260820</v>
      </c>
      <c r="C84">
        <v>9984</v>
      </c>
      <c r="D84" t="s">
        <v>131</v>
      </c>
      <c r="E84" t="s">
        <v>40</v>
      </c>
      <c r="F84" t="s">
        <v>42</v>
      </c>
      <c r="G84" t="s">
        <v>43</v>
      </c>
      <c r="H84" t="s">
        <v>44</v>
      </c>
      <c r="I84" t="s">
        <v>45</v>
      </c>
      <c r="J84" t="s">
        <v>46</v>
      </c>
      <c r="K84">
        <v>100</v>
      </c>
      <c r="L84">
        <v>5927.8</v>
      </c>
      <c r="M84">
        <v>592780</v>
      </c>
      <c r="N84" t="s">
        <v>31</v>
      </c>
      <c r="O84">
        <v>0</v>
      </c>
    </row>
    <row r="85" spans="1:15">
      <c r="A85" t="s">
        <v>388</v>
      </c>
      <c r="B85">
        <v>20260820</v>
      </c>
      <c r="C85">
        <v>6613</v>
      </c>
      <c r="D85" t="s">
        <v>39</v>
      </c>
      <c r="E85" t="s">
        <v>40</v>
      </c>
      <c r="F85" t="s">
        <v>42</v>
      </c>
      <c r="G85" t="s">
        <v>43</v>
      </c>
      <c r="H85" t="s">
        <v>44</v>
      </c>
      <c r="I85" t="s">
        <v>48</v>
      </c>
      <c r="J85" t="s">
        <v>49</v>
      </c>
      <c r="K85">
        <v>100</v>
      </c>
      <c r="L85">
        <v>2046.8</v>
      </c>
      <c r="M85">
        <v>204680</v>
      </c>
      <c r="N85" t="s">
        <v>50</v>
      </c>
      <c r="O85">
        <v>0</v>
      </c>
    </row>
    <row r="86" spans="1:15">
      <c r="A86" t="s">
        <v>391</v>
      </c>
      <c r="B86">
        <v>20260820</v>
      </c>
      <c r="C86">
        <v>3436</v>
      </c>
      <c r="D86" t="s">
        <v>140</v>
      </c>
      <c r="E86" t="s">
        <v>40</v>
      </c>
      <c r="F86" t="s">
        <v>42</v>
      </c>
      <c r="G86" t="s">
        <v>43</v>
      </c>
      <c r="H86" t="s">
        <v>44</v>
      </c>
      <c r="I86" t="s">
        <v>45</v>
      </c>
      <c r="J86" t="s">
        <v>46</v>
      </c>
      <c r="K86">
        <v>100</v>
      </c>
      <c r="L86">
        <v>3826</v>
      </c>
      <c r="M86">
        <v>382600</v>
      </c>
      <c r="N86" t="s">
        <v>31</v>
      </c>
      <c r="O86">
        <v>0</v>
      </c>
    </row>
    <row r="87" spans="1:15">
      <c r="A87" t="s">
        <v>394</v>
      </c>
      <c r="B87">
        <v>20260820</v>
      </c>
      <c r="C87">
        <v>6613</v>
      </c>
      <c r="D87" t="s">
        <v>39</v>
      </c>
      <c r="E87" t="s">
        <v>40</v>
      </c>
      <c r="F87" t="s">
        <v>42</v>
      </c>
      <c r="G87" t="s">
        <v>43</v>
      </c>
      <c r="H87" t="s">
        <v>44</v>
      </c>
      <c r="I87" t="s">
        <v>48</v>
      </c>
      <c r="J87" t="s">
        <v>49</v>
      </c>
      <c r="K87">
        <v>100</v>
      </c>
      <c r="L87">
        <v>2040.4</v>
      </c>
      <c r="M87">
        <v>204040</v>
      </c>
      <c r="N87" t="s">
        <v>50</v>
      </c>
      <c r="O87">
        <v>0</v>
      </c>
    </row>
    <row r="88" spans="1:15">
      <c r="A88" t="s">
        <v>398</v>
      </c>
      <c r="B88">
        <v>20260820</v>
      </c>
      <c r="C88">
        <v>3436</v>
      </c>
      <c r="D88" t="s">
        <v>140</v>
      </c>
      <c r="E88" t="s">
        <v>40</v>
      </c>
      <c r="F88" t="s">
        <v>42</v>
      </c>
      <c r="G88" t="s">
        <v>43</v>
      </c>
      <c r="H88" t="s">
        <v>44</v>
      </c>
      <c r="I88" t="s">
        <v>45</v>
      </c>
      <c r="J88" t="s">
        <v>46</v>
      </c>
      <c r="K88">
        <v>100</v>
      </c>
      <c r="L88">
        <v>3836.9</v>
      </c>
      <c r="M88">
        <v>383690</v>
      </c>
      <c r="N88" t="s">
        <v>31</v>
      </c>
      <c r="O88">
        <v>0</v>
      </c>
    </row>
    <row r="89" spans="1:15">
      <c r="A89" t="s">
        <v>401</v>
      </c>
      <c r="B89">
        <v>20260820</v>
      </c>
      <c r="C89">
        <v>3436</v>
      </c>
      <c r="D89" t="s">
        <v>140</v>
      </c>
      <c r="E89" t="s">
        <v>40</v>
      </c>
      <c r="F89" t="s">
        <v>42</v>
      </c>
      <c r="G89" t="s">
        <v>43</v>
      </c>
      <c r="H89" t="s">
        <v>44</v>
      </c>
      <c r="I89" t="s">
        <v>48</v>
      </c>
      <c r="J89" t="s">
        <v>49</v>
      </c>
      <c r="K89">
        <v>100</v>
      </c>
      <c r="L89">
        <v>3881</v>
      </c>
      <c r="M89">
        <v>388100</v>
      </c>
      <c r="N89" t="s">
        <v>50</v>
      </c>
      <c r="O89">
        <v>0</v>
      </c>
    </row>
    <row r="90" spans="1:15">
      <c r="A90" t="s">
        <v>401</v>
      </c>
      <c r="B90">
        <v>20260820</v>
      </c>
      <c r="C90">
        <v>3436</v>
      </c>
      <c r="D90" t="s">
        <v>140</v>
      </c>
      <c r="E90" t="s">
        <v>40</v>
      </c>
      <c r="F90" t="s">
        <v>47</v>
      </c>
      <c r="G90" t="s">
        <v>43</v>
      </c>
      <c r="H90" t="s">
        <v>44</v>
      </c>
      <c r="I90" t="s">
        <v>48</v>
      </c>
      <c r="J90" t="s">
        <v>49</v>
      </c>
      <c r="K90">
        <v>100</v>
      </c>
      <c r="L90">
        <v>3881</v>
      </c>
      <c r="M90">
        <v>388100</v>
      </c>
      <c r="N90" t="s">
        <v>50</v>
      </c>
      <c r="O90">
        <v>0</v>
      </c>
    </row>
    <row r="91" spans="1:15">
      <c r="A91" t="s">
        <v>404</v>
      </c>
      <c r="B91">
        <v>20260820</v>
      </c>
      <c r="C91">
        <v>3436</v>
      </c>
      <c r="D91" t="s">
        <v>140</v>
      </c>
      <c r="E91" t="s">
        <v>40</v>
      </c>
      <c r="F91" t="s">
        <v>42</v>
      </c>
      <c r="G91" t="s">
        <v>43</v>
      </c>
      <c r="H91" t="s">
        <v>44</v>
      </c>
      <c r="I91" t="s">
        <v>45</v>
      </c>
      <c r="J91" t="s">
        <v>46</v>
      </c>
      <c r="K91">
        <v>100</v>
      </c>
      <c r="L91">
        <v>3884.9</v>
      </c>
      <c r="M91">
        <v>388490</v>
      </c>
      <c r="N91" t="s">
        <v>31</v>
      </c>
      <c r="O91">
        <v>0</v>
      </c>
    </row>
    <row r="92" spans="1:15">
      <c r="A92" t="s">
        <v>407</v>
      </c>
      <c r="B92">
        <v>20260820</v>
      </c>
      <c r="C92">
        <v>3436</v>
      </c>
      <c r="D92" t="s">
        <v>140</v>
      </c>
      <c r="E92" t="s">
        <v>40</v>
      </c>
      <c r="F92" t="s">
        <v>42</v>
      </c>
      <c r="G92" t="s">
        <v>43</v>
      </c>
      <c r="H92" t="s">
        <v>44</v>
      </c>
      <c r="I92" t="s">
        <v>48</v>
      </c>
      <c r="J92" t="s">
        <v>49</v>
      </c>
      <c r="K92">
        <v>100</v>
      </c>
      <c r="L92">
        <v>3866.7</v>
      </c>
      <c r="M92">
        <v>386670</v>
      </c>
      <c r="N92" t="s">
        <v>50</v>
      </c>
      <c r="O92">
        <v>0</v>
      </c>
    </row>
    <row r="93" spans="1:15">
      <c r="A93" t="s">
        <v>410</v>
      </c>
      <c r="B93">
        <v>20260820</v>
      </c>
      <c r="C93">
        <v>6613</v>
      </c>
      <c r="D93" t="s">
        <v>39</v>
      </c>
      <c r="E93" t="s">
        <v>40</v>
      </c>
      <c r="F93" t="s">
        <v>42</v>
      </c>
      <c r="G93" t="s">
        <v>43</v>
      </c>
      <c r="H93" t="s">
        <v>44</v>
      </c>
      <c r="I93" t="s">
        <v>48</v>
      </c>
      <c r="J93" t="s">
        <v>49</v>
      </c>
      <c r="K93">
        <v>100</v>
      </c>
      <c r="L93">
        <v>2076.1</v>
      </c>
      <c r="M93">
        <v>207610</v>
      </c>
      <c r="N93" t="s">
        <v>50</v>
      </c>
      <c r="O93">
        <v>0</v>
      </c>
    </row>
    <row r="94" spans="1:15">
      <c r="A94" t="s">
        <v>413</v>
      </c>
      <c r="B94">
        <v>20260820</v>
      </c>
      <c r="C94">
        <v>9984</v>
      </c>
      <c r="D94" t="s">
        <v>131</v>
      </c>
      <c r="E94" t="s">
        <v>40</v>
      </c>
      <c r="F94" t="s">
        <v>42</v>
      </c>
      <c r="G94" t="s">
        <v>43</v>
      </c>
      <c r="H94" t="s">
        <v>44</v>
      </c>
      <c r="I94" t="s">
        <v>48</v>
      </c>
      <c r="J94" t="s">
        <v>49</v>
      </c>
      <c r="K94">
        <v>100</v>
      </c>
      <c r="L94">
        <v>5973</v>
      </c>
      <c r="M94">
        <v>597300</v>
      </c>
      <c r="N94" t="s">
        <v>50</v>
      </c>
      <c r="O94">
        <v>0</v>
      </c>
    </row>
    <row r="95" spans="1:15">
      <c r="A95" t="s">
        <v>416</v>
      </c>
      <c r="B95">
        <v>20260820</v>
      </c>
      <c r="C95">
        <v>3436</v>
      </c>
      <c r="D95" t="s">
        <v>140</v>
      </c>
      <c r="E95" t="s">
        <v>40</v>
      </c>
      <c r="F95" t="s">
        <v>42</v>
      </c>
      <c r="G95" t="s">
        <v>43</v>
      </c>
      <c r="H95" t="s">
        <v>44</v>
      </c>
      <c r="I95" t="s">
        <v>45</v>
      </c>
      <c r="J95" t="s">
        <v>46</v>
      </c>
      <c r="K95">
        <v>100</v>
      </c>
      <c r="L95">
        <v>3850.8</v>
      </c>
      <c r="M95">
        <v>385080</v>
      </c>
      <c r="N95" t="s">
        <v>31</v>
      </c>
      <c r="O95">
        <v>0</v>
      </c>
    </row>
    <row r="96" spans="1:15">
      <c r="A96" t="s">
        <v>419</v>
      </c>
      <c r="B96">
        <v>20260820</v>
      </c>
      <c r="C96">
        <v>9984</v>
      </c>
      <c r="D96" t="s">
        <v>131</v>
      </c>
      <c r="E96" t="s">
        <v>40</v>
      </c>
      <c r="F96" t="s">
        <v>42</v>
      </c>
      <c r="G96" t="s">
        <v>43</v>
      </c>
      <c r="H96" t="s">
        <v>44</v>
      </c>
      <c r="I96" t="s">
        <v>45</v>
      </c>
      <c r="J96" t="s">
        <v>46</v>
      </c>
      <c r="K96">
        <v>100</v>
      </c>
      <c r="L96">
        <v>5970</v>
      </c>
      <c r="M96">
        <v>597000</v>
      </c>
      <c r="N96" t="s">
        <v>31</v>
      </c>
      <c r="O96">
        <v>0</v>
      </c>
    </row>
    <row r="97" spans="1:15">
      <c r="A97" t="s">
        <v>423</v>
      </c>
      <c r="B97">
        <v>20260820</v>
      </c>
      <c r="C97">
        <v>6613</v>
      </c>
      <c r="D97" t="s">
        <v>39</v>
      </c>
      <c r="E97" t="s">
        <v>40</v>
      </c>
      <c r="F97" t="s">
        <v>42</v>
      </c>
      <c r="G97" t="s">
        <v>43</v>
      </c>
      <c r="H97" t="s">
        <v>44</v>
      </c>
      <c r="I97" t="s">
        <v>45</v>
      </c>
      <c r="J97" t="s">
        <v>46</v>
      </c>
      <c r="K97">
        <v>100</v>
      </c>
      <c r="L97">
        <v>2074</v>
      </c>
      <c r="M97">
        <v>207400</v>
      </c>
      <c r="N97" t="s">
        <v>31</v>
      </c>
      <c r="O97">
        <v>0</v>
      </c>
    </row>
    <row r="98" spans="1:15">
      <c r="A98" t="s">
        <v>426</v>
      </c>
      <c r="B98">
        <v>20260820</v>
      </c>
      <c r="C98">
        <v>3436</v>
      </c>
      <c r="D98" t="s">
        <v>140</v>
      </c>
      <c r="E98" t="s">
        <v>40</v>
      </c>
      <c r="F98" t="s">
        <v>47</v>
      </c>
      <c r="G98" t="s">
        <v>43</v>
      </c>
      <c r="H98" t="s">
        <v>44</v>
      </c>
      <c r="I98" t="s">
        <v>45</v>
      </c>
      <c r="J98" t="s">
        <v>46</v>
      </c>
      <c r="K98">
        <v>100</v>
      </c>
      <c r="L98">
        <v>3864</v>
      </c>
      <c r="M98">
        <v>386400</v>
      </c>
      <c r="N98" t="s">
        <v>31</v>
      </c>
      <c r="O98">
        <v>0</v>
      </c>
    </row>
    <row r="99" spans="1:15">
      <c r="A99" t="s">
        <v>429</v>
      </c>
      <c r="B99">
        <v>20260820</v>
      </c>
      <c r="C99">
        <v>6613</v>
      </c>
      <c r="D99" t="s">
        <v>39</v>
      </c>
      <c r="E99" t="s">
        <v>40</v>
      </c>
      <c r="F99" t="s">
        <v>42</v>
      </c>
      <c r="G99" t="s">
        <v>43</v>
      </c>
      <c r="H99" t="s">
        <v>44</v>
      </c>
      <c r="I99" t="s">
        <v>48</v>
      </c>
      <c r="J99" t="s">
        <v>49</v>
      </c>
      <c r="K99">
        <v>100</v>
      </c>
      <c r="L99">
        <v>2097.8000000000002</v>
      </c>
      <c r="M99">
        <v>209780</v>
      </c>
      <c r="N99" t="s">
        <v>50</v>
      </c>
      <c r="O99">
        <v>0</v>
      </c>
    </row>
    <row r="100" spans="1:15">
      <c r="A100" t="s">
        <v>432</v>
      </c>
      <c r="B100">
        <v>20260820</v>
      </c>
      <c r="C100">
        <v>6613</v>
      </c>
      <c r="D100" t="s">
        <v>39</v>
      </c>
      <c r="E100" t="s">
        <v>40</v>
      </c>
      <c r="F100" t="s">
        <v>42</v>
      </c>
      <c r="G100" t="s">
        <v>43</v>
      </c>
      <c r="H100" t="s">
        <v>44</v>
      </c>
      <c r="I100" t="s">
        <v>45</v>
      </c>
      <c r="J100" t="s">
        <v>46</v>
      </c>
      <c r="K100">
        <v>100</v>
      </c>
      <c r="L100">
        <v>2101.8000000000002</v>
      </c>
      <c r="M100">
        <v>210180</v>
      </c>
      <c r="N100" t="s">
        <v>31</v>
      </c>
      <c r="O100">
        <v>0</v>
      </c>
    </row>
    <row r="101" spans="1:15">
      <c r="A101" t="s">
        <v>435</v>
      </c>
      <c r="B101">
        <v>20260820</v>
      </c>
      <c r="C101">
        <v>3436</v>
      </c>
      <c r="D101" t="s">
        <v>140</v>
      </c>
      <c r="E101" t="s">
        <v>40</v>
      </c>
      <c r="F101" t="s">
        <v>42</v>
      </c>
      <c r="G101" t="s">
        <v>43</v>
      </c>
      <c r="H101" t="s">
        <v>44</v>
      </c>
      <c r="I101" t="s">
        <v>48</v>
      </c>
      <c r="J101" t="s">
        <v>49</v>
      </c>
      <c r="K101">
        <v>200</v>
      </c>
      <c r="L101">
        <v>3846.3</v>
      </c>
      <c r="M101">
        <v>769260</v>
      </c>
      <c r="N101" t="s">
        <v>50</v>
      </c>
      <c r="O101">
        <v>0</v>
      </c>
    </row>
    <row r="102" spans="1:15">
      <c r="A102" t="s">
        <v>438</v>
      </c>
      <c r="B102">
        <v>20260820</v>
      </c>
      <c r="C102">
        <v>3436</v>
      </c>
      <c r="D102" t="s">
        <v>140</v>
      </c>
      <c r="E102" t="s">
        <v>40</v>
      </c>
      <c r="F102" t="s">
        <v>42</v>
      </c>
      <c r="G102" t="s">
        <v>43</v>
      </c>
      <c r="H102" t="s">
        <v>44</v>
      </c>
      <c r="I102" t="s">
        <v>45</v>
      </c>
      <c r="J102" t="s">
        <v>46</v>
      </c>
      <c r="K102">
        <v>100</v>
      </c>
      <c r="L102">
        <v>3827.6</v>
      </c>
      <c r="M102">
        <v>382760</v>
      </c>
      <c r="N102" t="s">
        <v>31</v>
      </c>
      <c r="O102">
        <v>0</v>
      </c>
    </row>
    <row r="103" spans="1:15">
      <c r="A103" t="s">
        <v>441</v>
      </c>
      <c r="B103">
        <v>20260820</v>
      </c>
      <c r="C103">
        <v>6613</v>
      </c>
      <c r="D103" t="s">
        <v>39</v>
      </c>
      <c r="E103" t="s">
        <v>40</v>
      </c>
      <c r="F103" t="s">
        <v>42</v>
      </c>
      <c r="G103" t="s">
        <v>43</v>
      </c>
      <c r="H103" t="s">
        <v>44</v>
      </c>
      <c r="I103" t="s">
        <v>48</v>
      </c>
      <c r="J103" t="s">
        <v>49</v>
      </c>
      <c r="K103">
        <v>100</v>
      </c>
      <c r="L103">
        <v>2103.8000000000002</v>
      </c>
      <c r="M103">
        <v>210380</v>
      </c>
      <c r="N103" t="s">
        <v>50</v>
      </c>
      <c r="O103">
        <v>0</v>
      </c>
    </row>
    <row r="104" spans="1:15">
      <c r="A104" t="s">
        <v>444</v>
      </c>
      <c r="B104">
        <v>20260820</v>
      </c>
      <c r="C104">
        <v>3436</v>
      </c>
      <c r="D104" t="s">
        <v>140</v>
      </c>
      <c r="E104" t="s">
        <v>40</v>
      </c>
      <c r="F104" t="s">
        <v>42</v>
      </c>
      <c r="G104" t="s">
        <v>43</v>
      </c>
      <c r="H104" t="s">
        <v>44</v>
      </c>
      <c r="I104" t="s">
        <v>48</v>
      </c>
      <c r="J104" t="s">
        <v>49</v>
      </c>
      <c r="K104">
        <v>100</v>
      </c>
      <c r="L104">
        <v>3828.3</v>
      </c>
      <c r="M104">
        <v>382830</v>
      </c>
      <c r="N104" t="s">
        <v>50</v>
      </c>
      <c r="O104">
        <v>0</v>
      </c>
    </row>
    <row r="105" spans="1:15">
      <c r="A105" t="s">
        <v>447</v>
      </c>
      <c r="B105">
        <v>20260820</v>
      </c>
      <c r="C105">
        <v>6613</v>
      </c>
      <c r="D105" t="s">
        <v>39</v>
      </c>
      <c r="E105" t="s">
        <v>40</v>
      </c>
      <c r="F105" t="s">
        <v>47</v>
      </c>
      <c r="G105" t="s">
        <v>43</v>
      </c>
      <c r="H105" t="s">
        <v>44</v>
      </c>
      <c r="I105" t="s">
        <v>45</v>
      </c>
      <c r="J105" t="s">
        <v>46</v>
      </c>
      <c r="K105">
        <v>100</v>
      </c>
      <c r="L105">
        <v>2108</v>
      </c>
      <c r="M105">
        <v>210800</v>
      </c>
      <c r="N105" t="s">
        <v>31</v>
      </c>
      <c r="O105">
        <v>0</v>
      </c>
    </row>
    <row r="106" spans="1:15">
      <c r="A106" t="s">
        <v>451</v>
      </c>
      <c r="B106">
        <v>20260820</v>
      </c>
      <c r="C106">
        <v>3436</v>
      </c>
      <c r="D106" t="s">
        <v>140</v>
      </c>
      <c r="E106" t="s">
        <v>40</v>
      </c>
      <c r="F106" t="s">
        <v>42</v>
      </c>
      <c r="G106" t="s">
        <v>43</v>
      </c>
      <c r="H106" t="s">
        <v>44</v>
      </c>
      <c r="I106" t="s">
        <v>45</v>
      </c>
      <c r="J106" t="s">
        <v>46</v>
      </c>
      <c r="K106">
        <v>100</v>
      </c>
      <c r="L106">
        <v>3831.9</v>
      </c>
      <c r="M106">
        <v>383190</v>
      </c>
      <c r="N106" t="s">
        <v>31</v>
      </c>
      <c r="O106">
        <v>0</v>
      </c>
    </row>
    <row r="107" spans="1:15">
      <c r="A107" t="s">
        <v>455</v>
      </c>
      <c r="B107">
        <v>20260820</v>
      </c>
      <c r="C107">
        <v>3436</v>
      </c>
      <c r="D107" t="s">
        <v>140</v>
      </c>
      <c r="E107" t="s">
        <v>40</v>
      </c>
      <c r="F107" t="s">
        <v>42</v>
      </c>
      <c r="G107" t="s">
        <v>43</v>
      </c>
      <c r="H107" t="s">
        <v>44</v>
      </c>
      <c r="I107" t="s">
        <v>45</v>
      </c>
      <c r="J107" t="s">
        <v>46</v>
      </c>
      <c r="K107">
        <v>100</v>
      </c>
      <c r="L107">
        <v>3836.9</v>
      </c>
      <c r="M107">
        <v>383690</v>
      </c>
      <c r="N107" t="s">
        <v>31</v>
      </c>
      <c r="O107">
        <v>0</v>
      </c>
    </row>
    <row r="108" spans="1:15">
      <c r="A108" t="s">
        <v>457</v>
      </c>
      <c r="B108">
        <v>20260820</v>
      </c>
      <c r="C108">
        <v>6613</v>
      </c>
      <c r="D108" t="s">
        <v>39</v>
      </c>
      <c r="E108" t="s">
        <v>40</v>
      </c>
      <c r="F108" t="s">
        <v>42</v>
      </c>
      <c r="G108" t="s">
        <v>43</v>
      </c>
      <c r="H108" t="s">
        <v>44</v>
      </c>
      <c r="I108" t="s">
        <v>48</v>
      </c>
      <c r="J108" t="s">
        <v>49</v>
      </c>
      <c r="K108">
        <v>100</v>
      </c>
      <c r="L108">
        <v>2119.8000000000002</v>
      </c>
      <c r="M108">
        <v>211980</v>
      </c>
      <c r="N108" t="s">
        <v>50</v>
      </c>
      <c r="O108">
        <v>0</v>
      </c>
    </row>
    <row r="109" spans="1:15">
      <c r="A109" t="s">
        <v>460</v>
      </c>
      <c r="B109">
        <v>20260820</v>
      </c>
      <c r="C109">
        <v>3436</v>
      </c>
      <c r="D109" t="s">
        <v>140</v>
      </c>
      <c r="E109" t="s">
        <v>40</v>
      </c>
      <c r="F109" t="s">
        <v>42</v>
      </c>
      <c r="G109" t="s">
        <v>43</v>
      </c>
      <c r="H109" t="s">
        <v>44</v>
      </c>
      <c r="I109" t="s">
        <v>48</v>
      </c>
      <c r="J109" t="s">
        <v>49</v>
      </c>
      <c r="K109">
        <v>200</v>
      </c>
      <c r="L109">
        <v>3822</v>
      </c>
      <c r="M109">
        <v>764400</v>
      </c>
      <c r="N109" t="s">
        <v>50</v>
      </c>
      <c r="O109">
        <v>0</v>
      </c>
    </row>
    <row r="110" spans="1:15">
      <c r="A110" t="s">
        <v>463</v>
      </c>
      <c r="B110">
        <v>20260820</v>
      </c>
      <c r="C110">
        <v>9984</v>
      </c>
      <c r="D110" t="s">
        <v>131</v>
      </c>
      <c r="E110" t="s">
        <v>40</v>
      </c>
      <c r="F110" t="s">
        <v>42</v>
      </c>
      <c r="G110" t="s">
        <v>43</v>
      </c>
      <c r="H110" t="s">
        <v>44</v>
      </c>
      <c r="I110" t="s">
        <v>48</v>
      </c>
      <c r="J110" t="s">
        <v>49</v>
      </c>
      <c r="K110">
        <v>100</v>
      </c>
      <c r="L110">
        <v>5942.5</v>
      </c>
      <c r="M110">
        <v>594250</v>
      </c>
      <c r="N110" t="s">
        <v>50</v>
      </c>
      <c r="O110">
        <v>0</v>
      </c>
    </row>
    <row r="111" spans="1:15">
      <c r="A111" t="s">
        <v>466</v>
      </c>
      <c r="B111">
        <v>20260820</v>
      </c>
      <c r="C111">
        <v>6613</v>
      </c>
      <c r="D111" t="s">
        <v>39</v>
      </c>
      <c r="E111" t="s">
        <v>40</v>
      </c>
      <c r="F111" t="s">
        <v>47</v>
      </c>
      <c r="G111" t="s">
        <v>43</v>
      </c>
      <c r="H111" t="s">
        <v>44</v>
      </c>
      <c r="I111" t="s">
        <v>45</v>
      </c>
      <c r="J111" t="s">
        <v>46</v>
      </c>
      <c r="K111">
        <v>100</v>
      </c>
      <c r="L111">
        <v>2127</v>
      </c>
      <c r="M111">
        <v>212700</v>
      </c>
      <c r="N111" t="s">
        <v>31</v>
      </c>
      <c r="O111">
        <v>0</v>
      </c>
    </row>
    <row r="112" spans="1:15">
      <c r="A112" t="s">
        <v>469</v>
      </c>
      <c r="B112">
        <v>20260820</v>
      </c>
      <c r="C112">
        <v>9984</v>
      </c>
      <c r="D112" t="s">
        <v>131</v>
      </c>
      <c r="E112" t="s">
        <v>40</v>
      </c>
      <c r="F112" t="s">
        <v>42</v>
      </c>
      <c r="G112" t="s">
        <v>43</v>
      </c>
      <c r="H112" t="s">
        <v>44</v>
      </c>
      <c r="I112" t="s">
        <v>45</v>
      </c>
      <c r="J112" t="s">
        <v>46</v>
      </c>
      <c r="K112">
        <v>100</v>
      </c>
      <c r="L112">
        <v>5958.9</v>
      </c>
      <c r="M112">
        <v>595890</v>
      </c>
      <c r="N112" t="s">
        <v>31</v>
      </c>
      <c r="O112">
        <v>0</v>
      </c>
    </row>
    <row r="113" spans="1:15">
      <c r="A113" t="s">
        <v>472</v>
      </c>
      <c r="B113">
        <v>20260820</v>
      </c>
      <c r="C113">
        <v>3436</v>
      </c>
      <c r="D113" t="s">
        <v>140</v>
      </c>
      <c r="E113" t="s">
        <v>40</v>
      </c>
      <c r="F113" t="s">
        <v>42</v>
      </c>
      <c r="G113" t="s">
        <v>43</v>
      </c>
      <c r="H113" t="s">
        <v>44</v>
      </c>
      <c r="I113" t="s">
        <v>45</v>
      </c>
      <c r="J113" t="s">
        <v>46</v>
      </c>
      <c r="K113">
        <v>100</v>
      </c>
      <c r="L113">
        <v>3825.9</v>
      </c>
      <c r="M113">
        <v>382590</v>
      </c>
      <c r="N113" t="s">
        <v>31</v>
      </c>
      <c r="O113">
        <v>0</v>
      </c>
    </row>
    <row r="114" spans="1:15">
      <c r="A114" t="s">
        <v>524</v>
      </c>
      <c r="B114">
        <v>20260820</v>
      </c>
      <c r="C114">
        <v>6613</v>
      </c>
      <c r="D114" t="s">
        <v>39</v>
      </c>
      <c r="E114" t="s">
        <v>40</v>
      </c>
      <c r="F114" t="s">
        <v>47</v>
      </c>
      <c r="G114" t="s">
        <v>43</v>
      </c>
      <c r="H114" t="s">
        <v>44</v>
      </c>
      <c r="I114" t="s">
        <v>45</v>
      </c>
      <c r="J114" t="s">
        <v>46</v>
      </c>
      <c r="K114">
        <v>100</v>
      </c>
      <c r="L114">
        <v>2147</v>
      </c>
      <c r="M114">
        <v>214700</v>
      </c>
      <c r="N114" t="s">
        <v>31</v>
      </c>
      <c r="O114">
        <v>0</v>
      </c>
    </row>
    <row r="115" spans="1:15">
      <c r="A115" t="s">
        <v>478</v>
      </c>
      <c r="B115">
        <v>20260820</v>
      </c>
      <c r="C115">
        <v>9984</v>
      </c>
      <c r="D115" t="s">
        <v>131</v>
      </c>
      <c r="E115" t="s">
        <v>40</v>
      </c>
      <c r="F115" t="s">
        <v>42</v>
      </c>
      <c r="G115" t="s">
        <v>43</v>
      </c>
      <c r="H115" t="s">
        <v>44</v>
      </c>
      <c r="I115" t="s">
        <v>48</v>
      </c>
      <c r="J115" t="s">
        <v>49</v>
      </c>
      <c r="K115">
        <v>100</v>
      </c>
      <c r="L115">
        <v>5946.1</v>
      </c>
      <c r="M115">
        <v>594610</v>
      </c>
      <c r="N115" t="s">
        <v>50</v>
      </c>
      <c r="O115">
        <v>0</v>
      </c>
    </row>
    <row r="116" spans="1:15">
      <c r="A116" t="s">
        <v>481</v>
      </c>
      <c r="B116">
        <v>20260820</v>
      </c>
      <c r="C116">
        <v>3436</v>
      </c>
      <c r="D116" t="s">
        <v>140</v>
      </c>
      <c r="E116" t="s">
        <v>40</v>
      </c>
      <c r="F116" t="s">
        <v>42</v>
      </c>
      <c r="G116" t="s">
        <v>43</v>
      </c>
      <c r="H116" t="s">
        <v>44</v>
      </c>
      <c r="I116" t="s">
        <v>48</v>
      </c>
      <c r="J116" t="s">
        <v>49</v>
      </c>
      <c r="K116">
        <v>100</v>
      </c>
      <c r="L116">
        <v>3820.6</v>
      </c>
      <c r="M116">
        <v>382060</v>
      </c>
      <c r="N116" t="s">
        <v>50</v>
      </c>
      <c r="O116">
        <v>0</v>
      </c>
    </row>
    <row r="117" spans="1:15">
      <c r="A117" t="s">
        <v>484</v>
      </c>
      <c r="B117">
        <v>20260820</v>
      </c>
      <c r="C117">
        <v>6613</v>
      </c>
      <c r="D117" t="s">
        <v>39</v>
      </c>
      <c r="E117" t="s">
        <v>40</v>
      </c>
      <c r="F117" t="s">
        <v>42</v>
      </c>
      <c r="G117" t="s">
        <v>43</v>
      </c>
      <c r="H117" t="s">
        <v>44</v>
      </c>
      <c r="I117" t="s">
        <v>48</v>
      </c>
      <c r="J117" t="s">
        <v>49</v>
      </c>
      <c r="K117">
        <v>100</v>
      </c>
      <c r="L117">
        <v>2129.6999999999998</v>
      </c>
      <c r="M117">
        <v>212970</v>
      </c>
      <c r="N117" t="s">
        <v>50</v>
      </c>
      <c r="O117">
        <v>0</v>
      </c>
    </row>
    <row r="118" spans="1:15">
      <c r="A118" t="s">
        <v>484</v>
      </c>
      <c r="B118">
        <v>20260820</v>
      </c>
      <c r="C118">
        <v>6613</v>
      </c>
      <c r="D118" t="s">
        <v>39</v>
      </c>
      <c r="E118" t="s">
        <v>40</v>
      </c>
      <c r="F118" t="s">
        <v>42</v>
      </c>
      <c r="G118" t="s">
        <v>43</v>
      </c>
      <c r="H118" t="s">
        <v>44</v>
      </c>
      <c r="I118" t="s">
        <v>48</v>
      </c>
      <c r="J118" t="s">
        <v>49</v>
      </c>
      <c r="K118">
        <v>100</v>
      </c>
      <c r="L118">
        <v>2129.6</v>
      </c>
      <c r="M118">
        <v>212960</v>
      </c>
      <c r="N118" t="s">
        <v>50</v>
      </c>
      <c r="O118">
        <v>0</v>
      </c>
    </row>
    <row r="119" spans="1:15">
      <c r="A119" t="s">
        <v>487</v>
      </c>
      <c r="B119">
        <v>20260820</v>
      </c>
      <c r="C119">
        <v>6613</v>
      </c>
      <c r="D119" t="s">
        <v>39</v>
      </c>
      <c r="E119" t="s">
        <v>40</v>
      </c>
      <c r="F119" t="s">
        <v>42</v>
      </c>
      <c r="G119" t="s">
        <v>43</v>
      </c>
      <c r="H119" t="s">
        <v>44</v>
      </c>
      <c r="I119" t="s">
        <v>45</v>
      </c>
      <c r="J119" t="s">
        <v>46</v>
      </c>
      <c r="K119">
        <v>100</v>
      </c>
      <c r="L119">
        <v>2130</v>
      </c>
      <c r="M119">
        <v>213000</v>
      </c>
      <c r="N119" t="s">
        <v>31</v>
      </c>
      <c r="O119">
        <v>0</v>
      </c>
    </row>
    <row r="120" spans="1:15">
      <c r="A120" t="s">
        <v>487</v>
      </c>
      <c r="B120">
        <v>20260820</v>
      </c>
      <c r="C120">
        <v>6613</v>
      </c>
      <c r="D120" t="s">
        <v>39</v>
      </c>
      <c r="E120" t="s">
        <v>40</v>
      </c>
      <c r="F120" t="s">
        <v>47</v>
      </c>
      <c r="G120" t="s">
        <v>43</v>
      </c>
      <c r="H120" t="s">
        <v>44</v>
      </c>
      <c r="I120" t="s">
        <v>45</v>
      </c>
      <c r="J120" t="s">
        <v>46</v>
      </c>
      <c r="K120">
        <v>100</v>
      </c>
      <c r="L120">
        <v>2130</v>
      </c>
      <c r="M120">
        <v>213000</v>
      </c>
      <c r="N120" t="s">
        <v>31</v>
      </c>
      <c r="O120">
        <v>0</v>
      </c>
    </row>
    <row r="121" spans="1:15">
      <c r="A121" t="s">
        <v>491</v>
      </c>
      <c r="B121">
        <v>20260820</v>
      </c>
      <c r="C121">
        <v>3436</v>
      </c>
      <c r="D121" t="s">
        <v>140</v>
      </c>
      <c r="E121" t="s">
        <v>40</v>
      </c>
      <c r="F121" t="s">
        <v>42</v>
      </c>
      <c r="G121" t="s">
        <v>43</v>
      </c>
      <c r="H121" t="s">
        <v>44</v>
      </c>
      <c r="I121" t="s">
        <v>45</v>
      </c>
      <c r="J121" t="s">
        <v>46</v>
      </c>
      <c r="K121">
        <v>100</v>
      </c>
      <c r="L121">
        <v>3813.3</v>
      </c>
      <c r="M121">
        <v>381330</v>
      </c>
      <c r="N121" t="s">
        <v>31</v>
      </c>
      <c r="O121">
        <v>0</v>
      </c>
    </row>
    <row r="122" spans="1:15">
      <c r="A122" t="s">
        <v>494</v>
      </c>
      <c r="B122">
        <v>20260820</v>
      </c>
      <c r="C122">
        <v>9984</v>
      </c>
      <c r="D122" t="s">
        <v>131</v>
      </c>
      <c r="E122" t="s">
        <v>40</v>
      </c>
      <c r="F122" t="s">
        <v>42</v>
      </c>
      <c r="G122" t="s">
        <v>43</v>
      </c>
      <c r="H122" t="s">
        <v>44</v>
      </c>
      <c r="I122" t="s">
        <v>45</v>
      </c>
      <c r="J122" t="s">
        <v>46</v>
      </c>
      <c r="K122">
        <v>100</v>
      </c>
      <c r="L122">
        <v>5897.8</v>
      </c>
      <c r="M122">
        <v>589780</v>
      </c>
      <c r="N122" t="s">
        <v>31</v>
      </c>
      <c r="O122">
        <v>0</v>
      </c>
    </row>
    <row r="123" spans="1:15">
      <c r="A123" t="s">
        <v>497</v>
      </c>
      <c r="B123">
        <v>20260820</v>
      </c>
      <c r="C123">
        <v>3436</v>
      </c>
      <c r="D123" t="s">
        <v>140</v>
      </c>
      <c r="E123" t="s">
        <v>40</v>
      </c>
      <c r="F123" t="s">
        <v>42</v>
      </c>
      <c r="G123" t="s">
        <v>43</v>
      </c>
      <c r="H123" t="s">
        <v>44</v>
      </c>
      <c r="I123" t="s">
        <v>48</v>
      </c>
      <c r="J123" t="s">
        <v>49</v>
      </c>
      <c r="K123">
        <v>100</v>
      </c>
      <c r="L123">
        <v>3809.2</v>
      </c>
      <c r="M123">
        <v>380920</v>
      </c>
      <c r="N123" t="s">
        <v>50</v>
      </c>
      <c r="O123">
        <v>0</v>
      </c>
    </row>
    <row r="124" spans="1:15">
      <c r="A124" t="s">
        <v>505</v>
      </c>
      <c r="B124">
        <v>20260820</v>
      </c>
      <c r="C124">
        <v>9984</v>
      </c>
      <c r="D124" t="s">
        <v>131</v>
      </c>
      <c r="E124" t="s">
        <v>40</v>
      </c>
      <c r="F124" t="s">
        <v>42</v>
      </c>
      <c r="G124" t="s">
        <v>43</v>
      </c>
      <c r="H124" t="s">
        <v>44</v>
      </c>
      <c r="I124" t="s">
        <v>48</v>
      </c>
      <c r="J124" t="s">
        <v>49</v>
      </c>
      <c r="K124">
        <v>100</v>
      </c>
      <c r="L124">
        <v>5865.3</v>
      </c>
      <c r="M124">
        <v>586530</v>
      </c>
      <c r="N124" t="s">
        <v>50</v>
      </c>
      <c r="O124">
        <v>0</v>
      </c>
    </row>
    <row r="125" spans="1:15">
      <c r="A125" t="s">
        <v>525</v>
      </c>
      <c r="B125">
        <v>20260820</v>
      </c>
      <c r="C125">
        <v>3436</v>
      </c>
      <c r="D125" t="s">
        <v>140</v>
      </c>
      <c r="E125" t="s">
        <v>40</v>
      </c>
      <c r="F125" t="s">
        <v>47</v>
      </c>
      <c r="G125" t="s">
        <v>500</v>
      </c>
      <c r="H125" t="s">
        <v>501</v>
      </c>
      <c r="I125" t="s">
        <v>45</v>
      </c>
      <c r="J125" t="s">
        <v>46</v>
      </c>
      <c r="K125">
        <v>100</v>
      </c>
      <c r="L125">
        <v>3805</v>
      </c>
      <c r="M125">
        <v>380500</v>
      </c>
      <c r="N125" t="s">
        <v>31</v>
      </c>
      <c r="O125">
        <v>0</v>
      </c>
    </row>
    <row r="126" spans="1:15">
      <c r="A126" t="s">
        <v>508</v>
      </c>
      <c r="B126">
        <v>20260820</v>
      </c>
      <c r="C126">
        <v>3436</v>
      </c>
      <c r="D126" t="s">
        <v>140</v>
      </c>
      <c r="E126" t="s">
        <v>40</v>
      </c>
      <c r="F126" t="s">
        <v>42</v>
      </c>
      <c r="G126" t="s">
        <v>500</v>
      </c>
      <c r="H126" t="s">
        <v>501</v>
      </c>
      <c r="I126" t="s">
        <v>48</v>
      </c>
      <c r="J126" t="s">
        <v>49</v>
      </c>
      <c r="K126">
        <v>100</v>
      </c>
      <c r="L126">
        <v>3796</v>
      </c>
      <c r="M126">
        <v>379600</v>
      </c>
      <c r="N126" t="s">
        <v>50</v>
      </c>
      <c r="O126">
        <v>0</v>
      </c>
    </row>
    <row r="127" spans="1:15">
      <c r="A127" t="s">
        <v>511</v>
      </c>
      <c r="B127">
        <v>20260820</v>
      </c>
      <c r="C127">
        <v>3436</v>
      </c>
      <c r="D127" t="s">
        <v>140</v>
      </c>
      <c r="E127" t="s">
        <v>40</v>
      </c>
      <c r="F127" t="s">
        <v>42</v>
      </c>
      <c r="G127" t="s">
        <v>500</v>
      </c>
      <c r="H127" t="s">
        <v>501</v>
      </c>
      <c r="I127" t="s">
        <v>45</v>
      </c>
      <c r="J127" t="s">
        <v>46</v>
      </c>
      <c r="K127">
        <v>100</v>
      </c>
      <c r="L127">
        <v>3793.8</v>
      </c>
      <c r="M127">
        <v>379380</v>
      </c>
      <c r="N127" t="s">
        <v>31</v>
      </c>
      <c r="O127">
        <v>0</v>
      </c>
    </row>
    <row r="128" spans="1:15">
      <c r="A128" t="s">
        <v>514</v>
      </c>
      <c r="B128">
        <v>20260820</v>
      </c>
      <c r="C128">
        <v>9984</v>
      </c>
      <c r="D128" t="s">
        <v>131</v>
      </c>
      <c r="E128" t="s">
        <v>40</v>
      </c>
      <c r="F128" t="s">
        <v>42</v>
      </c>
      <c r="G128" t="s">
        <v>500</v>
      </c>
      <c r="H128" t="s">
        <v>501</v>
      </c>
      <c r="I128" t="s">
        <v>45</v>
      </c>
      <c r="J128" t="s">
        <v>46</v>
      </c>
      <c r="K128">
        <v>100</v>
      </c>
      <c r="L128">
        <v>5863</v>
      </c>
      <c r="M128">
        <v>586300</v>
      </c>
      <c r="N128" t="s">
        <v>31</v>
      </c>
      <c r="O128">
        <v>0</v>
      </c>
    </row>
    <row r="129" spans="1:15">
      <c r="A129" t="s">
        <v>517</v>
      </c>
      <c r="B129">
        <v>20260820</v>
      </c>
      <c r="C129">
        <v>6613</v>
      </c>
      <c r="D129" t="s">
        <v>39</v>
      </c>
      <c r="E129" t="s">
        <v>40</v>
      </c>
      <c r="F129" t="s">
        <v>47</v>
      </c>
      <c r="G129" t="s">
        <v>43</v>
      </c>
      <c r="H129" t="s">
        <v>44</v>
      </c>
      <c r="I129" t="s">
        <v>48</v>
      </c>
      <c r="J129" t="s">
        <v>49</v>
      </c>
      <c r="K129">
        <v>200</v>
      </c>
      <c r="L129">
        <v>2093</v>
      </c>
      <c r="M129">
        <v>418600</v>
      </c>
      <c r="N129" t="s">
        <v>50</v>
      </c>
      <c r="O129">
        <v>0</v>
      </c>
    </row>
    <row r="130" spans="1:15">
      <c r="A130" s="1" t="s">
        <v>122</v>
      </c>
      <c r="B130" s="1" t="s">
        <v>122</v>
      </c>
      <c r="C130" s="1" t="s">
        <v>122</v>
      </c>
      <c r="D130" s="1" t="s">
        <v>122</v>
      </c>
      <c r="E130" s="1" t="s">
        <v>122</v>
      </c>
      <c r="F130" s="1" t="s">
        <v>122</v>
      </c>
      <c r="G130" s="1" t="s">
        <v>122</v>
      </c>
      <c r="H130" s="1" t="s">
        <v>122</v>
      </c>
      <c r="I130" s="1" t="s">
        <v>122</v>
      </c>
      <c r="J130" s="1" t="s">
        <v>122</v>
      </c>
      <c r="K130" s="1" t="s">
        <v>122</v>
      </c>
      <c r="L130" s="1" t="s">
        <v>122</v>
      </c>
      <c r="M130" s="1" t="s">
        <v>122</v>
      </c>
      <c r="N130" s="1" t="s">
        <v>122</v>
      </c>
      <c r="O130" s="1" t="s">
        <v>122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4830-90E7-456A-838C-2542EA37EBC7}">
  <sheetPr codeName="Sheet5"/>
  <dimension ref="A1:R17"/>
  <sheetViews>
    <sheetView workbookViewId="0">
      <selection activeCell="I13" sqref="I13"/>
    </sheetView>
  </sheetViews>
  <sheetFormatPr defaultRowHeight="18.75"/>
  <sheetData>
    <row r="1" spans="1:18">
      <c r="A1" t="str" cm="1">
        <f t="array" ref="A1">_xll.RssPositionList($A$2:$R$2, "", "A")</f>
        <v>=RssPositionList($A$2:$R$2, "", "A") =&gt; 配信中</v>
      </c>
    </row>
    <row r="2" spans="1:18">
      <c r="A2" t="s">
        <v>51</v>
      </c>
      <c r="B2" t="s">
        <v>6</v>
      </c>
      <c r="C2" t="s">
        <v>7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63</v>
      </c>
      <c r="P2" t="s">
        <v>64</v>
      </c>
      <c r="Q2" t="s">
        <v>65</v>
      </c>
      <c r="R2" t="s">
        <v>66</v>
      </c>
    </row>
    <row r="3" spans="1:18">
      <c r="A3">
        <v>1605</v>
      </c>
      <c r="B3" t="s">
        <v>67</v>
      </c>
      <c r="C3" t="s">
        <v>32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30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80</v>
      </c>
      <c r="B4" t="s">
        <v>81</v>
      </c>
      <c r="C4" t="s">
        <v>40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522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80</v>
      </c>
      <c r="B5" t="s">
        <v>81</v>
      </c>
      <c r="C5" t="s">
        <v>82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522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70</v>
      </c>
      <c r="C6" t="s">
        <v>69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521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71</v>
      </c>
      <c r="C7" t="s">
        <v>69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30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72</v>
      </c>
      <c r="C8" t="s">
        <v>32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68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73</v>
      </c>
      <c r="C9" t="s">
        <v>69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30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74</v>
      </c>
      <c r="C10" t="s">
        <v>69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30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75</v>
      </c>
      <c r="C11" t="s">
        <v>69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30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76</v>
      </c>
      <c r="C12" t="s">
        <v>69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30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77</v>
      </c>
      <c r="C13" t="s">
        <v>69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30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79</v>
      </c>
      <c r="C14" t="s">
        <v>69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521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129</v>
      </c>
      <c r="B15" s="1" t="s">
        <v>129</v>
      </c>
      <c r="C15" s="1" t="s">
        <v>129</v>
      </c>
      <c r="D15" s="1" t="s">
        <v>129</v>
      </c>
      <c r="E15" s="1" t="s">
        <v>129</v>
      </c>
      <c r="F15" s="1" t="s">
        <v>129</v>
      </c>
      <c r="G15" s="1" t="s">
        <v>129</v>
      </c>
      <c r="H15" s="1" t="s">
        <v>129</v>
      </c>
      <c r="I15" s="1" t="s">
        <v>129</v>
      </c>
      <c r="J15" s="1" t="s">
        <v>129</v>
      </c>
      <c r="K15" s="1" t="s">
        <v>129</v>
      </c>
      <c r="L15" s="1" t="s">
        <v>129</v>
      </c>
      <c r="M15" s="1" t="s">
        <v>129</v>
      </c>
      <c r="N15" s="1" t="s">
        <v>129</v>
      </c>
      <c r="O15" s="1" t="s">
        <v>129</v>
      </c>
      <c r="P15" s="1" t="s">
        <v>129</v>
      </c>
      <c r="Q15" s="1" t="s">
        <v>129</v>
      </c>
      <c r="R15" s="1" t="s">
        <v>129</v>
      </c>
    </row>
    <row r="16" spans="1:18">
      <c r="A16" s="1" t="s">
        <v>129</v>
      </c>
      <c r="B16" s="1" t="s">
        <v>129</v>
      </c>
      <c r="C16" s="1" t="s">
        <v>129</v>
      </c>
      <c r="D16" s="1" t="s">
        <v>129</v>
      </c>
      <c r="E16" s="1" t="s">
        <v>129</v>
      </c>
      <c r="F16" s="1" t="s">
        <v>129</v>
      </c>
      <c r="G16" s="1" t="s">
        <v>129</v>
      </c>
      <c r="H16" s="1" t="s">
        <v>129</v>
      </c>
      <c r="I16" s="1" t="s">
        <v>129</v>
      </c>
      <c r="J16" s="1" t="s">
        <v>129</v>
      </c>
      <c r="K16" s="1" t="s">
        <v>129</v>
      </c>
      <c r="L16" s="1" t="s">
        <v>129</v>
      </c>
      <c r="M16" s="1" t="s">
        <v>129</v>
      </c>
      <c r="N16" s="1" t="s">
        <v>129</v>
      </c>
      <c r="O16" s="1" t="s">
        <v>129</v>
      </c>
      <c r="P16" s="1" t="s">
        <v>129</v>
      </c>
      <c r="Q16" s="1" t="s">
        <v>129</v>
      </c>
      <c r="R16" s="1" t="s">
        <v>129</v>
      </c>
    </row>
    <row r="17" spans="1:18">
      <c r="A17" s="1" t="s">
        <v>122</v>
      </c>
      <c r="B17" s="1" t="s">
        <v>122</v>
      </c>
      <c r="C17" s="1" t="s">
        <v>122</v>
      </c>
      <c r="D17" s="1" t="s">
        <v>122</v>
      </c>
      <c r="E17" s="1" t="s">
        <v>122</v>
      </c>
      <c r="F17" s="1" t="s">
        <v>122</v>
      </c>
      <c r="G17" s="1" t="s">
        <v>122</v>
      </c>
      <c r="H17" s="1" t="s">
        <v>122</v>
      </c>
      <c r="I17" s="1" t="s">
        <v>122</v>
      </c>
      <c r="J17" s="1" t="s">
        <v>122</v>
      </c>
      <c r="K17" s="1" t="s">
        <v>122</v>
      </c>
      <c r="L17" s="1" t="s">
        <v>122</v>
      </c>
      <c r="M17" s="1" t="s">
        <v>122</v>
      </c>
      <c r="N17" s="1" t="s">
        <v>122</v>
      </c>
      <c r="O17" s="1" t="s">
        <v>122</v>
      </c>
      <c r="P17" s="1" t="s">
        <v>122</v>
      </c>
      <c r="Q17" s="1" t="s">
        <v>122</v>
      </c>
      <c r="R17" s="1" t="s">
        <v>122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C71D9-975A-4391-AC56-40C83F6A7C96}">
  <dimension ref="A1:R17"/>
  <sheetViews>
    <sheetView workbookViewId="0">
      <selection activeCell="A2" sqref="A2"/>
    </sheetView>
  </sheetViews>
  <sheetFormatPr defaultRowHeight="18.75"/>
  <sheetData>
    <row r="1" spans="1:18">
      <c r="A1" t="s">
        <v>527</v>
      </c>
    </row>
    <row r="2" spans="1:18">
      <c r="A2" t="s">
        <v>51</v>
      </c>
      <c r="B2" t="s">
        <v>6</v>
      </c>
      <c r="C2" t="s">
        <v>7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63</v>
      </c>
      <c r="P2" t="s">
        <v>64</v>
      </c>
      <c r="Q2" t="s">
        <v>65</v>
      </c>
      <c r="R2" t="s">
        <v>66</v>
      </c>
    </row>
    <row r="3" spans="1:18">
      <c r="A3">
        <v>1605</v>
      </c>
      <c r="B3" t="s">
        <v>67</v>
      </c>
      <c r="C3" t="s">
        <v>32</v>
      </c>
      <c r="D3">
        <v>11</v>
      </c>
      <c r="E3">
        <v>0</v>
      </c>
      <c r="F3">
        <v>4717.2727000000004</v>
      </c>
      <c r="G3">
        <v>3900</v>
      </c>
      <c r="H3">
        <v>125</v>
      </c>
      <c r="I3">
        <v>3.31</v>
      </c>
      <c r="J3">
        <v>42900</v>
      </c>
      <c r="K3">
        <v>-8989.9997000000003</v>
      </c>
      <c r="L3">
        <v>-17.325109999999999</v>
      </c>
      <c r="M3" t="s">
        <v>30</v>
      </c>
      <c r="N3">
        <v>3898.9</v>
      </c>
      <c r="O3">
        <v>3900</v>
      </c>
      <c r="P3">
        <v>8.8800000000000008</v>
      </c>
      <c r="Q3">
        <v>0.88</v>
      </c>
      <c r="R3">
        <v>2.87</v>
      </c>
    </row>
    <row r="4" spans="1:18">
      <c r="A4" t="s">
        <v>519</v>
      </c>
      <c r="B4" t="s">
        <v>520</v>
      </c>
      <c r="C4" t="s">
        <v>32</v>
      </c>
      <c r="D4">
        <v>15</v>
      </c>
      <c r="E4">
        <v>0</v>
      </c>
      <c r="F4">
        <v>90501.133300000001</v>
      </c>
      <c r="G4">
        <v>57150</v>
      </c>
      <c r="H4">
        <v>-4690</v>
      </c>
      <c r="I4">
        <v>-7.58</v>
      </c>
      <c r="J4">
        <v>857250</v>
      </c>
      <c r="K4">
        <v>-500266.99949999998</v>
      </c>
      <c r="L4">
        <v>-36.851619999999997</v>
      </c>
      <c r="M4" t="s">
        <v>521</v>
      </c>
      <c r="N4">
        <v>57149</v>
      </c>
      <c r="O4">
        <v>57120</v>
      </c>
      <c r="P4">
        <v>7.89</v>
      </c>
      <c r="Q4">
        <v>22.3</v>
      </c>
      <c r="R4">
        <v>0</v>
      </c>
    </row>
    <row r="5" spans="1:18">
      <c r="A5" t="s">
        <v>519</v>
      </c>
      <c r="B5" t="s">
        <v>520</v>
      </c>
      <c r="C5" t="s">
        <v>69</v>
      </c>
      <c r="D5">
        <v>1</v>
      </c>
      <c r="E5">
        <v>0</v>
      </c>
      <c r="F5">
        <v>92644</v>
      </c>
      <c r="G5">
        <v>57150</v>
      </c>
      <c r="H5">
        <v>-4690</v>
      </c>
      <c r="I5">
        <v>-7.58</v>
      </c>
      <c r="J5">
        <v>57150</v>
      </c>
      <c r="K5">
        <v>-35494</v>
      </c>
      <c r="L5">
        <v>-38.312249000000001</v>
      </c>
      <c r="M5" t="s">
        <v>521</v>
      </c>
      <c r="N5">
        <v>57149</v>
      </c>
      <c r="O5">
        <v>57120</v>
      </c>
      <c r="P5">
        <v>7.89</v>
      </c>
      <c r="Q5">
        <v>22.3</v>
      </c>
      <c r="R5">
        <v>0</v>
      </c>
    </row>
    <row r="6" spans="1:18">
      <c r="A6">
        <v>5706</v>
      </c>
      <c r="B6" t="s">
        <v>70</v>
      </c>
      <c r="C6" t="s">
        <v>69</v>
      </c>
      <c r="D6">
        <v>1</v>
      </c>
      <c r="E6">
        <v>0</v>
      </c>
      <c r="F6">
        <v>27872</v>
      </c>
      <c r="G6">
        <v>30060</v>
      </c>
      <c r="H6">
        <v>-1530</v>
      </c>
      <c r="I6">
        <v>-4.84</v>
      </c>
      <c r="J6">
        <v>30060</v>
      </c>
      <c r="K6">
        <v>2188</v>
      </c>
      <c r="L6">
        <v>7.8501719999999997</v>
      </c>
      <c r="M6" t="s">
        <v>521</v>
      </c>
      <c r="N6">
        <v>30022</v>
      </c>
      <c r="O6">
        <v>30035</v>
      </c>
      <c r="P6">
        <v>21.5</v>
      </c>
      <c r="Q6">
        <v>4.17</v>
      </c>
      <c r="R6">
        <v>0.93</v>
      </c>
    </row>
    <row r="7" spans="1:18">
      <c r="A7">
        <v>5803</v>
      </c>
      <c r="B7" t="s">
        <v>71</v>
      </c>
      <c r="C7" t="s">
        <v>69</v>
      </c>
      <c r="D7">
        <v>90</v>
      </c>
      <c r="E7">
        <v>0</v>
      </c>
      <c r="F7">
        <v>4436.3554999999997</v>
      </c>
      <c r="G7">
        <v>5902</v>
      </c>
      <c r="H7">
        <v>-176</v>
      </c>
      <c r="I7">
        <v>-2.9</v>
      </c>
      <c r="J7">
        <v>531180</v>
      </c>
      <c r="K7">
        <v>131908.005</v>
      </c>
      <c r="L7">
        <v>33.037129</v>
      </c>
      <c r="M7" t="s">
        <v>30</v>
      </c>
      <c r="N7">
        <v>5928</v>
      </c>
      <c r="O7">
        <v>5909.8</v>
      </c>
      <c r="P7">
        <v>29.98</v>
      </c>
      <c r="Q7">
        <v>17.43</v>
      </c>
      <c r="R7">
        <v>0.64</v>
      </c>
    </row>
    <row r="8" spans="1:18">
      <c r="A8">
        <v>6228</v>
      </c>
      <c r="B8" t="s">
        <v>72</v>
      </c>
      <c r="C8" t="s">
        <v>32</v>
      </c>
      <c r="D8">
        <v>100</v>
      </c>
      <c r="E8">
        <v>0</v>
      </c>
      <c r="F8">
        <v>1100.5</v>
      </c>
      <c r="G8">
        <v>508</v>
      </c>
      <c r="H8">
        <v>-9</v>
      </c>
      <c r="I8">
        <v>-1.74</v>
      </c>
      <c r="J8">
        <v>50800</v>
      </c>
      <c r="K8">
        <v>-59250</v>
      </c>
      <c r="L8">
        <v>-53.839163999999997</v>
      </c>
      <c r="M8" t="s">
        <v>68</v>
      </c>
      <c r="N8">
        <v>506</v>
      </c>
      <c r="O8">
        <v>507.9</v>
      </c>
      <c r="P8">
        <v>0</v>
      </c>
      <c r="Q8">
        <v>0.68</v>
      </c>
      <c r="R8">
        <v>0</v>
      </c>
    </row>
    <row r="9" spans="1:18">
      <c r="A9">
        <v>6702</v>
      </c>
      <c r="B9" t="s">
        <v>73</v>
      </c>
      <c r="C9" t="s">
        <v>69</v>
      </c>
      <c r="D9">
        <v>20</v>
      </c>
      <c r="E9">
        <v>0</v>
      </c>
      <c r="F9">
        <v>3361.75</v>
      </c>
      <c r="G9">
        <v>3601</v>
      </c>
      <c r="H9">
        <v>-63</v>
      </c>
      <c r="I9">
        <v>-1.72</v>
      </c>
      <c r="J9">
        <v>72020</v>
      </c>
      <c r="K9">
        <v>4785</v>
      </c>
      <c r="L9">
        <v>7.1168290000000001</v>
      </c>
      <c r="M9" t="s">
        <v>30</v>
      </c>
      <c r="N9">
        <v>3607.4</v>
      </c>
      <c r="O9">
        <v>3608</v>
      </c>
      <c r="P9">
        <v>20.100000000000001</v>
      </c>
      <c r="Q9">
        <v>3.08</v>
      </c>
      <c r="R9">
        <v>1.53</v>
      </c>
    </row>
    <row r="10" spans="1:18">
      <c r="A10">
        <v>6857</v>
      </c>
      <c r="B10" t="s">
        <v>74</v>
      </c>
      <c r="C10" t="s">
        <v>69</v>
      </c>
      <c r="D10">
        <v>1</v>
      </c>
      <c r="E10">
        <v>0</v>
      </c>
      <c r="F10">
        <v>26228</v>
      </c>
      <c r="G10">
        <v>35860</v>
      </c>
      <c r="H10">
        <v>-1920</v>
      </c>
      <c r="I10">
        <v>-5.08</v>
      </c>
      <c r="J10">
        <v>35860</v>
      </c>
      <c r="K10">
        <v>9632</v>
      </c>
      <c r="L10">
        <v>36.724111999999998</v>
      </c>
      <c r="M10" t="s">
        <v>30</v>
      </c>
      <c r="N10">
        <v>35949.9</v>
      </c>
      <c r="O10">
        <v>35909</v>
      </c>
      <c r="P10">
        <v>39.25</v>
      </c>
      <c r="Q10">
        <v>32.67</v>
      </c>
      <c r="R10">
        <v>0.17</v>
      </c>
    </row>
    <row r="11" spans="1:18">
      <c r="A11">
        <v>6920</v>
      </c>
      <c r="B11" t="s">
        <v>75</v>
      </c>
      <c r="C11" t="s">
        <v>69</v>
      </c>
      <c r="D11">
        <v>7</v>
      </c>
      <c r="E11">
        <v>0</v>
      </c>
      <c r="F11">
        <v>37002.428500000002</v>
      </c>
      <c r="G11">
        <v>37020</v>
      </c>
      <c r="H11">
        <v>-2240</v>
      </c>
      <c r="I11">
        <v>-5.71</v>
      </c>
      <c r="J11">
        <v>259140</v>
      </c>
      <c r="K11">
        <v>123.0005</v>
      </c>
      <c r="L11">
        <v>4.7487000000000001E-2</v>
      </c>
      <c r="M11" t="s">
        <v>30</v>
      </c>
      <c r="N11">
        <v>37050.1</v>
      </c>
      <c r="O11">
        <v>37051</v>
      </c>
      <c r="P11">
        <v>36.86</v>
      </c>
      <c r="Q11">
        <v>13.44</v>
      </c>
      <c r="R11">
        <v>0.95</v>
      </c>
    </row>
    <row r="12" spans="1:18">
      <c r="A12">
        <v>6981</v>
      </c>
      <c r="B12" t="s">
        <v>76</v>
      </c>
      <c r="C12" t="s">
        <v>69</v>
      </c>
      <c r="D12">
        <v>8</v>
      </c>
      <c r="E12">
        <v>0</v>
      </c>
      <c r="F12">
        <v>11780.875</v>
      </c>
      <c r="G12">
        <v>7496</v>
      </c>
      <c r="H12">
        <v>-794</v>
      </c>
      <c r="I12">
        <v>-9.58</v>
      </c>
      <c r="J12">
        <v>59968</v>
      </c>
      <c r="K12">
        <v>-34279</v>
      </c>
      <c r="L12">
        <v>-36.371448999999998</v>
      </c>
      <c r="M12" t="s">
        <v>30</v>
      </c>
      <c r="N12">
        <v>7478</v>
      </c>
      <c r="O12">
        <v>7509.9</v>
      </c>
      <c r="P12">
        <v>40.36</v>
      </c>
      <c r="Q12">
        <v>5.01</v>
      </c>
      <c r="R12">
        <v>0.93</v>
      </c>
    </row>
    <row r="13" spans="1:18">
      <c r="A13">
        <v>7974</v>
      </c>
      <c r="B13" t="s">
        <v>77</v>
      </c>
      <c r="C13" t="s">
        <v>69</v>
      </c>
      <c r="D13">
        <v>13</v>
      </c>
      <c r="E13">
        <v>0</v>
      </c>
      <c r="F13">
        <v>8590.5383999999995</v>
      </c>
      <c r="G13">
        <v>8760</v>
      </c>
      <c r="H13">
        <v>-1</v>
      </c>
      <c r="I13">
        <v>-0.01</v>
      </c>
      <c r="J13">
        <v>113880</v>
      </c>
      <c r="K13">
        <v>2203.0007999999998</v>
      </c>
      <c r="L13">
        <v>1.9726539999999999</v>
      </c>
      <c r="M13" t="s">
        <v>30</v>
      </c>
      <c r="N13">
        <v>8785.2000000000007</v>
      </c>
      <c r="O13">
        <v>8783.9</v>
      </c>
      <c r="P13">
        <v>31.55</v>
      </c>
      <c r="Q13">
        <v>3.41</v>
      </c>
      <c r="R13">
        <v>1.85</v>
      </c>
    </row>
    <row r="14" spans="1:18">
      <c r="A14">
        <v>8136</v>
      </c>
      <c r="B14" t="s">
        <v>78</v>
      </c>
      <c r="C14" t="s">
        <v>32</v>
      </c>
      <c r="D14">
        <v>100</v>
      </c>
      <c r="E14">
        <v>0</v>
      </c>
      <c r="F14">
        <v>1276.9000000000001</v>
      </c>
      <c r="G14">
        <v>1194</v>
      </c>
      <c r="H14">
        <v>-18</v>
      </c>
      <c r="I14">
        <v>-1.49</v>
      </c>
      <c r="J14">
        <v>119400</v>
      </c>
      <c r="K14">
        <v>-8290</v>
      </c>
      <c r="L14">
        <v>-6.492286</v>
      </c>
      <c r="M14" t="s">
        <v>30</v>
      </c>
      <c r="N14">
        <v>1195.4000000000001</v>
      </c>
      <c r="O14">
        <v>1193</v>
      </c>
      <c r="P14">
        <v>22.69</v>
      </c>
      <c r="Q14">
        <v>9.2899999999999991</v>
      </c>
      <c r="R14">
        <v>1.34</v>
      </c>
    </row>
    <row r="15" spans="1:18">
      <c r="A15">
        <v>8267</v>
      </c>
      <c r="B15" t="s">
        <v>79</v>
      </c>
      <c r="C15" t="s">
        <v>69</v>
      </c>
      <c r="D15">
        <v>200</v>
      </c>
      <c r="E15">
        <v>0</v>
      </c>
      <c r="F15">
        <v>2288.5500000000002</v>
      </c>
      <c r="G15">
        <v>1351.5</v>
      </c>
      <c r="H15">
        <v>-11</v>
      </c>
      <c r="I15">
        <v>-0.81</v>
      </c>
      <c r="J15">
        <v>270300</v>
      </c>
      <c r="K15">
        <v>-187410</v>
      </c>
      <c r="L15">
        <v>-40.945140000000002</v>
      </c>
      <c r="M15" t="s">
        <v>521</v>
      </c>
      <c r="N15">
        <v>1348.9</v>
      </c>
      <c r="O15">
        <v>1348.4</v>
      </c>
      <c r="P15">
        <v>51.19</v>
      </c>
      <c r="Q15">
        <v>3.06</v>
      </c>
      <c r="R15">
        <v>1.1100000000000001</v>
      </c>
    </row>
    <row r="16" spans="1:18">
      <c r="A16" s="1" t="s">
        <v>122</v>
      </c>
      <c r="B16" s="1" t="s">
        <v>122</v>
      </c>
      <c r="C16" s="1" t="s">
        <v>122</v>
      </c>
      <c r="D16" s="1" t="s">
        <v>122</v>
      </c>
      <c r="E16" s="1" t="s">
        <v>122</v>
      </c>
      <c r="F16" s="1" t="s">
        <v>122</v>
      </c>
      <c r="G16" s="1" t="s">
        <v>122</v>
      </c>
      <c r="H16" s="1" t="s">
        <v>122</v>
      </c>
      <c r="I16" s="1" t="s">
        <v>122</v>
      </c>
      <c r="J16" s="1" t="s">
        <v>122</v>
      </c>
      <c r="K16" s="1" t="s">
        <v>122</v>
      </c>
      <c r="L16" s="1" t="s">
        <v>122</v>
      </c>
      <c r="M16" s="1" t="s">
        <v>122</v>
      </c>
      <c r="N16" s="1" t="s">
        <v>122</v>
      </c>
      <c r="O16" s="1" t="s">
        <v>122</v>
      </c>
      <c r="P16" s="1" t="s">
        <v>122</v>
      </c>
      <c r="Q16" s="1" t="s">
        <v>122</v>
      </c>
      <c r="R16" s="1" t="s">
        <v>122</v>
      </c>
    </row>
    <row r="17" spans="1:18">
      <c r="A17" s="1" t="s">
        <v>122</v>
      </c>
      <c r="B17" s="1" t="s">
        <v>122</v>
      </c>
      <c r="C17" s="1" t="s">
        <v>122</v>
      </c>
      <c r="D17" s="1" t="s">
        <v>122</v>
      </c>
      <c r="E17" s="1" t="s">
        <v>122</v>
      </c>
      <c r="F17" s="1" t="s">
        <v>122</v>
      </c>
      <c r="G17" s="1" t="s">
        <v>122</v>
      </c>
      <c r="H17" s="1" t="s">
        <v>122</v>
      </c>
      <c r="I17" s="1" t="s">
        <v>122</v>
      </c>
      <c r="J17" s="1" t="s">
        <v>122</v>
      </c>
      <c r="K17" s="1" t="s">
        <v>122</v>
      </c>
      <c r="L17" s="1" t="s">
        <v>122</v>
      </c>
      <c r="M17" s="1" t="s">
        <v>122</v>
      </c>
      <c r="N17" s="1" t="s">
        <v>122</v>
      </c>
      <c r="O17" s="1" t="s">
        <v>122</v>
      </c>
      <c r="P17" s="1" t="s">
        <v>122</v>
      </c>
      <c r="Q17" s="1" t="s">
        <v>122</v>
      </c>
      <c r="R17" s="1" t="s">
        <v>122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A6BA-C22F-44A3-8486-13B9974483A7}">
  <sheetPr codeName="Sheet6"/>
  <dimension ref="A1:T11"/>
  <sheetViews>
    <sheetView workbookViewId="0">
      <selection activeCell="K16" sqref="K16"/>
    </sheetView>
  </sheetViews>
  <sheetFormatPr defaultRowHeight="18.75"/>
  <sheetData>
    <row r="1" spans="1:20">
      <c r="A1" t="str" cm="1">
        <f t="array" ref="A1">_xll.RssMarginPositionList($A$2:$T$2, "", "A", 0, 0, 0)</f>
        <v>=RssMarginPositionList($A$2:$T$2, "", "A", 0, 0, 0) =&gt; 配信中</v>
      </c>
    </row>
    <row r="2" spans="1:20">
      <c r="A2" t="s">
        <v>5</v>
      </c>
      <c r="B2" t="s">
        <v>6</v>
      </c>
      <c r="C2" t="s">
        <v>7</v>
      </c>
      <c r="D2" t="s">
        <v>83</v>
      </c>
      <c r="E2" t="s">
        <v>9</v>
      </c>
      <c r="F2" t="s">
        <v>10</v>
      </c>
      <c r="G2" t="s">
        <v>12</v>
      </c>
      <c r="H2" t="s">
        <v>84</v>
      </c>
      <c r="I2" t="s">
        <v>53</v>
      </c>
      <c r="J2" t="s">
        <v>85</v>
      </c>
      <c r="K2" t="s">
        <v>86</v>
      </c>
      <c r="L2" t="s">
        <v>87</v>
      </c>
      <c r="M2" t="s">
        <v>55</v>
      </c>
      <c r="N2" t="s">
        <v>56</v>
      </c>
      <c r="O2" t="s">
        <v>57</v>
      </c>
      <c r="P2" t="s">
        <v>58</v>
      </c>
      <c r="Q2" t="s">
        <v>59</v>
      </c>
      <c r="R2" t="s">
        <v>60</v>
      </c>
      <c r="S2" t="s">
        <v>88</v>
      </c>
      <c r="T2" t="s">
        <v>89</v>
      </c>
    </row>
    <row r="3" spans="1:20">
      <c r="A3">
        <v>3436</v>
      </c>
      <c r="B3" t="s">
        <v>139</v>
      </c>
      <c r="C3" t="s">
        <v>32</v>
      </c>
      <c r="D3" t="s">
        <v>41</v>
      </c>
      <c r="E3" t="s">
        <v>91</v>
      </c>
      <c r="F3" t="s">
        <v>92</v>
      </c>
      <c r="G3" t="s">
        <v>33</v>
      </c>
      <c r="H3">
        <v>100</v>
      </c>
      <c r="I3">
        <v>0</v>
      </c>
      <c r="J3">
        <v>3793.8</v>
      </c>
      <c r="K3">
        <v>20260818</v>
      </c>
      <c r="L3">
        <v>20270217</v>
      </c>
      <c r="M3">
        <v>3384</v>
      </c>
      <c r="N3">
        <v>-72</v>
      </c>
      <c r="O3">
        <v>-2.08</v>
      </c>
      <c r="P3">
        <v>338400</v>
      </c>
      <c r="Q3">
        <v>-41184</v>
      </c>
      <c r="R3">
        <v>-10.855606999999999</v>
      </c>
      <c r="S3">
        <v>30</v>
      </c>
      <c r="T3">
        <v>0</v>
      </c>
    </row>
    <row r="4" spans="1:20">
      <c r="A4">
        <v>5016</v>
      </c>
      <c r="B4" t="s">
        <v>90</v>
      </c>
      <c r="C4" t="s">
        <v>32</v>
      </c>
      <c r="D4" t="s">
        <v>41</v>
      </c>
      <c r="E4" t="s">
        <v>91</v>
      </c>
      <c r="F4" t="s">
        <v>92</v>
      </c>
      <c r="G4" t="s">
        <v>33</v>
      </c>
      <c r="H4">
        <v>100</v>
      </c>
      <c r="I4">
        <v>0</v>
      </c>
      <c r="J4">
        <v>5653.6</v>
      </c>
      <c r="K4">
        <v>20260511</v>
      </c>
      <c r="L4">
        <v>20261110</v>
      </c>
      <c r="M4">
        <v>3591</v>
      </c>
      <c r="N4">
        <v>-33</v>
      </c>
      <c r="O4">
        <v>-0.91</v>
      </c>
      <c r="P4">
        <v>359100</v>
      </c>
      <c r="Q4">
        <v>-211242</v>
      </c>
      <c r="R4">
        <v>-37.364156999999999</v>
      </c>
      <c r="S4">
        <v>30</v>
      </c>
      <c r="T4">
        <v>0</v>
      </c>
    </row>
    <row r="5" spans="1:20">
      <c r="A5">
        <v>5016</v>
      </c>
      <c r="B5" t="s">
        <v>90</v>
      </c>
      <c r="C5" t="s">
        <v>32</v>
      </c>
      <c r="D5" t="s">
        <v>41</v>
      </c>
      <c r="E5" t="s">
        <v>91</v>
      </c>
      <c r="F5" t="s">
        <v>92</v>
      </c>
      <c r="G5" t="s">
        <v>33</v>
      </c>
      <c r="H5">
        <v>100</v>
      </c>
      <c r="I5">
        <v>0</v>
      </c>
      <c r="J5">
        <v>5702.3</v>
      </c>
      <c r="K5">
        <v>20260511</v>
      </c>
      <c r="L5">
        <v>20261110</v>
      </c>
      <c r="M5">
        <v>3591</v>
      </c>
      <c r="N5">
        <v>-33</v>
      </c>
      <c r="O5">
        <v>-0.91</v>
      </c>
      <c r="P5">
        <v>359100</v>
      </c>
      <c r="Q5">
        <v>-215822</v>
      </c>
      <c r="R5">
        <v>-37.848236999999997</v>
      </c>
      <c r="S5">
        <v>30</v>
      </c>
      <c r="T5">
        <v>0</v>
      </c>
    </row>
    <row r="6" spans="1:20">
      <c r="A6">
        <v>5016</v>
      </c>
      <c r="B6" t="s">
        <v>90</v>
      </c>
      <c r="C6" t="s">
        <v>32</v>
      </c>
      <c r="D6" t="s">
        <v>41</v>
      </c>
      <c r="E6" t="s">
        <v>91</v>
      </c>
      <c r="F6" t="s">
        <v>92</v>
      </c>
      <c r="G6" t="s">
        <v>33</v>
      </c>
      <c r="H6">
        <v>100</v>
      </c>
      <c r="I6">
        <v>0</v>
      </c>
      <c r="J6">
        <v>5315</v>
      </c>
      <c r="K6">
        <v>20260622</v>
      </c>
      <c r="L6">
        <v>20261221</v>
      </c>
      <c r="M6">
        <v>3591</v>
      </c>
      <c r="N6">
        <v>-33</v>
      </c>
      <c r="O6">
        <v>-0.91</v>
      </c>
      <c r="P6">
        <v>359100</v>
      </c>
      <c r="Q6">
        <v>-175284</v>
      </c>
      <c r="R6">
        <v>-32.979115999999998</v>
      </c>
      <c r="S6">
        <v>30</v>
      </c>
      <c r="T6">
        <v>0</v>
      </c>
    </row>
    <row r="7" spans="1:20">
      <c r="A7">
        <v>5803</v>
      </c>
      <c r="B7" t="s">
        <v>71</v>
      </c>
      <c r="C7" t="s">
        <v>32</v>
      </c>
      <c r="D7" t="s">
        <v>41</v>
      </c>
      <c r="E7" t="s">
        <v>91</v>
      </c>
      <c r="F7" t="s">
        <v>92</v>
      </c>
      <c r="G7" t="s">
        <v>33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5280</v>
      </c>
      <c r="N7">
        <v>-61</v>
      </c>
      <c r="O7">
        <v>-1.1399999999999999</v>
      </c>
      <c r="P7">
        <v>528000</v>
      </c>
      <c r="Q7">
        <v>-120350</v>
      </c>
      <c r="R7">
        <v>-18.650818000000001</v>
      </c>
      <c r="S7">
        <v>30</v>
      </c>
      <c r="T7">
        <v>0</v>
      </c>
    </row>
    <row r="8" spans="1:20">
      <c r="A8">
        <v>5803</v>
      </c>
      <c r="B8" t="s">
        <v>71</v>
      </c>
      <c r="C8" t="s">
        <v>32</v>
      </c>
      <c r="D8" t="s">
        <v>41</v>
      </c>
      <c r="E8" t="s">
        <v>91</v>
      </c>
      <c r="F8" t="s">
        <v>92</v>
      </c>
      <c r="G8" t="s">
        <v>33</v>
      </c>
      <c r="H8">
        <v>100</v>
      </c>
      <c r="I8">
        <v>0</v>
      </c>
      <c r="J8">
        <v>6449.9</v>
      </c>
      <c r="K8">
        <v>20260624</v>
      </c>
      <c r="L8">
        <v>20261223</v>
      </c>
      <c r="M8">
        <v>5280</v>
      </c>
      <c r="N8">
        <v>-61</v>
      </c>
      <c r="O8">
        <v>-1.1399999999999999</v>
      </c>
      <c r="P8">
        <v>528000</v>
      </c>
      <c r="Q8">
        <v>-120167</v>
      </c>
      <c r="R8">
        <v>-18.630831000000001</v>
      </c>
      <c r="S8">
        <v>30</v>
      </c>
      <c r="T8">
        <v>0</v>
      </c>
    </row>
    <row r="9" spans="1:20">
      <c r="A9" s="1">
        <v>9984</v>
      </c>
      <c r="B9" s="1" t="s">
        <v>93</v>
      </c>
      <c r="C9" s="1" t="s">
        <v>32</v>
      </c>
      <c r="D9" s="1" t="s">
        <v>41</v>
      </c>
      <c r="E9" s="1" t="s">
        <v>91</v>
      </c>
      <c r="F9" s="1" t="s">
        <v>92</v>
      </c>
      <c r="G9" s="1" t="s">
        <v>33</v>
      </c>
      <c r="H9" s="1">
        <v>100</v>
      </c>
      <c r="I9" s="1">
        <v>0</v>
      </c>
      <c r="J9" s="1">
        <v>7240.1</v>
      </c>
      <c r="K9" s="1">
        <v>20260622</v>
      </c>
      <c r="L9" s="1">
        <v>20261221</v>
      </c>
      <c r="M9" s="1">
        <v>5255</v>
      </c>
      <c r="N9" s="1">
        <v>-132</v>
      </c>
      <c r="O9" s="1">
        <v>-2.4500000000000002</v>
      </c>
      <c r="P9" s="1">
        <v>525500</v>
      </c>
      <c r="Q9" s="1">
        <v>-202285</v>
      </c>
      <c r="R9" s="1">
        <v>-27.939530999999999</v>
      </c>
      <c r="S9" s="1">
        <v>30</v>
      </c>
      <c r="T9" s="1">
        <v>0</v>
      </c>
    </row>
    <row r="10" spans="1:20">
      <c r="A10" s="1">
        <v>9984</v>
      </c>
      <c r="B10" s="1" t="s">
        <v>93</v>
      </c>
      <c r="C10" s="1" t="s">
        <v>32</v>
      </c>
      <c r="D10" s="1" t="s">
        <v>41</v>
      </c>
      <c r="E10" s="1" t="s">
        <v>91</v>
      </c>
      <c r="F10" s="1" t="s">
        <v>92</v>
      </c>
      <c r="G10" s="1" t="s">
        <v>33</v>
      </c>
      <c r="H10" s="1">
        <v>100</v>
      </c>
      <c r="I10" s="1">
        <v>0</v>
      </c>
      <c r="J10" s="1">
        <v>5863</v>
      </c>
      <c r="K10" s="1">
        <v>20260818</v>
      </c>
      <c r="L10" s="1">
        <v>20270217</v>
      </c>
      <c r="M10" s="1">
        <v>5255</v>
      </c>
      <c r="N10" s="1">
        <v>-132</v>
      </c>
      <c r="O10" s="1">
        <v>-2.4500000000000002</v>
      </c>
      <c r="P10" s="1">
        <v>525500</v>
      </c>
      <c r="Q10" s="1">
        <v>-61114</v>
      </c>
      <c r="R10" s="1">
        <v>-10.423674</v>
      </c>
      <c r="S10" s="1">
        <v>30</v>
      </c>
      <c r="T10" s="1">
        <v>0</v>
      </c>
    </row>
    <row r="11" spans="1:20">
      <c r="A11" s="1" t="s">
        <v>122</v>
      </c>
      <c r="B11" s="1" t="s">
        <v>122</v>
      </c>
      <c r="C11" s="1" t="s">
        <v>122</v>
      </c>
      <c r="D11" s="1" t="s">
        <v>122</v>
      </c>
      <c r="E11" s="1" t="s">
        <v>122</v>
      </c>
      <c r="F11" s="1" t="s">
        <v>122</v>
      </c>
      <c r="G11" s="1" t="s">
        <v>122</v>
      </c>
      <c r="H11" s="1" t="s">
        <v>122</v>
      </c>
      <c r="I11" s="1" t="s">
        <v>122</v>
      </c>
      <c r="J11" s="1" t="s">
        <v>122</v>
      </c>
      <c r="K11" s="1" t="s">
        <v>122</v>
      </c>
      <c r="L11" s="1" t="s">
        <v>122</v>
      </c>
      <c r="M11" s="1" t="s">
        <v>122</v>
      </c>
      <c r="N11" s="1" t="s">
        <v>122</v>
      </c>
      <c r="O11" s="1" t="s">
        <v>122</v>
      </c>
      <c r="P11" s="1" t="s">
        <v>122</v>
      </c>
      <c r="Q11" s="1" t="s">
        <v>122</v>
      </c>
      <c r="R11" s="1" t="s">
        <v>122</v>
      </c>
      <c r="S11" s="1" t="s">
        <v>122</v>
      </c>
      <c r="T11" s="1" t="s">
        <v>122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BC8B-84E1-4664-99B1-3ED16C4FFE90}">
  <dimension ref="A1:T11"/>
  <sheetViews>
    <sheetView workbookViewId="0">
      <selection activeCell="G20" sqref="G20"/>
    </sheetView>
  </sheetViews>
  <sheetFormatPr defaultRowHeight="18.75"/>
  <sheetData>
    <row r="1" spans="1:20">
      <c r="A1" t="s">
        <v>526</v>
      </c>
    </row>
    <row r="2" spans="1:20">
      <c r="A2" t="s">
        <v>5</v>
      </c>
      <c r="B2" t="s">
        <v>6</v>
      </c>
      <c r="C2" t="s">
        <v>7</v>
      </c>
      <c r="D2" t="s">
        <v>83</v>
      </c>
      <c r="E2" t="s">
        <v>9</v>
      </c>
      <c r="F2" t="s">
        <v>10</v>
      </c>
      <c r="G2" t="s">
        <v>12</v>
      </c>
      <c r="H2" t="s">
        <v>84</v>
      </c>
      <c r="I2" t="s">
        <v>53</v>
      </c>
      <c r="J2" t="s">
        <v>85</v>
      </c>
      <c r="K2" t="s">
        <v>86</v>
      </c>
      <c r="L2" t="s">
        <v>87</v>
      </c>
      <c r="M2" t="s">
        <v>55</v>
      </c>
      <c r="N2" t="s">
        <v>56</v>
      </c>
      <c r="O2" t="s">
        <v>57</v>
      </c>
      <c r="P2" t="s">
        <v>58</v>
      </c>
      <c r="Q2" t="s">
        <v>59</v>
      </c>
      <c r="R2" t="s">
        <v>60</v>
      </c>
      <c r="S2" t="s">
        <v>88</v>
      </c>
      <c r="T2" t="s">
        <v>89</v>
      </c>
    </row>
    <row r="3" spans="1:20">
      <c r="A3">
        <v>3436</v>
      </c>
      <c r="B3" t="s">
        <v>139</v>
      </c>
      <c r="C3" t="s">
        <v>32</v>
      </c>
      <c r="D3" t="s">
        <v>41</v>
      </c>
      <c r="E3" t="s">
        <v>91</v>
      </c>
      <c r="F3" t="s">
        <v>92</v>
      </c>
      <c r="G3" t="s">
        <v>33</v>
      </c>
      <c r="H3">
        <v>100</v>
      </c>
      <c r="I3">
        <v>0</v>
      </c>
      <c r="J3">
        <v>3793.8</v>
      </c>
      <c r="K3">
        <v>20260818</v>
      </c>
      <c r="L3">
        <v>20270217</v>
      </c>
      <c r="M3">
        <v>3788</v>
      </c>
      <c r="N3">
        <v>-273</v>
      </c>
      <c r="O3">
        <v>-6.72</v>
      </c>
      <c r="P3">
        <v>378800</v>
      </c>
      <c r="Q3">
        <v>-610</v>
      </c>
      <c r="R3">
        <v>-0.16078899999999999</v>
      </c>
      <c r="S3">
        <v>30</v>
      </c>
      <c r="T3">
        <v>0</v>
      </c>
    </row>
    <row r="4" spans="1:20">
      <c r="A4">
        <v>5016</v>
      </c>
      <c r="B4" t="s">
        <v>90</v>
      </c>
      <c r="C4" t="s">
        <v>32</v>
      </c>
      <c r="D4" t="s">
        <v>41</v>
      </c>
      <c r="E4" t="s">
        <v>91</v>
      </c>
      <c r="F4" t="s">
        <v>92</v>
      </c>
      <c r="G4" t="s">
        <v>33</v>
      </c>
      <c r="H4">
        <v>100</v>
      </c>
      <c r="I4">
        <v>0</v>
      </c>
      <c r="J4">
        <v>5653.6</v>
      </c>
      <c r="K4">
        <v>20260511</v>
      </c>
      <c r="L4">
        <v>20261110</v>
      </c>
      <c r="M4">
        <v>3814</v>
      </c>
      <c r="N4">
        <v>-186</v>
      </c>
      <c r="O4">
        <v>-4.6500000000000004</v>
      </c>
      <c r="P4">
        <v>381400</v>
      </c>
      <c r="Q4">
        <v>-188682</v>
      </c>
      <c r="R4">
        <v>-33.373780000000004</v>
      </c>
      <c r="S4">
        <v>30</v>
      </c>
      <c r="T4">
        <v>0</v>
      </c>
    </row>
    <row r="5" spans="1:20">
      <c r="A5">
        <v>5016</v>
      </c>
      <c r="B5" t="s">
        <v>90</v>
      </c>
      <c r="C5" t="s">
        <v>32</v>
      </c>
      <c r="D5" t="s">
        <v>41</v>
      </c>
      <c r="E5" t="s">
        <v>91</v>
      </c>
      <c r="F5" t="s">
        <v>92</v>
      </c>
      <c r="G5" t="s">
        <v>33</v>
      </c>
      <c r="H5">
        <v>100</v>
      </c>
      <c r="I5">
        <v>0</v>
      </c>
      <c r="J5">
        <v>5702.3</v>
      </c>
      <c r="K5">
        <v>20260511</v>
      </c>
      <c r="L5">
        <v>20261110</v>
      </c>
      <c r="M5">
        <v>3814</v>
      </c>
      <c r="N5">
        <v>-186</v>
      </c>
      <c r="O5">
        <v>-4.6500000000000004</v>
      </c>
      <c r="P5">
        <v>381400</v>
      </c>
      <c r="Q5">
        <v>-193259</v>
      </c>
      <c r="R5">
        <v>-33.891412000000003</v>
      </c>
      <c r="S5">
        <v>30</v>
      </c>
      <c r="T5">
        <v>0</v>
      </c>
    </row>
    <row r="6" spans="1:20">
      <c r="A6">
        <v>5016</v>
      </c>
      <c r="B6" t="s">
        <v>90</v>
      </c>
      <c r="C6" t="s">
        <v>32</v>
      </c>
      <c r="D6" t="s">
        <v>41</v>
      </c>
      <c r="E6" t="s">
        <v>91</v>
      </c>
      <c r="F6" t="s">
        <v>92</v>
      </c>
      <c r="G6" t="s">
        <v>33</v>
      </c>
      <c r="H6">
        <v>100</v>
      </c>
      <c r="I6">
        <v>0</v>
      </c>
      <c r="J6">
        <v>5315</v>
      </c>
      <c r="K6">
        <v>20260622</v>
      </c>
      <c r="L6">
        <v>20261221</v>
      </c>
      <c r="M6">
        <v>3814</v>
      </c>
      <c r="N6">
        <v>-186</v>
      </c>
      <c r="O6">
        <v>-4.6500000000000004</v>
      </c>
      <c r="P6">
        <v>381400</v>
      </c>
      <c r="Q6">
        <v>-152630</v>
      </c>
      <c r="R6">
        <v>-28.716839</v>
      </c>
      <c r="S6">
        <v>30</v>
      </c>
      <c r="T6">
        <v>0</v>
      </c>
    </row>
    <row r="7" spans="1:20">
      <c r="A7">
        <v>5803</v>
      </c>
      <c r="B7" t="s">
        <v>71</v>
      </c>
      <c r="C7" t="s">
        <v>32</v>
      </c>
      <c r="D7" t="s">
        <v>41</v>
      </c>
      <c r="E7" t="s">
        <v>91</v>
      </c>
      <c r="F7" t="s">
        <v>92</v>
      </c>
      <c r="G7" t="s">
        <v>33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5902</v>
      </c>
      <c r="N7">
        <v>-176</v>
      </c>
      <c r="O7">
        <v>-2.9</v>
      </c>
      <c r="P7">
        <v>590200</v>
      </c>
      <c r="Q7">
        <v>-57853</v>
      </c>
      <c r="R7">
        <v>-8.9655649999999998</v>
      </c>
      <c r="S7">
        <v>30</v>
      </c>
      <c r="T7">
        <v>0</v>
      </c>
    </row>
    <row r="8" spans="1:20">
      <c r="A8">
        <v>5803</v>
      </c>
      <c r="B8" t="s">
        <v>71</v>
      </c>
      <c r="C8" t="s">
        <v>32</v>
      </c>
      <c r="D8" t="s">
        <v>41</v>
      </c>
      <c r="E8" t="s">
        <v>91</v>
      </c>
      <c r="F8" t="s">
        <v>92</v>
      </c>
      <c r="G8" t="s">
        <v>33</v>
      </c>
      <c r="H8">
        <v>100</v>
      </c>
      <c r="I8">
        <v>0</v>
      </c>
      <c r="J8">
        <v>6449.9</v>
      </c>
      <c r="K8">
        <v>20260624</v>
      </c>
      <c r="L8">
        <v>20261223</v>
      </c>
      <c r="M8">
        <v>5902</v>
      </c>
      <c r="N8">
        <v>-176</v>
      </c>
      <c r="O8">
        <v>-2.9</v>
      </c>
      <c r="P8">
        <v>590200</v>
      </c>
      <c r="Q8">
        <v>-57670</v>
      </c>
      <c r="R8">
        <v>-8.9412240000000001</v>
      </c>
      <c r="S8">
        <v>30</v>
      </c>
      <c r="T8">
        <v>0</v>
      </c>
    </row>
    <row r="9" spans="1:20">
      <c r="A9" s="1">
        <v>9984</v>
      </c>
      <c r="B9" s="1" t="s">
        <v>93</v>
      </c>
      <c r="C9" s="1" t="s">
        <v>32</v>
      </c>
      <c r="D9" s="1" t="s">
        <v>41</v>
      </c>
      <c r="E9" s="1" t="s">
        <v>91</v>
      </c>
      <c r="F9" s="1" t="s">
        <v>92</v>
      </c>
      <c r="G9" s="1" t="s">
        <v>33</v>
      </c>
      <c r="H9" s="1">
        <v>100</v>
      </c>
      <c r="I9" s="1">
        <v>0</v>
      </c>
      <c r="J9" s="1">
        <v>7240.1</v>
      </c>
      <c r="K9" s="1">
        <v>20260622</v>
      </c>
      <c r="L9" s="1">
        <v>20261221</v>
      </c>
      <c r="M9" s="1">
        <v>5830</v>
      </c>
      <c r="N9" s="1">
        <v>-56</v>
      </c>
      <c r="O9" s="1">
        <v>-0.95</v>
      </c>
      <c r="P9" s="1">
        <v>583000</v>
      </c>
      <c r="Q9" s="1">
        <v>-144342</v>
      </c>
      <c r="R9" s="1">
        <v>-19.936464999999998</v>
      </c>
      <c r="S9" s="1">
        <v>30</v>
      </c>
      <c r="T9" s="1">
        <v>0</v>
      </c>
    </row>
    <row r="10" spans="1:20">
      <c r="A10" s="1">
        <v>9984</v>
      </c>
      <c r="B10" s="1" t="s">
        <v>93</v>
      </c>
      <c r="C10" s="1" t="s">
        <v>32</v>
      </c>
      <c r="D10" s="1" t="s">
        <v>41</v>
      </c>
      <c r="E10" s="1" t="s">
        <v>91</v>
      </c>
      <c r="F10" s="1" t="s">
        <v>92</v>
      </c>
      <c r="G10" s="1" t="s">
        <v>33</v>
      </c>
      <c r="H10" s="1">
        <v>100</v>
      </c>
      <c r="I10" s="1">
        <v>0</v>
      </c>
      <c r="J10" s="1">
        <v>5863</v>
      </c>
      <c r="K10" s="1">
        <v>20260818</v>
      </c>
      <c r="L10" s="1">
        <v>20270217</v>
      </c>
      <c r="M10" s="1">
        <v>5830</v>
      </c>
      <c r="N10" s="1">
        <v>-56</v>
      </c>
      <c r="O10" s="1">
        <v>-0.95</v>
      </c>
      <c r="P10" s="1">
        <v>583000</v>
      </c>
      <c r="Q10" s="1">
        <v>-3345</v>
      </c>
      <c r="R10" s="1">
        <v>-0.57052700000000001</v>
      </c>
      <c r="S10" s="1">
        <v>30</v>
      </c>
      <c r="T10" s="1">
        <v>0</v>
      </c>
    </row>
    <row r="11" spans="1:20">
      <c r="A11" s="1" t="s">
        <v>122</v>
      </c>
      <c r="B11" s="1" t="s">
        <v>122</v>
      </c>
      <c r="C11" s="1" t="s">
        <v>122</v>
      </c>
      <c r="D11" s="1" t="s">
        <v>122</v>
      </c>
      <c r="E11" s="1" t="s">
        <v>122</v>
      </c>
      <c r="F11" s="1" t="s">
        <v>122</v>
      </c>
      <c r="G11" s="1" t="s">
        <v>122</v>
      </c>
      <c r="H11" s="1" t="s">
        <v>122</v>
      </c>
      <c r="I11" s="1" t="s">
        <v>122</v>
      </c>
      <c r="J11" s="1" t="s">
        <v>122</v>
      </c>
      <c r="K11" s="1" t="s">
        <v>122</v>
      </c>
      <c r="L11" s="1" t="s">
        <v>122</v>
      </c>
      <c r="M11" s="1" t="s">
        <v>122</v>
      </c>
      <c r="N11" s="1" t="s">
        <v>122</v>
      </c>
      <c r="O11" s="1" t="s">
        <v>122</v>
      </c>
      <c r="P11" s="1" t="s">
        <v>122</v>
      </c>
      <c r="Q11" s="1" t="s">
        <v>122</v>
      </c>
      <c r="R11" s="1" t="s">
        <v>122</v>
      </c>
      <c r="S11" s="1" t="s">
        <v>122</v>
      </c>
      <c r="T11" s="1" t="s">
        <v>122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0DBFC-6FBE-418A-B05C-90E69441E9F4}">
  <sheetPr codeName="Sheet7"/>
  <dimension ref="A2:ER2"/>
  <sheetViews>
    <sheetView workbookViewId="0">
      <selection activeCell="A2" sqref="A2"/>
    </sheetView>
  </sheetViews>
  <sheetFormatPr defaultRowHeight="18.75"/>
  <sheetData>
    <row r="2" spans="1:148">
      <c r="A2" cm="1">
        <f t="array" ref="A2">_xll.RssMarket("9432.T", "銘柄コード")</f>
        <v>9432</v>
      </c>
      <c r="B2" t="str" cm="1">
        <f t="array" ref="B2">_xll.RssMarket("9432.T", "市場コード")</f>
        <v>T</v>
      </c>
      <c r="C2" t="str" cm="1">
        <f t="array" ref="C2">_xll.RssMarket("9432.T", "銘柄名称")</f>
        <v>ＮＴＴ</v>
      </c>
      <c r="D2" t="str" cm="1">
        <f t="array" ref="D2">_xll.RssMarket("9432.T", "市場名称")</f>
        <v>東証</v>
      </c>
      <c r="E2" t="str" cm="1">
        <f t="array" ref="E2">_xll.RssMarket("9432.T", "市場部名称")</f>
        <v>東証Ｐ</v>
      </c>
      <c r="F2" t="str" cm="1">
        <f t="array" ref="F2">_xll.RssMarket("9432.T", "市場部略称")</f>
        <v>東Ｐ</v>
      </c>
      <c r="G2" t="str" cm="1">
        <f t="array" ref="G2">_xll.RssMarket("9432.T", "現在日付")</f>
        <v>2026/08/21</v>
      </c>
      <c r="H2" cm="1">
        <f t="array" ref="H2">_xll.RssMarket("9432.T", "現在値")</f>
        <v>166.1</v>
      </c>
      <c r="I2" t="str" cm="1">
        <f t="array" ref="I2">_xll.RssMarket("9432.T", "現在値時刻")</f>
        <v>15:30</v>
      </c>
      <c r="J2" t="str" cm="1">
        <f t="array" ref="J2">_xll.RssMarket("9432.T", "現在値詳細時刻")</f>
        <v>15:30:00</v>
      </c>
      <c r="K2" t="str" cm="1">
        <f t="array" ref="K2">_xll.RssMarket("9432.T", "現在値ティック")</f>
        <v>↓</v>
      </c>
      <c r="L2" t="str" cm="1">
        <f t="array" ref="L2">_xll.RssMarket("9432.T", "現在値フラグ")</f>
        <v>C</v>
      </c>
      <c r="M2" cm="1">
        <f t="array" ref="M2">_xll.RssMarket("9432.T", "前日比")</f>
        <v>4.7</v>
      </c>
      <c r="N2" cm="1">
        <f t="array" ref="N2">_xll.RssMarket("9432.T", "前日比率")</f>
        <v>2.91</v>
      </c>
      <c r="O2" cm="1">
        <f t="array" ref="O2">_xll.RssMarket("9432.T", "前日終値")</f>
        <v>161.4</v>
      </c>
      <c r="P2" t="str" cm="1">
        <f t="array" ref="P2">_xll.RssMarket("9432.T", "前日日付")</f>
        <v>2026/08/20</v>
      </c>
      <c r="Q2" t="str" cm="1">
        <f t="array" ref="Q2">_xll.RssMarket("9432.T", "前日終値フラグ")</f>
        <v>C</v>
      </c>
      <c r="R2" cm="1">
        <f t="array" ref="R2">_xll.RssMarket("9432.T", "歩み1")</f>
        <v>166.2</v>
      </c>
      <c r="S2" cm="1">
        <f t="array" ref="S2">_xll.RssMarket("9432.T", "歩み2")</f>
        <v>166.1</v>
      </c>
      <c r="T2" cm="1">
        <f t="array" ref="T2">_xll.RssMarket("9432.T", "歩み3")</f>
        <v>166.2</v>
      </c>
      <c r="U2" cm="1">
        <f t="array" ref="U2">_xll.RssMarket("9432.T", "歩み4")</f>
        <v>166.1</v>
      </c>
      <c r="V2" t="str" cm="1">
        <f t="array" ref="V2">_xll.RssMarket("9432.T", "歩み1詳細時刻")</f>
        <v>15:24:59</v>
      </c>
      <c r="W2" t="str" cm="1">
        <f t="array" ref="W2">_xll.RssMarket("9432.T", "歩み2詳細時刻")</f>
        <v>15:24:59</v>
      </c>
      <c r="X2" t="str" cm="1">
        <f t="array" ref="X2">_xll.RssMarket("9432.T", "歩み3詳細時刻")</f>
        <v>15:24:58</v>
      </c>
      <c r="Y2" t="str" cm="1">
        <f t="array" ref="Y2">_xll.RssMarket("9432.T", "歩み4詳細時刻")</f>
        <v>15:24:57</v>
      </c>
      <c r="Z2" cm="1">
        <f t="array" ref="Z2">_xll.RssMarket("9432.T", "出来高")</f>
        <v>370034500</v>
      </c>
      <c r="AA2" cm="1">
        <f t="array" ref="AA2">_xll.RssMarket("9432.T", "売買代金")</f>
        <v>60955401</v>
      </c>
      <c r="AB2" cm="1">
        <f t="array" ref="AB2">_xll.RssMarket("9432.T", "出来高加重平均")</f>
        <v>164.72890000000001</v>
      </c>
      <c r="AC2" cm="1">
        <f t="array" ref="AC2">_xll.RssMarket("9432.T", "時価総額")</f>
        <v>15040407</v>
      </c>
      <c r="AD2" cm="1">
        <f t="array" ref="AD2">_xll.RssMarket("9432.T", "始値")</f>
        <v>162</v>
      </c>
      <c r="AE2" cm="1">
        <f t="array" ref="AE2">_xll.RssMarket("9432.T", "高値")</f>
        <v>166.2</v>
      </c>
      <c r="AF2" cm="1">
        <f t="array" ref="AF2">_xll.RssMarket("9432.T", "安値")</f>
        <v>161.69999999999999</v>
      </c>
      <c r="AG2" t="str" cm="1">
        <f t="array" ref="AG2">_xll.RssMarket("9432.T", "始値時刻")</f>
        <v>09:00</v>
      </c>
      <c r="AH2" t="str" cm="1">
        <f t="array" ref="AH2">_xll.RssMarket("9432.T", "高値時刻")</f>
        <v>14:06</v>
      </c>
      <c r="AI2" t="str" cm="1">
        <f t="array" ref="AI2">_xll.RssMarket("9432.T", "安値時刻")</f>
        <v>09:00</v>
      </c>
      <c r="AJ2" t="str" cm="1">
        <f t="array" ref="AJ2">_xll.RssMarket("9432.T", "始値詳細時刻")</f>
        <v>09:00:00</v>
      </c>
      <c r="AK2" t="str" cm="1">
        <f t="array" ref="AK2">_xll.RssMarket("9432.T", "高値詳細時刻")</f>
        <v>14:06:06</v>
      </c>
      <c r="AL2" t="str" cm="1">
        <f t="array" ref="AL2">_xll.RssMarket("9432.T", "安値詳細時刻")</f>
        <v>09:00:00</v>
      </c>
      <c r="AM2" cm="1">
        <f t="array" ref="AM2">_xll.RssMarket("9432.T", "前場始値")</f>
        <v>162</v>
      </c>
      <c r="AN2" cm="1">
        <f t="array" ref="AN2">_xll.RssMarket("9432.T", "前場高値")</f>
        <v>165</v>
      </c>
      <c r="AO2" cm="1">
        <f t="array" ref="AO2">_xll.RssMarket("9432.T", "前場安値")</f>
        <v>161.69999999999999</v>
      </c>
      <c r="AP2" cm="1">
        <f t="array" ref="AP2">_xll.RssMarket("9432.T", "前場終値")</f>
        <v>164.6</v>
      </c>
      <c r="AQ2" cm="1">
        <f t="array" ref="AQ2">_xll.RssMarket("9432.T", "前場出来高")</f>
        <v>167703300</v>
      </c>
      <c r="AR2" cm="1">
        <f t="array" ref="AR2">_xll.RssMarket("9432.T", "後場始値")</f>
        <v>164.6</v>
      </c>
      <c r="AS2" cm="1">
        <f t="array" ref="AS2">_xll.RssMarket("9432.T", "後場高値")</f>
        <v>166.2</v>
      </c>
      <c r="AT2" cm="1">
        <f t="array" ref="AT2">_xll.RssMarket("9432.T", "後場安値")</f>
        <v>164.4</v>
      </c>
      <c r="AU2" t="str" cm="1">
        <f t="array" ref="AU2">_xll.RssMarket("9432.T", "前場始値時刻")</f>
        <v>09:00</v>
      </c>
      <c r="AV2" t="str" cm="1">
        <f t="array" ref="AV2">_xll.RssMarket("9432.T", "前場高値時刻")</f>
        <v>10:08</v>
      </c>
      <c r="AW2" t="str" cm="1">
        <f t="array" ref="AW2">_xll.RssMarket("9432.T", "前場安値時刻")</f>
        <v>09:00</v>
      </c>
      <c r="AX2" t="str" cm="1">
        <f t="array" ref="AX2">_xll.RssMarket("9432.T", "前場終値時刻")</f>
        <v>11:30</v>
      </c>
      <c r="AY2" t="str" cm="1">
        <f t="array" ref="AY2">_xll.RssMarket("9432.T", "前場出来高時刻")</f>
        <v>11:30</v>
      </c>
      <c r="AZ2" t="str" cm="1">
        <f t="array" ref="AZ2">_xll.RssMarket("9432.T", "後場始値時刻")</f>
        <v>12:30</v>
      </c>
      <c r="BA2" t="str" cm="1">
        <f t="array" ref="BA2">_xll.RssMarket("9432.T", "後場高値時刻")</f>
        <v>14:06</v>
      </c>
      <c r="BB2" t="str" cm="1">
        <f t="array" ref="BB2">_xll.RssMarket("9432.T", "後場安値時刻")</f>
        <v>12:30</v>
      </c>
      <c r="BC2" cm="1">
        <f t="array" ref="BC2">_xll.RssMarket("9432.T", "最良売気配値")</f>
        <v>166.2</v>
      </c>
      <c r="BD2" cm="1">
        <f t="array" ref="BD2">_xll.RssMarket("9432.T", "最良買気配値")</f>
        <v>166</v>
      </c>
      <c r="BE2" cm="1">
        <f t="array" ref="BE2">_xll.RssMarket("9432.T", "最良売気配数量")</f>
        <v>1241200</v>
      </c>
      <c r="BF2" cm="1">
        <f t="array" ref="BF2">_xll.RssMarket("9432.T", "最良買気配数量")</f>
        <v>595900</v>
      </c>
      <c r="BG2" t="str" cm="1">
        <f t="array" ref="BG2">_xll.RssMarket("9432.T", "最良売気配時刻")</f>
        <v>15:30</v>
      </c>
      <c r="BH2" t="str" cm="1">
        <f t="array" ref="BH2">_xll.RssMarket("9432.T", "最良買気配時刻")</f>
        <v>15:30</v>
      </c>
      <c r="BI2" t="str" cm="1">
        <f t="array" ref="BI2">_xll.RssMarket("9432.T", "最良売気配詳細時刻")</f>
        <v>15:30:00</v>
      </c>
      <c r="BJ2" t="str" cm="1">
        <f t="array" ref="BJ2">_xll.RssMarket("9432.T", "最良買気配詳細時刻")</f>
        <v>15:30:00</v>
      </c>
      <c r="BK2" t="str" cm="1">
        <f t="array" ref="BK2">_xll.RssMarket("9432.T", "特別売気配フラグ")</f>
        <v xml:space="preserve"> </v>
      </c>
      <c r="BL2" t="str" cm="1">
        <f t="array" ref="BL2">_xll.RssMarket("9432.T", "特別買気配フラグ")</f>
        <v xml:space="preserve"> </v>
      </c>
      <c r="BM2" cm="1">
        <f t="array" ref="BM2">_xll.RssMarket("9432.T", "信用貸借区分")</f>
        <v>1</v>
      </c>
      <c r="BN2" cm="1">
        <f t="array" ref="BN2">_xll.RssMarket("9432.T", "逆日歩")</f>
        <v>0</v>
      </c>
      <c r="BO2" t="str" cm="1">
        <f t="array" ref="BO2">_xll.RssMarket("9432.T", "逆日歩更新日付")</f>
        <v/>
      </c>
      <c r="BP2" cm="1">
        <f t="array" ref="BP2">_xll.RssMarket("9432.T", "信用売残")</f>
        <v>22319100</v>
      </c>
      <c r="BQ2" cm="1">
        <f t="array" ref="BQ2">_xll.RssMarket("9432.T", "信用売残前週比")</f>
        <v>7097600</v>
      </c>
      <c r="BR2" cm="1">
        <f t="array" ref="BR2">_xll.RssMarket("9432.T", "信用買残")</f>
        <v>87662900</v>
      </c>
      <c r="BS2" cm="1">
        <f t="array" ref="BS2">_xll.RssMarket("9432.T", "信用買残前週比")</f>
        <v>-9440300</v>
      </c>
      <c r="BT2" cm="1">
        <f t="array" ref="BT2">_xll.RssMarket("9432.T", "信用倍率")</f>
        <v>3.93</v>
      </c>
      <c r="BU2" t="str" cm="1">
        <f t="array" ref="BU2">_xll.RssMarket("9432.T", "証金残更新日付")</f>
        <v>2026/08/21</v>
      </c>
      <c r="BV2" cm="1">
        <f t="array" ref="BV2">_xll.RssMarket("9432.T", "新規貸株")</f>
        <v>2030100</v>
      </c>
      <c r="BW2" cm="1">
        <f t="array" ref="BW2">_xll.RssMarket("9432.T", "新規融資")</f>
        <v>142100</v>
      </c>
      <c r="BX2" cm="1">
        <f t="array" ref="BX2">_xll.RssMarket("9432.T", "返済貸株")</f>
        <v>1000</v>
      </c>
      <c r="BY2" cm="1">
        <f t="array" ref="BY2">_xll.RssMarket("9432.T", "返済融資")</f>
        <v>985900</v>
      </c>
      <c r="BZ2" cm="1">
        <f t="array" ref="BZ2">_xll.RssMarket("9432.T", "残高貸株")</f>
        <v>2526700</v>
      </c>
      <c r="CA2" cm="1">
        <f t="array" ref="CA2">_xll.RssMarket("9432.T", "残高融資")</f>
        <v>1767600</v>
      </c>
      <c r="CB2" cm="1">
        <f t="array" ref="CB2">_xll.RssMarket("9432.T", "残高差引")</f>
        <v>-759100</v>
      </c>
      <c r="CC2" cm="1">
        <f t="array" ref="CC2">_xll.RssMarket("9432.T", "前日比貸株")</f>
        <v>2029100</v>
      </c>
      <c r="CD2" cm="1">
        <f t="array" ref="CD2">_xll.RssMarket("9432.T", "前日比融資")</f>
        <v>-843800</v>
      </c>
      <c r="CE2" cm="1">
        <f t="array" ref="CE2">_xll.RssMarket("9432.T", "前日比差引")</f>
        <v>-2872900</v>
      </c>
      <c r="CF2" cm="1">
        <f t="array" ref="CF2">_xll.RssMarket("9432.T", "回転日数")</f>
        <v>6.2</v>
      </c>
      <c r="CG2" cm="1">
        <f t="array" ref="CG2">_xll.RssMarket("9432.T", "貸借倍率")</f>
        <v>0.7</v>
      </c>
      <c r="CH2" cm="1">
        <f t="array" ref="CH2">_xll.RssMarket("9432.T", "最良売気配値1")</f>
        <v>166.2</v>
      </c>
      <c r="CI2" cm="1">
        <f t="array" ref="CI2">_xll.RssMarket("9432.T", "最良売気配値2")</f>
        <v>166.3</v>
      </c>
      <c r="CJ2" cm="1">
        <f t="array" ref="CJ2">_xll.RssMarket("9432.T", "最良売気配値3")</f>
        <v>166.4</v>
      </c>
      <c r="CK2" cm="1">
        <f t="array" ref="CK2">_xll.RssMarket("9432.T", "最良売気配値4")</f>
        <v>166.5</v>
      </c>
      <c r="CL2" cm="1">
        <f t="array" ref="CL2">_xll.RssMarket("9432.T", "最良売気配値5")</f>
        <v>166.6</v>
      </c>
      <c r="CM2" cm="1">
        <f t="array" ref="CM2">_xll.RssMarket("9432.T", "最良売気配値6")</f>
        <v>166.7</v>
      </c>
      <c r="CN2" cm="1">
        <f t="array" ref="CN2">_xll.RssMarket("9432.T", "最良売気配値7")</f>
        <v>166.8</v>
      </c>
      <c r="CO2" cm="1">
        <f t="array" ref="CO2">_xll.RssMarket("9432.T", "最良売気配値8")</f>
        <v>166.9</v>
      </c>
      <c r="CP2" cm="1">
        <f t="array" ref="CP2">_xll.RssMarket("9432.T", "最良売気配値9")</f>
        <v>167</v>
      </c>
      <c r="CQ2" cm="1">
        <f t="array" ref="CQ2">_xll.RssMarket("9432.T", "最良売気配値10")</f>
        <v>167.1</v>
      </c>
      <c r="CR2" cm="1">
        <f t="array" ref="CR2">_xll.RssMarket("9432.T", "最良買気配値1")</f>
        <v>166</v>
      </c>
      <c r="CS2" cm="1">
        <f t="array" ref="CS2">_xll.RssMarket("9432.T", "最良買気配値2")</f>
        <v>165.9</v>
      </c>
      <c r="CT2" cm="1">
        <f t="array" ref="CT2">_xll.RssMarket("9432.T", "最良買気配値3")</f>
        <v>165.8</v>
      </c>
      <c r="CU2" cm="1">
        <f t="array" ref="CU2">_xll.RssMarket("9432.T", "最良買気配値4")</f>
        <v>165.7</v>
      </c>
      <c r="CV2" cm="1">
        <f t="array" ref="CV2">_xll.RssMarket("9432.T", "最良買気配値5")</f>
        <v>165.6</v>
      </c>
      <c r="CW2" cm="1">
        <f t="array" ref="CW2">_xll.RssMarket("9432.T", "最良買気配値6")</f>
        <v>165.5</v>
      </c>
      <c r="CX2" cm="1">
        <f t="array" ref="CX2">_xll.RssMarket("9432.T", "最良買気配値7")</f>
        <v>165.4</v>
      </c>
      <c r="CY2" cm="1">
        <f t="array" ref="CY2">_xll.RssMarket("9432.T", "最良買気配値8")</f>
        <v>165.3</v>
      </c>
      <c r="CZ2" cm="1">
        <f t="array" ref="CZ2">_xll.RssMarket("9432.T", "最良買気配値9")</f>
        <v>165.2</v>
      </c>
      <c r="DA2" cm="1">
        <f t="array" ref="DA2">_xll.RssMarket("9432.T", "最良買気配値10")</f>
        <v>165.1</v>
      </c>
      <c r="DB2" cm="1">
        <f t="array" ref="DB2">_xll.RssMarket("9432.T", "最良売気配数量1")</f>
        <v>1241200</v>
      </c>
      <c r="DC2" cm="1">
        <f t="array" ref="DC2">_xll.RssMarket("9432.T", "最良売気配数量2")</f>
        <v>1810900</v>
      </c>
      <c r="DD2" cm="1">
        <f t="array" ref="DD2">_xll.RssMarket("9432.T", "最良売気配数量3")</f>
        <v>725500</v>
      </c>
      <c r="DE2" cm="1">
        <f t="array" ref="DE2">_xll.RssMarket("9432.T", "最良売気配数量4")</f>
        <v>1362300</v>
      </c>
      <c r="DF2" cm="1">
        <f t="array" ref="DF2">_xll.RssMarket("9432.T", "最良売気配数量5")</f>
        <v>521500</v>
      </c>
      <c r="DG2" cm="1">
        <f t="array" ref="DG2">_xll.RssMarket("9432.T", "最良売気配数量6")</f>
        <v>364500</v>
      </c>
      <c r="DH2" cm="1">
        <f t="array" ref="DH2">_xll.RssMarket("9432.T", "最良売気配数量7")</f>
        <v>390000</v>
      </c>
      <c r="DI2" cm="1">
        <f t="array" ref="DI2">_xll.RssMarket("9432.T", "最良売気配数量8")</f>
        <v>574200</v>
      </c>
      <c r="DJ2" cm="1">
        <f t="array" ref="DJ2">_xll.RssMarket("9432.T", "最良売気配数量9")</f>
        <v>4201900</v>
      </c>
      <c r="DK2" cm="1">
        <f t="array" ref="DK2">_xll.RssMarket("9432.T", "最良売気配数量10")</f>
        <v>222000</v>
      </c>
      <c r="DL2" cm="1">
        <f t="array" ref="DL2">_xll.RssMarket("9432.T", "最良買気配数量1")</f>
        <v>595900</v>
      </c>
      <c r="DM2" cm="1">
        <f t="array" ref="DM2">_xll.RssMarket("9432.T", "最良買気配数量2")</f>
        <v>24900</v>
      </c>
      <c r="DN2" cm="1">
        <f t="array" ref="DN2">_xll.RssMarket("9432.T", "最良買気配数量3")</f>
        <v>128300</v>
      </c>
      <c r="DO2" cm="1">
        <f t="array" ref="DO2">_xll.RssMarket("9432.T", "最良買気配数量4")</f>
        <v>118200</v>
      </c>
      <c r="DP2" cm="1">
        <f t="array" ref="DP2">_xll.RssMarket("9432.T", "最良買気配数量5")</f>
        <v>272700</v>
      </c>
      <c r="DQ2" cm="1">
        <f t="array" ref="DQ2">_xll.RssMarket("9432.T", "最良買気配数量6")</f>
        <v>87700</v>
      </c>
      <c r="DR2" cm="1">
        <f t="array" ref="DR2">_xll.RssMarket("9432.T", "最良買気配数量7")</f>
        <v>55100</v>
      </c>
      <c r="DS2" cm="1">
        <f t="array" ref="DS2">_xll.RssMarket("9432.T", "最良買気配数量8")</f>
        <v>51700</v>
      </c>
      <c r="DT2" cm="1">
        <f t="array" ref="DT2">_xll.RssMarket("9432.T", "最良買気配数量9")</f>
        <v>76800</v>
      </c>
      <c r="DU2" cm="1">
        <f t="array" ref="DU2">_xll.RssMarket("9432.T", "最良買気配数量10")</f>
        <v>334000</v>
      </c>
      <c r="DV2" cm="1">
        <f t="array" ref="DV2">_xll.RssMarket("9432.T", "売成行数量")</f>
        <v>0</v>
      </c>
      <c r="DW2" cm="1">
        <f t="array" ref="DW2">_xll.RssMarket("9432.T", "買成行数量")</f>
        <v>0</v>
      </c>
      <c r="DX2" cm="1">
        <f t="array" ref="DX2">_xll.RssMarket("9432.T", "OVER気配数量")</f>
        <v>31834500</v>
      </c>
      <c r="DY2" cm="1">
        <f t="array" ref="DY2">_xll.RssMarket("9432.T", "UNDER気配数量")</f>
        <v>72916300</v>
      </c>
      <c r="DZ2" cm="1">
        <f t="array" ref="DZ2">_xll.RssMarket("9432.T", "単位株数")</f>
        <v>100</v>
      </c>
      <c r="EA2" cm="1">
        <f t="array" ref="EA2">_xll.RssMarket("9432.T", "配当")</f>
        <v>5.4</v>
      </c>
      <c r="EB2" t="str" cm="1">
        <f t="array" ref="EB2">_xll.RssMarket("9432.T", "配当落日")</f>
        <v>2027/03/30</v>
      </c>
      <c r="EC2" t="str" cm="1">
        <f t="array" ref="EC2">_xll.RssMarket("9432.T", "中配落日")</f>
        <v>2026/09/29</v>
      </c>
      <c r="ED2" t="str" cm="1">
        <f t="array" ref="ED2">_xll.RssMarket("9432.T", "権利落日")</f>
        <v>2023/06/29</v>
      </c>
      <c r="EE2" t="str" cm="1">
        <f t="array" ref="EE2">_xll.RssMarket("9432.T", "決算発表日")</f>
        <v>2026/08/06</v>
      </c>
      <c r="EF2" cm="1">
        <f t="array" ref="EF2">_xll.RssMarket("9432.T", "PER")</f>
        <v>13.72</v>
      </c>
      <c r="EG2" cm="1">
        <f t="array" ref="EG2">_xll.RssMarket("9432.T", "PBR")</f>
        <v>1.39</v>
      </c>
      <c r="EH2" cm="1">
        <f t="array" ref="EH2">_xll.RssMarket("9432.T", "当日基準値")</f>
        <v>161</v>
      </c>
      <c r="EI2" cm="1">
        <f t="array" ref="EI2">_xll.RssMarket("9432.T", "年初来高値")</f>
        <v>163.30000000000001</v>
      </c>
      <c r="EJ2" cm="1">
        <f t="array" ref="EJ2">_xll.RssMarket("9432.T", "年初来安値")</f>
        <v>142.6</v>
      </c>
      <c r="EK2" t="str" cm="1">
        <f t="array" ref="EK2">_xll.RssMarket("9432.T", "年初来高値日付")</f>
        <v>2026/08/17</v>
      </c>
      <c r="EL2" t="str" cm="1">
        <f t="array" ref="EL2">_xll.RssMarket("9432.T", "年初来安値日付")</f>
        <v>2026/06/23</v>
      </c>
      <c r="EM2" cm="1">
        <f t="array" ref="EM2">_xll.RssMarket("9432.T", "上場来高値")</f>
        <v>3180000</v>
      </c>
      <c r="EN2" cm="1">
        <f t="array" ref="EN2">_xll.RssMarket("9432.T", "上場来安値")</f>
        <v>135.19999999999999</v>
      </c>
      <c r="EO2" t="str" cm="1">
        <f t="array" ref="EO2">_xll.RssMarket("9432.T", "上場来高値日付")</f>
        <v>1987/04/22</v>
      </c>
      <c r="EP2" t="str" cm="1">
        <f t="array" ref="EP2">_xll.RssMarket("9432.T", "上場来安値日付")</f>
        <v>2025/04/07</v>
      </c>
      <c r="EQ2" cm="1">
        <f t="array" ref="EQ2">_xll.RssMarket("9432.T", "貸株金利")</f>
        <v>0.1</v>
      </c>
      <c r="ER2" t="str" cm="1">
        <f t="array" ref="ER2">_xll.RssMarket("9432.T", "貸株金利適用日")</f>
        <v>2026/08/24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EFAF-6F9B-4697-9EA8-FB2625B59A43}">
  <sheetPr codeName="Sheet8"/>
  <dimension ref="A1:C53"/>
  <sheetViews>
    <sheetView workbookViewId="0">
      <selection activeCell="H4" sqref="H4"/>
    </sheetView>
  </sheetViews>
  <sheetFormatPr defaultRowHeight="18.75"/>
  <sheetData>
    <row r="1" spans="1:3">
      <c r="A1" t="str" cm="1">
        <f t="array" ref="A1">_xll.RssTickList($A$2:$C$2, "9432.T", 50)</f>
        <v>=RssTickList($A$2:$C$2, "9432.T", 50) =&gt; 配信中</v>
      </c>
    </row>
    <row r="2" spans="1:3">
      <c r="A2" t="s">
        <v>94</v>
      </c>
      <c r="B2" t="s">
        <v>95</v>
      </c>
      <c r="C2" t="s">
        <v>96</v>
      </c>
    </row>
    <row r="3" spans="1:3">
      <c r="A3" t="s">
        <v>115</v>
      </c>
      <c r="B3">
        <v>67164600</v>
      </c>
      <c r="C3">
        <v>166.1</v>
      </c>
    </row>
    <row r="4" spans="1:3">
      <c r="A4" t="s">
        <v>116</v>
      </c>
      <c r="B4">
        <v>100</v>
      </c>
      <c r="C4">
        <v>166.2</v>
      </c>
    </row>
    <row r="5" spans="1:3">
      <c r="A5" t="s">
        <v>116</v>
      </c>
      <c r="B5">
        <v>1100</v>
      </c>
      <c r="C5">
        <v>166.2</v>
      </c>
    </row>
    <row r="6" spans="1:3">
      <c r="A6" t="s">
        <v>116</v>
      </c>
      <c r="B6">
        <v>6900</v>
      </c>
      <c r="C6">
        <v>166.2</v>
      </c>
    </row>
    <row r="7" spans="1:3">
      <c r="A7" t="s">
        <v>116</v>
      </c>
      <c r="B7">
        <v>200</v>
      </c>
      <c r="C7">
        <v>166.2</v>
      </c>
    </row>
    <row r="8" spans="1:3">
      <c r="A8" t="s">
        <v>116</v>
      </c>
      <c r="B8">
        <v>800</v>
      </c>
      <c r="C8">
        <v>166.2</v>
      </c>
    </row>
    <row r="9" spans="1:3">
      <c r="A9" t="s">
        <v>116</v>
      </c>
      <c r="B9">
        <v>100</v>
      </c>
      <c r="C9">
        <v>166.2</v>
      </c>
    </row>
    <row r="10" spans="1:3">
      <c r="A10" t="s">
        <v>116</v>
      </c>
      <c r="B10">
        <v>200</v>
      </c>
      <c r="C10">
        <v>166.1</v>
      </c>
    </row>
    <row r="11" spans="1:3">
      <c r="A11" t="s">
        <v>116</v>
      </c>
      <c r="B11">
        <v>100</v>
      </c>
      <c r="C11">
        <v>166.1</v>
      </c>
    </row>
    <row r="12" spans="1:3">
      <c r="A12" t="s">
        <v>117</v>
      </c>
      <c r="B12">
        <v>100</v>
      </c>
      <c r="C12">
        <v>166.2</v>
      </c>
    </row>
    <row r="13" spans="1:3">
      <c r="A13" t="s">
        <v>117</v>
      </c>
      <c r="B13">
        <v>700</v>
      </c>
      <c r="C13">
        <v>166.2</v>
      </c>
    </row>
    <row r="14" spans="1:3">
      <c r="A14" t="s">
        <v>117</v>
      </c>
      <c r="B14">
        <v>4100</v>
      </c>
      <c r="C14">
        <v>166.2</v>
      </c>
    </row>
    <row r="15" spans="1:3">
      <c r="A15" t="s">
        <v>117</v>
      </c>
      <c r="B15">
        <v>100</v>
      </c>
      <c r="C15">
        <v>166.2</v>
      </c>
    </row>
    <row r="16" spans="1:3">
      <c r="A16" t="s">
        <v>118</v>
      </c>
      <c r="B16">
        <v>400</v>
      </c>
      <c r="C16">
        <v>166.2</v>
      </c>
    </row>
    <row r="17" spans="1:3">
      <c r="A17" t="s">
        <v>118</v>
      </c>
      <c r="B17">
        <v>2000</v>
      </c>
      <c r="C17">
        <v>166.2</v>
      </c>
    </row>
    <row r="18" spans="1:3">
      <c r="A18" t="s">
        <v>118</v>
      </c>
      <c r="B18">
        <v>200</v>
      </c>
      <c r="C18">
        <v>166.1</v>
      </c>
    </row>
    <row r="19" spans="1:3">
      <c r="A19" t="s">
        <v>118</v>
      </c>
      <c r="B19">
        <v>200</v>
      </c>
      <c r="C19">
        <v>166.1</v>
      </c>
    </row>
    <row r="20" spans="1:3">
      <c r="A20" t="s">
        <v>118</v>
      </c>
      <c r="B20">
        <v>200</v>
      </c>
      <c r="C20">
        <v>166.2</v>
      </c>
    </row>
    <row r="21" spans="1:3">
      <c r="A21" t="s">
        <v>118</v>
      </c>
      <c r="B21">
        <v>191400</v>
      </c>
      <c r="C21">
        <v>166.2</v>
      </c>
    </row>
    <row r="22" spans="1:3">
      <c r="A22" t="s">
        <v>119</v>
      </c>
      <c r="B22">
        <v>100</v>
      </c>
      <c r="C22">
        <v>166.1</v>
      </c>
    </row>
    <row r="23" spans="1:3">
      <c r="A23" t="s">
        <v>119</v>
      </c>
      <c r="B23">
        <v>100</v>
      </c>
      <c r="C23">
        <v>166.1</v>
      </c>
    </row>
    <row r="24" spans="1:3">
      <c r="A24" t="s">
        <v>119</v>
      </c>
      <c r="B24">
        <v>100</v>
      </c>
      <c r="C24">
        <v>166.2</v>
      </c>
    </row>
    <row r="25" spans="1:3">
      <c r="A25" t="s">
        <v>119</v>
      </c>
      <c r="B25">
        <v>100</v>
      </c>
      <c r="C25">
        <v>166.2</v>
      </c>
    </row>
    <row r="26" spans="1:3">
      <c r="A26" t="s">
        <v>119</v>
      </c>
      <c r="B26">
        <v>900</v>
      </c>
      <c r="C26">
        <v>166.2</v>
      </c>
    </row>
    <row r="27" spans="1:3">
      <c r="A27" t="s">
        <v>119</v>
      </c>
      <c r="B27">
        <v>600</v>
      </c>
      <c r="C27">
        <v>166.2</v>
      </c>
    </row>
    <row r="28" spans="1:3">
      <c r="A28" t="s">
        <v>120</v>
      </c>
      <c r="B28">
        <v>800</v>
      </c>
      <c r="C28">
        <v>166.2</v>
      </c>
    </row>
    <row r="29" spans="1:3">
      <c r="A29" t="s">
        <v>120</v>
      </c>
      <c r="B29">
        <v>100</v>
      </c>
      <c r="C29">
        <v>166.2</v>
      </c>
    </row>
    <row r="30" spans="1:3">
      <c r="A30" t="s">
        <v>121</v>
      </c>
      <c r="B30">
        <v>400</v>
      </c>
      <c r="C30">
        <v>166.2</v>
      </c>
    </row>
    <row r="31" spans="1:3">
      <c r="A31" t="s">
        <v>121</v>
      </c>
      <c r="B31">
        <v>9100</v>
      </c>
      <c r="C31">
        <v>166.2</v>
      </c>
    </row>
    <row r="32" spans="1:3">
      <c r="A32" t="s">
        <v>121</v>
      </c>
      <c r="B32">
        <v>700</v>
      </c>
      <c r="C32">
        <v>166.2</v>
      </c>
    </row>
    <row r="33" spans="1:3">
      <c r="A33" t="s">
        <v>121</v>
      </c>
      <c r="B33">
        <v>500</v>
      </c>
      <c r="C33">
        <v>166.2</v>
      </c>
    </row>
    <row r="34" spans="1:3">
      <c r="A34" t="s">
        <v>121</v>
      </c>
      <c r="B34">
        <v>4500</v>
      </c>
      <c r="C34">
        <v>166.2</v>
      </c>
    </row>
    <row r="35" spans="1:3">
      <c r="A35" t="s">
        <v>121</v>
      </c>
      <c r="B35">
        <v>100</v>
      </c>
      <c r="C35">
        <v>166.2</v>
      </c>
    </row>
    <row r="36" spans="1:3">
      <c r="A36" t="s">
        <v>121</v>
      </c>
      <c r="B36">
        <v>100</v>
      </c>
      <c r="C36">
        <v>166.1</v>
      </c>
    </row>
    <row r="37" spans="1:3">
      <c r="A37" t="s">
        <v>121</v>
      </c>
      <c r="B37">
        <v>100</v>
      </c>
      <c r="C37">
        <v>166.2</v>
      </c>
    </row>
    <row r="38" spans="1:3">
      <c r="A38" t="s">
        <v>121</v>
      </c>
      <c r="B38">
        <v>2800</v>
      </c>
      <c r="C38">
        <v>166.2</v>
      </c>
    </row>
    <row r="39" spans="1:3">
      <c r="A39" t="s">
        <v>121</v>
      </c>
      <c r="B39">
        <v>100</v>
      </c>
      <c r="C39">
        <v>166.2</v>
      </c>
    </row>
    <row r="40" spans="1:3">
      <c r="A40" t="s">
        <v>121</v>
      </c>
      <c r="B40">
        <v>3100</v>
      </c>
      <c r="C40">
        <v>166.2</v>
      </c>
    </row>
    <row r="41" spans="1:3">
      <c r="A41" t="s">
        <v>121</v>
      </c>
      <c r="B41">
        <v>1600</v>
      </c>
      <c r="C41">
        <v>166.2</v>
      </c>
    </row>
    <row r="42" spans="1:3">
      <c r="A42" t="s">
        <v>123</v>
      </c>
      <c r="B42">
        <v>100</v>
      </c>
      <c r="C42">
        <v>166.2</v>
      </c>
    </row>
    <row r="43" spans="1:3">
      <c r="A43" t="s">
        <v>123</v>
      </c>
      <c r="B43">
        <v>2100</v>
      </c>
      <c r="C43">
        <v>166.2</v>
      </c>
    </row>
    <row r="44" spans="1:3">
      <c r="A44" t="s">
        <v>123</v>
      </c>
      <c r="B44">
        <v>800</v>
      </c>
      <c r="C44">
        <v>166.2</v>
      </c>
    </row>
    <row r="45" spans="1:3">
      <c r="A45" t="s">
        <v>123</v>
      </c>
      <c r="B45">
        <v>400</v>
      </c>
      <c r="C45">
        <v>166.2</v>
      </c>
    </row>
    <row r="46" spans="1:3">
      <c r="A46" t="s">
        <v>123</v>
      </c>
      <c r="B46">
        <v>400</v>
      </c>
      <c r="C46">
        <v>166.2</v>
      </c>
    </row>
    <row r="47" spans="1:3">
      <c r="A47" t="s">
        <v>531</v>
      </c>
      <c r="B47">
        <v>100</v>
      </c>
      <c r="C47">
        <v>166.1</v>
      </c>
    </row>
    <row r="48" spans="1:3">
      <c r="A48" t="s">
        <v>531</v>
      </c>
      <c r="B48">
        <v>5600</v>
      </c>
      <c r="C48">
        <v>166.2</v>
      </c>
    </row>
    <row r="49" spans="1:3">
      <c r="A49" t="s">
        <v>531</v>
      </c>
      <c r="B49">
        <v>1000</v>
      </c>
      <c r="C49">
        <v>166.1</v>
      </c>
    </row>
    <row r="50" spans="1:3">
      <c r="A50" t="s">
        <v>531</v>
      </c>
      <c r="B50">
        <v>100</v>
      </c>
      <c r="C50">
        <v>166.2</v>
      </c>
    </row>
    <row r="51" spans="1:3">
      <c r="A51" t="s">
        <v>531</v>
      </c>
      <c r="B51">
        <v>100</v>
      </c>
      <c r="C51">
        <v>166.2</v>
      </c>
    </row>
    <row r="52" spans="1:3">
      <c r="A52" t="s">
        <v>531</v>
      </c>
      <c r="B52">
        <v>1700</v>
      </c>
      <c r="C52">
        <v>166.2</v>
      </c>
    </row>
    <row r="53" spans="1:3">
      <c r="A53" s="1" t="s">
        <v>122</v>
      </c>
      <c r="B53" s="1" t="s">
        <v>122</v>
      </c>
      <c r="C53" s="1" t="s">
        <v>122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CB49F-86CF-42A4-80AC-F8802BF709E5}">
  <sheetPr codeName="Sheet9"/>
  <dimension ref="A1:F4"/>
  <sheetViews>
    <sheetView workbookViewId="0"/>
  </sheetViews>
  <sheetFormatPr defaultRowHeight="18.75"/>
  <sheetData>
    <row r="1" spans="1:6">
      <c r="A1" t="str" cm="1">
        <f t="array" ref="A1">_xll.RssBuyingPower($A$2, 7203)</f>
        <v>=RssBuyingPower($A$2, 7203) =&gt; 完了</v>
      </c>
      <c r="F1" t="s">
        <v>125</v>
      </c>
    </row>
    <row r="2" spans="1:6">
      <c r="A2" t="s">
        <v>124</v>
      </c>
    </row>
    <row r="3" spans="1:6">
      <c r="A3">
        <v>1093</v>
      </c>
    </row>
    <row r="4" spans="1:6">
      <c r="A4" s="1" t="s">
        <v>122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A8CD-B83A-4389-B0E9-8F9145F011D9}">
  <dimension ref="A1:D10"/>
  <sheetViews>
    <sheetView workbookViewId="0">
      <selection activeCell="G12" sqref="G12"/>
    </sheetView>
  </sheetViews>
  <sheetFormatPr defaultRowHeight="18.75"/>
  <sheetData>
    <row r="1" spans="1:4">
      <c r="A1" t="str" cm="1">
        <f t="array" ref="A1">_xll.RssMarginPower($A$2:$D$2, 7203)</f>
        <v>=RssMarginPower($A$2:$D$2, 7203) =&gt; 完了</v>
      </c>
    </row>
    <row r="2" spans="1:4">
      <c r="A2" t="s">
        <v>126</v>
      </c>
      <c r="B2" t="s">
        <v>127</v>
      </c>
      <c r="C2" t="s">
        <v>128</v>
      </c>
      <c r="D2" t="s">
        <v>88</v>
      </c>
    </row>
    <row r="3" spans="1:4">
      <c r="A3">
        <v>333336</v>
      </c>
      <c r="B3">
        <v>32.15</v>
      </c>
      <c r="C3">
        <v>32.15</v>
      </c>
      <c r="D3">
        <v>32.14</v>
      </c>
    </row>
    <row r="4" spans="1:4">
      <c r="A4" s="1" t="s">
        <v>122</v>
      </c>
      <c r="B4" s="1" t="s">
        <v>122</v>
      </c>
      <c r="C4" s="1" t="s">
        <v>122</v>
      </c>
      <c r="D4" s="1" t="s">
        <v>122</v>
      </c>
    </row>
    <row r="7" spans="1:4">
      <c r="A7" t="str" cm="1">
        <f t="array" ref="A7">_xll.RssMarginPower($A$8:$D$8, 8306)</f>
        <v>=RssMarginPower($A$8:$D$8, 8306) =&gt; 完了</v>
      </c>
    </row>
    <row r="8" spans="1:4">
      <c r="A8" t="s">
        <v>126</v>
      </c>
      <c r="B8" t="s">
        <v>127</v>
      </c>
      <c r="C8" t="s">
        <v>128</v>
      </c>
      <c r="D8" t="s">
        <v>88</v>
      </c>
    </row>
    <row r="9" spans="1:4">
      <c r="A9">
        <v>333336</v>
      </c>
      <c r="B9">
        <v>32.15</v>
      </c>
      <c r="C9">
        <v>32.15</v>
      </c>
      <c r="D9">
        <v>32.14</v>
      </c>
    </row>
    <row r="10" spans="1:4">
      <c r="A10" s="1" t="s">
        <v>122</v>
      </c>
      <c r="B10" s="1" t="s">
        <v>122</v>
      </c>
      <c r="C10" s="1" t="s">
        <v>122</v>
      </c>
      <c r="D10" s="1" t="s">
        <v>122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ORDER</vt:lpstr>
      <vt:lpstr>OrderList</vt:lpstr>
      <vt:lpstr>ExecutionList</vt:lpstr>
      <vt:lpstr>ExecutionList_0818</vt:lpstr>
      <vt:lpstr>PositionList</vt:lpstr>
      <vt:lpstr>PositionList_0818</vt:lpstr>
      <vt:lpstr>MarginPositionList</vt:lpstr>
      <vt:lpstr>MarginPositionList_0818</vt:lpstr>
      <vt:lpstr>RssMarket</vt:lpstr>
      <vt:lpstr>RssTickList</vt:lpstr>
      <vt:lpstr>RssBuyingPower</vt:lpstr>
      <vt:lpstr>RssMarginPower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2026-08-22T03:48:51Z</dcterms:modified>
</cp:coreProperties>
</file>